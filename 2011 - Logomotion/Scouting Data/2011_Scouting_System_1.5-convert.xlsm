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ustomProperty2.bin" ContentType="application/vnd.openxmlformats-officedocument.spreadsheetml.customProperty"/>
  <Override PartName="/xl/customProperty3.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ustomProperty4.bin" ContentType="application/vnd.openxmlformats-officedocument.spreadsheetml.customProperty"/>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ml.chartshapes+xml"/>
  <Override PartName="/xl/charts/chart2.xml" ContentType="application/vnd.openxmlformats-officedocument.drawingml.chart+xml"/>
  <Override PartName="/xl/drawings/drawing5.xml" ContentType="application/vnd.openxmlformats-officedocument.drawingml.chartshapes+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drawings/drawing6.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ustomProperty11.bin" ContentType="application/vnd.openxmlformats-officedocument.spreadsheetml.customProperty"/>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870" yWindow="420" windowWidth="11340" windowHeight="10110" tabRatio="913" activeTab="9"/>
  </bookViews>
  <sheets>
    <sheet name="Instructions" sheetId="11" r:id="rId1"/>
    <sheet name="Printable Sheets" sheetId="12" r:id="rId2"/>
    <sheet name="Scout Data Input" sheetId="1" r:id="rId3"/>
    <sheet name="Team Template" sheetId="4" r:id="rId4"/>
    <sheet name="Data Analysis" sheetId="3" r:id="rId5"/>
    <sheet name="Match Prediction Analysis" sheetId="6" r:id="rId6"/>
    <sheet name="Qualification And AFSS" sheetId="8" r:id="rId7"/>
    <sheet name="Final Alliance Potential" sheetId="7" r:id="rId8"/>
    <sheet name="Pick List" sheetId="10" r:id="rId9"/>
    <sheet name="Data" sheetId="5" r:id="rId10"/>
    <sheet name="DV-IDENTITY-0" sheetId="13" state="veryHidden" r:id="rId11"/>
    <sheet name="Sheet1" sheetId="14" state="hidden" r:id="rId12"/>
  </sheets>
  <functionGroups builtInGroupCount="17"/>
  <definedNames>
    <definedName name="_xlnm._FilterDatabase" localSheetId="9" hidden="1">Data!$A$2:$A$293</definedName>
    <definedName name="_xlnm._FilterDatabase" localSheetId="4" hidden="1">'Data Analysis'!$B$6:$O$2000</definedName>
    <definedName name="_xlnm._FilterDatabase" localSheetId="5" hidden="1">'Match Prediction Analysis'!$B$6:$E$11</definedName>
    <definedName name="_xlnm._FilterDatabase" localSheetId="8" hidden="1">'Pick List'!$B$7:$G$12</definedName>
    <definedName name="_xlnm._FilterDatabase" localSheetId="6" hidden="1">'Qualification And AFSS'!$B$6:$E$11</definedName>
    <definedName name="_xlnm._FilterDatabase" localSheetId="2" hidden="1">'Scout Data Input'!$A$2:$A$7</definedName>
    <definedName name="_xlnm.Extract" localSheetId="9">Data!$T:$T</definedName>
    <definedName name="_xlnm.Extract" localSheetId="2">'Scout Data Input'!$T:$T</definedName>
    <definedName name="name">'Data Analysis'!$B$6:$N$12</definedName>
    <definedName name="_xlnm.Print_Area" localSheetId="1">'Printable Sheets'!$B$2:$X$48</definedName>
    <definedName name="TeamList" localSheetId="3">'Team Template'!$T$11:$T$62</definedName>
  </definedNames>
  <calcPr calcId="144525"/>
</workbook>
</file>

<file path=xl/calcChain.xml><?xml version="1.0" encoding="utf-8"?>
<calcChain xmlns="http://schemas.openxmlformats.org/spreadsheetml/2006/main">
  <c r="C14" i="3" l="1"/>
  <c r="E14" i="3"/>
  <c r="F14" i="3"/>
  <c r="G14" i="3"/>
  <c r="I14" i="3"/>
  <c r="J14" i="3"/>
  <c r="K14" i="3"/>
  <c r="M14" i="3"/>
  <c r="N14" i="3"/>
  <c r="O14" i="3"/>
  <c r="C15" i="3"/>
  <c r="E15" i="3"/>
  <c r="F15" i="3"/>
  <c r="G15" i="3"/>
  <c r="I15" i="3"/>
  <c r="J15" i="3"/>
  <c r="K15" i="3"/>
  <c r="M15" i="3"/>
  <c r="N15" i="3"/>
  <c r="O15" i="3"/>
  <c r="C21" i="3"/>
  <c r="E21" i="3"/>
  <c r="F21" i="3"/>
  <c r="G21" i="3"/>
  <c r="I21" i="3"/>
  <c r="J21" i="3"/>
  <c r="K21" i="3"/>
  <c r="M21" i="3"/>
  <c r="N21" i="3"/>
  <c r="O21" i="3"/>
  <c r="C46" i="3"/>
  <c r="E46" i="3"/>
  <c r="F46" i="3"/>
  <c r="G46" i="3"/>
  <c r="I46" i="3"/>
  <c r="J46" i="3"/>
  <c r="K46" i="3"/>
  <c r="M46" i="3"/>
  <c r="N46" i="3"/>
  <c r="O46" i="3"/>
  <c r="C32" i="3"/>
  <c r="E32" i="3"/>
  <c r="F32" i="3"/>
  <c r="G32" i="3"/>
  <c r="I32" i="3"/>
  <c r="J32" i="3"/>
  <c r="K32" i="3"/>
  <c r="M32" i="3"/>
  <c r="N32" i="3"/>
  <c r="O32" i="3"/>
  <c r="C33" i="3"/>
  <c r="E33" i="3"/>
  <c r="F33" i="3"/>
  <c r="G33" i="3"/>
  <c r="I33" i="3"/>
  <c r="J33" i="3"/>
  <c r="K33" i="3"/>
  <c r="M33" i="3"/>
  <c r="N33" i="3"/>
  <c r="O33" i="3"/>
  <c r="C18" i="3"/>
  <c r="E18" i="3"/>
  <c r="F18" i="3"/>
  <c r="G18" i="3"/>
  <c r="I18" i="3"/>
  <c r="J18" i="3"/>
  <c r="K18" i="3"/>
  <c r="M18" i="3"/>
  <c r="N18" i="3"/>
  <c r="O18" i="3"/>
  <c r="C42" i="3"/>
  <c r="E42" i="3"/>
  <c r="F42" i="3"/>
  <c r="G42" i="3"/>
  <c r="I42" i="3"/>
  <c r="J42" i="3"/>
  <c r="K42" i="3"/>
  <c r="M42" i="3"/>
  <c r="N42" i="3"/>
  <c r="O42" i="3"/>
  <c r="C10" i="3"/>
  <c r="E10" i="3"/>
  <c r="F10" i="3"/>
  <c r="G10" i="3"/>
  <c r="I10" i="3"/>
  <c r="J10" i="3"/>
  <c r="K10" i="3"/>
  <c r="M10" i="3"/>
  <c r="N10" i="3"/>
  <c r="O10" i="3"/>
  <c r="C7" i="3"/>
  <c r="E7" i="3"/>
  <c r="F7" i="3"/>
  <c r="G7" i="3"/>
  <c r="I7" i="3"/>
  <c r="J7" i="3"/>
  <c r="K7" i="3"/>
  <c r="M7" i="3"/>
  <c r="N7" i="3"/>
  <c r="O7" i="3"/>
  <c r="C22" i="3"/>
  <c r="E22" i="3"/>
  <c r="F22" i="3"/>
  <c r="G22" i="3"/>
  <c r="I22" i="3"/>
  <c r="J22" i="3"/>
  <c r="K22" i="3"/>
  <c r="M22" i="3"/>
  <c r="N22" i="3"/>
  <c r="O22" i="3"/>
  <c r="C12" i="3"/>
  <c r="E12" i="3"/>
  <c r="F12" i="3"/>
  <c r="G12" i="3"/>
  <c r="I12" i="3"/>
  <c r="J12" i="3"/>
  <c r="K12" i="3"/>
  <c r="M12" i="3"/>
  <c r="N12" i="3"/>
  <c r="O12" i="3"/>
  <c r="C24" i="3"/>
  <c r="E24" i="3"/>
  <c r="F24" i="3"/>
  <c r="G24" i="3"/>
  <c r="I24" i="3"/>
  <c r="J24" i="3"/>
  <c r="K24" i="3"/>
  <c r="M24" i="3"/>
  <c r="N24" i="3"/>
  <c r="O24" i="3"/>
  <c r="C25" i="3"/>
  <c r="E25" i="3"/>
  <c r="F25" i="3"/>
  <c r="G25" i="3"/>
  <c r="I25" i="3"/>
  <c r="J25" i="3"/>
  <c r="K25" i="3"/>
  <c r="M25" i="3"/>
  <c r="N25" i="3"/>
  <c r="O25" i="3"/>
  <c r="C40" i="3"/>
  <c r="E40" i="3"/>
  <c r="F40" i="3"/>
  <c r="G40" i="3"/>
  <c r="I40" i="3"/>
  <c r="J40" i="3"/>
  <c r="K40" i="3"/>
  <c r="M40" i="3"/>
  <c r="N40" i="3"/>
  <c r="O40" i="3"/>
  <c r="C43" i="3"/>
  <c r="E43" i="3"/>
  <c r="F43" i="3"/>
  <c r="G43" i="3"/>
  <c r="I43" i="3"/>
  <c r="J43" i="3"/>
  <c r="K43" i="3"/>
  <c r="M43" i="3"/>
  <c r="N43" i="3"/>
  <c r="O43" i="3"/>
  <c r="C47" i="3"/>
  <c r="E47" i="3"/>
  <c r="F47" i="3"/>
  <c r="G47" i="3"/>
  <c r="I47" i="3"/>
  <c r="J47" i="3"/>
  <c r="K47" i="3"/>
  <c r="M47" i="3"/>
  <c r="N47" i="3"/>
  <c r="O47" i="3"/>
  <c r="C36" i="3"/>
  <c r="E36" i="3"/>
  <c r="F36" i="3"/>
  <c r="G36" i="3"/>
  <c r="I36" i="3"/>
  <c r="J36" i="3"/>
  <c r="K36" i="3"/>
  <c r="M36" i="3"/>
  <c r="N36" i="3"/>
  <c r="O36" i="3"/>
  <c r="C27" i="3"/>
  <c r="E27" i="3"/>
  <c r="F27" i="3"/>
  <c r="G27" i="3"/>
  <c r="I27" i="3"/>
  <c r="J27" i="3"/>
  <c r="K27" i="3"/>
  <c r="M27" i="3"/>
  <c r="N27" i="3"/>
  <c r="O27" i="3"/>
  <c r="C48" i="3"/>
  <c r="E48" i="3"/>
  <c r="F48" i="3"/>
  <c r="G48" i="3"/>
  <c r="I48" i="3"/>
  <c r="J48" i="3"/>
  <c r="K48" i="3"/>
  <c r="M48" i="3"/>
  <c r="N48" i="3"/>
  <c r="O48" i="3"/>
  <c r="C19" i="3"/>
  <c r="E19" i="3"/>
  <c r="F19" i="3"/>
  <c r="G19" i="3"/>
  <c r="I19" i="3"/>
  <c r="J19" i="3"/>
  <c r="K19" i="3"/>
  <c r="M19" i="3"/>
  <c r="N19" i="3"/>
  <c r="O19" i="3"/>
  <c r="C8" i="3"/>
  <c r="E8" i="3"/>
  <c r="F8" i="3"/>
  <c r="G8" i="3"/>
  <c r="I8" i="3"/>
  <c r="J8" i="3"/>
  <c r="K8" i="3"/>
  <c r="M8" i="3"/>
  <c r="N8" i="3"/>
  <c r="O8" i="3"/>
  <c r="C49" i="3"/>
  <c r="E49" i="3"/>
  <c r="F49" i="3"/>
  <c r="G49" i="3"/>
  <c r="I49" i="3"/>
  <c r="J49" i="3"/>
  <c r="K49" i="3"/>
  <c r="M49" i="3"/>
  <c r="N49" i="3"/>
  <c r="O49" i="3"/>
  <c r="C23" i="3"/>
  <c r="E23" i="3"/>
  <c r="F23" i="3"/>
  <c r="G23" i="3"/>
  <c r="I23" i="3"/>
  <c r="J23" i="3"/>
  <c r="K23" i="3"/>
  <c r="M23" i="3"/>
  <c r="N23" i="3"/>
  <c r="O23" i="3"/>
  <c r="C50" i="3"/>
  <c r="E50" i="3"/>
  <c r="F50" i="3"/>
  <c r="G50" i="3"/>
  <c r="I50" i="3"/>
  <c r="J50" i="3"/>
  <c r="K50" i="3"/>
  <c r="M50" i="3"/>
  <c r="N50" i="3"/>
  <c r="O50" i="3"/>
  <c r="C30" i="3"/>
  <c r="E30" i="3"/>
  <c r="F30" i="3"/>
  <c r="G30" i="3"/>
  <c r="I30" i="3"/>
  <c r="J30" i="3"/>
  <c r="K30" i="3"/>
  <c r="M30" i="3"/>
  <c r="N30" i="3"/>
  <c r="O30" i="3"/>
  <c r="C28" i="3"/>
  <c r="E28" i="3"/>
  <c r="F28" i="3"/>
  <c r="G28" i="3"/>
  <c r="I28" i="3"/>
  <c r="J28" i="3"/>
  <c r="K28" i="3"/>
  <c r="M28" i="3"/>
  <c r="N28" i="3"/>
  <c r="O28" i="3"/>
  <c r="C16" i="3"/>
  <c r="E16" i="3"/>
  <c r="F16" i="3"/>
  <c r="G16" i="3"/>
  <c r="I16" i="3"/>
  <c r="J16" i="3"/>
  <c r="K16" i="3"/>
  <c r="M16" i="3"/>
  <c r="N16" i="3"/>
  <c r="O16" i="3"/>
  <c r="C9" i="3"/>
  <c r="E9" i="3"/>
  <c r="F9" i="3"/>
  <c r="G9" i="3"/>
  <c r="I9" i="3"/>
  <c r="J9" i="3"/>
  <c r="K9" i="3"/>
  <c r="M9" i="3"/>
  <c r="N9" i="3"/>
  <c r="O9" i="3"/>
  <c r="C20" i="3"/>
  <c r="E20" i="3"/>
  <c r="F20" i="3"/>
  <c r="G20" i="3"/>
  <c r="I20" i="3"/>
  <c r="J20" i="3"/>
  <c r="K20" i="3"/>
  <c r="M20" i="3"/>
  <c r="N20" i="3"/>
  <c r="O20" i="3"/>
  <c r="C51" i="3"/>
  <c r="E51" i="3"/>
  <c r="F51" i="3"/>
  <c r="G51" i="3"/>
  <c r="I51" i="3"/>
  <c r="J51" i="3"/>
  <c r="K51" i="3"/>
  <c r="M51" i="3"/>
  <c r="N51" i="3"/>
  <c r="O51" i="3"/>
  <c r="C11" i="3"/>
  <c r="E11" i="3"/>
  <c r="F11" i="3"/>
  <c r="G11" i="3"/>
  <c r="I11" i="3"/>
  <c r="J11" i="3"/>
  <c r="K11" i="3"/>
  <c r="M11" i="3"/>
  <c r="N11" i="3"/>
  <c r="O11" i="3"/>
  <c r="C26" i="3"/>
  <c r="E26" i="3"/>
  <c r="F26" i="3"/>
  <c r="G26" i="3"/>
  <c r="I26" i="3"/>
  <c r="J26" i="3"/>
  <c r="K26" i="3"/>
  <c r="M26" i="3"/>
  <c r="N26" i="3"/>
  <c r="O26" i="3"/>
  <c r="C44" i="3"/>
  <c r="E44" i="3"/>
  <c r="F44" i="3"/>
  <c r="G44" i="3"/>
  <c r="I44" i="3"/>
  <c r="J44" i="3"/>
  <c r="K44" i="3"/>
  <c r="M44" i="3"/>
  <c r="N44" i="3"/>
  <c r="O44" i="3"/>
  <c r="C29" i="3"/>
  <c r="E29" i="3"/>
  <c r="F29" i="3"/>
  <c r="G29" i="3"/>
  <c r="I29" i="3"/>
  <c r="J29" i="3"/>
  <c r="K29" i="3"/>
  <c r="M29" i="3"/>
  <c r="N29" i="3"/>
  <c r="O29" i="3"/>
  <c r="C17" i="3"/>
  <c r="E17" i="3"/>
  <c r="F17" i="3"/>
  <c r="G17" i="3"/>
  <c r="I17" i="3"/>
  <c r="J17" i="3"/>
  <c r="K17" i="3"/>
  <c r="M17" i="3"/>
  <c r="N17" i="3"/>
  <c r="O17" i="3"/>
  <c r="C31" i="3"/>
  <c r="E31" i="3"/>
  <c r="F31" i="3"/>
  <c r="G31" i="3"/>
  <c r="I31" i="3"/>
  <c r="J31" i="3"/>
  <c r="K31" i="3"/>
  <c r="M31" i="3"/>
  <c r="N31" i="3"/>
  <c r="O31" i="3"/>
  <c r="C52" i="3"/>
  <c r="E52" i="3"/>
  <c r="F52" i="3"/>
  <c r="G52" i="3"/>
  <c r="I52" i="3"/>
  <c r="J52" i="3"/>
  <c r="K52" i="3"/>
  <c r="M52" i="3"/>
  <c r="N52" i="3"/>
  <c r="O52" i="3"/>
  <c r="C13" i="3"/>
  <c r="E13" i="3"/>
  <c r="F13" i="3"/>
  <c r="G13" i="3"/>
  <c r="I13" i="3"/>
  <c r="J13" i="3"/>
  <c r="K13" i="3"/>
  <c r="M13" i="3"/>
  <c r="N13" i="3"/>
  <c r="O13" i="3"/>
  <c r="C53" i="3"/>
  <c r="E53" i="3"/>
  <c r="F53" i="3"/>
  <c r="G53" i="3"/>
  <c r="I53" i="3"/>
  <c r="J53" i="3"/>
  <c r="K53" i="3"/>
  <c r="M53" i="3"/>
  <c r="N53" i="3"/>
  <c r="O53" i="3"/>
  <c r="C54" i="3"/>
  <c r="E54" i="3"/>
  <c r="F54" i="3"/>
  <c r="G54" i="3"/>
  <c r="I54" i="3"/>
  <c r="J54" i="3"/>
  <c r="K54" i="3"/>
  <c r="M54" i="3"/>
  <c r="N54" i="3"/>
  <c r="O54" i="3"/>
  <c r="C55" i="3"/>
  <c r="E55" i="3"/>
  <c r="F55" i="3"/>
  <c r="G55" i="3"/>
  <c r="I55" i="3"/>
  <c r="J55" i="3"/>
  <c r="K55" i="3"/>
  <c r="M55" i="3"/>
  <c r="N55" i="3"/>
  <c r="O55" i="3"/>
  <c r="C38" i="3"/>
  <c r="E38" i="3"/>
  <c r="F38" i="3"/>
  <c r="G38" i="3"/>
  <c r="I38" i="3"/>
  <c r="J38" i="3"/>
  <c r="K38" i="3"/>
  <c r="M38" i="3"/>
  <c r="N38" i="3"/>
  <c r="O38" i="3"/>
  <c r="C56" i="3"/>
  <c r="E56" i="3"/>
  <c r="F56" i="3"/>
  <c r="G56" i="3"/>
  <c r="I56" i="3"/>
  <c r="J56" i="3"/>
  <c r="K56" i="3"/>
  <c r="M56" i="3"/>
  <c r="N56" i="3"/>
  <c r="O56" i="3"/>
  <c r="C57" i="3"/>
  <c r="E57" i="3"/>
  <c r="F57" i="3"/>
  <c r="G57" i="3"/>
  <c r="I57" i="3"/>
  <c r="J57" i="3"/>
  <c r="K57" i="3"/>
  <c r="M57" i="3"/>
  <c r="N57" i="3"/>
  <c r="O57" i="3"/>
  <c r="C45" i="3"/>
  <c r="E45" i="3"/>
  <c r="F45" i="3"/>
  <c r="G45" i="3"/>
  <c r="I45" i="3"/>
  <c r="J45" i="3"/>
  <c r="K45" i="3"/>
  <c r="M45" i="3"/>
  <c r="N45" i="3"/>
  <c r="O45" i="3"/>
  <c r="C41" i="3"/>
  <c r="E41" i="3"/>
  <c r="F41" i="3"/>
  <c r="G41" i="3"/>
  <c r="I41" i="3"/>
  <c r="J41" i="3"/>
  <c r="K41" i="3"/>
  <c r="M41" i="3"/>
  <c r="N41" i="3"/>
  <c r="O41" i="3"/>
  <c r="C37" i="3"/>
  <c r="E37" i="3"/>
  <c r="F37" i="3"/>
  <c r="G37" i="3"/>
  <c r="I37" i="3"/>
  <c r="J37" i="3"/>
  <c r="K37" i="3"/>
  <c r="M37" i="3"/>
  <c r="N37" i="3"/>
  <c r="O37" i="3"/>
  <c r="C58" i="3"/>
  <c r="E58" i="3"/>
  <c r="F58" i="3"/>
  <c r="G58" i="3"/>
  <c r="I58" i="3"/>
  <c r="J58" i="3"/>
  <c r="K58" i="3"/>
  <c r="M58" i="3"/>
  <c r="N58" i="3"/>
  <c r="O58" i="3"/>
  <c r="C35" i="3"/>
  <c r="E35" i="3"/>
  <c r="F35" i="3"/>
  <c r="G35" i="3"/>
  <c r="I35" i="3"/>
  <c r="J35" i="3"/>
  <c r="K35" i="3"/>
  <c r="M35" i="3"/>
  <c r="N35" i="3"/>
  <c r="O35" i="3"/>
  <c r="C39" i="3"/>
  <c r="E39" i="3"/>
  <c r="F39" i="3"/>
  <c r="G39" i="3"/>
  <c r="I39" i="3"/>
  <c r="J39" i="3"/>
  <c r="K39" i="3"/>
  <c r="M39" i="3"/>
  <c r="N39" i="3"/>
  <c r="O39" i="3"/>
  <c r="O34" i="3"/>
  <c r="N34" i="3"/>
  <c r="M34" i="3"/>
  <c r="K34" i="3"/>
  <c r="J34" i="3"/>
  <c r="I34" i="3"/>
  <c r="G34" i="3"/>
  <c r="F34" i="3"/>
  <c r="E34" i="3"/>
  <c r="C34" i="3"/>
  <c r="D15" i="3"/>
  <c r="H15" i="3"/>
  <c r="L15" i="3"/>
  <c r="D46" i="3"/>
  <c r="H46" i="3"/>
  <c r="L46" i="3"/>
  <c r="D33" i="3"/>
  <c r="H33" i="3"/>
  <c r="L33" i="3"/>
  <c r="D42" i="3"/>
  <c r="H42" i="3"/>
  <c r="L42" i="3"/>
  <c r="D7" i="3"/>
  <c r="H7" i="3"/>
  <c r="L7" i="3"/>
  <c r="D12" i="3"/>
  <c r="H12" i="3"/>
  <c r="L12" i="3"/>
  <c r="D25" i="3"/>
  <c r="H25" i="3"/>
  <c r="L25" i="3"/>
  <c r="D43" i="3"/>
  <c r="H43" i="3"/>
  <c r="L43" i="3"/>
  <c r="D36" i="3"/>
  <c r="H36" i="3"/>
  <c r="L36" i="3"/>
  <c r="D48" i="3"/>
  <c r="H48" i="3"/>
  <c r="L48" i="3"/>
  <c r="D8" i="3"/>
  <c r="H8" i="3"/>
  <c r="L8" i="3"/>
  <c r="D23" i="3"/>
  <c r="H23" i="3"/>
  <c r="L23" i="3"/>
  <c r="D30" i="3"/>
  <c r="H30" i="3"/>
  <c r="L30" i="3"/>
  <c r="D16" i="3"/>
  <c r="H16" i="3"/>
  <c r="L16" i="3"/>
  <c r="D20" i="3"/>
  <c r="H20" i="3"/>
  <c r="L20" i="3"/>
  <c r="D11" i="3"/>
  <c r="H11" i="3"/>
  <c r="L11" i="3"/>
  <c r="D44" i="3"/>
  <c r="H44" i="3"/>
  <c r="L44" i="3"/>
  <c r="D17" i="3"/>
  <c r="H17" i="3"/>
  <c r="L17" i="3"/>
  <c r="D52" i="3"/>
  <c r="H52" i="3"/>
  <c r="L52" i="3"/>
  <c r="D53" i="3"/>
  <c r="H53" i="3"/>
  <c r="L53" i="3"/>
  <c r="D55" i="3"/>
  <c r="H55" i="3"/>
  <c r="L55" i="3"/>
  <c r="D56" i="3"/>
  <c r="H56" i="3"/>
  <c r="L56" i="3"/>
  <c r="D45" i="3"/>
  <c r="H45" i="3"/>
  <c r="L45" i="3"/>
  <c r="D37" i="3"/>
  <c r="H37" i="3"/>
  <c r="L37" i="3"/>
  <c r="D35" i="3"/>
  <c r="H35" i="3"/>
  <c r="L35" i="3"/>
  <c r="L39" i="3"/>
  <c r="D14" i="3"/>
  <c r="H14" i="3"/>
  <c r="L14" i="3"/>
  <c r="D21" i="3"/>
  <c r="H21" i="3"/>
  <c r="L21" i="3"/>
  <c r="D32" i="3"/>
  <c r="H32" i="3"/>
  <c r="L32" i="3"/>
  <c r="D18" i="3"/>
  <c r="H18" i="3"/>
  <c r="L18" i="3"/>
  <c r="D10" i="3"/>
  <c r="H10" i="3"/>
  <c r="L10" i="3"/>
  <c r="D22" i="3"/>
  <c r="H22" i="3"/>
  <c r="L22" i="3"/>
  <c r="D24" i="3"/>
  <c r="H24" i="3"/>
  <c r="L24" i="3"/>
  <c r="D40" i="3"/>
  <c r="H40" i="3"/>
  <c r="L40" i="3"/>
  <c r="D47" i="3"/>
  <c r="H47" i="3"/>
  <c r="L47" i="3"/>
  <c r="D27" i="3"/>
  <c r="H27" i="3"/>
  <c r="L27" i="3"/>
  <c r="D19" i="3"/>
  <c r="H19" i="3"/>
  <c r="L19" i="3"/>
  <c r="D49" i="3"/>
  <c r="H49" i="3"/>
  <c r="L49" i="3"/>
  <c r="D50" i="3"/>
  <c r="H50" i="3"/>
  <c r="L50" i="3"/>
  <c r="D28" i="3"/>
  <c r="H28" i="3"/>
  <c r="L28" i="3"/>
  <c r="D9" i="3"/>
  <c r="H9" i="3"/>
  <c r="L9" i="3"/>
  <c r="D51" i="3"/>
  <c r="H51" i="3"/>
  <c r="L51" i="3"/>
  <c r="D26" i="3"/>
  <c r="H26" i="3"/>
  <c r="L26" i="3"/>
  <c r="D29" i="3"/>
  <c r="H29" i="3"/>
  <c r="L29" i="3"/>
  <c r="D31" i="3"/>
  <c r="H31" i="3"/>
  <c r="L31" i="3"/>
  <c r="D13" i="3"/>
  <c r="H13" i="3"/>
  <c r="L13" i="3"/>
  <c r="D54" i="3"/>
  <c r="H54" i="3"/>
  <c r="L54" i="3"/>
  <c r="D38" i="3"/>
  <c r="H38" i="3"/>
  <c r="L38" i="3"/>
  <c r="D57" i="3"/>
  <c r="H57" i="3"/>
  <c r="L57" i="3"/>
  <c r="D41" i="3"/>
  <c r="H41" i="3"/>
  <c r="L41" i="3"/>
  <c r="D58" i="3"/>
  <c r="H58" i="3"/>
  <c r="L58" i="3"/>
  <c r="D39" i="3"/>
  <c r="H39" i="3"/>
  <c r="L34" i="3"/>
  <c r="H34" i="3"/>
  <c r="D34" i="3"/>
  <c r="I26" i="13" l="1"/>
  <c r="A96" i="13"/>
  <c r="B96" i="13"/>
  <c r="C96" i="13"/>
  <c r="D96" i="13"/>
  <c r="E96" i="13"/>
  <c r="F96" i="13"/>
  <c r="G96" i="13"/>
  <c r="H96" i="13"/>
  <c r="I96" i="13"/>
  <c r="J96" i="13"/>
  <c r="K96" i="13"/>
  <c r="L96" i="13"/>
  <c r="M96" i="13"/>
  <c r="N96" i="13"/>
  <c r="O96" i="13"/>
  <c r="P96" i="13"/>
  <c r="Q96" i="13"/>
  <c r="R96" i="13"/>
  <c r="S96" i="13"/>
  <c r="T96" i="13"/>
  <c r="U96" i="13"/>
  <c r="V96" i="13"/>
  <c r="W96" i="13"/>
  <c r="X96" i="13"/>
  <c r="Y96" i="13"/>
  <c r="Z96" i="13"/>
  <c r="AA96" i="13"/>
  <c r="AB96" i="13"/>
  <c r="AC96" i="13"/>
  <c r="AD96" i="13"/>
  <c r="AE96" i="13"/>
  <c r="AF96" i="13"/>
  <c r="AG96" i="13"/>
  <c r="AH96" i="13"/>
  <c r="AI96" i="13"/>
  <c r="AJ96" i="13"/>
  <c r="AK96" i="13"/>
  <c r="AL96" i="13"/>
  <c r="AM96" i="13"/>
  <c r="AN96" i="13"/>
  <c r="AO96" i="13"/>
  <c r="AP96" i="13"/>
  <c r="AQ96" i="13"/>
  <c r="AR96" i="13"/>
  <c r="AS96" i="13"/>
  <c r="AT96" i="13"/>
  <c r="AU96" i="13"/>
  <c r="AV96" i="13"/>
  <c r="AW96" i="13"/>
  <c r="AX96" i="13"/>
  <c r="AY96" i="13"/>
  <c r="AZ96" i="13"/>
  <c r="BA96" i="13"/>
  <c r="BB96" i="13"/>
  <c r="BC96" i="13"/>
  <c r="BD96" i="13"/>
  <c r="BE96" i="13"/>
  <c r="BF96" i="13"/>
  <c r="BG96" i="13"/>
  <c r="BH96" i="13"/>
  <c r="BI96" i="13"/>
  <c r="BJ96" i="13"/>
  <c r="BK96" i="13"/>
  <c r="BL96" i="13"/>
  <c r="BM96" i="13"/>
  <c r="BN96" i="13"/>
  <c r="BO96" i="13"/>
  <c r="BP96" i="13"/>
  <c r="BQ96" i="13"/>
  <c r="BR96" i="13"/>
  <c r="BS96" i="13"/>
  <c r="BT96" i="13"/>
  <c r="BU96" i="13"/>
  <c r="BV96" i="13"/>
  <c r="BW96" i="13"/>
  <c r="BX96" i="13"/>
  <c r="BY96" i="13"/>
  <c r="BZ96" i="13"/>
  <c r="CA96" i="13"/>
  <c r="CB96" i="13"/>
  <c r="CC96" i="13"/>
  <c r="CD96" i="13"/>
  <c r="CE96" i="13"/>
  <c r="CF96" i="13"/>
  <c r="CG96" i="13"/>
  <c r="CH96" i="13"/>
  <c r="CI96" i="13"/>
  <c r="CJ96" i="13"/>
  <c r="CK96" i="13"/>
  <c r="CL96" i="13"/>
  <c r="CM96" i="13"/>
  <c r="CN96" i="13"/>
  <c r="CO96" i="13"/>
  <c r="CP96" i="13"/>
  <c r="CQ96" i="13"/>
  <c r="CR96" i="13"/>
  <c r="CS96" i="13"/>
  <c r="CT96" i="13"/>
  <c r="CU96" i="13"/>
  <c r="CV96" i="13"/>
  <c r="CW96" i="13"/>
  <c r="CX96" i="13"/>
  <c r="CY96" i="13"/>
  <c r="CZ96" i="13"/>
  <c r="DA96" i="13"/>
  <c r="DB96" i="13"/>
  <c r="DC96" i="13"/>
  <c r="DD96" i="13"/>
  <c r="DE96" i="13"/>
  <c r="DF96" i="13"/>
  <c r="DG96" i="13"/>
  <c r="DH96" i="13"/>
  <c r="DI96" i="13"/>
  <c r="DJ96" i="13"/>
  <c r="DK96" i="13"/>
  <c r="DL96" i="13"/>
  <c r="DM96" i="13"/>
  <c r="DN96" i="13"/>
  <c r="DO96" i="13"/>
  <c r="DP96" i="13"/>
  <c r="DQ96" i="13"/>
  <c r="DR96" i="13"/>
  <c r="DS96" i="13"/>
  <c r="DT96" i="13"/>
  <c r="DU96" i="13"/>
  <c r="DV96" i="13"/>
  <c r="DW96" i="13"/>
  <c r="DX96" i="13"/>
  <c r="DY96" i="13"/>
  <c r="DZ96" i="13"/>
  <c r="EA96" i="13"/>
  <c r="EB96" i="13"/>
  <c r="EC96" i="13"/>
  <c r="ED96" i="13"/>
  <c r="EE96" i="13"/>
  <c r="EF96" i="13"/>
  <c r="EG96" i="13"/>
  <c r="EH96" i="13"/>
  <c r="EI96" i="13"/>
  <c r="EJ96" i="13"/>
  <c r="EK96" i="13"/>
  <c r="EL96" i="13"/>
  <c r="EM96" i="13"/>
  <c r="EN96" i="13"/>
  <c r="EO96" i="13"/>
  <c r="EP96" i="13"/>
  <c r="EQ96" i="13"/>
  <c r="ER96" i="13"/>
  <c r="ES96" i="13"/>
  <c r="ET96" i="13"/>
  <c r="EU96" i="13"/>
  <c r="EV96" i="13"/>
  <c r="EW96" i="13"/>
  <c r="EX96" i="13"/>
  <c r="EY96" i="13"/>
  <c r="EZ96" i="13"/>
  <c r="FA96" i="13"/>
  <c r="FB96" i="13"/>
  <c r="FC96" i="13"/>
  <c r="FD96" i="13"/>
  <c r="FE96" i="13"/>
  <c r="FF96" i="13"/>
  <c r="FG96" i="13"/>
  <c r="FH96" i="13"/>
  <c r="FI96" i="13"/>
  <c r="FJ96" i="13"/>
  <c r="FK96" i="13"/>
  <c r="FL96" i="13"/>
  <c r="FM96" i="13"/>
  <c r="FN96" i="13"/>
  <c r="FO96" i="13"/>
  <c r="FP96" i="13"/>
  <c r="FQ96" i="13"/>
  <c r="FR96" i="13"/>
  <c r="FS96" i="13"/>
  <c r="FT96" i="13"/>
  <c r="FU96" i="13"/>
  <c r="FV96" i="13"/>
  <c r="FW96" i="13"/>
  <c r="FX96" i="13"/>
  <c r="FY96" i="13"/>
  <c r="FZ96" i="13"/>
  <c r="GA96" i="13"/>
  <c r="GB96" i="13"/>
  <c r="GC96" i="13"/>
  <c r="GD96" i="13"/>
  <c r="GE96" i="13"/>
  <c r="GF96" i="13"/>
  <c r="GG96" i="13"/>
  <c r="GH96" i="13"/>
  <c r="GI96" i="13"/>
  <c r="GJ96" i="13"/>
  <c r="GK96" i="13"/>
  <c r="GL96" i="13"/>
  <c r="GM96" i="13"/>
  <c r="GN96" i="13"/>
  <c r="GO96" i="13"/>
  <c r="GP96" i="13"/>
  <c r="GQ96" i="13"/>
  <c r="GR96" i="13"/>
  <c r="GS96" i="13"/>
  <c r="GT96" i="13"/>
  <c r="GU96" i="13"/>
  <c r="GV96" i="13"/>
  <c r="GW96" i="13"/>
  <c r="GX96" i="13"/>
  <c r="GY96" i="13"/>
  <c r="GZ96" i="13"/>
  <c r="HA96" i="13"/>
  <c r="HB96" i="13"/>
  <c r="HC96" i="13"/>
  <c r="HD96" i="13"/>
  <c r="HE96" i="13"/>
  <c r="HF96" i="13"/>
  <c r="HG96" i="13"/>
  <c r="HH96" i="13"/>
  <c r="HI96" i="13"/>
  <c r="HJ96" i="13"/>
  <c r="HK96" i="13"/>
  <c r="HL96" i="13"/>
  <c r="HM96" i="13"/>
  <c r="HN96" i="13"/>
  <c r="HO96" i="13"/>
  <c r="HP96" i="13"/>
  <c r="HQ96" i="13"/>
  <c r="HR96" i="13"/>
  <c r="HS96" i="13"/>
  <c r="HT96" i="13"/>
  <c r="HU96" i="13"/>
  <c r="HV96" i="13"/>
  <c r="HW96" i="13"/>
  <c r="HX96" i="13"/>
  <c r="IB96" i="13"/>
  <c r="IC96" i="13"/>
  <c r="ID96" i="13"/>
  <c r="IE96" i="13"/>
  <c r="IF96" i="13"/>
  <c r="IG96" i="13"/>
  <c r="IH96" i="13"/>
  <c r="II96" i="13"/>
  <c r="IJ96" i="13"/>
  <c r="IK96" i="13"/>
  <c r="IL96" i="13"/>
  <c r="A95" i="13"/>
  <c r="B95" i="13"/>
  <c r="C95" i="13"/>
  <c r="D95" i="13"/>
  <c r="E95" i="13"/>
  <c r="F95" i="13"/>
  <c r="G95" i="13"/>
  <c r="H95" i="13"/>
  <c r="I95" i="13"/>
  <c r="J95" i="13"/>
  <c r="K95" i="13"/>
  <c r="L95" i="13"/>
  <c r="M95" i="13"/>
  <c r="N95" i="13"/>
  <c r="O95" i="13"/>
  <c r="P95" i="13"/>
  <c r="Q95" i="13"/>
  <c r="R95" i="13"/>
  <c r="S95" i="13"/>
  <c r="T95" i="13"/>
  <c r="U95" i="13"/>
  <c r="V95" i="13"/>
  <c r="W95" i="13"/>
  <c r="X95" i="13"/>
  <c r="Y95" i="13"/>
  <c r="Z95" i="13"/>
  <c r="AA95" i="13"/>
  <c r="AB95" i="13"/>
  <c r="AC95" i="13"/>
  <c r="AD95" i="13"/>
  <c r="AE95" i="13"/>
  <c r="AF95" i="13"/>
  <c r="AG95" i="13"/>
  <c r="AH95" i="13"/>
  <c r="AI95" i="13"/>
  <c r="AJ95" i="13"/>
  <c r="AK95" i="13"/>
  <c r="AL95" i="13"/>
  <c r="AM95" i="13"/>
  <c r="AN95" i="13"/>
  <c r="AO95" i="13"/>
  <c r="AP95" i="13"/>
  <c r="AQ95" i="13"/>
  <c r="AR95" i="13"/>
  <c r="AS95" i="13"/>
  <c r="AT95" i="13"/>
  <c r="AU95" i="13"/>
  <c r="AV95" i="13"/>
  <c r="AW95" i="13"/>
  <c r="AX95" i="13"/>
  <c r="AY95" i="13"/>
  <c r="AZ95" i="13"/>
  <c r="BA95" i="13"/>
  <c r="BB95" i="13"/>
  <c r="BC95" i="13"/>
  <c r="BD95" i="13"/>
  <c r="BE95" i="13"/>
  <c r="BF95" i="13"/>
  <c r="BG95" i="13"/>
  <c r="BH95" i="13"/>
  <c r="BI95" i="13"/>
  <c r="BJ95" i="13"/>
  <c r="BK95" i="13"/>
  <c r="BL95" i="13"/>
  <c r="BM95" i="13"/>
  <c r="BN95" i="13"/>
  <c r="BO95" i="13"/>
  <c r="BP95" i="13"/>
  <c r="BQ95" i="13"/>
  <c r="BR95" i="13"/>
  <c r="BS95" i="13"/>
  <c r="BT95" i="13"/>
  <c r="BU95" i="13"/>
  <c r="BV95" i="13"/>
  <c r="BW95" i="13"/>
  <c r="BX95" i="13"/>
  <c r="BY95" i="13"/>
  <c r="BZ95" i="13"/>
  <c r="CA95" i="13"/>
  <c r="CB95" i="13"/>
  <c r="CC95" i="13"/>
  <c r="CD95" i="13"/>
  <c r="CE95" i="13"/>
  <c r="CF95" i="13"/>
  <c r="CG95" i="13"/>
  <c r="CH95" i="13"/>
  <c r="CI95" i="13"/>
  <c r="CJ95" i="13"/>
  <c r="CK95" i="13"/>
  <c r="CL95" i="13"/>
  <c r="CM95" i="13"/>
  <c r="CN95" i="13"/>
  <c r="CO95" i="13"/>
  <c r="CP95" i="13"/>
  <c r="CQ95" i="13"/>
  <c r="CR95" i="13"/>
  <c r="CS95" i="13"/>
  <c r="CT95" i="13"/>
  <c r="CU95" i="13"/>
  <c r="CV95" i="13"/>
  <c r="CW95" i="13"/>
  <c r="CX95" i="13"/>
  <c r="CY95" i="13"/>
  <c r="CZ95" i="13"/>
  <c r="DA95" i="13"/>
  <c r="DB95" i="13"/>
  <c r="DC95" i="13"/>
  <c r="DD95" i="13"/>
  <c r="DE95" i="13"/>
  <c r="DF95" i="13"/>
  <c r="DG95" i="13"/>
  <c r="DH95" i="13"/>
  <c r="DI95" i="13"/>
  <c r="DJ95" i="13"/>
  <c r="DK95" i="13"/>
  <c r="DL95" i="13"/>
  <c r="DM95" i="13"/>
  <c r="DN95" i="13"/>
  <c r="DO95" i="13"/>
  <c r="DP95" i="13"/>
  <c r="DQ95" i="13"/>
  <c r="DR95" i="13"/>
  <c r="DS95" i="13"/>
  <c r="DT95" i="13"/>
  <c r="DU95" i="13"/>
  <c r="DV95" i="13"/>
  <c r="DW95" i="13"/>
  <c r="DX95" i="13"/>
  <c r="DY95" i="13"/>
  <c r="DZ95" i="13"/>
  <c r="EA95" i="13"/>
  <c r="EB95" i="13"/>
  <c r="EC95" i="13"/>
  <c r="ED95" i="13"/>
  <c r="EE95" i="13"/>
  <c r="EF95" i="13"/>
  <c r="EG95" i="13"/>
  <c r="EH95" i="13"/>
  <c r="EI95" i="13"/>
  <c r="EJ95" i="13"/>
  <c r="EK95" i="13"/>
  <c r="EL95" i="13"/>
  <c r="EM95" i="13"/>
  <c r="EN95" i="13"/>
  <c r="EO95" i="13"/>
  <c r="EP95" i="13"/>
  <c r="EQ95" i="13"/>
  <c r="ER95" i="13"/>
  <c r="ES95" i="13"/>
  <c r="ET95" i="13"/>
  <c r="EU95" i="13"/>
  <c r="EV95" i="13"/>
  <c r="EW95" i="13"/>
  <c r="EX95" i="13"/>
  <c r="EY95" i="13"/>
  <c r="EZ95" i="13"/>
  <c r="FA95" i="13"/>
  <c r="FB95" i="13"/>
  <c r="FC95" i="13"/>
  <c r="FD95" i="13"/>
  <c r="FE95" i="13"/>
  <c r="FF95" i="13"/>
  <c r="FG95" i="13"/>
  <c r="FH95" i="13"/>
  <c r="FI95" i="13"/>
  <c r="FJ95" i="13"/>
  <c r="FK95" i="13"/>
  <c r="FL95" i="13"/>
  <c r="FM95" i="13"/>
  <c r="FN95" i="13"/>
  <c r="FO95" i="13"/>
  <c r="FP95" i="13"/>
  <c r="FQ95" i="13"/>
  <c r="FR95" i="13"/>
  <c r="FS95" i="13"/>
  <c r="FT95" i="13"/>
  <c r="FU95" i="13"/>
  <c r="FV95" i="13"/>
  <c r="FW95" i="13"/>
  <c r="FX95" i="13"/>
  <c r="FY95" i="13"/>
  <c r="FZ95" i="13"/>
  <c r="GA95" i="13"/>
  <c r="GB95" i="13"/>
  <c r="GC95" i="13"/>
  <c r="GD95" i="13"/>
  <c r="GE95" i="13"/>
  <c r="GF95" i="13"/>
  <c r="GG95" i="13"/>
  <c r="GH95" i="13"/>
  <c r="GI95" i="13"/>
  <c r="GJ95" i="13"/>
  <c r="GK95" i="13"/>
  <c r="GL95" i="13"/>
  <c r="GM95" i="13"/>
  <c r="GN95" i="13"/>
  <c r="GO95" i="13"/>
  <c r="GP95" i="13"/>
  <c r="GQ95" i="13"/>
  <c r="GR95" i="13"/>
  <c r="GS95" i="13"/>
  <c r="GT95" i="13"/>
  <c r="GU95" i="13"/>
  <c r="GV95" i="13"/>
  <c r="GW95" i="13"/>
  <c r="GX95" i="13"/>
  <c r="GY95" i="13"/>
  <c r="GZ95" i="13"/>
  <c r="HA95" i="13"/>
  <c r="HB95" i="13"/>
  <c r="HC95" i="13"/>
  <c r="HD95" i="13"/>
  <c r="HE95" i="13"/>
  <c r="HF95" i="13"/>
  <c r="HG95" i="13"/>
  <c r="HH95" i="13"/>
  <c r="HI95" i="13"/>
  <c r="HJ95" i="13"/>
  <c r="HK95" i="13"/>
  <c r="HL95" i="13"/>
  <c r="HM95" i="13"/>
  <c r="HN95" i="13"/>
  <c r="HO95" i="13"/>
  <c r="HP95" i="13"/>
  <c r="HQ95" i="13"/>
  <c r="HR95" i="13"/>
  <c r="HS95" i="13"/>
  <c r="HT95" i="13"/>
  <c r="HU95" i="13"/>
  <c r="HV95" i="13"/>
  <c r="HW95" i="13"/>
  <c r="HX95" i="13"/>
  <c r="HY95" i="13"/>
  <c r="HZ95" i="13"/>
  <c r="IA95" i="13"/>
  <c r="IB95" i="13"/>
  <c r="IC95" i="13"/>
  <c r="ID95" i="13"/>
  <c r="IE95" i="13"/>
  <c r="IF95" i="13"/>
  <c r="IG95" i="13"/>
  <c r="IH95" i="13"/>
  <c r="II95" i="13"/>
  <c r="IJ95" i="13"/>
  <c r="IK95" i="13"/>
  <c r="IL95" i="13"/>
  <c r="IM95" i="13"/>
  <c r="IN95" i="13"/>
  <c r="IO95" i="13"/>
  <c r="IP95" i="13"/>
  <c r="IQ95" i="13"/>
  <c r="IR95" i="13"/>
  <c r="IS95" i="13"/>
  <c r="IT95" i="13"/>
  <c r="IU95" i="13"/>
  <c r="IV95" i="13"/>
  <c r="A94" i="13"/>
  <c r="B94" i="13"/>
  <c r="C94" i="13"/>
  <c r="D94" i="13"/>
  <c r="E94" i="13"/>
  <c r="F94" i="13"/>
  <c r="G94" i="13"/>
  <c r="H94" i="13"/>
  <c r="I94" i="13"/>
  <c r="J94" i="13"/>
  <c r="K94" i="13"/>
  <c r="L94" i="13"/>
  <c r="M94" i="13"/>
  <c r="N94" i="13"/>
  <c r="O94" i="13"/>
  <c r="P94" i="13"/>
  <c r="Q94" i="13"/>
  <c r="R94" i="13"/>
  <c r="S94" i="13"/>
  <c r="T94" i="13"/>
  <c r="U94" i="13"/>
  <c r="V94" i="13"/>
  <c r="W94" i="13"/>
  <c r="X94" i="13"/>
  <c r="Y94" i="13"/>
  <c r="Z94" i="13"/>
  <c r="AA94" i="13"/>
  <c r="AB94" i="13"/>
  <c r="AC94" i="13"/>
  <c r="AD94" i="13"/>
  <c r="AE94" i="13"/>
  <c r="AF94" i="13"/>
  <c r="AG94" i="13"/>
  <c r="AH94" i="13"/>
  <c r="AI94" i="13"/>
  <c r="AJ94" i="13"/>
  <c r="AK94" i="13"/>
  <c r="AL94" i="13"/>
  <c r="AM94" i="13"/>
  <c r="AN94" i="13"/>
  <c r="AO94" i="13"/>
  <c r="AP94" i="13"/>
  <c r="AQ94" i="13"/>
  <c r="AR94" i="13"/>
  <c r="AS94" i="13"/>
  <c r="AT94" i="13"/>
  <c r="AU94" i="13"/>
  <c r="AV94" i="13"/>
  <c r="AW94" i="13"/>
  <c r="AX94" i="13"/>
  <c r="AY94" i="13"/>
  <c r="AZ94" i="13"/>
  <c r="BA94" i="13"/>
  <c r="BB94" i="13"/>
  <c r="BC94" i="13"/>
  <c r="BD94" i="13"/>
  <c r="BE94" i="13"/>
  <c r="BF94" i="13"/>
  <c r="BG94" i="13"/>
  <c r="BH94" i="13"/>
  <c r="BI94" i="13"/>
  <c r="BJ94" i="13"/>
  <c r="BK94" i="13"/>
  <c r="BL94" i="13"/>
  <c r="BM94" i="13"/>
  <c r="BN94" i="13"/>
  <c r="BO94" i="13"/>
  <c r="BP94" i="13"/>
  <c r="BQ94" i="13"/>
  <c r="BR94" i="13"/>
  <c r="BS94" i="13"/>
  <c r="BT94" i="13"/>
  <c r="BU94" i="13"/>
  <c r="BV94" i="13"/>
  <c r="BW94" i="13"/>
  <c r="BX94" i="13"/>
  <c r="BY94" i="13"/>
  <c r="BZ94" i="13"/>
  <c r="CA94" i="13"/>
  <c r="CB94" i="13"/>
  <c r="CC94" i="13"/>
  <c r="CD94" i="13"/>
  <c r="CE94" i="13"/>
  <c r="CF94" i="13"/>
  <c r="CG94" i="13"/>
  <c r="CH94" i="13"/>
  <c r="CI94" i="13"/>
  <c r="CJ94" i="13"/>
  <c r="CK94" i="13"/>
  <c r="CL94" i="13"/>
  <c r="CM94" i="13"/>
  <c r="CN94" i="13"/>
  <c r="CO94" i="13"/>
  <c r="CP94" i="13"/>
  <c r="CQ94" i="13"/>
  <c r="CR94" i="13"/>
  <c r="CS94" i="13"/>
  <c r="CT94" i="13"/>
  <c r="CU94" i="13"/>
  <c r="CV94" i="13"/>
  <c r="CW94" i="13"/>
  <c r="CX94" i="13"/>
  <c r="CY94" i="13"/>
  <c r="CZ94" i="13"/>
  <c r="DA94" i="13"/>
  <c r="DB94" i="13"/>
  <c r="DC94" i="13"/>
  <c r="DD94" i="13"/>
  <c r="DE94" i="13"/>
  <c r="DF94" i="13"/>
  <c r="DG94" i="13"/>
  <c r="DH94" i="13"/>
  <c r="DI94" i="13"/>
  <c r="DJ94" i="13"/>
  <c r="DK94" i="13"/>
  <c r="DL94" i="13"/>
  <c r="DM94" i="13"/>
  <c r="DN94" i="13"/>
  <c r="DO94" i="13"/>
  <c r="DP94" i="13"/>
  <c r="DQ94" i="13"/>
  <c r="DR94" i="13"/>
  <c r="DS94" i="13"/>
  <c r="DT94" i="13"/>
  <c r="DU94" i="13"/>
  <c r="DV94" i="13"/>
  <c r="DW94" i="13"/>
  <c r="DX94" i="13"/>
  <c r="DY94" i="13"/>
  <c r="DZ94" i="13"/>
  <c r="EA94" i="13"/>
  <c r="EB94" i="13"/>
  <c r="EC94" i="13"/>
  <c r="ED94" i="13"/>
  <c r="EE94" i="13"/>
  <c r="EF94" i="13"/>
  <c r="EG94" i="13"/>
  <c r="EH94" i="13"/>
  <c r="EI94" i="13"/>
  <c r="EJ94" i="13"/>
  <c r="EK94" i="13"/>
  <c r="EL94" i="13"/>
  <c r="EM94" i="13"/>
  <c r="EN94" i="13"/>
  <c r="EO94" i="13"/>
  <c r="EP94" i="13"/>
  <c r="EQ94" i="13"/>
  <c r="ER94" i="13"/>
  <c r="ES94" i="13"/>
  <c r="ET94" i="13"/>
  <c r="EU94" i="13"/>
  <c r="EV94" i="13"/>
  <c r="EW94" i="13"/>
  <c r="EX94" i="13"/>
  <c r="EY94" i="13"/>
  <c r="EZ94" i="13"/>
  <c r="FA94" i="13"/>
  <c r="FB94" i="13"/>
  <c r="FC94" i="13"/>
  <c r="FD94" i="13"/>
  <c r="FE94" i="13"/>
  <c r="FF94" i="13"/>
  <c r="FG94" i="13"/>
  <c r="FH94" i="13"/>
  <c r="FI94" i="13"/>
  <c r="FJ94" i="13"/>
  <c r="FK94" i="13"/>
  <c r="FL94" i="13"/>
  <c r="FM94" i="13"/>
  <c r="FN94" i="13"/>
  <c r="FO94" i="13"/>
  <c r="FP94" i="13"/>
  <c r="FQ94" i="13"/>
  <c r="FR94" i="13"/>
  <c r="FS94" i="13"/>
  <c r="FT94" i="13"/>
  <c r="FU94" i="13"/>
  <c r="FV94" i="13"/>
  <c r="FW94" i="13"/>
  <c r="FX94" i="13"/>
  <c r="FY94" i="13"/>
  <c r="FZ94" i="13"/>
  <c r="GA94" i="13"/>
  <c r="GB94" i="13"/>
  <c r="GC94" i="13"/>
  <c r="GD94" i="13"/>
  <c r="GE94" i="13"/>
  <c r="GF94" i="13"/>
  <c r="GG94" i="13"/>
  <c r="GH94" i="13"/>
  <c r="GI94" i="13"/>
  <c r="GJ94" i="13"/>
  <c r="GK94" i="13"/>
  <c r="GL94" i="13"/>
  <c r="GM94" i="13"/>
  <c r="GN94" i="13"/>
  <c r="GO94" i="13"/>
  <c r="GP94" i="13"/>
  <c r="GQ94" i="13"/>
  <c r="GR94" i="13"/>
  <c r="GS94" i="13"/>
  <c r="GT94" i="13"/>
  <c r="GU94" i="13"/>
  <c r="GV94" i="13"/>
  <c r="GW94" i="13"/>
  <c r="GX94" i="13"/>
  <c r="GY94" i="13"/>
  <c r="GZ94" i="13"/>
  <c r="HA94" i="13"/>
  <c r="HB94" i="13"/>
  <c r="HC94" i="13"/>
  <c r="HD94" i="13"/>
  <c r="HE94" i="13"/>
  <c r="HF94" i="13"/>
  <c r="HG94" i="13"/>
  <c r="HH94" i="13"/>
  <c r="HI94" i="13"/>
  <c r="HJ94" i="13"/>
  <c r="HK94" i="13"/>
  <c r="HL94" i="13"/>
  <c r="HM94" i="13"/>
  <c r="HN94" i="13"/>
  <c r="HO94" i="13"/>
  <c r="HP94" i="13"/>
  <c r="HQ94" i="13"/>
  <c r="HR94" i="13"/>
  <c r="HS94" i="13"/>
  <c r="HT94" i="13"/>
  <c r="HU94" i="13"/>
  <c r="HV94" i="13"/>
  <c r="HW94" i="13"/>
  <c r="HX94" i="13"/>
  <c r="HY94" i="13"/>
  <c r="HZ94" i="13"/>
  <c r="IA94" i="13"/>
  <c r="IB94" i="13"/>
  <c r="IC94" i="13"/>
  <c r="ID94" i="13"/>
  <c r="IE94" i="13"/>
  <c r="IF94" i="13"/>
  <c r="IG94" i="13"/>
  <c r="IH94" i="13"/>
  <c r="II94" i="13"/>
  <c r="IJ94" i="13"/>
  <c r="IK94" i="13"/>
  <c r="IL94" i="13"/>
  <c r="IM94" i="13"/>
  <c r="IN94" i="13"/>
  <c r="IO94" i="13"/>
  <c r="IP94" i="13"/>
  <c r="IQ94" i="13"/>
  <c r="IR94" i="13"/>
  <c r="IS94" i="13"/>
  <c r="IT94" i="13"/>
  <c r="IU94" i="13"/>
  <c r="IV94" i="13"/>
  <c r="A93" i="13"/>
  <c r="B93" i="13"/>
  <c r="C93" i="13"/>
  <c r="D93" i="13"/>
  <c r="E93" i="13"/>
  <c r="F93" i="13"/>
  <c r="G93" i="13"/>
  <c r="H93" i="13"/>
  <c r="I93" i="13"/>
  <c r="J93" i="13"/>
  <c r="K93" i="13"/>
  <c r="L93" i="13"/>
  <c r="M93" i="13"/>
  <c r="N93" i="13"/>
  <c r="O93" i="13"/>
  <c r="P93" i="13"/>
  <c r="Q93" i="13"/>
  <c r="R93" i="13"/>
  <c r="S93" i="13"/>
  <c r="T93" i="13"/>
  <c r="U93" i="13"/>
  <c r="V93" i="13"/>
  <c r="W93" i="13"/>
  <c r="X93" i="13"/>
  <c r="Y93" i="13"/>
  <c r="Z93" i="13"/>
  <c r="AA93" i="13"/>
  <c r="AB93" i="13"/>
  <c r="AC93" i="13"/>
  <c r="AD93" i="13"/>
  <c r="AE93" i="13"/>
  <c r="AF93" i="13"/>
  <c r="AG93" i="13"/>
  <c r="AH93" i="13"/>
  <c r="AI93" i="13"/>
  <c r="AJ93" i="13"/>
  <c r="AK93" i="13"/>
  <c r="AL93" i="13"/>
  <c r="AM93" i="13"/>
  <c r="AN93" i="13"/>
  <c r="AO93" i="13"/>
  <c r="AP93" i="13"/>
  <c r="AQ93" i="13"/>
  <c r="AR93" i="13"/>
  <c r="AS93" i="13"/>
  <c r="AT93" i="13"/>
  <c r="AU93" i="13"/>
  <c r="AV93" i="13"/>
  <c r="AW93" i="13"/>
  <c r="AX93" i="13"/>
  <c r="AY93" i="13"/>
  <c r="AZ93" i="13"/>
  <c r="BA93" i="13"/>
  <c r="BB93" i="13"/>
  <c r="BC93" i="13"/>
  <c r="BD93" i="13"/>
  <c r="BE93" i="13"/>
  <c r="BF93" i="13"/>
  <c r="BG93" i="13"/>
  <c r="BH93" i="13"/>
  <c r="BI93" i="13"/>
  <c r="BJ93" i="13"/>
  <c r="BK93" i="13"/>
  <c r="BL93" i="13"/>
  <c r="BM93" i="13"/>
  <c r="BN93" i="13"/>
  <c r="BO93" i="13"/>
  <c r="BP93" i="13"/>
  <c r="BQ93" i="13"/>
  <c r="BR93" i="13"/>
  <c r="BS93" i="13"/>
  <c r="BT93" i="13"/>
  <c r="BU93" i="13"/>
  <c r="BV93" i="13"/>
  <c r="BW93" i="13"/>
  <c r="BX93" i="13"/>
  <c r="BY93" i="13"/>
  <c r="BZ93" i="13"/>
  <c r="CA93" i="13"/>
  <c r="CB93" i="13"/>
  <c r="CC93" i="13"/>
  <c r="CD93" i="13"/>
  <c r="CE93" i="13"/>
  <c r="CF93" i="13"/>
  <c r="CG93" i="13"/>
  <c r="CH93" i="13"/>
  <c r="CI93" i="13"/>
  <c r="CJ93" i="13"/>
  <c r="CK93" i="13"/>
  <c r="CL93" i="13"/>
  <c r="CM93" i="13"/>
  <c r="CN93" i="13"/>
  <c r="CO93" i="13"/>
  <c r="CP93" i="13"/>
  <c r="CQ93" i="13"/>
  <c r="CR93" i="13"/>
  <c r="CS93" i="13"/>
  <c r="CT93" i="13"/>
  <c r="CU93" i="13"/>
  <c r="CV93" i="13"/>
  <c r="CW93" i="13"/>
  <c r="CX93" i="13"/>
  <c r="CY93" i="13"/>
  <c r="CZ93" i="13"/>
  <c r="DA93" i="13"/>
  <c r="DB93" i="13"/>
  <c r="DC93" i="13"/>
  <c r="DD93" i="13"/>
  <c r="DE93" i="13"/>
  <c r="DF93" i="13"/>
  <c r="DG93" i="13"/>
  <c r="DH93" i="13"/>
  <c r="DI93" i="13"/>
  <c r="DJ93" i="13"/>
  <c r="DK93" i="13"/>
  <c r="DL93" i="13"/>
  <c r="DM93" i="13"/>
  <c r="DN93" i="13"/>
  <c r="DO93" i="13"/>
  <c r="DP93" i="13"/>
  <c r="DQ93" i="13"/>
  <c r="DR93" i="13"/>
  <c r="DS93" i="13"/>
  <c r="DT93" i="13"/>
  <c r="DU93" i="13"/>
  <c r="DV93" i="13"/>
  <c r="DW93" i="13"/>
  <c r="DX93" i="13"/>
  <c r="DY93" i="13"/>
  <c r="DZ93" i="13"/>
  <c r="EA93" i="13"/>
  <c r="EB93" i="13"/>
  <c r="EC93" i="13"/>
  <c r="ED93" i="13"/>
  <c r="EE93" i="13"/>
  <c r="EF93" i="13"/>
  <c r="EG93" i="13"/>
  <c r="EH93" i="13"/>
  <c r="EI93" i="13"/>
  <c r="EJ93" i="13"/>
  <c r="EK93" i="13"/>
  <c r="EL93" i="13"/>
  <c r="EM93" i="13"/>
  <c r="EN93" i="13"/>
  <c r="EO93" i="13"/>
  <c r="EP93" i="13"/>
  <c r="EQ93" i="13"/>
  <c r="ER93" i="13"/>
  <c r="ES93" i="13"/>
  <c r="ET93" i="13"/>
  <c r="EU93" i="13"/>
  <c r="EV93" i="13"/>
  <c r="EW93" i="13"/>
  <c r="EX93" i="13"/>
  <c r="EY93" i="13"/>
  <c r="EZ93" i="13"/>
  <c r="FA93" i="13"/>
  <c r="FB93" i="13"/>
  <c r="FC93" i="13"/>
  <c r="FD93" i="13"/>
  <c r="FE93" i="13"/>
  <c r="FF93" i="13"/>
  <c r="FG93" i="13"/>
  <c r="FH93" i="13"/>
  <c r="FI93" i="13"/>
  <c r="FJ93" i="13"/>
  <c r="FK93" i="13"/>
  <c r="FL93" i="13"/>
  <c r="FM93" i="13"/>
  <c r="FN93" i="13"/>
  <c r="FO93" i="13"/>
  <c r="FP93" i="13"/>
  <c r="FQ93" i="13"/>
  <c r="FR93" i="13"/>
  <c r="FS93" i="13"/>
  <c r="FT93" i="13"/>
  <c r="FU93" i="13"/>
  <c r="FV93" i="13"/>
  <c r="FW93" i="13"/>
  <c r="FX93" i="13"/>
  <c r="FY93" i="13"/>
  <c r="FZ93" i="13"/>
  <c r="GA93" i="13"/>
  <c r="GB93" i="13"/>
  <c r="GC93" i="13"/>
  <c r="GD93" i="13"/>
  <c r="GE93" i="13"/>
  <c r="GF93" i="13"/>
  <c r="GG93" i="13"/>
  <c r="GH93" i="13"/>
  <c r="GI93" i="13"/>
  <c r="GJ93" i="13"/>
  <c r="GK93" i="13"/>
  <c r="GL93" i="13"/>
  <c r="GM93" i="13"/>
  <c r="GN93" i="13"/>
  <c r="GO93" i="13"/>
  <c r="GP93" i="13"/>
  <c r="GQ93" i="13"/>
  <c r="GR93" i="13"/>
  <c r="GS93" i="13"/>
  <c r="GT93" i="13"/>
  <c r="GU93" i="13"/>
  <c r="GV93" i="13"/>
  <c r="GW93" i="13"/>
  <c r="GX93" i="13"/>
  <c r="GY93" i="13"/>
  <c r="GZ93" i="13"/>
  <c r="HA93" i="13"/>
  <c r="HB93" i="13"/>
  <c r="HC93" i="13"/>
  <c r="HD93" i="13"/>
  <c r="HE93" i="13"/>
  <c r="HF93" i="13"/>
  <c r="HG93" i="13"/>
  <c r="HH93" i="13"/>
  <c r="HI93" i="13"/>
  <c r="HJ93" i="13"/>
  <c r="HK93" i="13"/>
  <c r="HL93" i="13"/>
  <c r="HM93" i="13"/>
  <c r="HN93" i="13"/>
  <c r="HO93" i="13"/>
  <c r="HP93" i="13"/>
  <c r="HQ93" i="13"/>
  <c r="HR93" i="13"/>
  <c r="HS93" i="13"/>
  <c r="HT93" i="13"/>
  <c r="HU93" i="13"/>
  <c r="HV93" i="13"/>
  <c r="HW93" i="13"/>
  <c r="HX93" i="13"/>
  <c r="HY93" i="13"/>
  <c r="HZ93" i="13"/>
  <c r="IA93" i="13"/>
  <c r="IB93" i="13"/>
  <c r="IC93" i="13"/>
  <c r="ID93" i="13"/>
  <c r="IE93" i="13"/>
  <c r="IF93" i="13"/>
  <c r="IG93" i="13"/>
  <c r="IH93" i="13"/>
  <c r="II93" i="13"/>
  <c r="IJ93" i="13"/>
  <c r="IK93" i="13"/>
  <c r="IL93" i="13"/>
  <c r="IM93" i="13"/>
  <c r="IN93" i="13"/>
  <c r="IO93" i="13"/>
  <c r="IP93" i="13"/>
  <c r="IQ93" i="13"/>
  <c r="IR93" i="13"/>
  <c r="IS93" i="13"/>
  <c r="IT93" i="13"/>
  <c r="IU93" i="13"/>
  <c r="IV93" i="13"/>
  <c r="A92" i="13"/>
  <c r="B92" i="13"/>
  <c r="C92" i="13"/>
  <c r="D92" i="13"/>
  <c r="E92" i="13"/>
  <c r="F92" i="13"/>
  <c r="G92" i="13"/>
  <c r="H92" i="13"/>
  <c r="I92" i="13"/>
  <c r="J92" i="13"/>
  <c r="K92" i="13"/>
  <c r="L92" i="13"/>
  <c r="M92" i="13"/>
  <c r="N92" i="13"/>
  <c r="O92" i="13"/>
  <c r="P92" i="13"/>
  <c r="Q92" i="13"/>
  <c r="R92" i="13"/>
  <c r="S92" i="13"/>
  <c r="T92" i="13"/>
  <c r="U92" i="13"/>
  <c r="V92" i="13"/>
  <c r="W92" i="13"/>
  <c r="X92" i="13"/>
  <c r="Y92" i="13"/>
  <c r="Z92" i="13"/>
  <c r="AA92" i="13"/>
  <c r="AB92" i="13"/>
  <c r="AC92" i="13"/>
  <c r="AD92" i="13"/>
  <c r="AE92" i="13"/>
  <c r="AF92" i="13"/>
  <c r="AG92" i="13"/>
  <c r="AH92" i="13"/>
  <c r="AI92" i="13"/>
  <c r="AJ92" i="13"/>
  <c r="AK92" i="13"/>
  <c r="AL92" i="13"/>
  <c r="AM92" i="13"/>
  <c r="AN92" i="13"/>
  <c r="AO92" i="13"/>
  <c r="AP92" i="13"/>
  <c r="AQ92" i="13"/>
  <c r="AR92" i="13"/>
  <c r="AS92" i="13"/>
  <c r="AT92" i="13"/>
  <c r="AU92" i="13"/>
  <c r="AV92" i="13"/>
  <c r="AW92" i="13"/>
  <c r="AX92" i="13"/>
  <c r="AY92" i="13"/>
  <c r="AZ92" i="13"/>
  <c r="BA92" i="13"/>
  <c r="BB92" i="13"/>
  <c r="BC92" i="13"/>
  <c r="BD92" i="13"/>
  <c r="BE92" i="13"/>
  <c r="BF92" i="13"/>
  <c r="BG92" i="13"/>
  <c r="BH92" i="13"/>
  <c r="BI92" i="13"/>
  <c r="BJ92" i="13"/>
  <c r="BK92" i="13"/>
  <c r="BL92" i="13"/>
  <c r="BM92" i="13"/>
  <c r="BN92" i="13"/>
  <c r="BO92" i="13"/>
  <c r="BP92" i="13"/>
  <c r="BQ92" i="13"/>
  <c r="BR92" i="13"/>
  <c r="BS92" i="13"/>
  <c r="BT92" i="13"/>
  <c r="BU92" i="13"/>
  <c r="BV92" i="13"/>
  <c r="BW92" i="13"/>
  <c r="BX92" i="13"/>
  <c r="BY92" i="13"/>
  <c r="BZ92" i="13"/>
  <c r="CA92" i="13"/>
  <c r="CB92" i="13"/>
  <c r="CC92" i="13"/>
  <c r="CD92" i="13"/>
  <c r="CE92" i="13"/>
  <c r="CF92" i="13"/>
  <c r="CG92" i="13"/>
  <c r="CH92" i="13"/>
  <c r="CI92" i="13"/>
  <c r="CJ92" i="13"/>
  <c r="CK92" i="13"/>
  <c r="CL92" i="13"/>
  <c r="CM92" i="13"/>
  <c r="CN92" i="13"/>
  <c r="CO92" i="13"/>
  <c r="CP92" i="13"/>
  <c r="CQ92" i="13"/>
  <c r="CR92" i="13"/>
  <c r="CS92" i="13"/>
  <c r="CT92" i="13"/>
  <c r="CU92" i="13"/>
  <c r="CV92" i="13"/>
  <c r="CW92" i="13"/>
  <c r="CX92" i="13"/>
  <c r="CY92" i="13"/>
  <c r="CZ92" i="13"/>
  <c r="DA92" i="13"/>
  <c r="DB92" i="13"/>
  <c r="DC92" i="13"/>
  <c r="DD92" i="13"/>
  <c r="DE92" i="13"/>
  <c r="DF92" i="13"/>
  <c r="DG92" i="13"/>
  <c r="DH92" i="13"/>
  <c r="DI92" i="13"/>
  <c r="DJ92" i="13"/>
  <c r="DK92" i="13"/>
  <c r="DL92" i="13"/>
  <c r="DM92" i="13"/>
  <c r="DN92" i="13"/>
  <c r="DO92" i="13"/>
  <c r="DP92" i="13"/>
  <c r="DQ92" i="13"/>
  <c r="DR92" i="13"/>
  <c r="DS92" i="13"/>
  <c r="DT92" i="13"/>
  <c r="DU92" i="13"/>
  <c r="DV92" i="13"/>
  <c r="DW92" i="13"/>
  <c r="DX92" i="13"/>
  <c r="DY92" i="13"/>
  <c r="DZ92" i="13"/>
  <c r="EA92" i="13"/>
  <c r="EB92" i="13"/>
  <c r="EC92" i="13"/>
  <c r="ED92" i="13"/>
  <c r="EE92" i="13"/>
  <c r="EF92" i="13"/>
  <c r="EG92" i="13"/>
  <c r="EH92" i="13"/>
  <c r="EI92" i="13"/>
  <c r="EJ92" i="13"/>
  <c r="EK92" i="13"/>
  <c r="EL92" i="13"/>
  <c r="EM92" i="13"/>
  <c r="EN92" i="13"/>
  <c r="EO92" i="13"/>
  <c r="EP92" i="13"/>
  <c r="EQ92" i="13"/>
  <c r="ER92" i="13"/>
  <c r="ES92" i="13"/>
  <c r="ET92" i="13"/>
  <c r="EU92" i="13"/>
  <c r="EV92" i="13"/>
  <c r="EW92" i="13"/>
  <c r="EX92" i="13"/>
  <c r="EY92" i="13"/>
  <c r="EZ92" i="13"/>
  <c r="FA92" i="13"/>
  <c r="FB92" i="13"/>
  <c r="FC92" i="13"/>
  <c r="FD92" i="13"/>
  <c r="FE92" i="13"/>
  <c r="FF92" i="13"/>
  <c r="FG92" i="13"/>
  <c r="FH92" i="13"/>
  <c r="FI92" i="13"/>
  <c r="FJ92" i="13"/>
  <c r="FK92" i="13"/>
  <c r="FL92" i="13"/>
  <c r="FM92" i="13"/>
  <c r="FN92" i="13"/>
  <c r="FO92" i="13"/>
  <c r="FP92" i="13"/>
  <c r="FQ92" i="13"/>
  <c r="FR92" i="13"/>
  <c r="FS92" i="13"/>
  <c r="FT92" i="13"/>
  <c r="FU92" i="13"/>
  <c r="FV92" i="13"/>
  <c r="FW92" i="13"/>
  <c r="FX92" i="13"/>
  <c r="FY92" i="13"/>
  <c r="FZ92" i="13"/>
  <c r="GA92" i="13"/>
  <c r="GB92" i="13"/>
  <c r="GC92" i="13"/>
  <c r="GD92" i="13"/>
  <c r="GE92" i="13"/>
  <c r="GF92" i="13"/>
  <c r="GG92" i="13"/>
  <c r="GH92" i="13"/>
  <c r="GI92" i="13"/>
  <c r="GJ92" i="13"/>
  <c r="GK92" i="13"/>
  <c r="GL92" i="13"/>
  <c r="GM92" i="13"/>
  <c r="GN92" i="13"/>
  <c r="GO92" i="13"/>
  <c r="GP92" i="13"/>
  <c r="GQ92" i="13"/>
  <c r="GR92" i="13"/>
  <c r="GS92" i="13"/>
  <c r="GT92" i="13"/>
  <c r="GU92" i="13"/>
  <c r="GV92" i="13"/>
  <c r="GW92" i="13"/>
  <c r="GX92" i="13"/>
  <c r="GY92" i="13"/>
  <c r="GZ92" i="13"/>
  <c r="HA92" i="13"/>
  <c r="HB92" i="13"/>
  <c r="HC92" i="13"/>
  <c r="HD92" i="13"/>
  <c r="HE92" i="13"/>
  <c r="HF92" i="13"/>
  <c r="HG92" i="13"/>
  <c r="HH92" i="13"/>
  <c r="HI92" i="13"/>
  <c r="HJ92" i="13"/>
  <c r="HK92" i="13"/>
  <c r="HL92" i="13"/>
  <c r="HM92" i="13"/>
  <c r="HN92" i="13"/>
  <c r="HO92" i="13"/>
  <c r="HP92" i="13"/>
  <c r="HQ92" i="13"/>
  <c r="HR92" i="13"/>
  <c r="HS92" i="13"/>
  <c r="HT92" i="13"/>
  <c r="HU92" i="13"/>
  <c r="HV92" i="13"/>
  <c r="HW92" i="13"/>
  <c r="HX92" i="13"/>
  <c r="HY92" i="13"/>
  <c r="HZ92" i="13"/>
  <c r="IA92" i="13"/>
  <c r="IB92" i="13"/>
  <c r="IC92" i="13"/>
  <c r="ID92" i="13"/>
  <c r="IE92" i="13"/>
  <c r="IF92" i="13"/>
  <c r="IG92" i="13"/>
  <c r="IH92" i="13"/>
  <c r="II92" i="13"/>
  <c r="IJ92" i="13"/>
  <c r="IK92" i="13"/>
  <c r="IL92" i="13"/>
  <c r="IM92" i="13"/>
  <c r="IN92" i="13"/>
  <c r="IO92" i="13"/>
  <c r="IP92" i="13"/>
  <c r="IQ92" i="13"/>
  <c r="IR92" i="13"/>
  <c r="IS92" i="13"/>
  <c r="IT92" i="13"/>
  <c r="IU92" i="13"/>
  <c r="IV92" i="13"/>
  <c r="A91" i="13"/>
  <c r="B91" i="13"/>
  <c r="C91" i="13"/>
  <c r="D91" i="13"/>
  <c r="E91" i="13"/>
  <c r="F91" i="13"/>
  <c r="G91" i="13"/>
  <c r="H91" i="13"/>
  <c r="I91" i="13"/>
  <c r="J91" i="13"/>
  <c r="K91" i="13"/>
  <c r="L91" i="13"/>
  <c r="M91" i="13"/>
  <c r="N91" i="13"/>
  <c r="O91" i="13"/>
  <c r="P91" i="13"/>
  <c r="Q91" i="13"/>
  <c r="R91" i="13"/>
  <c r="S91" i="13"/>
  <c r="T91" i="13"/>
  <c r="U91" i="13"/>
  <c r="V91" i="13"/>
  <c r="W91" i="13"/>
  <c r="X91" i="13"/>
  <c r="Y91" i="13"/>
  <c r="Z91" i="13"/>
  <c r="AA91" i="13"/>
  <c r="AB91" i="13"/>
  <c r="AC91" i="13"/>
  <c r="AD91" i="13"/>
  <c r="AE91" i="13"/>
  <c r="AF91" i="13"/>
  <c r="AG91" i="13"/>
  <c r="AH91" i="13"/>
  <c r="AI91" i="13"/>
  <c r="AJ91" i="13"/>
  <c r="AK91" i="13"/>
  <c r="AL91" i="13"/>
  <c r="AM91" i="13"/>
  <c r="AN91" i="13"/>
  <c r="AO91" i="13"/>
  <c r="AP91" i="13"/>
  <c r="AQ91" i="13"/>
  <c r="AR91" i="13"/>
  <c r="AS91" i="13"/>
  <c r="AT91" i="13"/>
  <c r="AU91" i="13"/>
  <c r="AV91" i="13"/>
  <c r="AW91" i="13"/>
  <c r="AX91" i="13"/>
  <c r="AY91" i="13"/>
  <c r="AZ91" i="13"/>
  <c r="BA91" i="13"/>
  <c r="BB91" i="13"/>
  <c r="BC91" i="13"/>
  <c r="BD91" i="13"/>
  <c r="BE91" i="13"/>
  <c r="BF91" i="13"/>
  <c r="BG91" i="13"/>
  <c r="BH91" i="13"/>
  <c r="BI91" i="13"/>
  <c r="BJ91" i="13"/>
  <c r="BK91" i="13"/>
  <c r="BL91" i="13"/>
  <c r="BM91" i="13"/>
  <c r="BN91" i="13"/>
  <c r="BO91" i="13"/>
  <c r="BP91" i="13"/>
  <c r="BQ91" i="13"/>
  <c r="BR91" i="13"/>
  <c r="BS91" i="13"/>
  <c r="BT91" i="13"/>
  <c r="BU91" i="13"/>
  <c r="BV91" i="13"/>
  <c r="BW91" i="13"/>
  <c r="BX91" i="13"/>
  <c r="BY91" i="13"/>
  <c r="BZ91" i="13"/>
  <c r="CA91" i="13"/>
  <c r="CB91" i="13"/>
  <c r="CC91" i="13"/>
  <c r="CD91" i="13"/>
  <c r="CE91" i="13"/>
  <c r="CF91" i="13"/>
  <c r="CG91" i="13"/>
  <c r="CH91" i="13"/>
  <c r="CI91" i="13"/>
  <c r="CJ91" i="13"/>
  <c r="CK91" i="13"/>
  <c r="CL91" i="13"/>
  <c r="CM91" i="13"/>
  <c r="CN91" i="13"/>
  <c r="CO91" i="13"/>
  <c r="CP91" i="13"/>
  <c r="CQ91" i="13"/>
  <c r="CR91" i="13"/>
  <c r="CS91" i="13"/>
  <c r="CT91" i="13"/>
  <c r="CU91" i="13"/>
  <c r="CV91" i="13"/>
  <c r="CW91" i="13"/>
  <c r="CX91" i="13"/>
  <c r="CY91" i="13"/>
  <c r="CZ91" i="13"/>
  <c r="DA91" i="13"/>
  <c r="DB91" i="13"/>
  <c r="DC91" i="13"/>
  <c r="DD91" i="13"/>
  <c r="DE91" i="13"/>
  <c r="DF91" i="13"/>
  <c r="DG91" i="13"/>
  <c r="DH91" i="13"/>
  <c r="DI91" i="13"/>
  <c r="DJ91" i="13"/>
  <c r="DK91" i="13"/>
  <c r="DL91" i="13"/>
  <c r="DM91" i="13"/>
  <c r="DN91" i="13"/>
  <c r="DO91" i="13"/>
  <c r="DP91" i="13"/>
  <c r="DQ91" i="13"/>
  <c r="DR91" i="13"/>
  <c r="DS91" i="13"/>
  <c r="DT91" i="13"/>
  <c r="DU91" i="13"/>
  <c r="DV91" i="13"/>
  <c r="DW91" i="13"/>
  <c r="DX91" i="13"/>
  <c r="DY91" i="13"/>
  <c r="DZ91" i="13"/>
  <c r="EA91" i="13"/>
  <c r="EB91" i="13"/>
  <c r="EC91" i="13"/>
  <c r="ED91" i="13"/>
  <c r="EE91" i="13"/>
  <c r="EF91" i="13"/>
  <c r="EG91" i="13"/>
  <c r="EH91" i="13"/>
  <c r="EI91" i="13"/>
  <c r="EJ91" i="13"/>
  <c r="EK91" i="13"/>
  <c r="EL91" i="13"/>
  <c r="EM91" i="13"/>
  <c r="EN91" i="13"/>
  <c r="EO91" i="13"/>
  <c r="EP91" i="13"/>
  <c r="EQ91" i="13"/>
  <c r="ER91" i="13"/>
  <c r="ES91" i="13"/>
  <c r="ET91" i="13"/>
  <c r="EU91" i="13"/>
  <c r="EV91" i="13"/>
  <c r="EW91" i="13"/>
  <c r="EX91" i="13"/>
  <c r="EY91" i="13"/>
  <c r="EZ91" i="13"/>
  <c r="FA91" i="13"/>
  <c r="FB91" i="13"/>
  <c r="FC91" i="13"/>
  <c r="FD91" i="13"/>
  <c r="FE91" i="13"/>
  <c r="FF91" i="13"/>
  <c r="FG91" i="13"/>
  <c r="FH91" i="13"/>
  <c r="FI91" i="13"/>
  <c r="FJ91" i="13"/>
  <c r="FK91" i="13"/>
  <c r="FL91" i="13"/>
  <c r="FM91" i="13"/>
  <c r="FN91" i="13"/>
  <c r="FO91" i="13"/>
  <c r="FP91" i="13"/>
  <c r="FQ91" i="13"/>
  <c r="FR91" i="13"/>
  <c r="FS91" i="13"/>
  <c r="FT91" i="13"/>
  <c r="FU91" i="13"/>
  <c r="FV91" i="13"/>
  <c r="FW91" i="13"/>
  <c r="FX91" i="13"/>
  <c r="FY91" i="13"/>
  <c r="FZ91" i="13"/>
  <c r="GA91" i="13"/>
  <c r="GB91" i="13"/>
  <c r="GC91" i="13"/>
  <c r="GD91" i="13"/>
  <c r="GE91" i="13"/>
  <c r="GF91" i="13"/>
  <c r="GG91" i="13"/>
  <c r="GH91" i="13"/>
  <c r="GI91" i="13"/>
  <c r="GJ91" i="13"/>
  <c r="GK91" i="13"/>
  <c r="GL91" i="13"/>
  <c r="GM91" i="13"/>
  <c r="GN91" i="13"/>
  <c r="GO91" i="13"/>
  <c r="GP91" i="13"/>
  <c r="GQ91" i="13"/>
  <c r="GR91" i="13"/>
  <c r="GS91" i="13"/>
  <c r="GT91" i="13"/>
  <c r="GU91" i="13"/>
  <c r="GV91" i="13"/>
  <c r="GW91" i="13"/>
  <c r="GX91" i="13"/>
  <c r="GY91" i="13"/>
  <c r="GZ91" i="13"/>
  <c r="HA91" i="13"/>
  <c r="HB91" i="13"/>
  <c r="HC91" i="13"/>
  <c r="HD91" i="13"/>
  <c r="HE91" i="13"/>
  <c r="HF91" i="13"/>
  <c r="HG91" i="13"/>
  <c r="HH91" i="13"/>
  <c r="HI91" i="13"/>
  <c r="HJ91" i="13"/>
  <c r="HK91" i="13"/>
  <c r="HL91" i="13"/>
  <c r="HM91" i="13"/>
  <c r="HN91" i="13"/>
  <c r="HO91" i="13"/>
  <c r="HP91" i="13"/>
  <c r="HQ91" i="13"/>
  <c r="HR91" i="13"/>
  <c r="HS91" i="13"/>
  <c r="HT91" i="13"/>
  <c r="HU91" i="13"/>
  <c r="HV91" i="13"/>
  <c r="HW91" i="13"/>
  <c r="HX91" i="13"/>
  <c r="HY91" i="13"/>
  <c r="HZ91" i="13"/>
  <c r="IA91" i="13"/>
  <c r="IB91" i="13"/>
  <c r="IC91" i="13"/>
  <c r="ID91" i="13"/>
  <c r="IE91" i="13"/>
  <c r="IF91" i="13"/>
  <c r="IG91" i="13"/>
  <c r="IH91" i="13"/>
  <c r="II91" i="13"/>
  <c r="IJ91" i="13"/>
  <c r="IK91" i="13"/>
  <c r="IL91" i="13"/>
  <c r="IM91" i="13"/>
  <c r="IN91" i="13"/>
  <c r="IO91" i="13"/>
  <c r="IP91" i="13"/>
  <c r="IQ91" i="13"/>
  <c r="IR91" i="13"/>
  <c r="IS91" i="13"/>
  <c r="IT91" i="13"/>
  <c r="IU91" i="13"/>
  <c r="IV91" i="13"/>
  <c r="A90" i="13"/>
  <c r="B90" i="13"/>
  <c r="C90" i="13"/>
  <c r="D90" i="13"/>
  <c r="E90" i="13"/>
  <c r="F90" i="13"/>
  <c r="G90" i="13"/>
  <c r="H90" i="13"/>
  <c r="I90" i="13"/>
  <c r="J90" i="13"/>
  <c r="K90" i="13"/>
  <c r="L90" i="13"/>
  <c r="M90" i="13"/>
  <c r="N90" i="13"/>
  <c r="O90" i="13"/>
  <c r="P90" i="13"/>
  <c r="Q90" i="13"/>
  <c r="R90" i="13"/>
  <c r="S90" i="13"/>
  <c r="T90" i="13"/>
  <c r="U90" i="13"/>
  <c r="V90" i="13"/>
  <c r="W90" i="13"/>
  <c r="X90" i="13"/>
  <c r="Y90" i="13"/>
  <c r="Z90" i="13"/>
  <c r="AA90" i="13"/>
  <c r="AB90" i="13"/>
  <c r="AC90" i="13"/>
  <c r="AD90" i="13"/>
  <c r="AE90" i="13"/>
  <c r="AF90" i="13"/>
  <c r="AG90" i="13"/>
  <c r="AH90" i="13"/>
  <c r="AI90" i="13"/>
  <c r="AJ90" i="13"/>
  <c r="AK90" i="13"/>
  <c r="AL90" i="13"/>
  <c r="AM90" i="13"/>
  <c r="AN90" i="13"/>
  <c r="AO90" i="13"/>
  <c r="AP90" i="13"/>
  <c r="AQ90" i="13"/>
  <c r="AR90" i="13"/>
  <c r="AS90" i="13"/>
  <c r="AT90" i="13"/>
  <c r="AU90" i="13"/>
  <c r="AV90" i="13"/>
  <c r="AW90" i="13"/>
  <c r="AX90" i="13"/>
  <c r="AY90" i="13"/>
  <c r="AZ90" i="13"/>
  <c r="BA90" i="13"/>
  <c r="BB90" i="13"/>
  <c r="BC90" i="13"/>
  <c r="BD90" i="13"/>
  <c r="BE90" i="13"/>
  <c r="BF90" i="13"/>
  <c r="BG90" i="13"/>
  <c r="BH90" i="13"/>
  <c r="BI90" i="13"/>
  <c r="BJ90" i="13"/>
  <c r="BK90" i="13"/>
  <c r="BL90" i="13"/>
  <c r="BM90" i="13"/>
  <c r="BN90" i="13"/>
  <c r="BO90" i="13"/>
  <c r="BP90" i="13"/>
  <c r="BQ90" i="13"/>
  <c r="BR90" i="13"/>
  <c r="BS90" i="13"/>
  <c r="BT90" i="13"/>
  <c r="BU90" i="13"/>
  <c r="BV90" i="13"/>
  <c r="BW90" i="13"/>
  <c r="BX90" i="13"/>
  <c r="BY90" i="13"/>
  <c r="BZ90" i="13"/>
  <c r="CA90" i="13"/>
  <c r="CB90" i="13"/>
  <c r="CC90" i="13"/>
  <c r="CD90" i="13"/>
  <c r="CE90" i="13"/>
  <c r="CF90" i="13"/>
  <c r="CG90" i="13"/>
  <c r="CH90" i="13"/>
  <c r="CI90" i="13"/>
  <c r="CJ90" i="13"/>
  <c r="CK90" i="13"/>
  <c r="CL90" i="13"/>
  <c r="CM90" i="13"/>
  <c r="CN90" i="13"/>
  <c r="CO90" i="13"/>
  <c r="CP90" i="13"/>
  <c r="CQ90" i="13"/>
  <c r="CR90" i="13"/>
  <c r="CS90" i="13"/>
  <c r="CT90" i="13"/>
  <c r="CU90" i="13"/>
  <c r="CV90" i="13"/>
  <c r="CW90" i="13"/>
  <c r="CX90" i="13"/>
  <c r="CY90" i="13"/>
  <c r="CZ90" i="13"/>
  <c r="DA90" i="13"/>
  <c r="DB90" i="13"/>
  <c r="DC90" i="13"/>
  <c r="DD90" i="13"/>
  <c r="DE90" i="13"/>
  <c r="DF90" i="13"/>
  <c r="DG90" i="13"/>
  <c r="DH90" i="13"/>
  <c r="DI90" i="13"/>
  <c r="DJ90" i="13"/>
  <c r="DK90" i="13"/>
  <c r="DL90" i="13"/>
  <c r="DM90" i="13"/>
  <c r="DN90" i="13"/>
  <c r="DO90" i="13"/>
  <c r="DP90" i="13"/>
  <c r="DQ90" i="13"/>
  <c r="DR90" i="13"/>
  <c r="DS90" i="13"/>
  <c r="DT90" i="13"/>
  <c r="DU90" i="13"/>
  <c r="DV90" i="13"/>
  <c r="DW90" i="13"/>
  <c r="DX90" i="13"/>
  <c r="DY90" i="13"/>
  <c r="DZ90" i="13"/>
  <c r="EA90" i="13"/>
  <c r="EB90" i="13"/>
  <c r="EC90" i="13"/>
  <c r="ED90" i="13"/>
  <c r="EE90" i="13"/>
  <c r="EF90" i="13"/>
  <c r="EG90" i="13"/>
  <c r="EH90" i="13"/>
  <c r="EI90" i="13"/>
  <c r="EJ90" i="13"/>
  <c r="EK90" i="13"/>
  <c r="EL90" i="13"/>
  <c r="EM90" i="13"/>
  <c r="EN90" i="13"/>
  <c r="EO90" i="13"/>
  <c r="EP90" i="13"/>
  <c r="EQ90" i="13"/>
  <c r="ER90" i="13"/>
  <c r="ES90" i="13"/>
  <c r="ET90" i="13"/>
  <c r="EU90" i="13"/>
  <c r="EV90" i="13"/>
  <c r="EW90" i="13"/>
  <c r="EX90" i="13"/>
  <c r="EY90" i="13"/>
  <c r="EZ90" i="13"/>
  <c r="FA90" i="13"/>
  <c r="FB90" i="13"/>
  <c r="FC90" i="13"/>
  <c r="FD90" i="13"/>
  <c r="FE90" i="13"/>
  <c r="FF90" i="13"/>
  <c r="FG90" i="13"/>
  <c r="FH90" i="13"/>
  <c r="FI90" i="13"/>
  <c r="FJ90" i="13"/>
  <c r="FK90" i="13"/>
  <c r="FL90" i="13"/>
  <c r="FM90" i="13"/>
  <c r="FN90" i="13"/>
  <c r="FO90" i="13"/>
  <c r="FP90" i="13"/>
  <c r="FQ90" i="13"/>
  <c r="FR90" i="13"/>
  <c r="FS90" i="13"/>
  <c r="FT90" i="13"/>
  <c r="FU90" i="13"/>
  <c r="FV90" i="13"/>
  <c r="FW90" i="13"/>
  <c r="FX90" i="13"/>
  <c r="FY90" i="13"/>
  <c r="FZ90" i="13"/>
  <c r="GA90" i="13"/>
  <c r="GB90" i="13"/>
  <c r="GC90" i="13"/>
  <c r="GD90" i="13"/>
  <c r="GE90" i="13"/>
  <c r="GF90" i="13"/>
  <c r="GG90" i="13"/>
  <c r="GH90" i="13"/>
  <c r="GI90" i="13"/>
  <c r="GJ90" i="13"/>
  <c r="GK90" i="13"/>
  <c r="GL90" i="13"/>
  <c r="GM90" i="13"/>
  <c r="GN90" i="13"/>
  <c r="GO90" i="13"/>
  <c r="GP90" i="13"/>
  <c r="GQ90" i="13"/>
  <c r="GR90" i="13"/>
  <c r="GS90" i="13"/>
  <c r="GT90" i="13"/>
  <c r="GU90" i="13"/>
  <c r="GV90" i="13"/>
  <c r="GW90" i="13"/>
  <c r="GX90" i="13"/>
  <c r="GY90" i="13"/>
  <c r="GZ90" i="13"/>
  <c r="HA90" i="13"/>
  <c r="HB90" i="13"/>
  <c r="HC90" i="13"/>
  <c r="HD90" i="13"/>
  <c r="HE90" i="13"/>
  <c r="HF90" i="13"/>
  <c r="HG90" i="13"/>
  <c r="HH90" i="13"/>
  <c r="HI90" i="13"/>
  <c r="HJ90" i="13"/>
  <c r="HK90" i="13"/>
  <c r="HL90" i="13"/>
  <c r="HM90" i="13"/>
  <c r="HN90" i="13"/>
  <c r="HO90" i="13"/>
  <c r="HP90" i="13"/>
  <c r="HQ90" i="13"/>
  <c r="HR90" i="13"/>
  <c r="HS90" i="13"/>
  <c r="HT90" i="13"/>
  <c r="HU90" i="13"/>
  <c r="HV90" i="13"/>
  <c r="HW90" i="13"/>
  <c r="HX90" i="13"/>
  <c r="HY90" i="13"/>
  <c r="HZ90" i="13"/>
  <c r="IA90" i="13"/>
  <c r="IB90" i="13"/>
  <c r="IC90" i="13"/>
  <c r="ID90" i="13"/>
  <c r="IE90" i="13"/>
  <c r="IF90" i="13"/>
  <c r="IG90" i="13"/>
  <c r="IH90" i="13"/>
  <c r="II90" i="13"/>
  <c r="IJ90" i="13"/>
  <c r="IK90" i="13"/>
  <c r="IL90" i="13"/>
  <c r="IM90" i="13"/>
  <c r="IN90" i="13"/>
  <c r="IO90" i="13"/>
  <c r="IP90" i="13"/>
  <c r="IQ90" i="13"/>
  <c r="IR90" i="13"/>
  <c r="IS90" i="13"/>
  <c r="IT90" i="13"/>
  <c r="IU90" i="13"/>
  <c r="IV90" i="13"/>
  <c r="A89" i="13"/>
  <c r="B89" i="13"/>
  <c r="C89" i="13"/>
  <c r="D89" i="13"/>
  <c r="E89" i="13"/>
  <c r="F89" i="13"/>
  <c r="G89" i="13"/>
  <c r="H89" i="13"/>
  <c r="I89" i="13"/>
  <c r="J89" i="13"/>
  <c r="K89" i="13"/>
  <c r="L89" i="13"/>
  <c r="M89" i="13"/>
  <c r="N89" i="13"/>
  <c r="O89" i="13"/>
  <c r="P89" i="13"/>
  <c r="Q89" i="13"/>
  <c r="R89" i="13"/>
  <c r="S89" i="13"/>
  <c r="T89" i="13"/>
  <c r="U89" i="13"/>
  <c r="V89" i="13"/>
  <c r="W89" i="13"/>
  <c r="X89" i="13"/>
  <c r="Y89" i="13"/>
  <c r="Z89" i="13"/>
  <c r="AA89" i="13"/>
  <c r="AB89" i="13"/>
  <c r="AC89" i="13"/>
  <c r="AD89" i="13"/>
  <c r="AE89" i="13"/>
  <c r="AF89" i="13"/>
  <c r="AG89" i="13"/>
  <c r="AH89" i="13"/>
  <c r="AI89" i="13"/>
  <c r="AJ89" i="13"/>
  <c r="AK89" i="13"/>
  <c r="AL89" i="13"/>
  <c r="AM89" i="13"/>
  <c r="AN89" i="13"/>
  <c r="AO89" i="13"/>
  <c r="AP89" i="13"/>
  <c r="AQ89" i="13"/>
  <c r="AR89" i="13"/>
  <c r="AS89" i="13"/>
  <c r="AT89" i="13"/>
  <c r="AU89" i="13"/>
  <c r="AV89" i="13"/>
  <c r="AW89" i="13"/>
  <c r="AX89" i="13"/>
  <c r="AY89" i="13"/>
  <c r="AZ89" i="13"/>
  <c r="BA89" i="13"/>
  <c r="BB89" i="13"/>
  <c r="BC89" i="13"/>
  <c r="BD89" i="13"/>
  <c r="BE89" i="13"/>
  <c r="BF89" i="13"/>
  <c r="BG89" i="13"/>
  <c r="BH89" i="13"/>
  <c r="BI89" i="13"/>
  <c r="BJ89" i="13"/>
  <c r="BK89" i="13"/>
  <c r="BL89" i="13"/>
  <c r="BM89" i="13"/>
  <c r="BN89" i="13"/>
  <c r="BO89" i="13"/>
  <c r="BP89" i="13"/>
  <c r="BQ89" i="13"/>
  <c r="BR89" i="13"/>
  <c r="BS89" i="13"/>
  <c r="BT89" i="13"/>
  <c r="BU89" i="13"/>
  <c r="BV89" i="13"/>
  <c r="BW89" i="13"/>
  <c r="BX89" i="13"/>
  <c r="BY89" i="13"/>
  <c r="BZ89" i="13"/>
  <c r="CA89" i="13"/>
  <c r="CB89" i="13"/>
  <c r="CC89" i="13"/>
  <c r="CD89" i="13"/>
  <c r="CE89" i="13"/>
  <c r="CF89" i="13"/>
  <c r="CG89" i="13"/>
  <c r="CH89" i="13"/>
  <c r="CI89" i="13"/>
  <c r="CJ89" i="13"/>
  <c r="CK89" i="13"/>
  <c r="CL89" i="13"/>
  <c r="CM89" i="13"/>
  <c r="CN89" i="13"/>
  <c r="CO89" i="13"/>
  <c r="CP89" i="13"/>
  <c r="CQ89" i="13"/>
  <c r="CR89" i="13"/>
  <c r="CS89" i="13"/>
  <c r="CT89" i="13"/>
  <c r="CU89" i="13"/>
  <c r="CV89" i="13"/>
  <c r="CW89" i="13"/>
  <c r="CX89" i="13"/>
  <c r="CY89" i="13"/>
  <c r="CZ89" i="13"/>
  <c r="DA89" i="13"/>
  <c r="DB89" i="13"/>
  <c r="DC89" i="13"/>
  <c r="DD89" i="13"/>
  <c r="DE89" i="13"/>
  <c r="DF89" i="13"/>
  <c r="DG89" i="13"/>
  <c r="DH89" i="13"/>
  <c r="DI89" i="13"/>
  <c r="DJ89" i="13"/>
  <c r="DK89" i="13"/>
  <c r="DL89" i="13"/>
  <c r="DM89" i="13"/>
  <c r="DN89" i="13"/>
  <c r="DO89" i="13"/>
  <c r="DP89" i="13"/>
  <c r="DQ89" i="13"/>
  <c r="DR89" i="13"/>
  <c r="DS89" i="13"/>
  <c r="DT89" i="13"/>
  <c r="DU89" i="13"/>
  <c r="DV89" i="13"/>
  <c r="DW89" i="13"/>
  <c r="DX89" i="13"/>
  <c r="DY89" i="13"/>
  <c r="DZ89" i="13"/>
  <c r="EA89" i="13"/>
  <c r="EB89" i="13"/>
  <c r="EC89" i="13"/>
  <c r="ED89" i="13"/>
  <c r="EE89" i="13"/>
  <c r="EF89" i="13"/>
  <c r="EG89" i="13"/>
  <c r="EH89" i="13"/>
  <c r="EI89" i="13"/>
  <c r="EJ89" i="13"/>
  <c r="EK89" i="13"/>
  <c r="EL89" i="13"/>
  <c r="EM89" i="13"/>
  <c r="EN89" i="13"/>
  <c r="EO89" i="13"/>
  <c r="EP89" i="13"/>
  <c r="EQ89" i="13"/>
  <c r="ER89" i="13"/>
  <c r="ES89" i="13"/>
  <c r="ET89" i="13"/>
  <c r="EU89" i="13"/>
  <c r="EV89" i="13"/>
  <c r="EW89" i="13"/>
  <c r="EX89" i="13"/>
  <c r="EY89" i="13"/>
  <c r="EZ89" i="13"/>
  <c r="FA89" i="13"/>
  <c r="FB89" i="13"/>
  <c r="FC89" i="13"/>
  <c r="FD89" i="13"/>
  <c r="FE89" i="13"/>
  <c r="FF89" i="13"/>
  <c r="FG89" i="13"/>
  <c r="FH89" i="13"/>
  <c r="FI89" i="13"/>
  <c r="FJ89" i="13"/>
  <c r="FK89" i="13"/>
  <c r="FL89" i="13"/>
  <c r="FM89" i="13"/>
  <c r="FN89" i="13"/>
  <c r="FO89" i="13"/>
  <c r="FP89" i="13"/>
  <c r="FQ89" i="13"/>
  <c r="FR89" i="13"/>
  <c r="FS89" i="13"/>
  <c r="FT89" i="13"/>
  <c r="FU89" i="13"/>
  <c r="FV89" i="13"/>
  <c r="FW89" i="13"/>
  <c r="FX89" i="13"/>
  <c r="FY89" i="13"/>
  <c r="FZ89" i="13"/>
  <c r="GA89" i="13"/>
  <c r="GB89" i="13"/>
  <c r="GC89" i="13"/>
  <c r="GD89" i="13"/>
  <c r="GE89" i="13"/>
  <c r="GF89" i="13"/>
  <c r="GG89" i="13"/>
  <c r="GH89" i="13"/>
  <c r="GI89" i="13"/>
  <c r="GJ89" i="13"/>
  <c r="GK89" i="13"/>
  <c r="GL89" i="13"/>
  <c r="GM89" i="13"/>
  <c r="GN89" i="13"/>
  <c r="GO89" i="13"/>
  <c r="GP89" i="13"/>
  <c r="GQ89" i="13"/>
  <c r="GR89" i="13"/>
  <c r="GS89" i="13"/>
  <c r="GT89" i="13"/>
  <c r="GU89" i="13"/>
  <c r="GV89" i="13"/>
  <c r="GW89" i="13"/>
  <c r="GX89" i="13"/>
  <c r="GY89" i="13"/>
  <c r="GZ89" i="13"/>
  <c r="HA89" i="13"/>
  <c r="HB89" i="13"/>
  <c r="HC89" i="13"/>
  <c r="HD89" i="13"/>
  <c r="HE89" i="13"/>
  <c r="HF89" i="13"/>
  <c r="HG89" i="13"/>
  <c r="HH89" i="13"/>
  <c r="HI89" i="13"/>
  <c r="HJ89" i="13"/>
  <c r="HK89" i="13"/>
  <c r="HL89" i="13"/>
  <c r="HM89" i="13"/>
  <c r="HN89" i="13"/>
  <c r="HO89" i="13"/>
  <c r="HP89" i="13"/>
  <c r="HQ89" i="13"/>
  <c r="HR89" i="13"/>
  <c r="HS89" i="13"/>
  <c r="HT89" i="13"/>
  <c r="HU89" i="13"/>
  <c r="HV89" i="13"/>
  <c r="HW89" i="13"/>
  <c r="HX89" i="13"/>
  <c r="HY89" i="13"/>
  <c r="HZ89" i="13"/>
  <c r="IA89" i="13"/>
  <c r="IB89" i="13"/>
  <c r="IC89" i="13"/>
  <c r="ID89" i="13"/>
  <c r="IE89" i="13"/>
  <c r="IF89" i="13"/>
  <c r="IG89" i="13"/>
  <c r="IH89" i="13"/>
  <c r="II89" i="13"/>
  <c r="IJ89" i="13"/>
  <c r="IK89" i="13"/>
  <c r="IL89" i="13"/>
  <c r="IM89" i="13"/>
  <c r="IN89" i="13"/>
  <c r="IO89" i="13"/>
  <c r="IP89" i="13"/>
  <c r="IQ89" i="13"/>
  <c r="IR89" i="13"/>
  <c r="IS89" i="13"/>
  <c r="IT89" i="13"/>
  <c r="IU89" i="13"/>
  <c r="IV89" i="13"/>
  <c r="A88" i="13"/>
  <c r="B88" i="13"/>
  <c r="C88" i="13"/>
  <c r="D88" i="13"/>
  <c r="E88" i="13"/>
  <c r="F88" i="13"/>
  <c r="G88" i="13"/>
  <c r="H88" i="13"/>
  <c r="I88" i="13"/>
  <c r="J88" i="13"/>
  <c r="K88" i="13"/>
  <c r="L88" i="13"/>
  <c r="M88" i="13"/>
  <c r="N88" i="13"/>
  <c r="O88" i="13"/>
  <c r="P88" i="13"/>
  <c r="Q88" i="13"/>
  <c r="R88" i="13"/>
  <c r="S88" i="13"/>
  <c r="T88" i="13"/>
  <c r="U88" i="13"/>
  <c r="V88" i="13"/>
  <c r="W88" i="13"/>
  <c r="X88" i="13"/>
  <c r="Y88" i="13"/>
  <c r="Z88" i="13"/>
  <c r="AA88" i="13"/>
  <c r="AB88" i="13"/>
  <c r="AC88" i="13"/>
  <c r="AD88" i="13"/>
  <c r="AE88" i="13"/>
  <c r="AF88" i="13"/>
  <c r="AG88" i="13"/>
  <c r="AH88" i="13"/>
  <c r="AI88" i="13"/>
  <c r="AJ88" i="13"/>
  <c r="AK88" i="13"/>
  <c r="AL88" i="13"/>
  <c r="AM88" i="13"/>
  <c r="AN88" i="13"/>
  <c r="AO88" i="13"/>
  <c r="AP88" i="13"/>
  <c r="AQ88" i="13"/>
  <c r="AR88" i="13"/>
  <c r="AS88" i="13"/>
  <c r="AT88" i="13"/>
  <c r="AU88" i="13"/>
  <c r="AV88" i="13"/>
  <c r="AW88" i="13"/>
  <c r="AX88" i="13"/>
  <c r="AY88" i="13"/>
  <c r="AZ88" i="13"/>
  <c r="BA88" i="13"/>
  <c r="BB88" i="13"/>
  <c r="BC88" i="13"/>
  <c r="BD88" i="13"/>
  <c r="BE88" i="13"/>
  <c r="BF88" i="13"/>
  <c r="BG88" i="13"/>
  <c r="BH88" i="13"/>
  <c r="BI88" i="13"/>
  <c r="BJ88" i="13"/>
  <c r="BK88" i="13"/>
  <c r="BL88" i="13"/>
  <c r="BM88" i="13"/>
  <c r="BN88" i="13"/>
  <c r="BO88" i="13"/>
  <c r="BP88" i="13"/>
  <c r="BQ88" i="13"/>
  <c r="BR88" i="13"/>
  <c r="BS88" i="13"/>
  <c r="BT88" i="13"/>
  <c r="BU88" i="13"/>
  <c r="BV88" i="13"/>
  <c r="BW88" i="13"/>
  <c r="BX88" i="13"/>
  <c r="BY88" i="13"/>
  <c r="BZ88" i="13"/>
  <c r="CA88" i="13"/>
  <c r="CB88" i="13"/>
  <c r="CC88" i="13"/>
  <c r="CD88" i="13"/>
  <c r="CE88" i="13"/>
  <c r="CF88" i="13"/>
  <c r="CG88" i="13"/>
  <c r="CH88" i="13"/>
  <c r="CI88" i="13"/>
  <c r="CJ88" i="13"/>
  <c r="CK88" i="13"/>
  <c r="CL88" i="13"/>
  <c r="CM88" i="13"/>
  <c r="CN88" i="13"/>
  <c r="CO88" i="13"/>
  <c r="CP88" i="13"/>
  <c r="CQ88" i="13"/>
  <c r="CR88" i="13"/>
  <c r="CS88" i="13"/>
  <c r="CT88" i="13"/>
  <c r="CU88" i="13"/>
  <c r="CV88" i="13"/>
  <c r="CW88" i="13"/>
  <c r="CX88" i="13"/>
  <c r="CY88" i="13"/>
  <c r="CZ88" i="13"/>
  <c r="DA88" i="13"/>
  <c r="DB88" i="13"/>
  <c r="DC88" i="13"/>
  <c r="DD88" i="13"/>
  <c r="DE88" i="13"/>
  <c r="DF88" i="13"/>
  <c r="DG88" i="13"/>
  <c r="DH88" i="13"/>
  <c r="DI88" i="13"/>
  <c r="DJ88" i="13"/>
  <c r="DK88" i="13"/>
  <c r="DL88" i="13"/>
  <c r="DM88" i="13"/>
  <c r="DN88" i="13"/>
  <c r="DO88" i="13"/>
  <c r="DP88" i="13"/>
  <c r="DQ88" i="13"/>
  <c r="DR88" i="13"/>
  <c r="DS88" i="13"/>
  <c r="DT88" i="13"/>
  <c r="DU88" i="13"/>
  <c r="DV88" i="13"/>
  <c r="DW88" i="13"/>
  <c r="DX88" i="13"/>
  <c r="DY88" i="13"/>
  <c r="DZ88" i="13"/>
  <c r="EA88" i="13"/>
  <c r="EB88" i="13"/>
  <c r="EC88" i="13"/>
  <c r="ED88" i="13"/>
  <c r="EE88" i="13"/>
  <c r="EF88" i="13"/>
  <c r="EG88" i="13"/>
  <c r="EH88" i="13"/>
  <c r="EI88" i="13"/>
  <c r="EJ88" i="13"/>
  <c r="EK88" i="13"/>
  <c r="EL88" i="13"/>
  <c r="EM88" i="13"/>
  <c r="EN88" i="13"/>
  <c r="EO88" i="13"/>
  <c r="EP88" i="13"/>
  <c r="EQ88" i="13"/>
  <c r="ER88" i="13"/>
  <c r="ES88" i="13"/>
  <c r="ET88" i="13"/>
  <c r="EU88" i="13"/>
  <c r="EV88" i="13"/>
  <c r="EW88" i="13"/>
  <c r="EX88" i="13"/>
  <c r="EY88" i="13"/>
  <c r="EZ88" i="13"/>
  <c r="FA88" i="13"/>
  <c r="FB88" i="13"/>
  <c r="FC88" i="13"/>
  <c r="FD88" i="13"/>
  <c r="FE88" i="13"/>
  <c r="FF88" i="13"/>
  <c r="FG88" i="13"/>
  <c r="FH88" i="13"/>
  <c r="FI88" i="13"/>
  <c r="FJ88" i="13"/>
  <c r="FK88" i="13"/>
  <c r="FL88" i="13"/>
  <c r="FM88" i="13"/>
  <c r="FN88" i="13"/>
  <c r="FO88" i="13"/>
  <c r="FP88" i="13"/>
  <c r="FQ88" i="13"/>
  <c r="FR88" i="13"/>
  <c r="FS88" i="13"/>
  <c r="FT88" i="13"/>
  <c r="FU88" i="13"/>
  <c r="FV88" i="13"/>
  <c r="FW88" i="13"/>
  <c r="FX88" i="13"/>
  <c r="FY88" i="13"/>
  <c r="FZ88" i="13"/>
  <c r="GA88" i="13"/>
  <c r="GB88" i="13"/>
  <c r="GC88" i="13"/>
  <c r="GD88" i="13"/>
  <c r="GE88" i="13"/>
  <c r="GF88" i="13"/>
  <c r="GG88" i="13"/>
  <c r="GH88" i="13"/>
  <c r="GI88" i="13"/>
  <c r="GJ88" i="13"/>
  <c r="GK88" i="13"/>
  <c r="GL88" i="13"/>
  <c r="GM88" i="13"/>
  <c r="GN88" i="13"/>
  <c r="GO88" i="13"/>
  <c r="GP88" i="13"/>
  <c r="GQ88" i="13"/>
  <c r="GR88" i="13"/>
  <c r="GS88" i="13"/>
  <c r="GT88" i="13"/>
  <c r="GU88" i="13"/>
  <c r="GV88" i="13"/>
  <c r="GW88" i="13"/>
  <c r="GX88" i="13"/>
  <c r="GY88" i="13"/>
  <c r="GZ88" i="13"/>
  <c r="HA88" i="13"/>
  <c r="HB88" i="13"/>
  <c r="HC88" i="13"/>
  <c r="HD88" i="13"/>
  <c r="HE88" i="13"/>
  <c r="HF88" i="13"/>
  <c r="HG88" i="13"/>
  <c r="HH88" i="13"/>
  <c r="HI88" i="13"/>
  <c r="HJ88" i="13"/>
  <c r="HK88" i="13"/>
  <c r="HL88" i="13"/>
  <c r="HM88" i="13"/>
  <c r="HN88" i="13"/>
  <c r="HO88" i="13"/>
  <c r="HP88" i="13"/>
  <c r="HQ88" i="13"/>
  <c r="HR88" i="13"/>
  <c r="HS88" i="13"/>
  <c r="HT88" i="13"/>
  <c r="HU88" i="13"/>
  <c r="HV88" i="13"/>
  <c r="HW88" i="13"/>
  <c r="HX88" i="13"/>
  <c r="HY88" i="13"/>
  <c r="HZ88" i="13"/>
  <c r="IA88" i="13"/>
  <c r="IB88" i="13"/>
  <c r="IC88" i="13"/>
  <c r="ID88" i="13"/>
  <c r="IE88" i="13"/>
  <c r="IF88" i="13"/>
  <c r="IG88" i="13"/>
  <c r="IH88" i="13"/>
  <c r="II88" i="13"/>
  <c r="IJ88" i="13"/>
  <c r="IK88" i="13"/>
  <c r="IL88" i="13"/>
  <c r="IM88" i="13"/>
  <c r="IN88" i="13"/>
  <c r="IO88" i="13"/>
  <c r="IP88" i="13"/>
  <c r="IQ88" i="13"/>
  <c r="IR88" i="13"/>
  <c r="IS88" i="13"/>
  <c r="IT88" i="13"/>
  <c r="IU88" i="13"/>
  <c r="IV88" i="13"/>
  <c r="A87" i="13"/>
  <c r="B87" i="13"/>
  <c r="C87" i="13"/>
  <c r="D87" i="13"/>
  <c r="E87" i="13"/>
  <c r="F87" i="13"/>
  <c r="G87" i="13"/>
  <c r="H87" i="13"/>
  <c r="I87" i="13"/>
  <c r="J87" i="13"/>
  <c r="K87" i="13"/>
  <c r="L87" i="13"/>
  <c r="M87" i="13"/>
  <c r="N87" i="13"/>
  <c r="O87" i="13"/>
  <c r="P87" i="13"/>
  <c r="Q87" i="13"/>
  <c r="R87" i="13"/>
  <c r="S87" i="13"/>
  <c r="T87" i="13"/>
  <c r="U87" i="13"/>
  <c r="V87" i="13"/>
  <c r="W87" i="13"/>
  <c r="X87" i="13"/>
  <c r="Y87" i="13"/>
  <c r="Z87" i="13"/>
  <c r="AA87" i="13"/>
  <c r="AB87" i="13"/>
  <c r="AC87" i="13"/>
  <c r="AD87" i="13"/>
  <c r="AE87" i="13"/>
  <c r="AF87" i="13"/>
  <c r="AG87" i="13"/>
  <c r="AH87" i="13"/>
  <c r="AI87" i="13"/>
  <c r="AJ87" i="13"/>
  <c r="AK87" i="13"/>
  <c r="AL87" i="13"/>
  <c r="AM87" i="13"/>
  <c r="AN87" i="13"/>
  <c r="AO87" i="13"/>
  <c r="AP87" i="13"/>
  <c r="AQ87" i="13"/>
  <c r="AR87" i="13"/>
  <c r="AS87" i="13"/>
  <c r="AT87" i="13"/>
  <c r="AU87" i="13"/>
  <c r="AV87" i="13"/>
  <c r="AW87" i="13"/>
  <c r="AX87" i="13"/>
  <c r="AY87" i="13"/>
  <c r="AZ87" i="13"/>
  <c r="BA87" i="13"/>
  <c r="BB87" i="13"/>
  <c r="BC87" i="13"/>
  <c r="BD87" i="13"/>
  <c r="BE87" i="13"/>
  <c r="BF87" i="13"/>
  <c r="BG87" i="13"/>
  <c r="BH87" i="13"/>
  <c r="BI87" i="13"/>
  <c r="BJ87" i="13"/>
  <c r="BK87" i="13"/>
  <c r="BL87" i="13"/>
  <c r="BM87" i="13"/>
  <c r="BN87" i="13"/>
  <c r="BO87" i="13"/>
  <c r="BP87" i="13"/>
  <c r="BQ87" i="13"/>
  <c r="BR87" i="13"/>
  <c r="BS87" i="13"/>
  <c r="BT87" i="13"/>
  <c r="BU87" i="13"/>
  <c r="BV87" i="13"/>
  <c r="BW87" i="13"/>
  <c r="BX87" i="13"/>
  <c r="BY87" i="13"/>
  <c r="BZ87" i="13"/>
  <c r="CA87" i="13"/>
  <c r="CB87" i="13"/>
  <c r="CC87" i="13"/>
  <c r="CD87" i="13"/>
  <c r="CE87" i="13"/>
  <c r="CF87" i="13"/>
  <c r="CG87" i="13"/>
  <c r="CH87" i="13"/>
  <c r="CI87" i="13"/>
  <c r="CJ87" i="13"/>
  <c r="CK87" i="13"/>
  <c r="CL87" i="13"/>
  <c r="CM87" i="13"/>
  <c r="CN87" i="13"/>
  <c r="CO87" i="13"/>
  <c r="CP87" i="13"/>
  <c r="CQ87" i="13"/>
  <c r="CR87" i="13"/>
  <c r="CS87" i="13"/>
  <c r="CT87" i="13"/>
  <c r="CU87" i="13"/>
  <c r="CV87" i="13"/>
  <c r="CW87" i="13"/>
  <c r="CX87" i="13"/>
  <c r="CY87" i="13"/>
  <c r="CZ87" i="13"/>
  <c r="DA87" i="13"/>
  <c r="DB87" i="13"/>
  <c r="DC87" i="13"/>
  <c r="DD87" i="13"/>
  <c r="DE87" i="13"/>
  <c r="DF87" i="13"/>
  <c r="DG87" i="13"/>
  <c r="DH87" i="13"/>
  <c r="DI87" i="13"/>
  <c r="DJ87" i="13"/>
  <c r="DK87" i="13"/>
  <c r="DL87" i="13"/>
  <c r="DM87" i="13"/>
  <c r="DN87" i="13"/>
  <c r="DO87" i="13"/>
  <c r="DP87" i="13"/>
  <c r="DQ87" i="13"/>
  <c r="DR87" i="13"/>
  <c r="DS87" i="13"/>
  <c r="DT87" i="13"/>
  <c r="DU87" i="13"/>
  <c r="DV87" i="13"/>
  <c r="DW87" i="13"/>
  <c r="DX87" i="13"/>
  <c r="DY87" i="13"/>
  <c r="DZ87" i="13"/>
  <c r="EA87" i="13"/>
  <c r="EB87" i="13"/>
  <c r="EC87" i="13"/>
  <c r="ED87" i="13"/>
  <c r="EE87" i="13"/>
  <c r="EF87" i="13"/>
  <c r="EG87" i="13"/>
  <c r="EH87" i="13"/>
  <c r="EI87" i="13"/>
  <c r="EJ87" i="13"/>
  <c r="EK87" i="13"/>
  <c r="EL87" i="13"/>
  <c r="EM87" i="13"/>
  <c r="EN87" i="13"/>
  <c r="EO87" i="13"/>
  <c r="EP87" i="13"/>
  <c r="EQ87" i="13"/>
  <c r="ER87" i="13"/>
  <c r="ES87" i="13"/>
  <c r="ET87" i="13"/>
  <c r="EU87" i="13"/>
  <c r="EV87" i="13"/>
  <c r="EW87" i="13"/>
  <c r="EX87" i="13"/>
  <c r="EY87" i="13"/>
  <c r="EZ87" i="13"/>
  <c r="FA87" i="13"/>
  <c r="FB87" i="13"/>
  <c r="FC87" i="13"/>
  <c r="FD87" i="13"/>
  <c r="FE87" i="13"/>
  <c r="FF87" i="13"/>
  <c r="FG87" i="13"/>
  <c r="FH87" i="13"/>
  <c r="FI87" i="13"/>
  <c r="FJ87" i="13"/>
  <c r="FK87" i="13"/>
  <c r="FL87" i="13"/>
  <c r="FM87" i="13"/>
  <c r="FN87" i="13"/>
  <c r="FO87" i="13"/>
  <c r="FP87" i="13"/>
  <c r="FQ87" i="13"/>
  <c r="FR87" i="13"/>
  <c r="FS87" i="13"/>
  <c r="FT87" i="13"/>
  <c r="FU87" i="13"/>
  <c r="FV87" i="13"/>
  <c r="FW87" i="13"/>
  <c r="FX87" i="13"/>
  <c r="FY87" i="13"/>
  <c r="FZ87" i="13"/>
  <c r="GA87" i="13"/>
  <c r="GB87" i="13"/>
  <c r="GC87" i="13"/>
  <c r="GD87" i="13"/>
  <c r="GE87" i="13"/>
  <c r="GF87" i="13"/>
  <c r="GG87" i="13"/>
  <c r="GH87" i="13"/>
  <c r="GI87" i="13"/>
  <c r="GJ87" i="13"/>
  <c r="GK87" i="13"/>
  <c r="GL87" i="13"/>
  <c r="GM87" i="13"/>
  <c r="GN87" i="13"/>
  <c r="GO87" i="13"/>
  <c r="GP87" i="13"/>
  <c r="GQ87" i="13"/>
  <c r="GR87" i="13"/>
  <c r="GS87" i="13"/>
  <c r="GT87" i="13"/>
  <c r="GU87" i="13"/>
  <c r="GV87" i="13"/>
  <c r="GW87" i="13"/>
  <c r="GX87" i="13"/>
  <c r="GY87" i="13"/>
  <c r="GZ87" i="13"/>
  <c r="HA87" i="13"/>
  <c r="HB87" i="13"/>
  <c r="HC87" i="13"/>
  <c r="HD87" i="13"/>
  <c r="HE87" i="13"/>
  <c r="HF87" i="13"/>
  <c r="HG87" i="13"/>
  <c r="HH87" i="13"/>
  <c r="HI87" i="13"/>
  <c r="HJ87" i="13"/>
  <c r="HK87" i="13"/>
  <c r="HL87" i="13"/>
  <c r="HM87" i="13"/>
  <c r="HN87" i="13"/>
  <c r="HO87" i="13"/>
  <c r="HP87" i="13"/>
  <c r="HQ87" i="13"/>
  <c r="HR87" i="13"/>
  <c r="HS87" i="13"/>
  <c r="HT87" i="13"/>
  <c r="HU87" i="13"/>
  <c r="HV87" i="13"/>
  <c r="HW87" i="13"/>
  <c r="HX87" i="13"/>
  <c r="HY87" i="13"/>
  <c r="HZ87" i="13"/>
  <c r="IA87" i="13"/>
  <c r="IB87" i="13"/>
  <c r="IC87" i="13"/>
  <c r="ID87" i="13"/>
  <c r="IE87" i="13"/>
  <c r="IF87" i="13"/>
  <c r="IG87" i="13"/>
  <c r="IH87" i="13"/>
  <c r="II87" i="13"/>
  <c r="IJ87" i="13"/>
  <c r="IK87" i="13"/>
  <c r="IL87" i="13"/>
  <c r="IM87" i="13"/>
  <c r="IN87" i="13"/>
  <c r="IO87" i="13"/>
  <c r="IP87" i="13"/>
  <c r="IQ87" i="13"/>
  <c r="IR87" i="13"/>
  <c r="IS87" i="13"/>
  <c r="IT87" i="13"/>
  <c r="IU87" i="13"/>
  <c r="IV87" i="13"/>
  <c r="A86" i="13"/>
  <c r="B86" i="13"/>
  <c r="C86" i="13"/>
  <c r="D86" i="13"/>
  <c r="E86" i="13"/>
  <c r="F86" i="13"/>
  <c r="G86" i="13"/>
  <c r="H86" i="13"/>
  <c r="I86" i="13"/>
  <c r="J86" i="13"/>
  <c r="K86" i="13"/>
  <c r="L86" i="13"/>
  <c r="M86" i="13"/>
  <c r="N86" i="13"/>
  <c r="O86" i="13"/>
  <c r="P86" i="13"/>
  <c r="Q86" i="13"/>
  <c r="R86" i="13"/>
  <c r="S86" i="13"/>
  <c r="T86" i="13"/>
  <c r="U86" i="13"/>
  <c r="V86" i="13"/>
  <c r="W86" i="13"/>
  <c r="X86" i="13"/>
  <c r="Y86" i="13"/>
  <c r="Z86" i="13"/>
  <c r="AA86" i="13"/>
  <c r="AB86" i="13"/>
  <c r="AC86" i="13"/>
  <c r="AD86" i="13"/>
  <c r="AE86" i="13"/>
  <c r="AF86" i="13"/>
  <c r="AG86" i="13"/>
  <c r="AH86" i="13"/>
  <c r="AI86" i="13"/>
  <c r="AJ86" i="13"/>
  <c r="AK86" i="13"/>
  <c r="AL86" i="13"/>
  <c r="AM86" i="13"/>
  <c r="AN86" i="13"/>
  <c r="AO86" i="13"/>
  <c r="AP86" i="13"/>
  <c r="AQ86" i="13"/>
  <c r="AR86" i="13"/>
  <c r="AS86" i="13"/>
  <c r="AT86" i="13"/>
  <c r="AU86" i="13"/>
  <c r="AV86" i="13"/>
  <c r="AW86" i="13"/>
  <c r="AX86" i="13"/>
  <c r="AY86" i="13"/>
  <c r="AZ86" i="13"/>
  <c r="BA86" i="13"/>
  <c r="BB86" i="13"/>
  <c r="BC86" i="13"/>
  <c r="BD86" i="13"/>
  <c r="BE86" i="13"/>
  <c r="BF86" i="13"/>
  <c r="BG86" i="13"/>
  <c r="BH86" i="13"/>
  <c r="BI86" i="13"/>
  <c r="BJ86" i="13"/>
  <c r="BK86" i="13"/>
  <c r="BL86" i="13"/>
  <c r="BM86" i="13"/>
  <c r="BN86" i="13"/>
  <c r="BO86" i="13"/>
  <c r="BP86" i="13"/>
  <c r="BQ86" i="13"/>
  <c r="BR86" i="13"/>
  <c r="BS86" i="13"/>
  <c r="BT86" i="13"/>
  <c r="BU86" i="13"/>
  <c r="BV86" i="13"/>
  <c r="BW86" i="13"/>
  <c r="BX86" i="13"/>
  <c r="BY86" i="13"/>
  <c r="BZ86" i="13"/>
  <c r="CA86" i="13"/>
  <c r="CB86" i="13"/>
  <c r="CC86" i="13"/>
  <c r="CD86" i="13"/>
  <c r="CE86" i="13"/>
  <c r="CF86" i="13"/>
  <c r="CG86" i="13"/>
  <c r="CH86" i="13"/>
  <c r="CI86" i="13"/>
  <c r="CJ86" i="13"/>
  <c r="CK86" i="13"/>
  <c r="CL86" i="13"/>
  <c r="CM86" i="13"/>
  <c r="CN86" i="13"/>
  <c r="CO86" i="13"/>
  <c r="CP86" i="13"/>
  <c r="CQ86" i="13"/>
  <c r="CR86" i="13"/>
  <c r="CS86" i="13"/>
  <c r="CT86" i="13"/>
  <c r="CU86" i="13"/>
  <c r="CV86" i="13"/>
  <c r="CW86" i="13"/>
  <c r="CX86" i="13"/>
  <c r="CY86" i="13"/>
  <c r="CZ86" i="13"/>
  <c r="DA86" i="13"/>
  <c r="DB86" i="13"/>
  <c r="DC86" i="13"/>
  <c r="DD86" i="13"/>
  <c r="DE86" i="13"/>
  <c r="DF86" i="13"/>
  <c r="DG86" i="13"/>
  <c r="DH86" i="13"/>
  <c r="DI86" i="13"/>
  <c r="DJ86" i="13"/>
  <c r="DK86" i="13"/>
  <c r="DL86" i="13"/>
  <c r="DM86" i="13"/>
  <c r="DN86" i="13"/>
  <c r="DO86" i="13"/>
  <c r="DP86" i="13"/>
  <c r="DQ86" i="13"/>
  <c r="DR86" i="13"/>
  <c r="DS86" i="13"/>
  <c r="DT86" i="13"/>
  <c r="DU86" i="13"/>
  <c r="DV86" i="13"/>
  <c r="DW86" i="13"/>
  <c r="DX86" i="13"/>
  <c r="DY86" i="13"/>
  <c r="DZ86" i="13"/>
  <c r="EA86" i="13"/>
  <c r="EB86" i="13"/>
  <c r="EC86" i="13"/>
  <c r="ED86" i="13"/>
  <c r="EE86" i="13"/>
  <c r="EF86" i="13"/>
  <c r="EG86" i="13"/>
  <c r="EH86" i="13"/>
  <c r="EI86" i="13"/>
  <c r="EJ86" i="13"/>
  <c r="EK86" i="13"/>
  <c r="EL86" i="13"/>
  <c r="EM86" i="13"/>
  <c r="EN86" i="13"/>
  <c r="EO86" i="13"/>
  <c r="EP86" i="13"/>
  <c r="EQ86" i="13"/>
  <c r="ER86" i="13"/>
  <c r="ES86" i="13"/>
  <c r="ET86" i="13"/>
  <c r="EU86" i="13"/>
  <c r="EV86" i="13"/>
  <c r="EW86" i="13"/>
  <c r="EX86" i="13"/>
  <c r="EY86" i="13"/>
  <c r="EZ86" i="13"/>
  <c r="FA86" i="13"/>
  <c r="FB86" i="13"/>
  <c r="FC86" i="13"/>
  <c r="FD86" i="13"/>
  <c r="FE86" i="13"/>
  <c r="FF86" i="13"/>
  <c r="FG86" i="13"/>
  <c r="FH86" i="13"/>
  <c r="FI86" i="13"/>
  <c r="FJ86" i="13"/>
  <c r="FK86" i="13"/>
  <c r="FL86" i="13"/>
  <c r="FM86" i="13"/>
  <c r="FN86" i="13"/>
  <c r="FO86" i="13"/>
  <c r="FP86" i="13"/>
  <c r="FQ86" i="13"/>
  <c r="FR86" i="13"/>
  <c r="FS86" i="13"/>
  <c r="FT86" i="13"/>
  <c r="FU86" i="13"/>
  <c r="FV86" i="13"/>
  <c r="FW86" i="13"/>
  <c r="FX86" i="13"/>
  <c r="FY86" i="13"/>
  <c r="FZ86" i="13"/>
  <c r="GA86" i="13"/>
  <c r="GB86" i="13"/>
  <c r="GC86" i="13"/>
  <c r="GD86" i="13"/>
  <c r="GE86" i="13"/>
  <c r="GF86" i="13"/>
  <c r="GG86" i="13"/>
  <c r="GH86" i="13"/>
  <c r="GI86" i="13"/>
  <c r="GJ86" i="13"/>
  <c r="GK86" i="13"/>
  <c r="GL86" i="13"/>
  <c r="GM86" i="13"/>
  <c r="GN86" i="13"/>
  <c r="GO86" i="13"/>
  <c r="GP86" i="13"/>
  <c r="GQ86" i="13"/>
  <c r="GR86" i="13"/>
  <c r="GS86" i="13"/>
  <c r="GT86" i="13"/>
  <c r="GU86" i="13"/>
  <c r="GV86" i="13"/>
  <c r="GW86" i="13"/>
  <c r="GX86" i="13"/>
  <c r="GY86" i="13"/>
  <c r="GZ86" i="13"/>
  <c r="HA86" i="13"/>
  <c r="HB86" i="13"/>
  <c r="HC86" i="13"/>
  <c r="HD86" i="13"/>
  <c r="HE86" i="13"/>
  <c r="HF86" i="13"/>
  <c r="HG86" i="13"/>
  <c r="HH86" i="13"/>
  <c r="HI86" i="13"/>
  <c r="HJ86" i="13"/>
  <c r="HK86" i="13"/>
  <c r="HL86" i="13"/>
  <c r="HM86" i="13"/>
  <c r="HN86" i="13"/>
  <c r="HO86" i="13"/>
  <c r="HP86" i="13"/>
  <c r="HQ86" i="13"/>
  <c r="HR86" i="13"/>
  <c r="HS86" i="13"/>
  <c r="HT86" i="13"/>
  <c r="HU86" i="13"/>
  <c r="HV86" i="13"/>
  <c r="HW86" i="13"/>
  <c r="HX86" i="13"/>
  <c r="HY86" i="13"/>
  <c r="HZ86" i="13"/>
  <c r="IA86" i="13"/>
  <c r="IB86" i="13"/>
  <c r="IC86" i="13"/>
  <c r="ID86" i="13"/>
  <c r="IE86" i="13"/>
  <c r="IF86" i="13"/>
  <c r="IG86" i="13"/>
  <c r="IH86" i="13"/>
  <c r="II86" i="13"/>
  <c r="IJ86" i="13"/>
  <c r="IK86" i="13"/>
  <c r="IL86" i="13"/>
  <c r="IM86" i="13"/>
  <c r="IN86" i="13"/>
  <c r="IO86" i="13"/>
  <c r="IP86" i="13"/>
  <c r="IQ86" i="13"/>
  <c r="IR86" i="13"/>
  <c r="IS86" i="13"/>
  <c r="IT86" i="13"/>
  <c r="IU86" i="13"/>
  <c r="IV86" i="13"/>
  <c r="A85" i="13"/>
  <c r="B85" i="13"/>
  <c r="C85" i="13"/>
  <c r="D85" i="13"/>
  <c r="E85" i="13"/>
  <c r="F85" i="13"/>
  <c r="G85" i="13"/>
  <c r="H85" i="13"/>
  <c r="I85" i="13"/>
  <c r="J85" i="13"/>
  <c r="K85" i="13"/>
  <c r="L85" i="13"/>
  <c r="M85" i="13"/>
  <c r="N85" i="13"/>
  <c r="O85" i="13"/>
  <c r="P85" i="13"/>
  <c r="Q85" i="13"/>
  <c r="R85" i="13"/>
  <c r="S85" i="13"/>
  <c r="T85" i="13"/>
  <c r="U85" i="13"/>
  <c r="V85" i="13"/>
  <c r="W85" i="13"/>
  <c r="X85" i="13"/>
  <c r="Y85" i="13"/>
  <c r="Z85" i="13"/>
  <c r="AA85" i="13"/>
  <c r="AB85" i="13"/>
  <c r="AC85" i="13"/>
  <c r="AD85" i="13"/>
  <c r="AE85" i="13"/>
  <c r="AF85" i="13"/>
  <c r="AG85" i="13"/>
  <c r="AH85" i="13"/>
  <c r="AI85" i="13"/>
  <c r="AJ85" i="13"/>
  <c r="AK85" i="13"/>
  <c r="AL85" i="13"/>
  <c r="AM85" i="13"/>
  <c r="AN85" i="13"/>
  <c r="AO85" i="13"/>
  <c r="AP85" i="13"/>
  <c r="AQ85" i="13"/>
  <c r="AR85" i="13"/>
  <c r="AS85" i="13"/>
  <c r="AT85" i="13"/>
  <c r="AU85" i="13"/>
  <c r="AV85" i="13"/>
  <c r="AW85" i="13"/>
  <c r="AX85" i="13"/>
  <c r="AY85" i="13"/>
  <c r="AZ85" i="13"/>
  <c r="BA85" i="13"/>
  <c r="BB85" i="13"/>
  <c r="BC85" i="13"/>
  <c r="BD85" i="13"/>
  <c r="BE85" i="13"/>
  <c r="BF85" i="13"/>
  <c r="BG85" i="13"/>
  <c r="BH85" i="13"/>
  <c r="BI85" i="13"/>
  <c r="BJ85" i="13"/>
  <c r="BK85" i="13"/>
  <c r="BL85" i="13"/>
  <c r="BM85" i="13"/>
  <c r="BN85" i="13"/>
  <c r="BO85" i="13"/>
  <c r="BP85" i="13"/>
  <c r="BQ85" i="13"/>
  <c r="BR85" i="13"/>
  <c r="BS85" i="13"/>
  <c r="BT85" i="13"/>
  <c r="BU85" i="13"/>
  <c r="BV85" i="13"/>
  <c r="BW85" i="13"/>
  <c r="BX85" i="13"/>
  <c r="BY85" i="13"/>
  <c r="BZ85" i="13"/>
  <c r="CA85" i="13"/>
  <c r="CB85" i="13"/>
  <c r="CC85" i="13"/>
  <c r="CD85" i="13"/>
  <c r="CE85" i="13"/>
  <c r="CF85" i="13"/>
  <c r="CG85" i="13"/>
  <c r="CH85" i="13"/>
  <c r="CI85" i="13"/>
  <c r="CJ85" i="13"/>
  <c r="CK85" i="13"/>
  <c r="CL85" i="13"/>
  <c r="CM85" i="13"/>
  <c r="CN85" i="13"/>
  <c r="CO85" i="13"/>
  <c r="CP85" i="13"/>
  <c r="CQ85" i="13"/>
  <c r="CR85" i="13"/>
  <c r="CS85" i="13"/>
  <c r="CT85" i="13"/>
  <c r="CU85" i="13"/>
  <c r="CV85" i="13"/>
  <c r="CW85" i="13"/>
  <c r="CX85" i="13"/>
  <c r="CY85" i="13"/>
  <c r="CZ85" i="13"/>
  <c r="DA85" i="13"/>
  <c r="DB85" i="13"/>
  <c r="DC85" i="13"/>
  <c r="DD85" i="13"/>
  <c r="DE85" i="13"/>
  <c r="DF85" i="13"/>
  <c r="DG85" i="13"/>
  <c r="DH85" i="13"/>
  <c r="DI85" i="13"/>
  <c r="DJ85" i="13"/>
  <c r="DK85" i="13"/>
  <c r="DL85" i="13"/>
  <c r="DM85" i="13"/>
  <c r="DN85" i="13"/>
  <c r="DO85" i="13"/>
  <c r="DP85" i="13"/>
  <c r="DQ85" i="13"/>
  <c r="DR85" i="13"/>
  <c r="DS85" i="13"/>
  <c r="DT85" i="13"/>
  <c r="DU85" i="13"/>
  <c r="DV85" i="13"/>
  <c r="DW85" i="13"/>
  <c r="DX85" i="13"/>
  <c r="DY85" i="13"/>
  <c r="DZ85" i="13"/>
  <c r="EA85" i="13"/>
  <c r="EB85" i="13"/>
  <c r="EC85" i="13"/>
  <c r="ED85" i="13"/>
  <c r="EE85" i="13"/>
  <c r="EF85" i="13"/>
  <c r="EG85" i="13"/>
  <c r="EH85" i="13"/>
  <c r="EI85" i="13"/>
  <c r="EJ85" i="13"/>
  <c r="EK85" i="13"/>
  <c r="EL85" i="13"/>
  <c r="EM85" i="13"/>
  <c r="EN85" i="13"/>
  <c r="EO85" i="13"/>
  <c r="EP85" i="13"/>
  <c r="EQ85" i="13"/>
  <c r="ER85" i="13"/>
  <c r="ES85" i="13"/>
  <c r="ET85" i="13"/>
  <c r="EU85" i="13"/>
  <c r="EV85" i="13"/>
  <c r="EW85" i="13"/>
  <c r="EX85" i="13"/>
  <c r="EY85" i="13"/>
  <c r="EZ85" i="13"/>
  <c r="FA85" i="13"/>
  <c r="FB85" i="13"/>
  <c r="FC85" i="13"/>
  <c r="FD85" i="13"/>
  <c r="FE85" i="13"/>
  <c r="FF85" i="13"/>
  <c r="FG85" i="13"/>
  <c r="FH85" i="13"/>
  <c r="FI85" i="13"/>
  <c r="FJ85" i="13"/>
  <c r="FK85" i="13"/>
  <c r="FL85" i="13"/>
  <c r="FM85" i="13"/>
  <c r="FN85" i="13"/>
  <c r="FO85" i="13"/>
  <c r="FP85" i="13"/>
  <c r="FQ85" i="13"/>
  <c r="FR85" i="13"/>
  <c r="FS85" i="13"/>
  <c r="FT85" i="13"/>
  <c r="FU85" i="13"/>
  <c r="FV85" i="13"/>
  <c r="FW85" i="13"/>
  <c r="FX85" i="13"/>
  <c r="FY85" i="13"/>
  <c r="FZ85" i="13"/>
  <c r="GA85" i="13"/>
  <c r="GB85" i="13"/>
  <c r="GC85" i="13"/>
  <c r="GD85" i="13"/>
  <c r="GE85" i="13"/>
  <c r="GF85" i="13"/>
  <c r="GG85" i="13"/>
  <c r="GH85" i="13"/>
  <c r="GI85" i="13"/>
  <c r="GJ85" i="13"/>
  <c r="GK85" i="13"/>
  <c r="GL85" i="13"/>
  <c r="GM85" i="13"/>
  <c r="GN85" i="13"/>
  <c r="GO85" i="13"/>
  <c r="GP85" i="13"/>
  <c r="GQ85" i="13"/>
  <c r="GR85" i="13"/>
  <c r="GS85" i="13"/>
  <c r="GT85" i="13"/>
  <c r="GU85" i="13"/>
  <c r="GV85" i="13"/>
  <c r="GW85" i="13"/>
  <c r="GX85" i="13"/>
  <c r="GY85" i="13"/>
  <c r="GZ85" i="13"/>
  <c r="HA85" i="13"/>
  <c r="HB85" i="13"/>
  <c r="HC85" i="13"/>
  <c r="HD85" i="13"/>
  <c r="HE85" i="13"/>
  <c r="HF85" i="13"/>
  <c r="HG85" i="13"/>
  <c r="HH85" i="13"/>
  <c r="HI85" i="13"/>
  <c r="HJ85" i="13"/>
  <c r="HK85" i="13"/>
  <c r="HL85" i="13"/>
  <c r="HM85" i="13"/>
  <c r="HN85" i="13"/>
  <c r="HO85" i="13"/>
  <c r="HP85" i="13"/>
  <c r="HQ85" i="13"/>
  <c r="HR85" i="13"/>
  <c r="HS85" i="13"/>
  <c r="HT85" i="13"/>
  <c r="HU85" i="13"/>
  <c r="HV85" i="13"/>
  <c r="HW85" i="13"/>
  <c r="HX85" i="13"/>
  <c r="HY85" i="13"/>
  <c r="HZ85" i="13"/>
  <c r="IA85" i="13"/>
  <c r="IB85" i="13"/>
  <c r="IC85" i="13"/>
  <c r="ID85" i="13"/>
  <c r="IE85" i="13"/>
  <c r="IF85" i="13"/>
  <c r="IG85" i="13"/>
  <c r="IH85" i="13"/>
  <c r="II85" i="13"/>
  <c r="IJ85" i="13"/>
  <c r="IK85" i="13"/>
  <c r="IL85" i="13"/>
  <c r="IM85" i="13"/>
  <c r="IN85" i="13"/>
  <c r="IO85" i="13"/>
  <c r="IP85" i="13"/>
  <c r="IQ85" i="13"/>
  <c r="IR85" i="13"/>
  <c r="IS85" i="13"/>
  <c r="IT85" i="13"/>
  <c r="IU85" i="13"/>
  <c r="IV85" i="13"/>
  <c r="A84" i="13"/>
  <c r="B84" i="13"/>
  <c r="C84" i="13"/>
  <c r="D84" i="13"/>
  <c r="E84" i="13"/>
  <c r="F84" i="13"/>
  <c r="G84" i="13"/>
  <c r="H84" i="13"/>
  <c r="I84" i="13"/>
  <c r="J84" i="13"/>
  <c r="K84" i="13"/>
  <c r="L84" i="13"/>
  <c r="M84" i="13"/>
  <c r="N84" i="13"/>
  <c r="O84" i="13"/>
  <c r="P84" i="13"/>
  <c r="Q84" i="13"/>
  <c r="R84" i="13"/>
  <c r="S84" i="13"/>
  <c r="T84" i="13"/>
  <c r="U84" i="13"/>
  <c r="V84" i="13"/>
  <c r="W84" i="13"/>
  <c r="X84" i="13"/>
  <c r="Y84" i="13"/>
  <c r="Z84" i="13"/>
  <c r="AA84" i="13"/>
  <c r="AB84" i="13"/>
  <c r="AC84" i="13"/>
  <c r="AD84" i="13"/>
  <c r="AE84" i="13"/>
  <c r="AF84" i="13"/>
  <c r="AG84" i="13"/>
  <c r="AH84" i="13"/>
  <c r="AI84" i="13"/>
  <c r="AJ84" i="13"/>
  <c r="AK84" i="13"/>
  <c r="AL84" i="13"/>
  <c r="AM84" i="13"/>
  <c r="AN84" i="13"/>
  <c r="AO84" i="13"/>
  <c r="AP84" i="13"/>
  <c r="AQ84" i="13"/>
  <c r="AR84" i="13"/>
  <c r="AS84" i="13"/>
  <c r="AT84" i="13"/>
  <c r="AU84" i="13"/>
  <c r="AV84" i="13"/>
  <c r="AW84" i="13"/>
  <c r="AX84" i="13"/>
  <c r="AY84" i="13"/>
  <c r="AZ84" i="13"/>
  <c r="BA84" i="13"/>
  <c r="BB84" i="13"/>
  <c r="BC84" i="13"/>
  <c r="BD84" i="13"/>
  <c r="BE84" i="13"/>
  <c r="BF84" i="13"/>
  <c r="BG84" i="13"/>
  <c r="BH84" i="13"/>
  <c r="BI84" i="13"/>
  <c r="BJ84" i="13"/>
  <c r="BK84" i="13"/>
  <c r="BL84" i="13"/>
  <c r="BM84" i="13"/>
  <c r="BN84" i="13"/>
  <c r="BO84" i="13"/>
  <c r="BP84" i="13"/>
  <c r="BQ84" i="13"/>
  <c r="BR84" i="13"/>
  <c r="BS84" i="13"/>
  <c r="BT84" i="13"/>
  <c r="BU84" i="13"/>
  <c r="BV84" i="13"/>
  <c r="BW84" i="13"/>
  <c r="BX84" i="13"/>
  <c r="BY84" i="13"/>
  <c r="BZ84" i="13"/>
  <c r="CA84" i="13"/>
  <c r="CB84" i="13"/>
  <c r="CC84" i="13"/>
  <c r="CD84" i="13"/>
  <c r="CE84" i="13"/>
  <c r="CF84" i="13"/>
  <c r="CG84" i="13"/>
  <c r="CH84" i="13"/>
  <c r="CI84" i="13"/>
  <c r="CJ84" i="13"/>
  <c r="CK84" i="13"/>
  <c r="CL84" i="13"/>
  <c r="CM84" i="13"/>
  <c r="CN84" i="13"/>
  <c r="CO84" i="13"/>
  <c r="CP84" i="13"/>
  <c r="CQ84" i="13"/>
  <c r="CR84" i="13"/>
  <c r="CS84" i="13"/>
  <c r="CT84" i="13"/>
  <c r="CU84" i="13"/>
  <c r="CV84" i="13"/>
  <c r="CW84" i="13"/>
  <c r="CX84" i="13"/>
  <c r="CY84" i="13"/>
  <c r="CZ84" i="13"/>
  <c r="DA84" i="13"/>
  <c r="DB84" i="13"/>
  <c r="DC84" i="13"/>
  <c r="DD84" i="13"/>
  <c r="DE84" i="13"/>
  <c r="DF84" i="13"/>
  <c r="DG84" i="13"/>
  <c r="DH84" i="13"/>
  <c r="DI84" i="13"/>
  <c r="DJ84" i="13"/>
  <c r="DK84" i="13"/>
  <c r="DL84" i="13"/>
  <c r="DM84" i="13"/>
  <c r="DN84" i="13"/>
  <c r="DO84" i="13"/>
  <c r="DP84" i="13"/>
  <c r="DQ84" i="13"/>
  <c r="DR84" i="13"/>
  <c r="DS84" i="13"/>
  <c r="DT84" i="13"/>
  <c r="DU84" i="13"/>
  <c r="DV84" i="13"/>
  <c r="DW84" i="13"/>
  <c r="DX84" i="13"/>
  <c r="DY84" i="13"/>
  <c r="DZ84" i="13"/>
  <c r="EA84" i="13"/>
  <c r="EB84" i="13"/>
  <c r="EC84" i="13"/>
  <c r="ED84" i="13"/>
  <c r="EE84" i="13"/>
  <c r="EF84" i="13"/>
  <c r="EG84" i="13"/>
  <c r="EH84" i="13"/>
  <c r="EI84" i="13"/>
  <c r="EJ84" i="13"/>
  <c r="EK84" i="13"/>
  <c r="EL84" i="13"/>
  <c r="EM84" i="13"/>
  <c r="EN84" i="13"/>
  <c r="EO84" i="13"/>
  <c r="EP84" i="13"/>
  <c r="EQ84" i="13"/>
  <c r="ER84" i="13"/>
  <c r="ES84" i="13"/>
  <c r="ET84" i="13"/>
  <c r="EU84" i="13"/>
  <c r="EV84" i="13"/>
  <c r="EW84" i="13"/>
  <c r="EX84" i="13"/>
  <c r="EY84" i="13"/>
  <c r="EZ84" i="13"/>
  <c r="FA84" i="13"/>
  <c r="FB84" i="13"/>
  <c r="FC84" i="13"/>
  <c r="FD84" i="13"/>
  <c r="FE84" i="13"/>
  <c r="FF84" i="13"/>
  <c r="FG84" i="13"/>
  <c r="FH84" i="13"/>
  <c r="FI84" i="13"/>
  <c r="FJ84" i="13"/>
  <c r="FK84" i="13"/>
  <c r="FL84" i="13"/>
  <c r="FM84" i="13"/>
  <c r="FN84" i="13"/>
  <c r="FO84" i="13"/>
  <c r="FP84" i="13"/>
  <c r="FQ84" i="13"/>
  <c r="FR84" i="13"/>
  <c r="FS84" i="13"/>
  <c r="FT84" i="13"/>
  <c r="FU84" i="13"/>
  <c r="FV84" i="13"/>
  <c r="FW84" i="13"/>
  <c r="FX84" i="13"/>
  <c r="FY84" i="13"/>
  <c r="FZ84" i="13"/>
  <c r="GA84" i="13"/>
  <c r="GB84" i="13"/>
  <c r="GC84" i="13"/>
  <c r="GD84" i="13"/>
  <c r="GE84" i="13"/>
  <c r="GF84" i="13"/>
  <c r="GG84" i="13"/>
  <c r="GH84" i="13"/>
  <c r="GI84" i="13"/>
  <c r="GJ84" i="13"/>
  <c r="GK84" i="13"/>
  <c r="GL84" i="13"/>
  <c r="GM84" i="13"/>
  <c r="GN84" i="13"/>
  <c r="GO84" i="13"/>
  <c r="GP84" i="13"/>
  <c r="GQ84" i="13"/>
  <c r="GR84" i="13"/>
  <c r="GS84" i="13"/>
  <c r="GT84" i="13"/>
  <c r="GU84" i="13"/>
  <c r="GV84" i="13"/>
  <c r="GW84" i="13"/>
  <c r="GX84" i="13"/>
  <c r="GY84" i="13"/>
  <c r="GZ84" i="13"/>
  <c r="HA84" i="13"/>
  <c r="HB84" i="13"/>
  <c r="HC84" i="13"/>
  <c r="HD84" i="13"/>
  <c r="HE84" i="13"/>
  <c r="HF84" i="13"/>
  <c r="HG84" i="13"/>
  <c r="HH84" i="13"/>
  <c r="HI84" i="13"/>
  <c r="HJ84" i="13"/>
  <c r="HK84" i="13"/>
  <c r="HL84" i="13"/>
  <c r="HM84" i="13"/>
  <c r="HN84" i="13"/>
  <c r="HO84" i="13"/>
  <c r="HP84" i="13"/>
  <c r="HQ84" i="13"/>
  <c r="HR84" i="13"/>
  <c r="HS84" i="13"/>
  <c r="HT84" i="13"/>
  <c r="HU84" i="13"/>
  <c r="HV84" i="13"/>
  <c r="HW84" i="13"/>
  <c r="HX84" i="13"/>
  <c r="HY84" i="13"/>
  <c r="HZ84" i="13"/>
  <c r="IA84" i="13"/>
  <c r="IB84" i="13"/>
  <c r="IC84" i="13"/>
  <c r="ID84" i="13"/>
  <c r="IE84" i="13"/>
  <c r="IF84" i="13"/>
  <c r="IG84" i="13"/>
  <c r="IH84" i="13"/>
  <c r="II84" i="13"/>
  <c r="IJ84" i="13"/>
  <c r="IK84" i="13"/>
  <c r="IL84" i="13"/>
  <c r="IM84" i="13"/>
  <c r="IN84" i="13"/>
  <c r="IO84" i="13"/>
  <c r="IP84" i="13"/>
  <c r="IQ84" i="13"/>
  <c r="IR84" i="13"/>
  <c r="IS84" i="13"/>
  <c r="IT84" i="13"/>
  <c r="IU84" i="13"/>
  <c r="IV84" i="13"/>
  <c r="A83" i="13"/>
  <c r="B83" i="13"/>
  <c r="C83" i="13"/>
  <c r="D83" i="13"/>
  <c r="E83" i="13"/>
  <c r="F83" i="13"/>
  <c r="G83" i="13"/>
  <c r="H83" i="13"/>
  <c r="I83" i="13"/>
  <c r="J83" i="13"/>
  <c r="K83" i="13"/>
  <c r="L83" i="13"/>
  <c r="M83" i="13"/>
  <c r="N83" i="13"/>
  <c r="O83" i="13"/>
  <c r="P83" i="13"/>
  <c r="Q83" i="13"/>
  <c r="R83" i="13"/>
  <c r="S83" i="13"/>
  <c r="T83" i="13"/>
  <c r="U83" i="13"/>
  <c r="V83" i="13"/>
  <c r="W83" i="13"/>
  <c r="X83" i="13"/>
  <c r="Y83" i="13"/>
  <c r="Z83" i="13"/>
  <c r="AA83" i="13"/>
  <c r="AB83" i="13"/>
  <c r="AC83" i="13"/>
  <c r="AD83" i="13"/>
  <c r="AE83" i="13"/>
  <c r="AF83" i="13"/>
  <c r="AG83" i="13"/>
  <c r="AH83" i="13"/>
  <c r="AI83" i="13"/>
  <c r="AJ83" i="13"/>
  <c r="AK83" i="13"/>
  <c r="AL83" i="13"/>
  <c r="AM83" i="13"/>
  <c r="AN83" i="13"/>
  <c r="AO83" i="13"/>
  <c r="AP83" i="13"/>
  <c r="AQ83" i="13"/>
  <c r="AR83" i="13"/>
  <c r="AS83" i="13"/>
  <c r="AT83" i="13"/>
  <c r="AU83" i="13"/>
  <c r="AV83" i="13"/>
  <c r="AW83" i="13"/>
  <c r="AX83" i="13"/>
  <c r="AY83" i="13"/>
  <c r="AZ83" i="13"/>
  <c r="BA83" i="13"/>
  <c r="BB83" i="13"/>
  <c r="BC83" i="13"/>
  <c r="BD83" i="13"/>
  <c r="BE83" i="13"/>
  <c r="BF83" i="13"/>
  <c r="BG83" i="13"/>
  <c r="BH83" i="13"/>
  <c r="BI83" i="13"/>
  <c r="BJ83" i="13"/>
  <c r="BK83" i="13"/>
  <c r="BL83" i="13"/>
  <c r="BM83" i="13"/>
  <c r="BN83" i="13"/>
  <c r="BO83" i="13"/>
  <c r="BP83" i="13"/>
  <c r="BQ83" i="13"/>
  <c r="BR83" i="13"/>
  <c r="BS83" i="13"/>
  <c r="BT83" i="13"/>
  <c r="BU83" i="13"/>
  <c r="BV83" i="13"/>
  <c r="BW83" i="13"/>
  <c r="BX83" i="13"/>
  <c r="BY83" i="13"/>
  <c r="BZ83" i="13"/>
  <c r="CA83" i="13"/>
  <c r="CB83" i="13"/>
  <c r="CC83" i="13"/>
  <c r="CD83" i="13"/>
  <c r="CE83" i="13"/>
  <c r="CF83" i="13"/>
  <c r="CG83" i="13"/>
  <c r="CH83" i="13"/>
  <c r="CI83" i="13"/>
  <c r="CJ83" i="13"/>
  <c r="CK83" i="13"/>
  <c r="CL83" i="13"/>
  <c r="CM83" i="13"/>
  <c r="CN83" i="13"/>
  <c r="CO83" i="13"/>
  <c r="CP83" i="13"/>
  <c r="CQ83" i="13"/>
  <c r="CR83" i="13"/>
  <c r="CS83" i="13"/>
  <c r="CT83" i="13"/>
  <c r="CU83" i="13"/>
  <c r="CV83" i="13"/>
  <c r="CW83" i="13"/>
  <c r="CX83" i="13"/>
  <c r="CY83" i="13"/>
  <c r="CZ83" i="13"/>
  <c r="DA83" i="13"/>
  <c r="DB83" i="13"/>
  <c r="DC83" i="13"/>
  <c r="DD83" i="13"/>
  <c r="DE83" i="13"/>
  <c r="DF83" i="13"/>
  <c r="DG83" i="13"/>
  <c r="DH83" i="13"/>
  <c r="DI83" i="13"/>
  <c r="DJ83" i="13"/>
  <c r="DK83" i="13"/>
  <c r="DL83" i="13"/>
  <c r="DM83" i="13"/>
  <c r="DN83" i="13"/>
  <c r="DO83" i="13"/>
  <c r="DP83" i="13"/>
  <c r="DQ83" i="13"/>
  <c r="DR83" i="13"/>
  <c r="DS83" i="13"/>
  <c r="DT83" i="13"/>
  <c r="DU83" i="13"/>
  <c r="DV83" i="13"/>
  <c r="DW83" i="13"/>
  <c r="DX83" i="13"/>
  <c r="DY83" i="13"/>
  <c r="DZ83" i="13"/>
  <c r="EA83" i="13"/>
  <c r="EB83" i="13"/>
  <c r="EC83" i="13"/>
  <c r="ED83" i="13"/>
  <c r="EE83" i="13"/>
  <c r="EF83" i="13"/>
  <c r="EG83" i="13"/>
  <c r="EH83" i="13"/>
  <c r="EI83" i="13"/>
  <c r="EJ83" i="13"/>
  <c r="EK83" i="13"/>
  <c r="EL83" i="13"/>
  <c r="EM83" i="13"/>
  <c r="EN83" i="13"/>
  <c r="EO83" i="13"/>
  <c r="EP83" i="13"/>
  <c r="EQ83" i="13"/>
  <c r="ER83" i="13"/>
  <c r="ES83" i="13"/>
  <c r="ET83" i="13"/>
  <c r="EU83" i="13"/>
  <c r="EV83" i="13"/>
  <c r="EW83" i="13"/>
  <c r="EX83" i="13"/>
  <c r="EY83" i="13"/>
  <c r="EZ83" i="13"/>
  <c r="FA83" i="13"/>
  <c r="FB83" i="13"/>
  <c r="FC83" i="13"/>
  <c r="FD83" i="13"/>
  <c r="FE83" i="13"/>
  <c r="FF83" i="13"/>
  <c r="FG83" i="13"/>
  <c r="FH83" i="13"/>
  <c r="FI83" i="13"/>
  <c r="FJ83" i="13"/>
  <c r="FK83" i="13"/>
  <c r="FL83" i="13"/>
  <c r="FM83" i="13"/>
  <c r="FN83" i="13"/>
  <c r="FO83" i="13"/>
  <c r="FP83" i="13"/>
  <c r="FQ83" i="13"/>
  <c r="FR83" i="13"/>
  <c r="FS83" i="13"/>
  <c r="FT83" i="13"/>
  <c r="FU83" i="13"/>
  <c r="FV83" i="13"/>
  <c r="FW83" i="13"/>
  <c r="FX83" i="13"/>
  <c r="FY83" i="13"/>
  <c r="FZ83" i="13"/>
  <c r="GA83" i="13"/>
  <c r="GB83" i="13"/>
  <c r="GC83" i="13"/>
  <c r="GD83" i="13"/>
  <c r="GE83" i="13"/>
  <c r="GF83" i="13"/>
  <c r="GG83" i="13"/>
  <c r="GH83" i="13"/>
  <c r="GI83" i="13"/>
  <c r="GJ83" i="13"/>
  <c r="GK83" i="13"/>
  <c r="GL83" i="13"/>
  <c r="GM83" i="13"/>
  <c r="GN83" i="13"/>
  <c r="GO83" i="13"/>
  <c r="GP83" i="13"/>
  <c r="GQ83" i="13"/>
  <c r="GR83" i="13"/>
  <c r="GS83" i="13"/>
  <c r="GT83" i="13"/>
  <c r="GU83" i="13"/>
  <c r="GV83" i="13"/>
  <c r="GW83" i="13"/>
  <c r="GX83" i="13"/>
  <c r="GY83" i="13"/>
  <c r="GZ83" i="13"/>
  <c r="HA83" i="13"/>
  <c r="HB83" i="13"/>
  <c r="HC83" i="13"/>
  <c r="HD83" i="13"/>
  <c r="HE83" i="13"/>
  <c r="HF83" i="13"/>
  <c r="HG83" i="13"/>
  <c r="HH83" i="13"/>
  <c r="HI83" i="13"/>
  <c r="HJ83" i="13"/>
  <c r="HK83" i="13"/>
  <c r="HL83" i="13"/>
  <c r="HM83" i="13"/>
  <c r="HN83" i="13"/>
  <c r="HO83" i="13"/>
  <c r="HP83" i="13"/>
  <c r="HQ83" i="13"/>
  <c r="HR83" i="13"/>
  <c r="HS83" i="13"/>
  <c r="HT83" i="13"/>
  <c r="HU83" i="13"/>
  <c r="HV83" i="13"/>
  <c r="HW83" i="13"/>
  <c r="HX83" i="13"/>
  <c r="HY83" i="13"/>
  <c r="HZ83" i="13"/>
  <c r="IA83" i="13"/>
  <c r="IB83" i="13"/>
  <c r="IC83" i="13"/>
  <c r="ID83" i="13"/>
  <c r="IE83" i="13"/>
  <c r="IF83" i="13"/>
  <c r="IG83" i="13"/>
  <c r="IH83" i="13"/>
  <c r="II83" i="13"/>
  <c r="IJ83" i="13"/>
  <c r="IK83" i="13"/>
  <c r="IL83" i="13"/>
  <c r="IM83" i="13"/>
  <c r="IN83" i="13"/>
  <c r="IO83" i="13"/>
  <c r="IP83" i="13"/>
  <c r="IQ83" i="13"/>
  <c r="IR83" i="13"/>
  <c r="IS83" i="13"/>
  <c r="IT83" i="13"/>
  <c r="IU83" i="13"/>
  <c r="IV83" i="13"/>
  <c r="A82" i="13"/>
  <c r="B82" i="13"/>
  <c r="C82" i="13"/>
  <c r="D82" i="13"/>
  <c r="E82" i="13"/>
  <c r="F82" i="13"/>
  <c r="G82" i="13"/>
  <c r="H82" i="13"/>
  <c r="I82" i="13"/>
  <c r="J82" i="13"/>
  <c r="K82" i="13"/>
  <c r="L82" i="13"/>
  <c r="M82" i="13"/>
  <c r="N82" i="13"/>
  <c r="O82" i="13"/>
  <c r="P82" i="13"/>
  <c r="Q82" i="13"/>
  <c r="R82" i="13"/>
  <c r="S82" i="13"/>
  <c r="T82" i="13"/>
  <c r="U82" i="13"/>
  <c r="V82" i="13"/>
  <c r="W82" i="13"/>
  <c r="X82" i="13"/>
  <c r="Y82" i="13"/>
  <c r="Z82" i="13"/>
  <c r="AA82" i="13"/>
  <c r="AB82" i="13"/>
  <c r="AC82" i="13"/>
  <c r="AD82" i="13"/>
  <c r="AE82" i="13"/>
  <c r="AF82" i="13"/>
  <c r="AG82" i="13"/>
  <c r="AH82" i="13"/>
  <c r="AI82" i="13"/>
  <c r="AJ82" i="13"/>
  <c r="AK82" i="13"/>
  <c r="AL82" i="13"/>
  <c r="AM82" i="13"/>
  <c r="AN82" i="13"/>
  <c r="AO82" i="13"/>
  <c r="AP82" i="13"/>
  <c r="AQ82" i="13"/>
  <c r="AR82" i="13"/>
  <c r="AS82" i="13"/>
  <c r="AT82" i="13"/>
  <c r="AU82" i="13"/>
  <c r="AV82" i="13"/>
  <c r="AW82" i="13"/>
  <c r="AX82" i="13"/>
  <c r="AY82" i="13"/>
  <c r="AZ82" i="13"/>
  <c r="BA82" i="13"/>
  <c r="BB82" i="13"/>
  <c r="BC82" i="13"/>
  <c r="BD82" i="13"/>
  <c r="BE82" i="13"/>
  <c r="BF82" i="13"/>
  <c r="BG82" i="13"/>
  <c r="BH82" i="13"/>
  <c r="BI82" i="13"/>
  <c r="BJ82" i="13"/>
  <c r="BK82" i="13"/>
  <c r="BL82" i="13"/>
  <c r="BM82" i="13"/>
  <c r="BN82" i="13"/>
  <c r="BO82" i="13"/>
  <c r="BP82" i="13"/>
  <c r="BQ82" i="13"/>
  <c r="BR82" i="13"/>
  <c r="BS82" i="13"/>
  <c r="BT82" i="13"/>
  <c r="BU82" i="13"/>
  <c r="BV82" i="13"/>
  <c r="BW82" i="13"/>
  <c r="BX82" i="13"/>
  <c r="BY82" i="13"/>
  <c r="BZ82" i="13"/>
  <c r="CA82" i="13"/>
  <c r="CB82" i="13"/>
  <c r="CC82" i="13"/>
  <c r="CD82" i="13"/>
  <c r="CE82" i="13"/>
  <c r="CF82" i="13"/>
  <c r="CG82" i="13"/>
  <c r="CH82" i="13"/>
  <c r="CI82" i="13"/>
  <c r="CJ82" i="13"/>
  <c r="CK82" i="13"/>
  <c r="CL82" i="13"/>
  <c r="CM82" i="13"/>
  <c r="CN82" i="13"/>
  <c r="CO82" i="13"/>
  <c r="CP82" i="13"/>
  <c r="CQ82" i="13"/>
  <c r="CR82" i="13"/>
  <c r="CS82" i="13"/>
  <c r="CT82" i="13"/>
  <c r="CU82" i="13"/>
  <c r="CV82" i="13"/>
  <c r="CW82" i="13"/>
  <c r="CX82" i="13"/>
  <c r="CY82" i="13"/>
  <c r="CZ82" i="13"/>
  <c r="DA82" i="13"/>
  <c r="DB82" i="13"/>
  <c r="DC82" i="13"/>
  <c r="DD82" i="13"/>
  <c r="DE82" i="13"/>
  <c r="DF82" i="13"/>
  <c r="DG82" i="13"/>
  <c r="DH82" i="13"/>
  <c r="DI82" i="13"/>
  <c r="DJ82" i="13"/>
  <c r="DK82" i="13"/>
  <c r="DL82" i="13"/>
  <c r="DM82" i="13"/>
  <c r="DN82" i="13"/>
  <c r="DO82" i="13"/>
  <c r="DP82" i="13"/>
  <c r="DQ82" i="13"/>
  <c r="DR82" i="13"/>
  <c r="DS82" i="13"/>
  <c r="DT82" i="13"/>
  <c r="DU82" i="13"/>
  <c r="DV82" i="13"/>
  <c r="DW82" i="13"/>
  <c r="DX82" i="13"/>
  <c r="DY82" i="13"/>
  <c r="DZ82" i="13"/>
  <c r="EA82" i="13"/>
  <c r="EB82" i="13"/>
  <c r="EC82" i="13"/>
  <c r="ED82" i="13"/>
  <c r="EE82" i="13"/>
  <c r="EF82" i="13"/>
  <c r="EG82" i="13"/>
  <c r="EH82" i="13"/>
  <c r="EI82" i="13"/>
  <c r="EJ82" i="13"/>
  <c r="EK82" i="13"/>
  <c r="EL82" i="13"/>
  <c r="EM82" i="13"/>
  <c r="EN82" i="13"/>
  <c r="EO82" i="13"/>
  <c r="EP82" i="13"/>
  <c r="EQ82" i="13"/>
  <c r="ER82" i="13"/>
  <c r="ES82" i="13"/>
  <c r="ET82" i="13"/>
  <c r="EU82" i="13"/>
  <c r="EV82" i="13"/>
  <c r="EW82" i="13"/>
  <c r="EX82" i="13"/>
  <c r="EY82" i="13"/>
  <c r="EZ82" i="13"/>
  <c r="FA82" i="13"/>
  <c r="FB82" i="13"/>
  <c r="FC82" i="13"/>
  <c r="FD82" i="13"/>
  <c r="FE82" i="13"/>
  <c r="FF82" i="13"/>
  <c r="FG82" i="13"/>
  <c r="FH82" i="13"/>
  <c r="FI82" i="13"/>
  <c r="FJ82" i="13"/>
  <c r="FK82" i="13"/>
  <c r="FL82" i="13"/>
  <c r="FM82" i="13"/>
  <c r="FN82" i="13"/>
  <c r="FO82" i="13"/>
  <c r="FP82" i="13"/>
  <c r="FQ82" i="13"/>
  <c r="FR82" i="13"/>
  <c r="FS82" i="13"/>
  <c r="FT82" i="13"/>
  <c r="FU82" i="13"/>
  <c r="FV82" i="13"/>
  <c r="FW82" i="13"/>
  <c r="FX82" i="13"/>
  <c r="FY82" i="13"/>
  <c r="FZ82" i="13"/>
  <c r="GA82" i="13"/>
  <c r="GB82" i="13"/>
  <c r="GC82" i="13"/>
  <c r="GD82" i="13"/>
  <c r="GE82" i="13"/>
  <c r="GF82" i="13"/>
  <c r="GG82" i="13"/>
  <c r="GH82" i="13"/>
  <c r="GI82" i="13"/>
  <c r="GJ82" i="13"/>
  <c r="GK82" i="13"/>
  <c r="GL82" i="13"/>
  <c r="GM82" i="13"/>
  <c r="GN82" i="13"/>
  <c r="GO82" i="13"/>
  <c r="GP82" i="13"/>
  <c r="GQ82" i="13"/>
  <c r="GR82" i="13"/>
  <c r="GS82" i="13"/>
  <c r="GT82" i="13"/>
  <c r="GU82" i="13"/>
  <c r="GV82" i="13"/>
  <c r="GW82" i="13"/>
  <c r="GX82" i="13"/>
  <c r="GY82" i="13"/>
  <c r="GZ82" i="13"/>
  <c r="HA82" i="13"/>
  <c r="HB82" i="13"/>
  <c r="HC82" i="13"/>
  <c r="HD82" i="13"/>
  <c r="HE82" i="13"/>
  <c r="HF82" i="13"/>
  <c r="HG82" i="13"/>
  <c r="HH82" i="13"/>
  <c r="HI82" i="13"/>
  <c r="HJ82" i="13"/>
  <c r="HK82" i="13"/>
  <c r="HL82" i="13"/>
  <c r="HM82" i="13"/>
  <c r="HN82" i="13"/>
  <c r="HO82" i="13"/>
  <c r="HP82" i="13"/>
  <c r="HQ82" i="13"/>
  <c r="HR82" i="13"/>
  <c r="HS82" i="13"/>
  <c r="HT82" i="13"/>
  <c r="HU82" i="13"/>
  <c r="HV82" i="13"/>
  <c r="HW82" i="13"/>
  <c r="HX82" i="13"/>
  <c r="HY82" i="13"/>
  <c r="HZ82" i="13"/>
  <c r="IA82" i="13"/>
  <c r="IB82" i="13"/>
  <c r="IC82" i="13"/>
  <c r="ID82" i="13"/>
  <c r="IE82" i="13"/>
  <c r="IF82" i="13"/>
  <c r="IG82" i="13"/>
  <c r="IH82" i="13"/>
  <c r="II82" i="13"/>
  <c r="IJ82" i="13"/>
  <c r="IK82" i="13"/>
  <c r="IL82" i="13"/>
  <c r="IM82" i="13"/>
  <c r="IN82" i="13"/>
  <c r="IO82" i="13"/>
  <c r="IP82" i="13"/>
  <c r="IQ82" i="13"/>
  <c r="IR82" i="13"/>
  <c r="IS82" i="13"/>
  <c r="IT82" i="13"/>
  <c r="IU82" i="13"/>
  <c r="IV82" i="13"/>
  <c r="A81" i="13"/>
  <c r="B81" i="13"/>
  <c r="C81" i="13"/>
  <c r="D81" i="13"/>
  <c r="E81" i="13"/>
  <c r="F81" i="13"/>
  <c r="G81" i="13"/>
  <c r="H81" i="13"/>
  <c r="I81" i="13"/>
  <c r="J81" i="13"/>
  <c r="K81" i="13"/>
  <c r="L81" i="13"/>
  <c r="M81" i="13"/>
  <c r="N81" i="13"/>
  <c r="O81" i="13"/>
  <c r="P81" i="13"/>
  <c r="Q81" i="13"/>
  <c r="R81" i="13"/>
  <c r="S81" i="13"/>
  <c r="T81" i="13"/>
  <c r="U81" i="13"/>
  <c r="V81" i="13"/>
  <c r="W81" i="13"/>
  <c r="X81" i="13"/>
  <c r="Y81" i="13"/>
  <c r="Z81" i="13"/>
  <c r="AA81" i="13"/>
  <c r="AB81" i="13"/>
  <c r="AC81" i="13"/>
  <c r="AD81" i="13"/>
  <c r="AE81" i="13"/>
  <c r="AF81" i="13"/>
  <c r="AG81" i="13"/>
  <c r="AH81" i="13"/>
  <c r="AI81" i="13"/>
  <c r="AJ81" i="13"/>
  <c r="AK81" i="13"/>
  <c r="AL81" i="13"/>
  <c r="AM81" i="13"/>
  <c r="AN81" i="13"/>
  <c r="AO81" i="13"/>
  <c r="AP81" i="13"/>
  <c r="AQ81" i="13"/>
  <c r="AR81" i="13"/>
  <c r="AS81" i="13"/>
  <c r="AT81" i="13"/>
  <c r="AU81" i="13"/>
  <c r="AV81" i="13"/>
  <c r="AW81" i="13"/>
  <c r="AX81" i="13"/>
  <c r="AY81" i="13"/>
  <c r="AZ81" i="13"/>
  <c r="BA81" i="13"/>
  <c r="BB81" i="13"/>
  <c r="BC81" i="13"/>
  <c r="BD81" i="13"/>
  <c r="BE81" i="13"/>
  <c r="BF81" i="13"/>
  <c r="BG81" i="13"/>
  <c r="BH81" i="13"/>
  <c r="BI81" i="13"/>
  <c r="BJ81" i="13"/>
  <c r="BK81" i="13"/>
  <c r="BL81" i="13"/>
  <c r="BM81" i="13"/>
  <c r="BN81" i="13"/>
  <c r="BO81" i="13"/>
  <c r="BP81" i="13"/>
  <c r="BQ81" i="13"/>
  <c r="BR81" i="13"/>
  <c r="BS81" i="13"/>
  <c r="BT81" i="13"/>
  <c r="BU81" i="13"/>
  <c r="BV81" i="13"/>
  <c r="BW81" i="13"/>
  <c r="BX81" i="13"/>
  <c r="BY81" i="13"/>
  <c r="BZ81" i="13"/>
  <c r="CA81" i="13"/>
  <c r="CB81" i="13"/>
  <c r="CC81" i="13"/>
  <c r="CD81" i="13"/>
  <c r="CE81" i="13"/>
  <c r="CF81" i="13"/>
  <c r="CG81" i="13"/>
  <c r="CH81" i="13"/>
  <c r="CI81" i="13"/>
  <c r="CJ81" i="13"/>
  <c r="CK81" i="13"/>
  <c r="CL81" i="13"/>
  <c r="CM81" i="13"/>
  <c r="CN81" i="13"/>
  <c r="CO81" i="13"/>
  <c r="CP81" i="13"/>
  <c r="CQ81" i="13"/>
  <c r="CR81" i="13"/>
  <c r="CS81" i="13"/>
  <c r="CT81" i="13"/>
  <c r="CU81" i="13"/>
  <c r="CV81" i="13"/>
  <c r="CW81" i="13"/>
  <c r="CX81" i="13"/>
  <c r="CY81" i="13"/>
  <c r="CZ81" i="13"/>
  <c r="DA81" i="13"/>
  <c r="DB81" i="13"/>
  <c r="DC81" i="13"/>
  <c r="DD81" i="13"/>
  <c r="DE81" i="13"/>
  <c r="DF81" i="13"/>
  <c r="DG81" i="13"/>
  <c r="DH81" i="13"/>
  <c r="DI81" i="13"/>
  <c r="DJ81" i="13"/>
  <c r="DK81" i="13"/>
  <c r="DL81" i="13"/>
  <c r="DM81" i="13"/>
  <c r="DN81" i="13"/>
  <c r="DO81" i="13"/>
  <c r="DP81" i="13"/>
  <c r="DQ81" i="13"/>
  <c r="DR81" i="13"/>
  <c r="DS81" i="13"/>
  <c r="DT81" i="13"/>
  <c r="DU81" i="13"/>
  <c r="DV81" i="13"/>
  <c r="DW81" i="13"/>
  <c r="DX81" i="13"/>
  <c r="DY81" i="13"/>
  <c r="DZ81" i="13"/>
  <c r="EA81" i="13"/>
  <c r="EB81" i="13"/>
  <c r="EC81" i="13"/>
  <c r="ED81" i="13"/>
  <c r="EE81" i="13"/>
  <c r="EF81" i="13"/>
  <c r="EG81" i="13"/>
  <c r="EH81" i="13"/>
  <c r="EI81" i="13"/>
  <c r="EJ81" i="13"/>
  <c r="EK81" i="13"/>
  <c r="EL81" i="13"/>
  <c r="EM81" i="13"/>
  <c r="EN81" i="13"/>
  <c r="EO81" i="13"/>
  <c r="EP81" i="13"/>
  <c r="EQ81" i="13"/>
  <c r="ER81" i="13"/>
  <c r="ES81" i="13"/>
  <c r="ET81" i="13"/>
  <c r="EU81" i="13"/>
  <c r="EV81" i="13"/>
  <c r="EW81" i="13"/>
  <c r="EX81" i="13"/>
  <c r="EY81" i="13"/>
  <c r="EZ81" i="13"/>
  <c r="FA81" i="13"/>
  <c r="FB81" i="13"/>
  <c r="FC81" i="13"/>
  <c r="FD81" i="13"/>
  <c r="FE81" i="13"/>
  <c r="FF81" i="13"/>
  <c r="FG81" i="13"/>
  <c r="FH81" i="13"/>
  <c r="FI81" i="13"/>
  <c r="FJ81" i="13"/>
  <c r="FK81" i="13"/>
  <c r="FL81" i="13"/>
  <c r="FM81" i="13"/>
  <c r="FN81" i="13"/>
  <c r="FO81" i="13"/>
  <c r="FP81" i="13"/>
  <c r="FQ81" i="13"/>
  <c r="FR81" i="13"/>
  <c r="FS81" i="13"/>
  <c r="FT81" i="13"/>
  <c r="FU81" i="13"/>
  <c r="FV81" i="13"/>
  <c r="FW81" i="13"/>
  <c r="FX81" i="13"/>
  <c r="FY81" i="13"/>
  <c r="FZ81" i="13"/>
  <c r="GA81" i="13"/>
  <c r="GB81" i="13"/>
  <c r="GC81" i="13"/>
  <c r="GD81" i="13"/>
  <c r="GE81" i="13"/>
  <c r="GF81" i="13"/>
  <c r="GG81" i="13"/>
  <c r="GH81" i="13"/>
  <c r="GI81" i="13"/>
  <c r="GJ81" i="13"/>
  <c r="GK81" i="13"/>
  <c r="GL81" i="13"/>
  <c r="GM81" i="13"/>
  <c r="GN81" i="13"/>
  <c r="GO81" i="13"/>
  <c r="GP81" i="13"/>
  <c r="GQ81" i="13"/>
  <c r="GR81" i="13"/>
  <c r="GS81" i="13"/>
  <c r="GT81" i="13"/>
  <c r="GU81" i="13"/>
  <c r="GV81" i="13"/>
  <c r="GW81" i="13"/>
  <c r="GX81" i="13"/>
  <c r="GY81" i="13"/>
  <c r="GZ81" i="13"/>
  <c r="HA81" i="13"/>
  <c r="HB81" i="13"/>
  <c r="HC81" i="13"/>
  <c r="HD81" i="13"/>
  <c r="HE81" i="13"/>
  <c r="HF81" i="13"/>
  <c r="HG81" i="13"/>
  <c r="HH81" i="13"/>
  <c r="HI81" i="13"/>
  <c r="HJ81" i="13"/>
  <c r="HK81" i="13"/>
  <c r="HL81" i="13"/>
  <c r="HM81" i="13"/>
  <c r="HN81" i="13"/>
  <c r="HO81" i="13"/>
  <c r="HP81" i="13"/>
  <c r="HQ81" i="13"/>
  <c r="HR81" i="13"/>
  <c r="HS81" i="13"/>
  <c r="HT81" i="13"/>
  <c r="HU81" i="13"/>
  <c r="HV81" i="13"/>
  <c r="HW81" i="13"/>
  <c r="HX81" i="13"/>
  <c r="HY81" i="13"/>
  <c r="HZ81" i="13"/>
  <c r="IA81" i="13"/>
  <c r="IB81" i="13"/>
  <c r="IC81" i="13"/>
  <c r="ID81" i="13"/>
  <c r="IE81" i="13"/>
  <c r="IF81" i="13"/>
  <c r="IG81" i="13"/>
  <c r="IH81" i="13"/>
  <c r="II81" i="13"/>
  <c r="IJ81" i="13"/>
  <c r="IK81" i="13"/>
  <c r="IL81" i="13"/>
  <c r="IM81" i="13"/>
  <c r="IN81" i="13"/>
  <c r="IO81" i="13"/>
  <c r="IP81" i="13"/>
  <c r="IQ81" i="13"/>
  <c r="IR81" i="13"/>
  <c r="IS81" i="13"/>
  <c r="IT81" i="13"/>
  <c r="IU81" i="13"/>
  <c r="IV81" i="13"/>
  <c r="A80" i="13"/>
  <c r="B80" i="13"/>
  <c r="C80" i="13"/>
  <c r="D80" i="13"/>
  <c r="E80" i="13"/>
  <c r="F80" i="13"/>
  <c r="G80" i="13"/>
  <c r="H80" i="13"/>
  <c r="I80" i="13"/>
  <c r="J80" i="13"/>
  <c r="K80" i="13"/>
  <c r="L80" i="13"/>
  <c r="M80" i="13"/>
  <c r="N80" i="13"/>
  <c r="O80" i="13"/>
  <c r="P80" i="13"/>
  <c r="Q80" i="13"/>
  <c r="R80" i="13"/>
  <c r="S80" i="13"/>
  <c r="T80" i="13"/>
  <c r="U80" i="13"/>
  <c r="V80" i="13"/>
  <c r="W80" i="13"/>
  <c r="X80" i="13"/>
  <c r="Y80" i="13"/>
  <c r="Z80" i="13"/>
  <c r="AA80" i="13"/>
  <c r="AB80" i="13"/>
  <c r="AC80" i="13"/>
  <c r="AD80" i="13"/>
  <c r="AE80" i="13"/>
  <c r="AF80" i="13"/>
  <c r="AG80" i="13"/>
  <c r="AH80" i="13"/>
  <c r="AI80" i="13"/>
  <c r="AJ80" i="13"/>
  <c r="AK80" i="13"/>
  <c r="AL80" i="13"/>
  <c r="AM80" i="13"/>
  <c r="AN80" i="13"/>
  <c r="AO80" i="13"/>
  <c r="AP80" i="13"/>
  <c r="AQ80" i="13"/>
  <c r="AR80" i="13"/>
  <c r="AS80" i="13"/>
  <c r="AT80" i="13"/>
  <c r="AU80" i="13"/>
  <c r="AV80" i="13"/>
  <c r="AW80" i="13"/>
  <c r="AX80" i="13"/>
  <c r="AY80" i="13"/>
  <c r="AZ80" i="13"/>
  <c r="BA80" i="13"/>
  <c r="BB80" i="13"/>
  <c r="BC80" i="13"/>
  <c r="BD80" i="13"/>
  <c r="BE80" i="13"/>
  <c r="BF80" i="13"/>
  <c r="BG80" i="13"/>
  <c r="BH80" i="13"/>
  <c r="BI80" i="13"/>
  <c r="BJ80" i="13"/>
  <c r="BK80" i="13"/>
  <c r="BL80" i="13"/>
  <c r="BM80" i="13"/>
  <c r="BN80" i="13"/>
  <c r="BO80" i="13"/>
  <c r="BP80" i="13"/>
  <c r="BQ80" i="13"/>
  <c r="BR80" i="13"/>
  <c r="BS80" i="13"/>
  <c r="BT80" i="13"/>
  <c r="BU80" i="13"/>
  <c r="BV80" i="13"/>
  <c r="BW80" i="13"/>
  <c r="BX80" i="13"/>
  <c r="BY80" i="13"/>
  <c r="BZ80" i="13"/>
  <c r="CA80" i="13"/>
  <c r="CB80" i="13"/>
  <c r="CC80" i="13"/>
  <c r="CD80" i="13"/>
  <c r="CE80" i="13"/>
  <c r="CF80" i="13"/>
  <c r="CG80" i="13"/>
  <c r="CH80" i="13"/>
  <c r="CI80" i="13"/>
  <c r="CJ80" i="13"/>
  <c r="CK80" i="13"/>
  <c r="CL80" i="13"/>
  <c r="CM80" i="13"/>
  <c r="CN80" i="13"/>
  <c r="CO80" i="13"/>
  <c r="CP80" i="13"/>
  <c r="CQ80" i="13"/>
  <c r="CR80" i="13"/>
  <c r="CS80" i="13"/>
  <c r="CT80" i="13"/>
  <c r="CU80" i="13"/>
  <c r="CV80" i="13"/>
  <c r="CW80" i="13"/>
  <c r="CX80" i="13"/>
  <c r="CY80" i="13"/>
  <c r="CZ80" i="13"/>
  <c r="DA80" i="13"/>
  <c r="DB80" i="13"/>
  <c r="DC80" i="13"/>
  <c r="DD80" i="13"/>
  <c r="DE80" i="13"/>
  <c r="DF80" i="13"/>
  <c r="DG80" i="13"/>
  <c r="DH80" i="13"/>
  <c r="DI80" i="13"/>
  <c r="DJ80" i="13"/>
  <c r="DK80" i="13"/>
  <c r="DL80" i="13"/>
  <c r="DM80" i="13"/>
  <c r="DN80" i="13"/>
  <c r="DO80" i="13"/>
  <c r="DP80" i="13"/>
  <c r="DQ80" i="13"/>
  <c r="DR80" i="13"/>
  <c r="DS80" i="13"/>
  <c r="DT80" i="13"/>
  <c r="DU80" i="13"/>
  <c r="DV80" i="13"/>
  <c r="DW80" i="13"/>
  <c r="DX80" i="13"/>
  <c r="DY80" i="13"/>
  <c r="DZ80" i="13"/>
  <c r="EA80" i="13"/>
  <c r="EB80" i="13"/>
  <c r="EC80" i="13"/>
  <c r="ED80" i="13"/>
  <c r="EE80" i="13"/>
  <c r="EF80" i="13"/>
  <c r="EG80" i="13"/>
  <c r="EH80" i="13"/>
  <c r="EI80" i="13"/>
  <c r="EJ80" i="13"/>
  <c r="EK80" i="13"/>
  <c r="EL80" i="13"/>
  <c r="EM80" i="13"/>
  <c r="EN80" i="13"/>
  <c r="EO80" i="13"/>
  <c r="EP80" i="13"/>
  <c r="EQ80" i="13"/>
  <c r="ER80" i="13"/>
  <c r="ES80" i="13"/>
  <c r="ET80" i="13"/>
  <c r="EU80" i="13"/>
  <c r="EV80" i="13"/>
  <c r="EW80" i="13"/>
  <c r="EX80" i="13"/>
  <c r="EY80" i="13"/>
  <c r="EZ80" i="13"/>
  <c r="FA80" i="13"/>
  <c r="FB80" i="13"/>
  <c r="FC80" i="13"/>
  <c r="FD80" i="13"/>
  <c r="FE80" i="13"/>
  <c r="FF80" i="13"/>
  <c r="FG80" i="13"/>
  <c r="FH80" i="13"/>
  <c r="FI80" i="13"/>
  <c r="FJ80" i="13"/>
  <c r="FK80" i="13"/>
  <c r="FL80" i="13"/>
  <c r="FM80" i="13"/>
  <c r="FN80" i="13"/>
  <c r="FO80" i="13"/>
  <c r="FP80" i="13"/>
  <c r="FQ80" i="13"/>
  <c r="FR80" i="13"/>
  <c r="FS80" i="13"/>
  <c r="FT80" i="13"/>
  <c r="FU80" i="13"/>
  <c r="FV80" i="13"/>
  <c r="FW80" i="13"/>
  <c r="FX80" i="13"/>
  <c r="FY80" i="13"/>
  <c r="FZ80" i="13"/>
  <c r="GA80" i="13"/>
  <c r="GB80" i="13"/>
  <c r="GC80" i="13"/>
  <c r="GD80" i="13"/>
  <c r="GE80" i="13"/>
  <c r="GF80" i="13"/>
  <c r="GG80" i="13"/>
  <c r="GH80" i="13"/>
  <c r="GI80" i="13"/>
  <c r="GJ80" i="13"/>
  <c r="GK80" i="13"/>
  <c r="GL80" i="13"/>
  <c r="GM80" i="13"/>
  <c r="GN80" i="13"/>
  <c r="GO80" i="13"/>
  <c r="GP80" i="13"/>
  <c r="GQ80" i="13"/>
  <c r="GR80" i="13"/>
  <c r="GS80" i="13"/>
  <c r="GT80" i="13"/>
  <c r="GU80" i="13"/>
  <c r="GV80" i="13"/>
  <c r="GW80" i="13"/>
  <c r="GX80" i="13"/>
  <c r="GY80" i="13"/>
  <c r="GZ80" i="13"/>
  <c r="HA80" i="13"/>
  <c r="HB80" i="13"/>
  <c r="HC80" i="13"/>
  <c r="HD80" i="13"/>
  <c r="HE80" i="13"/>
  <c r="HF80" i="13"/>
  <c r="HG80" i="13"/>
  <c r="HH80" i="13"/>
  <c r="HI80" i="13"/>
  <c r="HJ80" i="13"/>
  <c r="HK80" i="13"/>
  <c r="HL80" i="13"/>
  <c r="HM80" i="13"/>
  <c r="HN80" i="13"/>
  <c r="HO80" i="13"/>
  <c r="HP80" i="13"/>
  <c r="HQ80" i="13"/>
  <c r="HR80" i="13"/>
  <c r="HS80" i="13"/>
  <c r="HT80" i="13"/>
  <c r="HU80" i="13"/>
  <c r="HV80" i="13"/>
  <c r="HW80" i="13"/>
  <c r="HX80" i="13"/>
  <c r="HY80" i="13"/>
  <c r="HZ80" i="13"/>
  <c r="IA80" i="13"/>
  <c r="IB80" i="13"/>
  <c r="IC80" i="13"/>
  <c r="ID80" i="13"/>
  <c r="IE80" i="13"/>
  <c r="IF80" i="13"/>
  <c r="IG80" i="13"/>
  <c r="IH80" i="13"/>
  <c r="II80" i="13"/>
  <c r="IJ80" i="13"/>
  <c r="IK80" i="13"/>
  <c r="IL80" i="13"/>
  <c r="IM80" i="13"/>
  <c r="IN80" i="13"/>
  <c r="IO80" i="13"/>
  <c r="IP80" i="13"/>
  <c r="IQ80" i="13"/>
  <c r="IR80" i="13"/>
  <c r="IS80" i="13"/>
  <c r="IT80" i="13"/>
  <c r="IU80" i="13"/>
  <c r="IV80" i="13"/>
  <c r="A79" i="13"/>
  <c r="B79" i="13"/>
  <c r="C79" i="13"/>
  <c r="D79" i="13"/>
  <c r="E79" i="13"/>
  <c r="F79" i="13"/>
  <c r="G79" i="13"/>
  <c r="H79" i="13"/>
  <c r="I79" i="13"/>
  <c r="J79" i="13"/>
  <c r="K79" i="13"/>
  <c r="L79" i="13"/>
  <c r="M79" i="13"/>
  <c r="N79" i="13"/>
  <c r="O79" i="13"/>
  <c r="P79" i="13"/>
  <c r="Q79" i="13"/>
  <c r="R79" i="13"/>
  <c r="S79" i="13"/>
  <c r="T79" i="13"/>
  <c r="U79" i="13"/>
  <c r="V79" i="13"/>
  <c r="W79" i="13"/>
  <c r="X79" i="13"/>
  <c r="Y79" i="13"/>
  <c r="Z79" i="13"/>
  <c r="AA79" i="13"/>
  <c r="AB79" i="13"/>
  <c r="AC79" i="13"/>
  <c r="AD79" i="13"/>
  <c r="AE79" i="13"/>
  <c r="AF79" i="13"/>
  <c r="AG79" i="13"/>
  <c r="AH79" i="13"/>
  <c r="AI79" i="13"/>
  <c r="AJ79" i="13"/>
  <c r="AK79" i="13"/>
  <c r="AL79" i="13"/>
  <c r="AM79" i="13"/>
  <c r="AN79" i="13"/>
  <c r="AO79" i="13"/>
  <c r="AP79" i="13"/>
  <c r="AQ79" i="13"/>
  <c r="AR79" i="13"/>
  <c r="AS79" i="13"/>
  <c r="AT79" i="13"/>
  <c r="AU79" i="13"/>
  <c r="AV79" i="13"/>
  <c r="AW79" i="13"/>
  <c r="AX79" i="13"/>
  <c r="AY79" i="13"/>
  <c r="AZ79" i="13"/>
  <c r="BA79" i="13"/>
  <c r="BB79" i="13"/>
  <c r="BC79" i="13"/>
  <c r="BD79" i="13"/>
  <c r="BE79" i="13"/>
  <c r="BF79" i="13"/>
  <c r="BG79" i="13"/>
  <c r="BH79" i="13"/>
  <c r="BI79" i="13"/>
  <c r="BJ79" i="13"/>
  <c r="BK79" i="13"/>
  <c r="BL79" i="13"/>
  <c r="BM79" i="13"/>
  <c r="BN79" i="13"/>
  <c r="BO79" i="13"/>
  <c r="BP79" i="13"/>
  <c r="BQ79" i="13"/>
  <c r="BR79" i="13"/>
  <c r="BS79" i="13"/>
  <c r="BT79" i="13"/>
  <c r="BU79" i="13"/>
  <c r="BV79" i="13"/>
  <c r="BW79" i="13"/>
  <c r="BX79" i="13"/>
  <c r="BY79" i="13"/>
  <c r="BZ79" i="13"/>
  <c r="CA79" i="13"/>
  <c r="CB79" i="13"/>
  <c r="CC79" i="13"/>
  <c r="CD79" i="13"/>
  <c r="CE79" i="13"/>
  <c r="CF79" i="13"/>
  <c r="CG79" i="13"/>
  <c r="CH79" i="13"/>
  <c r="CI79" i="13"/>
  <c r="CJ79" i="13"/>
  <c r="CK79" i="13"/>
  <c r="CL79" i="13"/>
  <c r="CM79" i="13"/>
  <c r="CN79" i="13"/>
  <c r="CO79" i="13"/>
  <c r="CP79" i="13"/>
  <c r="CQ79" i="13"/>
  <c r="CR79" i="13"/>
  <c r="CS79" i="13"/>
  <c r="CT79" i="13"/>
  <c r="CU79" i="13"/>
  <c r="CV79" i="13"/>
  <c r="CW79" i="13"/>
  <c r="CX79" i="13"/>
  <c r="CY79" i="13"/>
  <c r="CZ79" i="13"/>
  <c r="DA79" i="13"/>
  <c r="DB79" i="13"/>
  <c r="DC79" i="13"/>
  <c r="DD79" i="13"/>
  <c r="DE79" i="13"/>
  <c r="DF79" i="13"/>
  <c r="DG79" i="13"/>
  <c r="DH79" i="13"/>
  <c r="DI79" i="13"/>
  <c r="DJ79" i="13"/>
  <c r="DK79" i="13"/>
  <c r="DL79" i="13"/>
  <c r="DM79" i="13"/>
  <c r="DN79" i="13"/>
  <c r="DO79" i="13"/>
  <c r="DP79" i="13"/>
  <c r="DQ79" i="13"/>
  <c r="DR79" i="13"/>
  <c r="DS79" i="13"/>
  <c r="DT79" i="13"/>
  <c r="DU79" i="13"/>
  <c r="DV79" i="13"/>
  <c r="DW79" i="13"/>
  <c r="DX79" i="13"/>
  <c r="DY79" i="13"/>
  <c r="DZ79" i="13"/>
  <c r="EA79" i="13"/>
  <c r="EB79" i="13"/>
  <c r="EC79" i="13"/>
  <c r="ED79" i="13"/>
  <c r="EE79" i="13"/>
  <c r="EF79" i="13"/>
  <c r="EG79" i="13"/>
  <c r="EH79" i="13"/>
  <c r="EI79" i="13"/>
  <c r="EJ79" i="13"/>
  <c r="EK79" i="13"/>
  <c r="EL79" i="13"/>
  <c r="EM79" i="13"/>
  <c r="EN79" i="13"/>
  <c r="EO79" i="13"/>
  <c r="EP79" i="13"/>
  <c r="EQ79" i="13"/>
  <c r="ER79" i="13"/>
  <c r="ES79" i="13"/>
  <c r="ET79" i="13"/>
  <c r="EU79" i="13"/>
  <c r="EV79" i="13"/>
  <c r="EW79" i="13"/>
  <c r="EX79" i="13"/>
  <c r="EY79" i="13"/>
  <c r="EZ79" i="13"/>
  <c r="FA79" i="13"/>
  <c r="FB79" i="13"/>
  <c r="FC79" i="13"/>
  <c r="FD79" i="13"/>
  <c r="FE79" i="13"/>
  <c r="FF79" i="13"/>
  <c r="FG79" i="13"/>
  <c r="FH79" i="13"/>
  <c r="FI79" i="13"/>
  <c r="FJ79" i="13"/>
  <c r="FK79" i="13"/>
  <c r="FL79" i="13"/>
  <c r="FM79" i="13"/>
  <c r="FN79" i="13"/>
  <c r="FO79" i="13"/>
  <c r="FP79" i="13"/>
  <c r="FQ79" i="13"/>
  <c r="FR79" i="13"/>
  <c r="FS79" i="13"/>
  <c r="FT79" i="13"/>
  <c r="FU79" i="13"/>
  <c r="FV79" i="13"/>
  <c r="FW79" i="13"/>
  <c r="FX79" i="13"/>
  <c r="FY79" i="13"/>
  <c r="FZ79" i="13"/>
  <c r="GA79" i="13"/>
  <c r="GB79" i="13"/>
  <c r="GC79" i="13"/>
  <c r="GD79" i="13"/>
  <c r="GE79" i="13"/>
  <c r="GF79" i="13"/>
  <c r="GG79" i="13"/>
  <c r="GH79" i="13"/>
  <c r="GI79" i="13"/>
  <c r="GJ79" i="13"/>
  <c r="GK79" i="13"/>
  <c r="GL79" i="13"/>
  <c r="GM79" i="13"/>
  <c r="GN79" i="13"/>
  <c r="GO79" i="13"/>
  <c r="GP79" i="13"/>
  <c r="GQ79" i="13"/>
  <c r="GR79" i="13"/>
  <c r="GS79" i="13"/>
  <c r="GT79" i="13"/>
  <c r="GU79" i="13"/>
  <c r="GV79" i="13"/>
  <c r="GW79" i="13"/>
  <c r="GX79" i="13"/>
  <c r="GY79" i="13"/>
  <c r="GZ79" i="13"/>
  <c r="HA79" i="13"/>
  <c r="HB79" i="13"/>
  <c r="HC79" i="13"/>
  <c r="HD79" i="13"/>
  <c r="HE79" i="13"/>
  <c r="HF79" i="13"/>
  <c r="HG79" i="13"/>
  <c r="HH79" i="13"/>
  <c r="HI79" i="13"/>
  <c r="HJ79" i="13"/>
  <c r="HK79" i="13"/>
  <c r="HL79" i="13"/>
  <c r="HM79" i="13"/>
  <c r="HN79" i="13"/>
  <c r="HO79" i="13"/>
  <c r="HP79" i="13"/>
  <c r="HQ79" i="13"/>
  <c r="HR79" i="13"/>
  <c r="HS79" i="13"/>
  <c r="HT79" i="13"/>
  <c r="HU79" i="13"/>
  <c r="HV79" i="13"/>
  <c r="HW79" i="13"/>
  <c r="HX79" i="13"/>
  <c r="HY79" i="13"/>
  <c r="HZ79" i="13"/>
  <c r="IA79" i="13"/>
  <c r="IB79" i="13"/>
  <c r="IC79" i="13"/>
  <c r="ID79" i="13"/>
  <c r="IE79" i="13"/>
  <c r="IF79" i="13"/>
  <c r="IG79" i="13"/>
  <c r="IH79" i="13"/>
  <c r="II79" i="13"/>
  <c r="IJ79" i="13"/>
  <c r="IK79" i="13"/>
  <c r="IL79" i="13"/>
  <c r="IM79" i="13"/>
  <c r="IN79" i="13"/>
  <c r="IO79" i="13"/>
  <c r="IP79" i="13"/>
  <c r="IQ79" i="13"/>
  <c r="IR79" i="13"/>
  <c r="IS79" i="13"/>
  <c r="IT79" i="13"/>
  <c r="IU79" i="13"/>
  <c r="IV79" i="13"/>
  <c r="A78" i="13"/>
  <c r="B78" i="13"/>
  <c r="C78" i="13"/>
  <c r="D78" i="13"/>
  <c r="E78" i="13"/>
  <c r="F78" i="13"/>
  <c r="G78" i="13"/>
  <c r="H78" i="13"/>
  <c r="I78" i="13"/>
  <c r="J78" i="13"/>
  <c r="K78" i="13"/>
  <c r="L78" i="13"/>
  <c r="M78" i="13"/>
  <c r="N78" i="13"/>
  <c r="O78" i="13"/>
  <c r="P78" i="13"/>
  <c r="Q78" i="13"/>
  <c r="R78" i="13"/>
  <c r="S78" i="13"/>
  <c r="T78" i="13"/>
  <c r="U78" i="13"/>
  <c r="V78" i="13"/>
  <c r="W78" i="13"/>
  <c r="X78" i="13"/>
  <c r="Y78" i="13"/>
  <c r="Z78" i="13"/>
  <c r="AA78" i="13"/>
  <c r="AB78" i="13"/>
  <c r="AC78" i="13"/>
  <c r="AD78" i="13"/>
  <c r="AE78" i="13"/>
  <c r="AF78" i="13"/>
  <c r="AG78" i="13"/>
  <c r="AH78" i="13"/>
  <c r="AI78" i="13"/>
  <c r="AJ78" i="13"/>
  <c r="AK78" i="13"/>
  <c r="AL78" i="13"/>
  <c r="AM78" i="13"/>
  <c r="AN78" i="13"/>
  <c r="AO78" i="13"/>
  <c r="AP78" i="13"/>
  <c r="AQ78" i="13"/>
  <c r="AR78" i="13"/>
  <c r="AS78" i="13"/>
  <c r="AT78" i="13"/>
  <c r="AU78" i="13"/>
  <c r="AV78" i="13"/>
  <c r="AW78" i="13"/>
  <c r="AX78" i="13"/>
  <c r="AY78" i="13"/>
  <c r="AZ78" i="13"/>
  <c r="BA78" i="13"/>
  <c r="BB78" i="13"/>
  <c r="BC78" i="13"/>
  <c r="BD78" i="13"/>
  <c r="BE78" i="13"/>
  <c r="BF78" i="13"/>
  <c r="BG78" i="13"/>
  <c r="BH78" i="13"/>
  <c r="BI78" i="13"/>
  <c r="BJ78" i="13"/>
  <c r="BK78" i="13"/>
  <c r="BL78" i="13"/>
  <c r="BM78" i="13"/>
  <c r="BN78" i="13"/>
  <c r="BO78" i="13"/>
  <c r="BP78" i="13"/>
  <c r="BQ78" i="13"/>
  <c r="BR78" i="13"/>
  <c r="BS78" i="13"/>
  <c r="BT78" i="13"/>
  <c r="BU78" i="13"/>
  <c r="BV78" i="13"/>
  <c r="BW78" i="13"/>
  <c r="BX78" i="13"/>
  <c r="BY78" i="13"/>
  <c r="BZ78" i="13"/>
  <c r="CA78" i="13"/>
  <c r="CB78" i="13"/>
  <c r="CC78" i="13"/>
  <c r="CD78" i="13"/>
  <c r="CE78" i="13"/>
  <c r="CF78" i="13"/>
  <c r="CG78" i="13"/>
  <c r="CH78" i="13"/>
  <c r="CI78" i="13"/>
  <c r="CJ78" i="13"/>
  <c r="CK78" i="13"/>
  <c r="CL78" i="13"/>
  <c r="CM78" i="13"/>
  <c r="CN78" i="13"/>
  <c r="CO78" i="13"/>
  <c r="CP78" i="13"/>
  <c r="CQ78" i="13"/>
  <c r="CR78" i="13"/>
  <c r="CS78" i="13"/>
  <c r="CT78" i="13"/>
  <c r="CU78" i="13"/>
  <c r="CV78" i="13"/>
  <c r="CW78" i="13"/>
  <c r="CX78" i="13"/>
  <c r="CY78" i="13"/>
  <c r="CZ78" i="13"/>
  <c r="DA78" i="13"/>
  <c r="DB78" i="13"/>
  <c r="DC78" i="13"/>
  <c r="DD78" i="13"/>
  <c r="DE78" i="13"/>
  <c r="DF78" i="13"/>
  <c r="DG78" i="13"/>
  <c r="DH78" i="13"/>
  <c r="DI78" i="13"/>
  <c r="DJ78" i="13"/>
  <c r="DK78" i="13"/>
  <c r="DL78" i="13"/>
  <c r="DM78" i="13"/>
  <c r="DN78" i="13"/>
  <c r="DO78" i="13"/>
  <c r="DP78" i="13"/>
  <c r="DQ78" i="13"/>
  <c r="DR78" i="13"/>
  <c r="DS78" i="13"/>
  <c r="DT78" i="13"/>
  <c r="DU78" i="13"/>
  <c r="DV78" i="13"/>
  <c r="DW78" i="13"/>
  <c r="DX78" i="13"/>
  <c r="DY78" i="13"/>
  <c r="DZ78" i="13"/>
  <c r="EA78" i="13"/>
  <c r="EB78" i="13"/>
  <c r="EC78" i="13"/>
  <c r="ED78" i="13"/>
  <c r="EE78" i="13"/>
  <c r="EF78" i="13"/>
  <c r="EG78" i="13"/>
  <c r="EH78" i="13"/>
  <c r="EI78" i="13"/>
  <c r="EJ78" i="13"/>
  <c r="EK78" i="13"/>
  <c r="EL78" i="13"/>
  <c r="EM78" i="13"/>
  <c r="EN78" i="13"/>
  <c r="EO78" i="13"/>
  <c r="EP78" i="13"/>
  <c r="EQ78" i="13"/>
  <c r="ER78" i="13"/>
  <c r="ES78" i="13"/>
  <c r="ET78" i="13"/>
  <c r="EU78" i="13"/>
  <c r="EV78" i="13"/>
  <c r="EW78" i="13"/>
  <c r="EX78" i="13"/>
  <c r="EY78" i="13"/>
  <c r="EZ78" i="13"/>
  <c r="FA78" i="13"/>
  <c r="FB78" i="13"/>
  <c r="FC78" i="13"/>
  <c r="FD78" i="13"/>
  <c r="FE78" i="13"/>
  <c r="FF78" i="13"/>
  <c r="FG78" i="13"/>
  <c r="FH78" i="13"/>
  <c r="FI78" i="13"/>
  <c r="FJ78" i="13"/>
  <c r="FK78" i="13"/>
  <c r="FL78" i="13"/>
  <c r="FM78" i="13"/>
  <c r="FN78" i="13"/>
  <c r="FO78" i="13"/>
  <c r="FP78" i="13"/>
  <c r="FQ78" i="13"/>
  <c r="FR78" i="13"/>
  <c r="FS78" i="13"/>
  <c r="FT78" i="13"/>
  <c r="FU78" i="13"/>
  <c r="FV78" i="13"/>
  <c r="FW78" i="13"/>
  <c r="FX78" i="13"/>
  <c r="FY78" i="13"/>
  <c r="FZ78" i="13"/>
  <c r="GA78" i="13"/>
  <c r="GB78" i="13"/>
  <c r="GC78" i="13"/>
  <c r="GD78" i="13"/>
  <c r="GE78" i="13"/>
  <c r="GF78" i="13"/>
  <c r="GG78" i="13"/>
  <c r="GH78" i="13"/>
  <c r="GI78" i="13"/>
  <c r="GJ78" i="13"/>
  <c r="GK78" i="13"/>
  <c r="GL78" i="13"/>
  <c r="GM78" i="13"/>
  <c r="GN78" i="13"/>
  <c r="GO78" i="13"/>
  <c r="GP78" i="13"/>
  <c r="GQ78" i="13"/>
  <c r="GR78" i="13"/>
  <c r="GS78" i="13"/>
  <c r="GT78" i="13"/>
  <c r="GU78" i="13"/>
  <c r="GV78" i="13"/>
  <c r="GW78" i="13"/>
  <c r="GX78" i="13"/>
  <c r="GY78" i="13"/>
  <c r="GZ78" i="13"/>
  <c r="HA78" i="13"/>
  <c r="HB78" i="13"/>
  <c r="HC78" i="13"/>
  <c r="HD78" i="13"/>
  <c r="HE78" i="13"/>
  <c r="HF78" i="13"/>
  <c r="HG78" i="13"/>
  <c r="HH78" i="13"/>
  <c r="HI78" i="13"/>
  <c r="HJ78" i="13"/>
  <c r="HK78" i="13"/>
  <c r="HL78" i="13"/>
  <c r="HM78" i="13"/>
  <c r="HN78" i="13"/>
  <c r="HO78" i="13"/>
  <c r="HP78" i="13"/>
  <c r="HQ78" i="13"/>
  <c r="HR78" i="13"/>
  <c r="HS78" i="13"/>
  <c r="HT78" i="13"/>
  <c r="HU78" i="13"/>
  <c r="HV78" i="13"/>
  <c r="HW78" i="13"/>
  <c r="HX78" i="13"/>
  <c r="HY78" i="13"/>
  <c r="HZ78" i="13"/>
  <c r="IA78" i="13"/>
  <c r="IB78" i="13"/>
  <c r="IC78" i="13"/>
  <c r="ID78" i="13"/>
  <c r="IE78" i="13"/>
  <c r="IF78" i="13"/>
  <c r="IG78" i="13"/>
  <c r="IH78" i="13"/>
  <c r="II78" i="13"/>
  <c r="IJ78" i="13"/>
  <c r="IK78" i="13"/>
  <c r="IL78" i="13"/>
  <c r="IM78" i="13"/>
  <c r="IN78" i="13"/>
  <c r="IO78" i="13"/>
  <c r="IP78" i="13"/>
  <c r="IQ78" i="13"/>
  <c r="IR78" i="13"/>
  <c r="IS78" i="13"/>
  <c r="IT78" i="13"/>
  <c r="IU78" i="13"/>
  <c r="IV78" i="13"/>
  <c r="A77" i="13"/>
  <c r="B77" i="13"/>
  <c r="C77" i="13"/>
  <c r="D77" i="13"/>
  <c r="E77" i="13"/>
  <c r="F77" i="13"/>
  <c r="G77" i="13"/>
  <c r="H77" i="13"/>
  <c r="I77" i="13"/>
  <c r="J77" i="13"/>
  <c r="K77" i="13"/>
  <c r="L77" i="13"/>
  <c r="M77" i="13"/>
  <c r="N77" i="13"/>
  <c r="O77" i="13"/>
  <c r="P77" i="13"/>
  <c r="Q77" i="13"/>
  <c r="R77" i="13"/>
  <c r="S77" i="13"/>
  <c r="T77" i="13"/>
  <c r="U77" i="13"/>
  <c r="V77" i="13"/>
  <c r="W77" i="13"/>
  <c r="X77" i="13"/>
  <c r="Y77" i="13"/>
  <c r="Z77" i="13"/>
  <c r="AA77" i="13"/>
  <c r="AB77" i="13"/>
  <c r="AC77" i="13"/>
  <c r="AD77" i="13"/>
  <c r="AE77" i="13"/>
  <c r="AF77" i="13"/>
  <c r="AG77" i="13"/>
  <c r="AH77" i="13"/>
  <c r="AI77" i="13"/>
  <c r="AJ77" i="13"/>
  <c r="AK77" i="13"/>
  <c r="AL77" i="13"/>
  <c r="AM77" i="13"/>
  <c r="AN77" i="13"/>
  <c r="AO77" i="13"/>
  <c r="AP77" i="13"/>
  <c r="AQ77" i="13"/>
  <c r="AR77" i="13"/>
  <c r="AS77" i="13"/>
  <c r="AT77" i="13"/>
  <c r="AU77" i="13"/>
  <c r="AV77" i="13"/>
  <c r="AW77" i="13"/>
  <c r="AX77" i="13"/>
  <c r="AY77" i="13"/>
  <c r="AZ77" i="13"/>
  <c r="BA77" i="13"/>
  <c r="BB77" i="13"/>
  <c r="BC77" i="13"/>
  <c r="BD77" i="13"/>
  <c r="BE77" i="13"/>
  <c r="BF77" i="13"/>
  <c r="BG77" i="13"/>
  <c r="BH77" i="13"/>
  <c r="BI77" i="13"/>
  <c r="BJ77" i="13"/>
  <c r="BK77" i="13"/>
  <c r="BL77" i="13"/>
  <c r="BM77" i="13"/>
  <c r="BN77" i="13"/>
  <c r="BO77" i="13"/>
  <c r="BP77" i="13"/>
  <c r="BQ77" i="13"/>
  <c r="BR77" i="13"/>
  <c r="BS77" i="13"/>
  <c r="BT77" i="13"/>
  <c r="BU77" i="13"/>
  <c r="BV77" i="13"/>
  <c r="BW77" i="13"/>
  <c r="BX77" i="13"/>
  <c r="BY77" i="13"/>
  <c r="BZ77" i="13"/>
  <c r="CA77" i="13"/>
  <c r="CB77" i="13"/>
  <c r="CC77" i="13"/>
  <c r="CD77" i="13"/>
  <c r="CE77" i="13"/>
  <c r="CF77" i="13"/>
  <c r="CG77" i="13"/>
  <c r="CH77" i="13"/>
  <c r="CI77" i="13"/>
  <c r="CJ77" i="13"/>
  <c r="CK77" i="13"/>
  <c r="CL77" i="13"/>
  <c r="CM77" i="13"/>
  <c r="CN77" i="13"/>
  <c r="CO77" i="13"/>
  <c r="CP77" i="13"/>
  <c r="CQ77" i="13"/>
  <c r="CR77" i="13"/>
  <c r="CS77" i="13"/>
  <c r="CT77" i="13"/>
  <c r="CU77" i="13"/>
  <c r="CV77" i="13"/>
  <c r="CW77" i="13"/>
  <c r="CX77" i="13"/>
  <c r="CY77" i="13"/>
  <c r="CZ77" i="13"/>
  <c r="DA77" i="13"/>
  <c r="DB77" i="13"/>
  <c r="DC77" i="13"/>
  <c r="DD77" i="13"/>
  <c r="DE77" i="13"/>
  <c r="DF77" i="13"/>
  <c r="DG77" i="13"/>
  <c r="DH77" i="13"/>
  <c r="DI77" i="13"/>
  <c r="DJ77" i="13"/>
  <c r="DK77" i="13"/>
  <c r="DL77" i="13"/>
  <c r="DM77" i="13"/>
  <c r="DN77" i="13"/>
  <c r="DO77" i="13"/>
  <c r="DP77" i="13"/>
  <c r="DQ77" i="13"/>
  <c r="DR77" i="13"/>
  <c r="DS77" i="13"/>
  <c r="DT77" i="13"/>
  <c r="DU77" i="13"/>
  <c r="DV77" i="13"/>
  <c r="DW77" i="13"/>
  <c r="DX77" i="13"/>
  <c r="DY77" i="13"/>
  <c r="DZ77" i="13"/>
  <c r="EA77" i="13"/>
  <c r="EB77" i="13"/>
  <c r="EC77" i="13"/>
  <c r="ED77" i="13"/>
  <c r="EE77" i="13"/>
  <c r="EF77" i="13"/>
  <c r="EG77" i="13"/>
  <c r="EH77" i="13"/>
  <c r="EI77" i="13"/>
  <c r="EJ77" i="13"/>
  <c r="EK77" i="13"/>
  <c r="EL77" i="13"/>
  <c r="EM77" i="13"/>
  <c r="EN77" i="13"/>
  <c r="EO77" i="13"/>
  <c r="EP77" i="13"/>
  <c r="EQ77" i="13"/>
  <c r="ER77" i="13"/>
  <c r="ES77" i="13"/>
  <c r="ET77" i="13"/>
  <c r="EU77" i="13"/>
  <c r="EV77" i="13"/>
  <c r="EW77" i="13"/>
  <c r="EX77" i="13"/>
  <c r="EY77" i="13"/>
  <c r="EZ77" i="13"/>
  <c r="FA77" i="13"/>
  <c r="FB77" i="13"/>
  <c r="FC77" i="13"/>
  <c r="FD77" i="13"/>
  <c r="FE77" i="13"/>
  <c r="FF77" i="13"/>
  <c r="FG77" i="13"/>
  <c r="FH77" i="13"/>
  <c r="FI77" i="13"/>
  <c r="FJ77" i="13"/>
  <c r="FK77" i="13"/>
  <c r="FL77" i="13"/>
  <c r="FM77" i="13"/>
  <c r="FN77" i="13"/>
  <c r="FO77" i="13"/>
  <c r="FP77" i="13"/>
  <c r="FQ77" i="13"/>
  <c r="FR77" i="13"/>
  <c r="FS77" i="13"/>
  <c r="FT77" i="13"/>
  <c r="FU77" i="13"/>
  <c r="FV77" i="13"/>
  <c r="FW77" i="13"/>
  <c r="FX77" i="13"/>
  <c r="FY77" i="13"/>
  <c r="FZ77" i="13"/>
  <c r="GA77" i="13"/>
  <c r="GB77" i="13"/>
  <c r="GC77" i="13"/>
  <c r="GD77" i="13"/>
  <c r="GE77" i="13"/>
  <c r="GF77" i="13"/>
  <c r="GG77" i="13"/>
  <c r="GH77" i="13"/>
  <c r="GI77" i="13"/>
  <c r="GJ77" i="13"/>
  <c r="GK77" i="13"/>
  <c r="GL77" i="13"/>
  <c r="GM77" i="13"/>
  <c r="GN77" i="13"/>
  <c r="GO77" i="13"/>
  <c r="GP77" i="13"/>
  <c r="GQ77" i="13"/>
  <c r="GR77" i="13"/>
  <c r="GS77" i="13"/>
  <c r="GT77" i="13"/>
  <c r="GU77" i="13"/>
  <c r="GV77" i="13"/>
  <c r="GW77" i="13"/>
  <c r="GX77" i="13"/>
  <c r="GY77" i="13"/>
  <c r="GZ77" i="13"/>
  <c r="HA77" i="13"/>
  <c r="HB77" i="13"/>
  <c r="HC77" i="13"/>
  <c r="HD77" i="13"/>
  <c r="HE77" i="13"/>
  <c r="HF77" i="13"/>
  <c r="HG77" i="13"/>
  <c r="HH77" i="13"/>
  <c r="HI77" i="13"/>
  <c r="HJ77" i="13"/>
  <c r="HK77" i="13"/>
  <c r="HL77" i="13"/>
  <c r="HM77" i="13"/>
  <c r="HN77" i="13"/>
  <c r="HO77" i="13"/>
  <c r="HP77" i="13"/>
  <c r="HQ77" i="13"/>
  <c r="HR77" i="13"/>
  <c r="HS77" i="13"/>
  <c r="HT77" i="13"/>
  <c r="HU77" i="13"/>
  <c r="HV77" i="13"/>
  <c r="HW77" i="13"/>
  <c r="HX77" i="13"/>
  <c r="HY77" i="13"/>
  <c r="HZ77" i="13"/>
  <c r="IA77" i="13"/>
  <c r="IB77" i="13"/>
  <c r="IC77" i="13"/>
  <c r="ID77" i="13"/>
  <c r="IE77" i="13"/>
  <c r="IF77" i="13"/>
  <c r="IG77" i="13"/>
  <c r="IH77" i="13"/>
  <c r="II77" i="13"/>
  <c r="IJ77" i="13"/>
  <c r="IK77" i="13"/>
  <c r="IL77" i="13"/>
  <c r="IM77" i="13"/>
  <c r="IN77" i="13"/>
  <c r="IO77" i="13"/>
  <c r="IP77" i="13"/>
  <c r="IQ77" i="13"/>
  <c r="IR77" i="13"/>
  <c r="IS77" i="13"/>
  <c r="IT77" i="13"/>
  <c r="IU77" i="13"/>
  <c r="IV77" i="13"/>
  <c r="A76" i="13"/>
  <c r="B76" i="13"/>
  <c r="C76" i="13"/>
  <c r="D76" i="13"/>
  <c r="E76" i="13"/>
  <c r="F76" i="13"/>
  <c r="G76" i="13"/>
  <c r="H76" i="13"/>
  <c r="I76" i="13"/>
  <c r="J76" i="13"/>
  <c r="K76" i="13"/>
  <c r="L76" i="13"/>
  <c r="M76" i="13"/>
  <c r="N76" i="13"/>
  <c r="O76" i="13"/>
  <c r="P76" i="13"/>
  <c r="Q76" i="13"/>
  <c r="R76" i="13"/>
  <c r="S76" i="13"/>
  <c r="T76" i="13"/>
  <c r="U76" i="13"/>
  <c r="V76" i="13"/>
  <c r="W76" i="13"/>
  <c r="X76" i="13"/>
  <c r="Y76" i="13"/>
  <c r="Z76" i="13"/>
  <c r="AA76" i="13"/>
  <c r="AB76" i="13"/>
  <c r="AC76" i="13"/>
  <c r="AD76" i="13"/>
  <c r="AE76" i="13"/>
  <c r="AF76" i="13"/>
  <c r="AG76" i="13"/>
  <c r="AH76" i="13"/>
  <c r="AI76" i="13"/>
  <c r="AJ76" i="13"/>
  <c r="AK76" i="13"/>
  <c r="AL76" i="13"/>
  <c r="AM76" i="13"/>
  <c r="AN76" i="13"/>
  <c r="AO76" i="13"/>
  <c r="AP76" i="13"/>
  <c r="AQ76" i="13"/>
  <c r="AR76" i="13"/>
  <c r="AS76" i="13"/>
  <c r="AT76" i="13"/>
  <c r="AU76" i="13"/>
  <c r="AV76" i="13"/>
  <c r="AW76" i="13"/>
  <c r="AX76" i="13"/>
  <c r="AY76" i="13"/>
  <c r="AZ76" i="13"/>
  <c r="BA76" i="13"/>
  <c r="BB76" i="13"/>
  <c r="BC76" i="13"/>
  <c r="BD76" i="13"/>
  <c r="BE76" i="13"/>
  <c r="BF76" i="13"/>
  <c r="BG76" i="13"/>
  <c r="BH76" i="13"/>
  <c r="BI76" i="13"/>
  <c r="BJ76" i="13"/>
  <c r="BK76" i="13"/>
  <c r="BL76" i="13"/>
  <c r="BM76" i="13"/>
  <c r="BN76" i="13"/>
  <c r="BO76" i="13"/>
  <c r="BP76" i="13"/>
  <c r="BQ76" i="13"/>
  <c r="BR76" i="13"/>
  <c r="BS76" i="13"/>
  <c r="BT76" i="13"/>
  <c r="BU76" i="13"/>
  <c r="BV76" i="13"/>
  <c r="BW76" i="13"/>
  <c r="BX76" i="13"/>
  <c r="BY76" i="13"/>
  <c r="BZ76" i="13"/>
  <c r="CA76" i="13"/>
  <c r="CB76" i="13"/>
  <c r="CC76" i="13"/>
  <c r="CD76" i="13"/>
  <c r="CE76" i="13"/>
  <c r="CF76" i="13"/>
  <c r="CG76" i="13"/>
  <c r="CH76" i="13"/>
  <c r="CI76" i="13"/>
  <c r="CJ76" i="13"/>
  <c r="CK76" i="13"/>
  <c r="CL76" i="13"/>
  <c r="CM76" i="13"/>
  <c r="CN76" i="13"/>
  <c r="CO76" i="13"/>
  <c r="CP76" i="13"/>
  <c r="CQ76" i="13"/>
  <c r="CR76" i="13"/>
  <c r="CS76" i="13"/>
  <c r="CT76" i="13"/>
  <c r="CU76" i="13"/>
  <c r="CV76" i="13"/>
  <c r="CW76" i="13"/>
  <c r="CX76" i="13"/>
  <c r="CY76" i="13"/>
  <c r="CZ76" i="13"/>
  <c r="DA76" i="13"/>
  <c r="DB76" i="13"/>
  <c r="DC76" i="13"/>
  <c r="DD76" i="13"/>
  <c r="DE76" i="13"/>
  <c r="DF76" i="13"/>
  <c r="DG76" i="13"/>
  <c r="DH76" i="13"/>
  <c r="DI76" i="13"/>
  <c r="DJ76" i="13"/>
  <c r="DK76" i="13"/>
  <c r="DL76" i="13"/>
  <c r="DM76" i="13"/>
  <c r="DN76" i="13"/>
  <c r="DO76" i="13"/>
  <c r="DP76" i="13"/>
  <c r="DQ76" i="13"/>
  <c r="DR76" i="13"/>
  <c r="DS76" i="13"/>
  <c r="DT76" i="13"/>
  <c r="DU76" i="13"/>
  <c r="DV76" i="13"/>
  <c r="DW76" i="13"/>
  <c r="DX76" i="13"/>
  <c r="DY76" i="13"/>
  <c r="DZ76" i="13"/>
  <c r="EA76" i="13"/>
  <c r="EB76" i="13"/>
  <c r="EC76" i="13"/>
  <c r="ED76" i="13"/>
  <c r="EE76" i="13"/>
  <c r="EF76" i="13"/>
  <c r="EG76" i="13"/>
  <c r="EH76" i="13"/>
  <c r="EI76" i="13"/>
  <c r="EJ76" i="13"/>
  <c r="EK76" i="13"/>
  <c r="EL76" i="13"/>
  <c r="EM76" i="13"/>
  <c r="EN76" i="13"/>
  <c r="EO76" i="13"/>
  <c r="EP76" i="13"/>
  <c r="EQ76" i="13"/>
  <c r="ER76" i="13"/>
  <c r="ES76" i="13"/>
  <c r="ET76" i="13"/>
  <c r="EU76" i="13"/>
  <c r="EV76" i="13"/>
  <c r="EW76" i="13"/>
  <c r="EX76" i="13"/>
  <c r="EY76" i="13"/>
  <c r="EZ76" i="13"/>
  <c r="FA76" i="13"/>
  <c r="FB76" i="13"/>
  <c r="FC76" i="13"/>
  <c r="FD76" i="13"/>
  <c r="FE76" i="13"/>
  <c r="FF76" i="13"/>
  <c r="FG76" i="13"/>
  <c r="FH76" i="13"/>
  <c r="FI76" i="13"/>
  <c r="FJ76" i="13"/>
  <c r="FK76" i="13"/>
  <c r="FL76" i="13"/>
  <c r="FM76" i="13"/>
  <c r="FN76" i="13"/>
  <c r="FO76" i="13"/>
  <c r="FP76" i="13"/>
  <c r="FQ76" i="13"/>
  <c r="FR76" i="13"/>
  <c r="FS76" i="13"/>
  <c r="FT76" i="13"/>
  <c r="FU76" i="13"/>
  <c r="FV76" i="13"/>
  <c r="FW76" i="13"/>
  <c r="FX76" i="13"/>
  <c r="FY76" i="13"/>
  <c r="FZ76" i="13"/>
  <c r="GA76" i="13"/>
  <c r="GB76" i="13"/>
  <c r="GC76" i="13"/>
  <c r="GD76" i="13"/>
  <c r="GE76" i="13"/>
  <c r="GF76" i="13"/>
  <c r="GG76" i="13"/>
  <c r="GH76" i="13"/>
  <c r="GI76" i="13"/>
  <c r="GJ76" i="13"/>
  <c r="GK76" i="13"/>
  <c r="GL76" i="13"/>
  <c r="GM76" i="13"/>
  <c r="GN76" i="13"/>
  <c r="GO76" i="13"/>
  <c r="GP76" i="13"/>
  <c r="GQ76" i="13"/>
  <c r="GR76" i="13"/>
  <c r="GS76" i="13"/>
  <c r="GT76" i="13"/>
  <c r="GU76" i="13"/>
  <c r="GV76" i="13"/>
  <c r="GW76" i="13"/>
  <c r="GX76" i="13"/>
  <c r="GY76" i="13"/>
  <c r="GZ76" i="13"/>
  <c r="HA76" i="13"/>
  <c r="HB76" i="13"/>
  <c r="HC76" i="13"/>
  <c r="HD76" i="13"/>
  <c r="HE76" i="13"/>
  <c r="HF76" i="13"/>
  <c r="HG76" i="13"/>
  <c r="HH76" i="13"/>
  <c r="HI76" i="13"/>
  <c r="HJ76" i="13"/>
  <c r="HK76" i="13"/>
  <c r="HL76" i="13"/>
  <c r="HM76" i="13"/>
  <c r="HN76" i="13"/>
  <c r="HO76" i="13"/>
  <c r="HP76" i="13"/>
  <c r="HQ76" i="13"/>
  <c r="HR76" i="13"/>
  <c r="HS76" i="13"/>
  <c r="HT76" i="13"/>
  <c r="HU76" i="13"/>
  <c r="HV76" i="13"/>
  <c r="HW76" i="13"/>
  <c r="HX76" i="13"/>
  <c r="HY76" i="13"/>
  <c r="HZ76" i="13"/>
  <c r="IA76" i="13"/>
  <c r="IB76" i="13"/>
  <c r="IC76" i="13"/>
  <c r="ID76" i="13"/>
  <c r="IE76" i="13"/>
  <c r="IF76" i="13"/>
  <c r="IG76" i="13"/>
  <c r="IH76" i="13"/>
  <c r="II76" i="13"/>
  <c r="IJ76" i="13"/>
  <c r="IK76" i="13"/>
  <c r="IL76" i="13"/>
  <c r="IM76" i="13"/>
  <c r="IN76" i="13"/>
  <c r="IO76" i="13"/>
  <c r="IP76" i="13"/>
  <c r="IQ76" i="13"/>
  <c r="IR76" i="13"/>
  <c r="IS76" i="13"/>
  <c r="IT76" i="13"/>
  <c r="IU76" i="13"/>
  <c r="IV76" i="13"/>
  <c r="A75" i="13"/>
  <c r="B75" i="13"/>
  <c r="C75" i="13"/>
  <c r="D75" i="13"/>
  <c r="E75" i="13"/>
  <c r="F75" i="13"/>
  <c r="G75" i="13"/>
  <c r="H75" i="13"/>
  <c r="I75" i="13"/>
  <c r="J75" i="13"/>
  <c r="K75" i="13"/>
  <c r="L75" i="13"/>
  <c r="M75" i="13"/>
  <c r="N75" i="13"/>
  <c r="O75" i="13"/>
  <c r="P75" i="13"/>
  <c r="Q75" i="13"/>
  <c r="R75" i="13"/>
  <c r="S75" i="13"/>
  <c r="T75" i="13"/>
  <c r="U75" i="13"/>
  <c r="V75" i="13"/>
  <c r="W75" i="13"/>
  <c r="X75" i="13"/>
  <c r="Y75" i="13"/>
  <c r="Z75" i="13"/>
  <c r="AA75" i="13"/>
  <c r="AB75" i="13"/>
  <c r="AC75" i="13"/>
  <c r="AD75" i="13"/>
  <c r="AE75" i="13"/>
  <c r="AF75" i="13"/>
  <c r="AG75" i="13"/>
  <c r="AH75" i="13"/>
  <c r="AI75" i="13"/>
  <c r="AJ75" i="13"/>
  <c r="AK75" i="13"/>
  <c r="AL75" i="13"/>
  <c r="AM75" i="13"/>
  <c r="AN75" i="13"/>
  <c r="AO75" i="13"/>
  <c r="AP75" i="13"/>
  <c r="AQ75" i="13"/>
  <c r="AR75" i="13"/>
  <c r="AS75" i="13"/>
  <c r="AT75" i="13"/>
  <c r="AU75" i="13"/>
  <c r="AV75" i="13"/>
  <c r="AW75" i="13"/>
  <c r="AX75" i="13"/>
  <c r="AY75" i="13"/>
  <c r="AZ75" i="13"/>
  <c r="BA75" i="13"/>
  <c r="BB75" i="13"/>
  <c r="BC75" i="13"/>
  <c r="BD75" i="13"/>
  <c r="BE75" i="13"/>
  <c r="BF75" i="13"/>
  <c r="BG75" i="13"/>
  <c r="BH75" i="13"/>
  <c r="BI75" i="13"/>
  <c r="BJ75" i="13"/>
  <c r="BK75" i="13"/>
  <c r="BL75" i="13"/>
  <c r="BM75" i="13"/>
  <c r="BN75" i="13"/>
  <c r="BO75" i="13"/>
  <c r="BP75" i="13"/>
  <c r="BQ75" i="13"/>
  <c r="BR75" i="13"/>
  <c r="BS75" i="13"/>
  <c r="BT75" i="13"/>
  <c r="BU75" i="13"/>
  <c r="BV75" i="13"/>
  <c r="BW75" i="13"/>
  <c r="BX75" i="13"/>
  <c r="BY75" i="13"/>
  <c r="BZ75" i="13"/>
  <c r="CA75" i="13"/>
  <c r="CB75" i="13"/>
  <c r="CC75" i="13"/>
  <c r="CD75" i="13"/>
  <c r="CE75" i="13"/>
  <c r="CF75" i="13"/>
  <c r="CG75" i="13"/>
  <c r="CH75" i="13"/>
  <c r="CI75" i="13"/>
  <c r="CJ75" i="13"/>
  <c r="CK75" i="13"/>
  <c r="CL75" i="13"/>
  <c r="CM75" i="13"/>
  <c r="CN75" i="13"/>
  <c r="CO75" i="13"/>
  <c r="CP75" i="13"/>
  <c r="CQ75" i="13"/>
  <c r="CR75" i="13"/>
  <c r="CS75" i="13"/>
  <c r="CT75" i="13"/>
  <c r="CU75" i="13"/>
  <c r="CV75" i="13"/>
  <c r="CW75" i="13"/>
  <c r="CX75" i="13"/>
  <c r="CY75" i="13"/>
  <c r="CZ75" i="13"/>
  <c r="DA75" i="13"/>
  <c r="DB75" i="13"/>
  <c r="DC75" i="13"/>
  <c r="DD75" i="13"/>
  <c r="DE75" i="13"/>
  <c r="DF75" i="13"/>
  <c r="DG75" i="13"/>
  <c r="DH75" i="13"/>
  <c r="DI75" i="13"/>
  <c r="DJ75" i="13"/>
  <c r="DK75" i="13"/>
  <c r="DL75" i="13"/>
  <c r="DM75" i="13"/>
  <c r="DN75" i="13"/>
  <c r="DO75" i="13"/>
  <c r="DP75" i="13"/>
  <c r="DQ75" i="13"/>
  <c r="DR75" i="13"/>
  <c r="DS75" i="13"/>
  <c r="DT75" i="13"/>
  <c r="DU75" i="13"/>
  <c r="DV75" i="13"/>
  <c r="DW75" i="13"/>
  <c r="DX75" i="13"/>
  <c r="DY75" i="13"/>
  <c r="DZ75" i="13"/>
  <c r="EA75" i="13"/>
  <c r="EB75" i="13"/>
  <c r="EC75" i="13"/>
  <c r="ED75" i="13"/>
  <c r="EE75" i="13"/>
  <c r="EF75" i="13"/>
  <c r="EG75" i="13"/>
  <c r="EH75" i="13"/>
  <c r="EI75" i="13"/>
  <c r="EJ75" i="13"/>
  <c r="EK75" i="13"/>
  <c r="EL75" i="13"/>
  <c r="EM75" i="13"/>
  <c r="EN75" i="13"/>
  <c r="EO75" i="13"/>
  <c r="EP75" i="13"/>
  <c r="EQ75" i="13"/>
  <c r="ER75" i="13"/>
  <c r="ES75" i="13"/>
  <c r="ET75" i="13"/>
  <c r="EU75" i="13"/>
  <c r="EV75" i="13"/>
  <c r="EW75" i="13"/>
  <c r="EX75" i="13"/>
  <c r="EY75" i="13"/>
  <c r="EZ75" i="13"/>
  <c r="FA75" i="13"/>
  <c r="FB75" i="13"/>
  <c r="FC75" i="13"/>
  <c r="FD75" i="13"/>
  <c r="FE75" i="13"/>
  <c r="FF75" i="13"/>
  <c r="FG75" i="13"/>
  <c r="FH75" i="13"/>
  <c r="FI75" i="13"/>
  <c r="FJ75" i="13"/>
  <c r="FK75" i="13"/>
  <c r="FL75" i="13"/>
  <c r="FM75" i="13"/>
  <c r="FN75" i="13"/>
  <c r="FO75" i="13"/>
  <c r="FP75" i="13"/>
  <c r="FQ75" i="13"/>
  <c r="FR75" i="13"/>
  <c r="FS75" i="13"/>
  <c r="FT75" i="13"/>
  <c r="FU75" i="13"/>
  <c r="FV75" i="13"/>
  <c r="FW75" i="13"/>
  <c r="FX75" i="13"/>
  <c r="FY75" i="13"/>
  <c r="FZ75" i="13"/>
  <c r="GA75" i="13"/>
  <c r="GB75" i="13"/>
  <c r="GC75" i="13"/>
  <c r="GD75" i="13"/>
  <c r="GE75" i="13"/>
  <c r="GF75" i="13"/>
  <c r="GG75" i="13"/>
  <c r="GH75" i="13"/>
  <c r="GI75" i="13"/>
  <c r="GJ75" i="13"/>
  <c r="GK75" i="13"/>
  <c r="GL75" i="13"/>
  <c r="GM75" i="13"/>
  <c r="GN75" i="13"/>
  <c r="GO75" i="13"/>
  <c r="GP75" i="13"/>
  <c r="GQ75" i="13"/>
  <c r="GR75" i="13"/>
  <c r="GS75" i="13"/>
  <c r="GT75" i="13"/>
  <c r="GU75" i="13"/>
  <c r="GV75" i="13"/>
  <c r="GW75" i="13"/>
  <c r="GX75" i="13"/>
  <c r="GY75" i="13"/>
  <c r="GZ75" i="13"/>
  <c r="HA75" i="13"/>
  <c r="HB75" i="13"/>
  <c r="HC75" i="13"/>
  <c r="HD75" i="13"/>
  <c r="HE75" i="13"/>
  <c r="HF75" i="13"/>
  <c r="HG75" i="13"/>
  <c r="HH75" i="13"/>
  <c r="HI75" i="13"/>
  <c r="HJ75" i="13"/>
  <c r="HK75" i="13"/>
  <c r="HL75" i="13"/>
  <c r="HM75" i="13"/>
  <c r="HN75" i="13"/>
  <c r="HO75" i="13"/>
  <c r="HP75" i="13"/>
  <c r="HQ75" i="13"/>
  <c r="HR75" i="13"/>
  <c r="HS75" i="13"/>
  <c r="HT75" i="13"/>
  <c r="HU75" i="13"/>
  <c r="HV75" i="13"/>
  <c r="HW75" i="13"/>
  <c r="HX75" i="13"/>
  <c r="HY75" i="13"/>
  <c r="HZ75" i="13"/>
  <c r="IA75" i="13"/>
  <c r="IB75" i="13"/>
  <c r="IC75" i="13"/>
  <c r="ID75" i="13"/>
  <c r="IE75" i="13"/>
  <c r="IF75" i="13"/>
  <c r="IG75" i="13"/>
  <c r="IH75" i="13"/>
  <c r="II75" i="13"/>
  <c r="IJ75" i="13"/>
  <c r="IK75" i="13"/>
  <c r="IL75" i="13"/>
  <c r="IM75" i="13"/>
  <c r="IN75" i="13"/>
  <c r="IO75" i="13"/>
  <c r="IP75" i="13"/>
  <c r="IQ75" i="13"/>
  <c r="IR75" i="13"/>
  <c r="IS75" i="13"/>
  <c r="IT75" i="13"/>
  <c r="IU75" i="13"/>
  <c r="IV75" i="13"/>
  <c r="A74" i="13"/>
  <c r="B74" i="13"/>
  <c r="C74" i="13"/>
  <c r="D74" i="13"/>
  <c r="E74" i="13"/>
  <c r="F74" i="13"/>
  <c r="G74" i="13"/>
  <c r="H74" i="13"/>
  <c r="I74" i="13"/>
  <c r="J74" i="13"/>
  <c r="K74" i="13"/>
  <c r="L74" i="13"/>
  <c r="M74" i="13"/>
  <c r="N74" i="13"/>
  <c r="O74" i="13"/>
  <c r="P74" i="13"/>
  <c r="Q74" i="13"/>
  <c r="R74" i="13"/>
  <c r="S74" i="13"/>
  <c r="T74" i="13"/>
  <c r="U74" i="13"/>
  <c r="V74" i="13"/>
  <c r="W74" i="13"/>
  <c r="X74" i="13"/>
  <c r="Y74" i="13"/>
  <c r="Z74" i="13"/>
  <c r="AA74" i="13"/>
  <c r="AB74" i="13"/>
  <c r="AC74" i="13"/>
  <c r="AD74" i="13"/>
  <c r="AE74" i="13"/>
  <c r="AF74" i="13"/>
  <c r="AG74" i="13"/>
  <c r="AH74" i="13"/>
  <c r="AI74" i="13"/>
  <c r="AJ74" i="13"/>
  <c r="AK74" i="13"/>
  <c r="AL74" i="13"/>
  <c r="AM74" i="13"/>
  <c r="AN74" i="13"/>
  <c r="AO74" i="13"/>
  <c r="AP74" i="13"/>
  <c r="AQ74" i="13"/>
  <c r="AR74" i="13"/>
  <c r="AS74" i="13"/>
  <c r="AT74" i="13"/>
  <c r="AU74" i="13"/>
  <c r="AV74" i="13"/>
  <c r="AW74" i="13"/>
  <c r="AX74" i="13"/>
  <c r="AY74" i="13"/>
  <c r="AZ74" i="13"/>
  <c r="BA74" i="13"/>
  <c r="BB74" i="13"/>
  <c r="BC74" i="13"/>
  <c r="BD74" i="13"/>
  <c r="BE74" i="13"/>
  <c r="BF74" i="13"/>
  <c r="BG74" i="13"/>
  <c r="BH74" i="13"/>
  <c r="BI74" i="13"/>
  <c r="BJ74" i="13"/>
  <c r="BK74" i="13"/>
  <c r="BL74" i="13"/>
  <c r="BM74" i="13"/>
  <c r="BN74" i="13"/>
  <c r="BO74" i="13"/>
  <c r="BP74" i="13"/>
  <c r="BQ74" i="13"/>
  <c r="BR74" i="13"/>
  <c r="BS74" i="13"/>
  <c r="BT74" i="13"/>
  <c r="BU74" i="13"/>
  <c r="BV74" i="13"/>
  <c r="BW74" i="13"/>
  <c r="BX74" i="13"/>
  <c r="BY74" i="13"/>
  <c r="BZ74" i="13"/>
  <c r="CA74" i="13"/>
  <c r="CB74" i="13"/>
  <c r="CC74" i="13"/>
  <c r="CD74" i="13"/>
  <c r="CE74" i="13"/>
  <c r="CF74" i="13"/>
  <c r="CG74" i="13"/>
  <c r="CH74" i="13"/>
  <c r="CI74" i="13"/>
  <c r="CJ74" i="13"/>
  <c r="CK74" i="13"/>
  <c r="CL74" i="13"/>
  <c r="CM74" i="13"/>
  <c r="CN74" i="13"/>
  <c r="CO74" i="13"/>
  <c r="CP74" i="13"/>
  <c r="CQ74" i="13"/>
  <c r="CR74" i="13"/>
  <c r="CS74" i="13"/>
  <c r="CT74" i="13"/>
  <c r="CU74" i="13"/>
  <c r="CV74" i="13"/>
  <c r="CW74" i="13"/>
  <c r="CX74" i="13"/>
  <c r="CY74" i="13"/>
  <c r="CZ74" i="13"/>
  <c r="DA74" i="13"/>
  <c r="DB74" i="13"/>
  <c r="DC74" i="13"/>
  <c r="DD74" i="13"/>
  <c r="DE74" i="13"/>
  <c r="DF74" i="13"/>
  <c r="DG74" i="13"/>
  <c r="DH74" i="13"/>
  <c r="DI74" i="13"/>
  <c r="DJ74" i="13"/>
  <c r="DK74" i="13"/>
  <c r="DL74" i="13"/>
  <c r="DM74" i="13"/>
  <c r="DN74" i="13"/>
  <c r="DO74" i="13"/>
  <c r="DP74" i="13"/>
  <c r="DQ74" i="13"/>
  <c r="DR74" i="13"/>
  <c r="DS74" i="13"/>
  <c r="DT74" i="13"/>
  <c r="DU74" i="13"/>
  <c r="DV74" i="13"/>
  <c r="DW74" i="13"/>
  <c r="DX74" i="13"/>
  <c r="DY74" i="13"/>
  <c r="DZ74" i="13"/>
  <c r="EA74" i="13"/>
  <c r="EB74" i="13"/>
  <c r="EC74" i="13"/>
  <c r="ED74" i="13"/>
  <c r="EE74" i="13"/>
  <c r="EF74" i="13"/>
  <c r="EG74" i="13"/>
  <c r="EH74" i="13"/>
  <c r="EI74" i="13"/>
  <c r="EJ74" i="13"/>
  <c r="EK74" i="13"/>
  <c r="EL74" i="13"/>
  <c r="EM74" i="13"/>
  <c r="EN74" i="13"/>
  <c r="EO74" i="13"/>
  <c r="EP74" i="13"/>
  <c r="EQ74" i="13"/>
  <c r="ER74" i="13"/>
  <c r="ES74" i="13"/>
  <c r="ET74" i="13"/>
  <c r="EU74" i="13"/>
  <c r="EV74" i="13"/>
  <c r="EW74" i="13"/>
  <c r="EX74" i="13"/>
  <c r="EY74" i="13"/>
  <c r="EZ74" i="13"/>
  <c r="FA74" i="13"/>
  <c r="FB74" i="13"/>
  <c r="FC74" i="13"/>
  <c r="FD74" i="13"/>
  <c r="FE74" i="13"/>
  <c r="FF74" i="13"/>
  <c r="FG74" i="13"/>
  <c r="FH74" i="13"/>
  <c r="FI74" i="13"/>
  <c r="FJ74" i="13"/>
  <c r="FK74" i="13"/>
  <c r="FL74" i="13"/>
  <c r="FM74" i="13"/>
  <c r="FN74" i="13"/>
  <c r="FO74" i="13"/>
  <c r="FP74" i="13"/>
  <c r="FQ74" i="13"/>
  <c r="FR74" i="13"/>
  <c r="FS74" i="13"/>
  <c r="FT74" i="13"/>
  <c r="FU74" i="13"/>
  <c r="FV74" i="13"/>
  <c r="FW74" i="13"/>
  <c r="FX74" i="13"/>
  <c r="FY74" i="13"/>
  <c r="FZ74" i="13"/>
  <c r="GA74" i="13"/>
  <c r="GB74" i="13"/>
  <c r="GC74" i="13"/>
  <c r="GD74" i="13"/>
  <c r="GE74" i="13"/>
  <c r="GF74" i="13"/>
  <c r="GG74" i="13"/>
  <c r="GH74" i="13"/>
  <c r="GI74" i="13"/>
  <c r="GJ74" i="13"/>
  <c r="GK74" i="13"/>
  <c r="GL74" i="13"/>
  <c r="GM74" i="13"/>
  <c r="GN74" i="13"/>
  <c r="GO74" i="13"/>
  <c r="GP74" i="13"/>
  <c r="GQ74" i="13"/>
  <c r="GR74" i="13"/>
  <c r="GS74" i="13"/>
  <c r="GT74" i="13"/>
  <c r="GU74" i="13"/>
  <c r="GV74" i="13"/>
  <c r="GW74" i="13"/>
  <c r="GX74" i="13"/>
  <c r="GY74" i="13"/>
  <c r="GZ74" i="13"/>
  <c r="HA74" i="13"/>
  <c r="HB74" i="13"/>
  <c r="HC74" i="13"/>
  <c r="HD74" i="13"/>
  <c r="HE74" i="13"/>
  <c r="HF74" i="13"/>
  <c r="HG74" i="13"/>
  <c r="HH74" i="13"/>
  <c r="HI74" i="13"/>
  <c r="HJ74" i="13"/>
  <c r="HK74" i="13"/>
  <c r="HL74" i="13"/>
  <c r="HM74" i="13"/>
  <c r="HN74" i="13"/>
  <c r="HO74" i="13"/>
  <c r="HP74" i="13"/>
  <c r="HQ74" i="13"/>
  <c r="HR74" i="13"/>
  <c r="HS74" i="13"/>
  <c r="HT74" i="13"/>
  <c r="HU74" i="13"/>
  <c r="HV74" i="13"/>
  <c r="HW74" i="13"/>
  <c r="HX74" i="13"/>
  <c r="HY74" i="13"/>
  <c r="HZ74" i="13"/>
  <c r="IA74" i="13"/>
  <c r="IB74" i="13"/>
  <c r="IC74" i="13"/>
  <c r="ID74" i="13"/>
  <c r="IE74" i="13"/>
  <c r="IF74" i="13"/>
  <c r="IG74" i="13"/>
  <c r="IH74" i="13"/>
  <c r="II74" i="13"/>
  <c r="IJ74" i="13"/>
  <c r="IK74" i="13"/>
  <c r="IL74" i="13"/>
  <c r="IM74" i="13"/>
  <c r="IN74" i="13"/>
  <c r="IO74" i="13"/>
  <c r="IP74" i="13"/>
  <c r="IQ74" i="13"/>
  <c r="IR74" i="13"/>
  <c r="IS74" i="13"/>
  <c r="IT74" i="13"/>
  <c r="IU74" i="13"/>
  <c r="IV74" i="13"/>
  <c r="A73" i="13"/>
  <c r="B73" i="13"/>
  <c r="C73" i="13"/>
  <c r="D73" i="13"/>
  <c r="E73" i="13"/>
  <c r="F73" i="13"/>
  <c r="G73" i="13"/>
  <c r="H73" i="13"/>
  <c r="I73" i="13"/>
  <c r="J73" i="13"/>
  <c r="K73" i="13"/>
  <c r="L73" i="13"/>
  <c r="M73" i="13"/>
  <c r="N73" i="13"/>
  <c r="O73" i="13"/>
  <c r="P73" i="13"/>
  <c r="Q73" i="13"/>
  <c r="R73" i="13"/>
  <c r="S73" i="13"/>
  <c r="T73" i="13"/>
  <c r="U73" i="13"/>
  <c r="V73" i="13"/>
  <c r="W73" i="13"/>
  <c r="X73" i="13"/>
  <c r="Y73" i="13"/>
  <c r="Z73" i="13"/>
  <c r="AA73" i="13"/>
  <c r="AB73" i="13"/>
  <c r="AC73" i="13"/>
  <c r="AD73" i="13"/>
  <c r="AE73" i="13"/>
  <c r="AF73" i="13"/>
  <c r="AG73" i="13"/>
  <c r="AH73" i="13"/>
  <c r="AI73" i="13"/>
  <c r="AJ73" i="13"/>
  <c r="AK73" i="13"/>
  <c r="AL73" i="13"/>
  <c r="AM73" i="13"/>
  <c r="AN73" i="13"/>
  <c r="AO73" i="13"/>
  <c r="AP73" i="13"/>
  <c r="AQ73" i="13"/>
  <c r="AR73" i="13"/>
  <c r="AS73" i="13"/>
  <c r="AT73" i="13"/>
  <c r="AU73" i="13"/>
  <c r="AV73" i="13"/>
  <c r="AW73" i="13"/>
  <c r="AX73" i="13"/>
  <c r="AY73" i="13"/>
  <c r="AZ73" i="13"/>
  <c r="BA73" i="13"/>
  <c r="BB73" i="13"/>
  <c r="BC73" i="13"/>
  <c r="BD73" i="13"/>
  <c r="BE73" i="13"/>
  <c r="BF73" i="13"/>
  <c r="BG73" i="13"/>
  <c r="BH73" i="13"/>
  <c r="BI73" i="13"/>
  <c r="BJ73" i="13"/>
  <c r="BK73" i="13"/>
  <c r="BL73" i="13"/>
  <c r="BM73" i="13"/>
  <c r="BN73" i="13"/>
  <c r="BO73" i="13"/>
  <c r="BP73" i="13"/>
  <c r="BQ73" i="13"/>
  <c r="BR73" i="13"/>
  <c r="BS73" i="13"/>
  <c r="BT73" i="13"/>
  <c r="BU73" i="13"/>
  <c r="BV73" i="13"/>
  <c r="BW73" i="13"/>
  <c r="BX73" i="13"/>
  <c r="BY73" i="13"/>
  <c r="BZ73" i="13"/>
  <c r="CA73" i="13"/>
  <c r="CB73" i="13"/>
  <c r="CC73" i="13"/>
  <c r="CD73" i="13"/>
  <c r="CE73" i="13"/>
  <c r="CF73" i="13"/>
  <c r="CG73" i="13"/>
  <c r="CH73" i="13"/>
  <c r="CI73" i="13"/>
  <c r="CJ73" i="13"/>
  <c r="CK73" i="13"/>
  <c r="CL73" i="13"/>
  <c r="CM73" i="13"/>
  <c r="CN73" i="13"/>
  <c r="CO73" i="13"/>
  <c r="CP73" i="13"/>
  <c r="CQ73" i="13"/>
  <c r="CR73" i="13"/>
  <c r="CS73" i="13"/>
  <c r="CT73" i="13"/>
  <c r="CU73" i="13"/>
  <c r="CV73" i="13"/>
  <c r="CW73" i="13"/>
  <c r="CX73" i="13"/>
  <c r="CY73" i="13"/>
  <c r="CZ73" i="13"/>
  <c r="DA73" i="13"/>
  <c r="DB73" i="13"/>
  <c r="DC73" i="13"/>
  <c r="DD73" i="13"/>
  <c r="DE73" i="13"/>
  <c r="DF73" i="13"/>
  <c r="DG73" i="13"/>
  <c r="DH73" i="13"/>
  <c r="DI73" i="13"/>
  <c r="DJ73" i="13"/>
  <c r="DK73" i="13"/>
  <c r="DL73" i="13"/>
  <c r="DM73" i="13"/>
  <c r="DN73" i="13"/>
  <c r="DO73" i="13"/>
  <c r="DP73" i="13"/>
  <c r="DQ73" i="13"/>
  <c r="DR73" i="13"/>
  <c r="DS73" i="13"/>
  <c r="DT73" i="13"/>
  <c r="DU73" i="13"/>
  <c r="DV73" i="13"/>
  <c r="DW73" i="13"/>
  <c r="DX73" i="13"/>
  <c r="DY73" i="13"/>
  <c r="DZ73" i="13"/>
  <c r="EA73" i="13"/>
  <c r="EB73" i="13"/>
  <c r="EC73" i="13"/>
  <c r="ED73" i="13"/>
  <c r="EE73" i="13"/>
  <c r="EF73" i="13"/>
  <c r="EG73" i="13"/>
  <c r="EH73" i="13"/>
  <c r="EI73" i="13"/>
  <c r="EJ73" i="13"/>
  <c r="EK73" i="13"/>
  <c r="EL73" i="13"/>
  <c r="EM73" i="13"/>
  <c r="EN73" i="13"/>
  <c r="EO73" i="13"/>
  <c r="EP73" i="13"/>
  <c r="EQ73" i="13"/>
  <c r="ER73" i="13"/>
  <c r="ES73" i="13"/>
  <c r="ET73" i="13"/>
  <c r="EU73" i="13"/>
  <c r="EV73" i="13"/>
  <c r="EW73" i="13"/>
  <c r="EX73" i="13"/>
  <c r="EY73" i="13"/>
  <c r="EZ73" i="13"/>
  <c r="FA73" i="13"/>
  <c r="FB73" i="13"/>
  <c r="FC73" i="13"/>
  <c r="FD73" i="13"/>
  <c r="FE73" i="13"/>
  <c r="FF73" i="13"/>
  <c r="FG73" i="13"/>
  <c r="FH73" i="13"/>
  <c r="FI73" i="13"/>
  <c r="FJ73" i="13"/>
  <c r="FK73" i="13"/>
  <c r="FL73" i="13"/>
  <c r="FM73" i="13"/>
  <c r="FN73" i="13"/>
  <c r="FO73" i="13"/>
  <c r="FP73" i="13"/>
  <c r="FQ73" i="13"/>
  <c r="FR73" i="13"/>
  <c r="FS73" i="13"/>
  <c r="FT73" i="13"/>
  <c r="FU73" i="13"/>
  <c r="FV73" i="13"/>
  <c r="FW73" i="13"/>
  <c r="FX73" i="13"/>
  <c r="FY73" i="13"/>
  <c r="FZ73" i="13"/>
  <c r="GA73" i="13"/>
  <c r="GB73" i="13"/>
  <c r="GC73" i="13"/>
  <c r="GD73" i="13"/>
  <c r="GE73" i="13"/>
  <c r="GF73" i="13"/>
  <c r="GG73" i="13"/>
  <c r="GH73" i="13"/>
  <c r="GI73" i="13"/>
  <c r="GJ73" i="13"/>
  <c r="GK73" i="13"/>
  <c r="GL73" i="13"/>
  <c r="GM73" i="13"/>
  <c r="GN73" i="13"/>
  <c r="GO73" i="13"/>
  <c r="GP73" i="13"/>
  <c r="GQ73" i="13"/>
  <c r="GR73" i="13"/>
  <c r="GS73" i="13"/>
  <c r="GT73" i="13"/>
  <c r="GU73" i="13"/>
  <c r="GV73" i="13"/>
  <c r="GW73" i="13"/>
  <c r="GX73" i="13"/>
  <c r="GY73" i="13"/>
  <c r="GZ73" i="13"/>
  <c r="HA73" i="13"/>
  <c r="HB73" i="13"/>
  <c r="HC73" i="13"/>
  <c r="HD73" i="13"/>
  <c r="HE73" i="13"/>
  <c r="HF73" i="13"/>
  <c r="HG73" i="13"/>
  <c r="HH73" i="13"/>
  <c r="HI73" i="13"/>
  <c r="HJ73" i="13"/>
  <c r="HK73" i="13"/>
  <c r="HL73" i="13"/>
  <c r="HM73" i="13"/>
  <c r="HN73" i="13"/>
  <c r="HO73" i="13"/>
  <c r="HP73" i="13"/>
  <c r="HQ73" i="13"/>
  <c r="HR73" i="13"/>
  <c r="HS73" i="13"/>
  <c r="HT73" i="13"/>
  <c r="HU73" i="13"/>
  <c r="HV73" i="13"/>
  <c r="HW73" i="13"/>
  <c r="HX73" i="13"/>
  <c r="HY73" i="13"/>
  <c r="HZ73" i="13"/>
  <c r="IA73" i="13"/>
  <c r="IB73" i="13"/>
  <c r="IC73" i="13"/>
  <c r="ID73" i="13"/>
  <c r="IE73" i="13"/>
  <c r="IF73" i="13"/>
  <c r="IG73" i="13"/>
  <c r="IH73" i="13"/>
  <c r="II73" i="13"/>
  <c r="IJ73" i="13"/>
  <c r="IK73" i="13"/>
  <c r="IL73" i="13"/>
  <c r="IM73" i="13"/>
  <c r="IN73" i="13"/>
  <c r="IO73" i="13"/>
  <c r="IP73" i="13"/>
  <c r="IQ73" i="13"/>
  <c r="IR73" i="13"/>
  <c r="IS73" i="13"/>
  <c r="IT73" i="13"/>
  <c r="IU73" i="13"/>
  <c r="IV73" i="13"/>
  <c r="A72" i="13"/>
  <c r="B72" i="13"/>
  <c r="C72" i="13"/>
  <c r="D72" i="13"/>
  <c r="E72" i="13"/>
  <c r="F72" i="13"/>
  <c r="G72" i="13"/>
  <c r="H72" i="13"/>
  <c r="I72" i="13"/>
  <c r="J72" i="13"/>
  <c r="K72" i="13"/>
  <c r="L72" i="13"/>
  <c r="M72" i="13"/>
  <c r="N72" i="13"/>
  <c r="O72" i="13"/>
  <c r="P72" i="13"/>
  <c r="Q72" i="13"/>
  <c r="R72" i="13"/>
  <c r="S72" i="13"/>
  <c r="T72" i="13"/>
  <c r="U72" i="13"/>
  <c r="V72" i="13"/>
  <c r="W72" i="13"/>
  <c r="X72" i="13"/>
  <c r="Y72" i="13"/>
  <c r="Z72" i="13"/>
  <c r="AA72" i="13"/>
  <c r="AB72" i="13"/>
  <c r="AC72" i="13"/>
  <c r="AD72" i="13"/>
  <c r="AE72" i="13"/>
  <c r="AF72" i="13"/>
  <c r="AG72" i="13"/>
  <c r="AH72" i="13"/>
  <c r="AI72" i="13"/>
  <c r="AJ72" i="13"/>
  <c r="AK72" i="13"/>
  <c r="AL72" i="13"/>
  <c r="AM72" i="13"/>
  <c r="AN72" i="13"/>
  <c r="AO72" i="13"/>
  <c r="AP72" i="13"/>
  <c r="AQ72" i="13"/>
  <c r="AR72" i="13"/>
  <c r="AS72" i="13"/>
  <c r="AT72" i="13"/>
  <c r="AU72" i="13"/>
  <c r="AV72" i="13"/>
  <c r="AW72" i="13"/>
  <c r="AX72" i="13"/>
  <c r="AY72" i="13"/>
  <c r="AZ72" i="13"/>
  <c r="BA72" i="13"/>
  <c r="BB72" i="13"/>
  <c r="BC72" i="13"/>
  <c r="BD72" i="13"/>
  <c r="BE72" i="13"/>
  <c r="BF72" i="13"/>
  <c r="BG72" i="13"/>
  <c r="BH72" i="13"/>
  <c r="BI72" i="13"/>
  <c r="BJ72" i="13"/>
  <c r="BK72" i="13"/>
  <c r="BL72" i="13"/>
  <c r="BM72" i="13"/>
  <c r="BN72" i="13"/>
  <c r="BO72" i="13"/>
  <c r="BP72" i="13"/>
  <c r="BQ72" i="13"/>
  <c r="BR72" i="13"/>
  <c r="BS72" i="13"/>
  <c r="BT72" i="13"/>
  <c r="BU72" i="13"/>
  <c r="BV72" i="13"/>
  <c r="BW72" i="13"/>
  <c r="BX72" i="13"/>
  <c r="BY72" i="13"/>
  <c r="BZ72" i="13"/>
  <c r="CA72" i="13"/>
  <c r="CB72" i="13"/>
  <c r="CC72" i="13"/>
  <c r="CD72" i="13"/>
  <c r="CE72" i="13"/>
  <c r="CF72" i="13"/>
  <c r="CG72" i="13"/>
  <c r="CH72" i="13"/>
  <c r="CI72" i="13"/>
  <c r="CJ72" i="13"/>
  <c r="CK72" i="13"/>
  <c r="CL72" i="13"/>
  <c r="CM72" i="13"/>
  <c r="CN72" i="13"/>
  <c r="CO72" i="13"/>
  <c r="CP72" i="13"/>
  <c r="CQ72" i="13"/>
  <c r="CR72" i="13"/>
  <c r="CS72" i="13"/>
  <c r="CT72" i="13"/>
  <c r="CU72" i="13"/>
  <c r="CV72" i="13"/>
  <c r="CW72" i="13"/>
  <c r="CX72" i="13"/>
  <c r="CY72" i="13"/>
  <c r="CZ72" i="13"/>
  <c r="DA72" i="13"/>
  <c r="DB72" i="13"/>
  <c r="DC72" i="13"/>
  <c r="DD72" i="13"/>
  <c r="DE72" i="13"/>
  <c r="DF72" i="13"/>
  <c r="DG72" i="13"/>
  <c r="DH72" i="13"/>
  <c r="DI72" i="13"/>
  <c r="DJ72" i="13"/>
  <c r="DK72" i="13"/>
  <c r="DL72" i="13"/>
  <c r="DM72" i="13"/>
  <c r="DN72" i="13"/>
  <c r="DO72" i="13"/>
  <c r="DP72" i="13"/>
  <c r="DQ72" i="13"/>
  <c r="DR72" i="13"/>
  <c r="DS72" i="13"/>
  <c r="DT72" i="13"/>
  <c r="DU72" i="13"/>
  <c r="DV72" i="13"/>
  <c r="DW72" i="13"/>
  <c r="DX72" i="13"/>
  <c r="DY72" i="13"/>
  <c r="DZ72" i="13"/>
  <c r="EA72" i="13"/>
  <c r="EB72" i="13"/>
  <c r="EC72" i="13"/>
  <c r="ED72" i="13"/>
  <c r="EE72" i="13"/>
  <c r="EF72" i="13"/>
  <c r="EG72" i="13"/>
  <c r="EH72" i="13"/>
  <c r="EI72" i="13"/>
  <c r="EJ72" i="13"/>
  <c r="EK72" i="13"/>
  <c r="EL72" i="13"/>
  <c r="EM72" i="13"/>
  <c r="EN72" i="13"/>
  <c r="EO72" i="13"/>
  <c r="EP72" i="13"/>
  <c r="EQ72" i="13"/>
  <c r="ER72" i="13"/>
  <c r="ES72" i="13"/>
  <c r="ET72" i="13"/>
  <c r="EU72" i="13"/>
  <c r="EV72" i="13"/>
  <c r="EW72" i="13"/>
  <c r="EX72" i="13"/>
  <c r="EY72" i="13"/>
  <c r="EZ72" i="13"/>
  <c r="FA72" i="13"/>
  <c r="FB72" i="13"/>
  <c r="FC72" i="13"/>
  <c r="FD72" i="13"/>
  <c r="FE72" i="13"/>
  <c r="FF72" i="13"/>
  <c r="FG72" i="13"/>
  <c r="FH72" i="13"/>
  <c r="FI72" i="13"/>
  <c r="FJ72" i="13"/>
  <c r="FK72" i="13"/>
  <c r="FL72" i="13"/>
  <c r="FM72" i="13"/>
  <c r="FN72" i="13"/>
  <c r="FO72" i="13"/>
  <c r="FP72" i="13"/>
  <c r="FQ72" i="13"/>
  <c r="FR72" i="13"/>
  <c r="FS72" i="13"/>
  <c r="FT72" i="13"/>
  <c r="FU72" i="13"/>
  <c r="FV72" i="13"/>
  <c r="FW72" i="13"/>
  <c r="FX72" i="13"/>
  <c r="FY72" i="13"/>
  <c r="FZ72" i="13"/>
  <c r="GA72" i="13"/>
  <c r="GB72" i="13"/>
  <c r="GC72" i="13"/>
  <c r="GD72" i="13"/>
  <c r="GE72" i="13"/>
  <c r="GF72" i="13"/>
  <c r="GG72" i="13"/>
  <c r="GH72" i="13"/>
  <c r="GI72" i="13"/>
  <c r="GJ72" i="13"/>
  <c r="GK72" i="13"/>
  <c r="GL72" i="13"/>
  <c r="GM72" i="13"/>
  <c r="GN72" i="13"/>
  <c r="GO72" i="13"/>
  <c r="GP72" i="13"/>
  <c r="GQ72" i="13"/>
  <c r="GR72" i="13"/>
  <c r="GS72" i="13"/>
  <c r="GT72" i="13"/>
  <c r="GU72" i="13"/>
  <c r="GV72" i="13"/>
  <c r="GW72" i="13"/>
  <c r="GX72" i="13"/>
  <c r="GY72" i="13"/>
  <c r="GZ72" i="13"/>
  <c r="HA72" i="13"/>
  <c r="HB72" i="13"/>
  <c r="HC72" i="13"/>
  <c r="HD72" i="13"/>
  <c r="HE72" i="13"/>
  <c r="HF72" i="13"/>
  <c r="HG72" i="13"/>
  <c r="HH72" i="13"/>
  <c r="HI72" i="13"/>
  <c r="HJ72" i="13"/>
  <c r="HK72" i="13"/>
  <c r="HL72" i="13"/>
  <c r="HM72" i="13"/>
  <c r="HN72" i="13"/>
  <c r="HO72" i="13"/>
  <c r="HP72" i="13"/>
  <c r="HQ72" i="13"/>
  <c r="HR72" i="13"/>
  <c r="HS72" i="13"/>
  <c r="HT72" i="13"/>
  <c r="HU72" i="13"/>
  <c r="HV72" i="13"/>
  <c r="HW72" i="13"/>
  <c r="HX72" i="13"/>
  <c r="HY72" i="13"/>
  <c r="HZ72" i="13"/>
  <c r="IA72" i="13"/>
  <c r="IB72" i="13"/>
  <c r="IC72" i="13"/>
  <c r="ID72" i="13"/>
  <c r="IE72" i="13"/>
  <c r="IF72" i="13"/>
  <c r="IG72" i="13"/>
  <c r="IH72" i="13"/>
  <c r="II72" i="13"/>
  <c r="IJ72" i="13"/>
  <c r="IK72" i="13"/>
  <c r="IL72" i="13"/>
  <c r="IM72" i="13"/>
  <c r="IN72" i="13"/>
  <c r="IO72" i="13"/>
  <c r="IP72" i="13"/>
  <c r="IQ72" i="13"/>
  <c r="IR72" i="13"/>
  <c r="IS72" i="13"/>
  <c r="IT72" i="13"/>
  <c r="IU72" i="13"/>
  <c r="IV72" i="13"/>
  <c r="A71" i="13"/>
  <c r="B71" i="13"/>
  <c r="C71" i="13"/>
  <c r="D71" i="13"/>
  <c r="E71" i="13"/>
  <c r="F71" i="13"/>
  <c r="G71" i="13"/>
  <c r="H71" i="13"/>
  <c r="I71" i="13"/>
  <c r="J71" i="13"/>
  <c r="K71" i="13"/>
  <c r="L71" i="13"/>
  <c r="M71" i="13"/>
  <c r="N71" i="13"/>
  <c r="O71" i="13"/>
  <c r="P71" i="13"/>
  <c r="Q71" i="13"/>
  <c r="R71" i="13"/>
  <c r="S71" i="13"/>
  <c r="T71" i="13"/>
  <c r="U71" i="13"/>
  <c r="V71" i="13"/>
  <c r="W71" i="13"/>
  <c r="X71" i="13"/>
  <c r="Y71" i="13"/>
  <c r="Z71" i="13"/>
  <c r="AA71" i="13"/>
  <c r="AB71" i="13"/>
  <c r="AC71" i="13"/>
  <c r="AD71" i="13"/>
  <c r="AE71" i="13"/>
  <c r="AF71" i="13"/>
  <c r="AG71" i="13"/>
  <c r="AH71" i="13"/>
  <c r="AI71" i="13"/>
  <c r="AJ71" i="13"/>
  <c r="AK71" i="13"/>
  <c r="AL71" i="13"/>
  <c r="AM71" i="13"/>
  <c r="AN71" i="13"/>
  <c r="AO71" i="13"/>
  <c r="AP71" i="13"/>
  <c r="AQ71" i="13"/>
  <c r="AR71" i="13"/>
  <c r="AS71" i="13"/>
  <c r="AT71" i="13"/>
  <c r="AU71" i="13"/>
  <c r="AV71" i="13"/>
  <c r="AW71" i="13"/>
  <c r="AX71" i="13"/>
  <c r="AY71" i="13"/>
  <c r="AZ71" i="13"/>
  <c r="BA71" i="13"/>
  <c r="BB71" i="13"/>
  <c r="BC71" i="13"/>
  <c r="BD71" i="13"/>
  <c r="BE71" i="13"/>
  <c r="BF71" i="13"/>
  <c r="BG71" i="13"/>
  <c r="BH71" i="13"/>
  <c r="BI71" i="13"/>
  <c r="BJ71" i="13"/>
  <c r="BK71" i="13"/>
  <c r="BL71" i="13"/>
  <c r="BM71" i="13"/>
  <c r="BN71" i="13"/>
  <c r="BO71" i="13"/>
  <c r="BP71" i="13"/>
  <c r="BQ71" i="13"/>
  <c r="BR71" i="13"/>
  <c r="BS71" i="13"/>
  <c r="BT71" i="13"/>
  <c r="BU71" i="13"/>
  <c r="BV71" i="13"/>
  <c r="BW71" i="13"/>
  <c r="BX71" i="13"/>
  <c r="BY71" i="13"/>
  <c r="BZ71" i="13"/>
  <c r="CA71" i="13"/>
  <c r="CB71" i="13"/>
  <c r="CC71" i="13"/>
  <c r="CD71" i="13"/>
  <c r="CE71" i="13"/>
  <c r="CF71" i="13"/>
  <c r="CG71" i="13"/>
  <c r="CH71" i="13"/>
  <c r="CI71" i="13"/>
  <c r="CJ71" i="13"/>
  <c r="CK71" i="13"/>
  <c r="CL71" i="13"/>
  <c r="CM71" i="13"/>
  <c r="CN71" i="13"/>
  <c r="CO71" i="13"/>
  <c r="CP71" i="13"/>
  <c r="CQ71" i="13"/>
  <c r="CR71" i="13"/>
  <c r="CS71" i="13"/>
  <c r="CT71" i="13"/>
  <c r="CU71" i="13"/>
  <c r="CV71" i="13"/>
  <c r="CW71" i="13"/>
  <c r="CX71" i="13"/>
  <c r="CY71" i="13"/>
  <c r="CZ71" i="13"/>
  <c r="DA71" i="13"/>
  <c r="DB71" i="13"/>
  <c r="DC71" i="13"/>
  <c r="DD71" i="13"/>
  <c r="DE71" i="13"/>
  <c r="DF71" i="13"/>
  <c r="DG71" i="13"/>
  <c r="DH71" i="13"/>
  <c r="DI71" i="13"/>
  <c r="DJ71" i="13"/>
  <c r="DK71" i="13"/>
  <c r="DL71" i="13"/>
  <c r="DM71" i="13"/>
  <c r="DN71" i="13"/>
  <c r="DO71" i="13"/>
  <c r="DP71" i="13"/>
  <c r="DQ71" i="13"/>
  <c r="DR71" i="13"/>
  <c r="DS71" i="13"/>
  <c r="DT71" i="13"/>
  <c r="DU71" i="13"/>
  <c r="DV71" i="13"/>
  <c r="DW71" i="13"/>
  <c r="DX71" i="13"/>
  <c r="DY71" i="13"/>
  <c r="DZ71" i="13"/>
  <c r="EA71" i="13"/>
  <c r="EB71" i="13"/>
  <c r="EC71" i="13"/>
  <c r="ED71" i="13"/>
  <c r="EE71" i="13"/>
  <c r="EF71" i="13"/>
  <c r="EG71" i="13"/>
  <c r="EH71" i="13"/>
  <c r="EI71" i="13"/>
  <c r="EJ71" i="13"/>
  <c r="EK71" i="13"/>
  <c r="EL71" i="13"/>
  <c r="EM71" i="13"/>
  <c r="EN71" i="13"/>
  <c r="EO71" i="13"/>
  <c r="EP71" i="13"/>
  <c r="EQ71" i="13"/>
  <c r="ER71" i="13"/>
  <c r="ES71" i="13"/>
  <c r="ET71" i="13"/>
  <c r="EU71" i="13"/>
  <c r="EV71" i="13"/>
  <c r="EW71" i="13"/>
  <c r="EX71" i="13"/>
  <c r="EY71" i="13"/>
  <c r="EZ71" i="13"/>
  <c r="FA71" i="13"/>
  <c r="FB71" i="13"/>
  <c r="FC71" i="13"/>
  <c r="FD71" i="13"/>
  <c r="FE71" i="13"/>
  <c r="FF71" i="13"/>
  <c r="FG71" i="13"/>
  <c r="FH71" i="13"/>
  <c r="FI71" i="13"/>
  <c r="FJ71" i="13"/>
  <c r="FK71" i="13"/>
  <c r="FL71" i="13"/>
  <c r="FM71" i="13"/>
  <c r="FN71" i="13"/>
  <c r="FO71" i="13"/>
  <c r="FP71" i="13"/>
  <c r="FQ71" i="13"/>
  <c r="FR71" i="13"/>
  <c r="FS71" i="13"/>
  <c r="FT71" i="13"/>
  <c r="FU71" i="13"/>
  <c r="FV71" i="13"/>
  <c r="FW71" i="13"/>
  <c r="FX71" i="13"/>
  <c r="FY71" i="13"/>
  <c r="FZ71" i="13"/>
  <c r="GA71" i="13"/>
  <c r="GB71" i="13"/>
  <c r="GC71" i="13"/>
  <c r="GD71" i="13"/>
  <c r="GE71" i="13"/>
  <c r="GF71" i="13"/>
  <c r="GG71" i="13"/>
  <c r="GH71" i="13"/>
  <c r="GI71" i="13"/>
  <c r="GJ71" i="13"/>
  <c r="GK71" i="13"/>
  <c r="GL71" i="13"/>
  <c r="GM71" i="13"/>
  <c r="GN71" i="13"/>
  <c r="GO71" i="13"/>
  <c r="GP71" i="13"/>
  <c r="GQ71" i="13"/>
  <c r="GR71" i="13"/>
  <c r="GS71" i="13"/>
  <c r="GT71" i="13"/>
  <c r="GU71" i="13"/>
  <c r="GV71" i="13"/>
  <c r="GW71" i="13"/>
  <c r="GX71" i="13"/>
  <c r="GY71" i="13"/>
  <c r="GZ71" i="13"/>
  <c r="HA71" i="13"/>
  <c r="HB71" i="13"/>
  <c r="HC71" i="13"/>
  <c r="HD71" i="13"/>
  <c r="HE71" i="13"/>
  <c r="HF71" i="13"/>
  <c r="HG71" i="13"/>
  <c r="HH71" i="13"/>
  <c r="HI71" i="13"/>
  <c r="HJ71" i="13"/>
  <c r="HK71" i="13"/>
  <c r="HL71" i="13"/>
  <c r="HM71" i="13"/>
  <c r="HN71" i="13"/>
  <c r="HO71" i="13"/>
  <c r="HP71" i="13"/>
  <c r="HQ71" i="13"/>
  <c r="HR71" i="13"/>
  <c r="HS71" i="13"/>
  <c r="HT71" i="13"/>
  <c r="HU71" i="13"/>
  <c r="HV71" i="13"/>
  <c r="HW71" i="13"/>
  <c r="HX71" i="13"/>
  <c r="HY71" i="13"/>
  <c r="HZ71" i="13"/>
  <c r="IA71" i="13"/>
  <c r="IB71" i="13"/>
  <c r="IC71" i="13"/>
  <c r="ID71" i="13"/>
  <c r="IE71" i="13"/>
  <c r="IF71" i="13"/>
  <c r="IG71" i="13"/>
  <c r="IH71" i="13"/>
  <c r="II71" i="13"/>
  <c r="IJ71" i="13"/>
  <c r="IK71" i="13"/>
  <c r="IL71" i="13"/>
  <c r="IM71" i="13"/>
  <c r="IN71" i="13"/>
  <c r="IO71" i="13"/>
  <c r="IP71" i="13"/>
  <c r="IQ71" i="13"/>
  <c r="IR71" i="13"/>
  <c r="IS71" i="13"/>
  <c r="IT71" i="13"/>
  <c r="IU71" i="13"/>
  <c r="IV71" i="13"/>
  <c r="A70" i="13"/>
  <c r="B70" i="13"/>
  <c r="C70" i="13"/>
  <c r="D70" i="13"/>
  <c r="E70" i="13"/>
  <c r="F70" i="13"/>
  <c r="G70" i="13"/>
  <c r="H70" i="13"/>
  <c r="I70" i="13"/>
  <c r="J70" i="13"/>
  <c r="K70" i="13"/>
  <c r="L70" i="13"/>
  <c r="M70" i="13"/>
  <c r="N70" i="13"/>
  <c r="O70" i="13"/>
  <c r="P70" i="13"/>
  <c r="Q70" i="13"/>
  <c r="R70" i="13"/>
  <c r="S70" i="13"/>
  <c r="T70" i="13"/>
  <c r="U70" i="13"/>
  <c r="V70" i="13"/>
  <c r="W70" i="13"/>
  <c r="X70" i="13"/>
  <c r="Y70" i="13"/>
  <c r="Z70" i="13"/>
  <c r="AA70" i="13"/>
  <c r="AB70" i="13"/>
  <c r="AC70" i="13"/>
  <c r="AD70" i="13"/>
  <c r="AE70" i="13"/>
  <c r="AF70" i="13"/>
  <c r="AG70" i="13"/>
  <c r="AH70" i="13"/>
  <c r="AI70" i="13"/>
  <c r="AJ70" i="13"/>
  <c r="AK70" i="13"/>
  <c r="AL70" i="13"/>
  <c r="AM70" i="13"/>
  <c r="AN70" i="13"/>
  <c r="AO70" i="13"/>
  <c r="AP70" i="13"/>
  <c r="AQ70" i="13"/>
  <c r="AR70" i="13"/>
  <c r="AS70" i="13"/>
  <c r="AT70" i="13"/>
  <c r="AU70" i="13"/>
  <c r="AV70" i="13"/>
  <c r="AW70" i="13"/>
  <c r="AX70" i="13"/>
  <c r="AY70" i="13"/>
  <c r="AZ70" i="13"/>
  <c r="BA70" i="13"/>
  <c r="BB70" i="13"/>
  <c r="BC70" i="13"/>
  <c r="BD70" i="13"/>
  <c r="BE70" i="13"/>
  <c r="BF70" i="13"/>
  <c r="BG70" i="13"/>
  <c r="BH70" i="13"/>
  <c r="BI70" i="13"/>
  <c r="BJ70" i="13"/>
  <c r="BK70" i="13"/>
  <c r="BL70" i="13"/>
  <c r="BM70" i="13"/>
  <c r="BN70" i="13"/>
  <c r="BO70" i="13"/>
  <c r="BP70" i="13"/>
  <c r="BQ70" i="13"/>
  <c r="BR70" i="13"/>
  <c r="BS70" i="13"/>
  <c r="BT70" i="13"/>
  <c r="BU70" i="13"/>
  <c r="BV70" i="13"/>
  <c r="BW70" i="13"/>
  <c r="BX70" i="13"/>
  <c r="BY70" i="13"/>
  <c r="BZ70" i="13"/>
  <c r="CA70" i="13"/>
  <c r="CB70" i="13"/>
  <c r="CC70" i="13"/>
  <c r="CD70" i="13"/>
  <c r="CE70" i="13"/>
  <c r="CF70" i="13"/>
  <c r="CG70" i="13"/>
  <c r="CH70" i="13"/>
  <c r="CI70" i="13"/>
  <c r="CJ70" i="13"/>
  <c r="CK70" i="13"/>
  <c r="CL70" i="13"/>
  <c r="CM70" i="13"/>
  <c r="CN70" i="13"/>
  <c r="CO70" i="13"/>
  <c r="CP70" i="13"/>
  <c r="CQ70" i="13"/>
  <c r="CR70" i="13"/>
  <c r="CS70" i="13"/>
  <c r="CT70" i="13"/>
  <c r="CU70" i="13"/>
  <c r="CV70" i="13"/>
  <c r="CW70" i="13"/>
  <c r="CX70" i="13"/>
  <c r="CY70" i="13"/>
  <c r="CZ70" i="13"/>
  <c r="DA70" i="13"/>
  <c r="DB70" i="13"/>
  <c r="DC70" i="13"/>
  <c r="DD70" i="13"/>
  <c r="DE70" i="13"/>
  <c r="DF70" i="13"/>
  <c r="DG70" i="13"/>
  <c r="DH70" i="13"/>
  <c r="DI70" i="13"/>
  <c r="DJ70" i="13"/>
  <c r="DK70" i="13"/>
  <c r="DL70" i="13"/>
  <c r="DM70" i="13"/>
  <c r="DN70" i="13"/>
  <c r="DO70" i="13"/>
  <c r="DP70" i="13"/>
  <c r="DQ70" i="13"/>
  <c r="DR70" i="13"/>
  <c r="DS70" i="13"/>
  <c r="DT70" i="13"/>
  <c r="DU70" i="13"/>
  <c r="DV70" i="13"/>
  <c r="DW70" i="13"/>
  <c r="DX70" i="13"/>
  <c r="DY70" i="13"/>
  <c r="DZ70" i="13"/>
  <c r="EA70" i="13"/>
  <c r="EB70" i="13"/>
  <c r="EC70" i="13"/>
  <c r="ED70" i="13"/>
  <c r="EE70" i="13"/>
  <c r="EF70" i="13"/>
  <c r="EG70" i="13"/>
  <c r="EH70" i="13"/>
  <c r="EI70" i="13"/>
  <c r="EJ70" i="13"/>
  <c r="EK70" i="13"/>
  <c r="EL70" i="13"/>
  <c r="EM70" i="13"/>
  <c r="EN70" i="13"/>
  <c r="EO70" i="13"/>
  <c r="EP70" i="13"/>
  <c r="EQ70" i="13"/>
  <c r="ER70" i="13"/>
  <c r="ES70" i="13"/>
  <c r="ET70" i="13"/>
  <c r="EU70" i="13"/>
  <c r="EV70" i="13"/>
  <c r="EW70" i="13"/>
  <c r="EX70" i="13"/>
  <c r="EY70" i="13"/>
  <c r="EZ70" i="13"/>
  <c r="FA70" i="13"/>
  <c r="FB70" i="13"/>
  <c r="FC70" i="13"/>
  <c r="FD70" i="13"/>
  <c r="FE70" i="13"/>
  <c r="FF70" i="13"/>
  <c r="FG70" i="13"/>
  <c r="FH70" i="13"/>
  <c r="FI70" i="13"/>
  <c r="FJ70" i="13"/>
  <c r="FK70" i="13"/>
  <c r="FL70" i="13"/>
  <c r="FM70" i="13"/>
  <c r="FN70" i="13"/>
  <c r="FO70" i="13"/>
  <c r="FP70" i="13"/>
  <c r="FQ70" i="13"/>
  <c r="FR70" i="13"/>
  <c r="FS70" i="13"/>
  <c r="FT70" i="13"/>
  <c r="FU70" i="13"/>
  <c r="FV70" i="13"/>
  <c r="FW70" i="13"/>
  <c r="FX70" i="13"/>
  <c r="FY70" i="13"/>
  <c r="FZ70" i="13"/>
  <c r="GA70" i="13"/>
  <c r="GB70" i="13"/>
  <c r="GC70" i="13"/>
  <c r="GD70" i="13"/>
  <c r="GE70" i="13"/>
  <c r="GF70" i="13"/>
  <c r="GG70" i="13"/>
  <c r="GH70" i="13"/>
  <c r="GI70" i="13"/>
  <c r="GJ70" i="13"/>
  <c r="GK70" i="13"/>
  <c r="GL70" i="13"/>
  <c r="GM70" i="13"/>
  <c r="GN70" i="13"/>
  <c r="GO70" i="13"/>
  <c r="GP70" i="13"/>
  <c r="GQ70" i="13"/>
  <c r="GR70" i="13"/>
  <c r="GS70" i="13"/>
  <c r="GT70" i="13"/>
  <c r="GU70" i="13"/>
  <c r="GV70" i="13"/>
  <c r="GW70" i="13"/>
  <c r="GX70" i="13"/>
  <c r="GY70" i="13"/>
  <c r="GZ70" i="13"/>
  <c r="HA70" i="13"/>
  <c r="HB70" i="13"/>
  <c r="HC70" i="13"/>
  <c r="HD70" i="13"/>
  <c r="HE70" i="13"/>
  <c r="HF70" i="13"/>
  <c r="HG70" i="13"/>
  <c r="HH70" i="13"/>
  <c r="HI70" i="13"/>
  <c r="HJ70" i="13"/>
  <c r="HK70" i="13"/>
  <c r="HL70" i="13"/>
  <c r="HM70" i="13"/>
  <c r="HN70" i="13"/>
  <c r="HO70" i="13"/>
  <c r="HP70" i="13"/>
  <c r="HQ70" i="13"/>
  <c r="HR70" i="13"/>
  <c r="HS70" i="13"/>
  <c r="HT70" i="13"/>
  <c r="HU70" i="13"/>
  <c r="HV70" i="13"/>
  <c r="HW70" i="13"/>
  <c r="HX70" i="13"/>
  <c r="HY70" i="13"/>
  <c r="HZ70" i="13"/>
  <c r="IA70" i="13"/>
  <c r="IB70" i="13"/>
  <c r="IC70" i="13"/>
  <c r="ID70" i="13"/>
  <c r="IE70" i="13"/>
  <c r="IF70" i="13"/>
  <c r="IG70" i="13"/>
  <c r="IH70" i="13"/>
  <c r="II70" i="13"/>
  <c r="IJ70" i="13"/>
  <c r="IK70" i="13"/>
  <c r="IL70" i="13"/>
  <c r="IM70" i="13"/>
  <c r="IN70" i="13"/>
  <c r="IO70" i="13"/>
  <c r="IP70" i="13"/>
  <c r="IQ70" i="13"/>
  <c r="IR70" i="13"/>
  <c r="IS70" i="13"/>
  <c r="IT70" i="13"/>
  <c r="IU70" i="13"/>
  <c r="IV70" i="13"/>
  <c r="A69" i="13"/>
  <c r="B69" i="13"/>
  <c r="C69" i="13"/>
  <c r="D69" i="13"/>
  <c r="E69" i="13"/>
  <c r="F69" i="13"/>
  <c r="G69" i="13"/>
  <c r="H69" i="13"/>
  <c r="I69" i="13"/>
  <c r="J69" i="13"/>
  <c r="K69" i="13"/>
  <c r="L69" i="13"/>
  <c r="M69" i="13"/>
  <c r="N69" i="13"/>
  <c r="O69" i="13"/>
  <c r="P69" i="13"/>
  <c r="Q69" i="13"/>
  <c r="R69" i="13"/>
  <c r="S69" i="13"/>
  <c r="T69" i="13"/>
  <c r="U69" i="13"/>
  <c r="V69" i="13"/>
  <c r="W69" i="13"/>
  <c r="X69" i="13"/>
  <c r="Y69" i="13"/>
  <c r="Z69" i="13"/>
  <c r="AA69" i="13"/>
  <c r="AB69" i="13"/>
  <c r="AC69" i="13"/>
  <c r="AD69" i="13"/>
  <c r="AE69" i="13"/>
  <c r="AF69" i="13"/>
  <c r="AG69" i="13"/>
  <c r="AH69" i="13"/>
  <c r="AI69" i="13"/>
  <c r="AJ69" i="13"/>
  <c r="AK69" i="13"/>
  <c r="AL69" i="13"/>
  <c r="AM69" i="13"/>
  <c r="AN69" i="13"/>
  <c r="AO69" i="13"/>
  <c r="AP69" i="13"/>
  <c r="AQ69" i="13"/>
  <c r="AR69" i="13"/>
  <c r="AS69" i="13"/>
  <c r="AT69" i="13"/>
  <c r="AU69" i="13"/>
  <c r="AV69" i="13"/>
  <c r="AW69" i="13"/>
  <c r="AX69" i="13"/>
  <c r="AY69" i="13"/>
  <c r="AZ69" i="13"/>
  <c r="BA69" i="13"/>
  <c r="BB69" i="13"/>
  <c r="BC69" i="13"/>
  <c r="BD69" i="13"/>
  <c r="BE69" i="13"/>
  <c r="BF69" i="13"/>
  <c r="BG69" i="13"/>
  <c r="BH69" i="13"/>
  <c r="BI69" i="13"/>
  <c r="BJ69" i="13"/>
  <c r="BK69" i="13"/>
  <c r="BL69" i="13"/>
  <c r="BM69" i="13"/>
  <c r="BN69" i="13"/>
  <c r="BO69" i="13"/>
  <c r="BP69" i="13"/>
  <c r="BQ69" i="13"/>
  <c r="BR69" i="13"/>
  <c r="BS69" i="13"/>
  <c r="BT69" i="13"/>
  <c r="BU69" i="13"/>
  <c r="BV69" i="13"/>
  <c r="BW69" i="13"/>
  <c r="BX69" i="13"/>
  <c r="BY69" i="13"/>
  <c r="BZ69" i="13"/>
  <c r="CA69" i="13"/>
  <c r="CB69" i="13"/>
  <c r="CC69" i="13"/>
  <c r="CD69" i="13"/>
  <c r="CE69" i="13"/>
  <c r="CF69" i="13"/>
  <c r="CG69" i="13"/>
  <c r="CH69" i="13"/>
  <c r="CI69" i="13"/>
  <c r="CJ69" i="13"/>
  <c r="CK69" i="13"/>
  <c r="CL69" i="13"/>
  <c r="CM69" i="13"/>
  <c r="CN69" i="13"/>
  <c r="CO69" i="13"/>
  <c r="CP69" i="13"/>
  <c r="CQ69" i="13"/>
  <c r="CR69" i="13"/>
  <c r="CS69" i="13"/>
  <c r="CT69" i="13"/>
  <c r="CU69" i="13"/>
  <c r="CV69" i="13"/>
  <c r="CW69" i="13"/>
  <c r="CX69" i="13"/>
  <c r="CY69" i="13"/>
  <c r="CZ69" i="13"/>
  <c r="DA69" i="13"/>
  <c r="DB69" i="13"/>
  <c r="DC69" i="13"/>
  <c r="DD69" i="13"/>
  <c r="DE69" i="13"/>
  <c r="DF69" i="13"/>
  <c r="DG69" i="13"/>
  <c r="DH69" i="13"/>
  <c r="DI69" i="13"/>
  <c r="DJ69" i="13"/>
  <c r="DK69" i="13"/>
  <c r="DL69" i="13"/>
  <c r="DM69" i="13"/>
  <c r="DN69" i="13"/>
  <c r="DO69" i="13"/>
  <c r="DP69" i="13"/>
  <c r="DQ69" i="13"/>
  <c r="DR69" i="13"/>
  <c r="DS69" i="13"/>
  <c r="DT69" i="13"/>
  <c r="DU69" i="13"/>
  <c r="DV69" i="13"/>
  <c r="DW69" i="13"/>
  <c r="DX69" i="13"/>
  <c r="DY69" i="13"/>
  <c r="DZ69" i="13"/>
  <c r="EA69" i="13"/>
  <c r="EB69" i="13"/>
  <c r="EC69" i="13"/>
  <c r="ED69" i="13"/>
  <c r="EE69" i="13"/>
  <c r="EF69" i="13"/>
  <c r="EG69" i="13"/>
  <c r="EH69" i="13"/>
  <c r="EI69" i="13"/>
  <c r="EJ69" i="13"/>
  <c r="EK69" i="13"/>
  <c r="EL69" i="13"/>
  <c r="EM69" i="13"/>
  <c r="EN69" i="13"/>
  <c r="EO69" i="13"/>
  <c r="EP69" i="13"/>
  <c r="EQ69" i="13"/>
  <c r="ER69" i="13"/>
  <c r="ES69" i="13"/>
  <c r="ET69" i="13"/>
  <c r="EU69" i="13"/>
  <c r="EV69" i="13"/>
  <c r="EW69" i="13"/>
  <c r="EX69" i="13"/>
  <c r="EY69" i="13"/>
  <c r="EZ69" i="13"/>
  <c r="FA69" i="13"/>
  <c r="FB69" i="13"/>
  <c r="FC69" i="13"/>
  <c r="FD69" i="13"/>
  <c r="FE69" i="13"/>
  <c r="FF69" i="13"/>
  <c r="FG69" i="13"/>
  <c r="FH69" i="13"/>
  <c r="FI69" i="13"/>
  <c r="FJ69" i="13"/>
  <c r="FK69" i="13"/>
  <c r="FL69" i="13"/>
  <c r="FM69" i="13"/>
  <c r="FN69" i="13"/>
  <c r="FO69" i="13"/>
  <c r="FP69" i="13"/>
  <c r="FQ69" i="13"/>
  <c r="FR69" i="13"/>
  <c r="FS69" i="13"/>
  <c r="FT69" i="13"/>
  <c r="FU69" i="13"/>
  <c r="FV69" i="13"/>
  <c r="FW69" i="13"/>
  <c r="FX69" i="13"/>
  <c r="FY69" i="13"/>
  <c r="FZ69" i="13"/>
  <c r="GA69" i="13"/>
  <c r="GB69" i="13"/>
  <c r="GC69" i="13"/>
  <c r="GD69" i="13"/>
  <c r="GE69" i="13"/>
  <c r="GF69" i="13"/>
  <c r="GG69" i="13"/>
  <c r="GH69" i="13"/>
  <c r="GI69" i="13"/>
  <c r="GJ69" i="13"/>
  <c r="GK69" i="13"/>
  <c r="GL69" i="13"/>
  <c r="GM69" i="13"/>
  <c r="GN69" i="13"/>
  <c r="GO69" i="13"/>
  <c r="GP69" i="13"/>
  <c r="GQ69" i="13"/>
  <c r="GR69" i="13"/>
  <c r="GS69" i="13"/>
  <c r="GT69" i="13"/>
  <c r="GU69" i="13"/>
  <c r="GV69" i="13"/>
  <c r="GW69" i="13"/>
  <c r="GX69" i="13"/>
  <c r="GY69" i="13"/>
  <c r="GZ69" i="13"/>
  <c r="HA69" i="13"/>
  <c r="HB69" i="13"/>
  <c r="HC69" i="13"/>
  <c r="HD69" i="13"/>
  <c r="HE69" i="13"/>
  <c r="HF69" i="13"/>
  <c r="HG69" i="13"/>
  <c r="HH69" i="13"/>
  <c r="HI69" i="13"/>
  <c r="HJ69" i="13"/>
  <c r="HK69" i="13"/>
  <c r="HL69" i="13"/>
  <c r="HM69" i="13"/>
  <c r="HN69" i="13"/>
  <c r="HO69" i="13"/>
  <c r="HP69" i="13"/>
  <c r="HQ69" i="13"/>
  <c r="HR69" i="13"/>
  <c r="HS69" i="13"/>
  <c r="HT69" i="13"/>
  <c r="HU69" i="13"/>
  <c r="HV69" i="13"/>
  <c r="HW69" i="13"/>
  <c r="HX69" i="13"/>
  <c r="HY69" i="13"/>
  <c r="HZ69" i="13"/>
  <c r="IA69" i="13"/>
  <c r="IB69" i="13"/>
  <c r="IC69" i="13"/>
  <c r="ID69" i="13"/>
  <c r="IE69" i="13"/>
  <c r="IF69" i="13"/>
  <c r="IG69" i="13"/>
  <c r="IH69" i="13"/>
  <c r="II69" i="13"/>
  <c r="IJ69" i="13"/>
  <c r="IK69" i="13"/>
  <c r="IL69" i="13"/>
  <c r="IM69" i="13"/>
  <c r="IN69" i="13"/>
  <c r="IO69" i="13"/>
  <c r="IP69" i="13"/>
  <c r="IQ69" i="13"/>
  <c r="IR69" i="13"/>
  <c r="IS69" i="13"/>
  <c r="IT69" i="13"/>
  <c r="IU69" i="13"/>
  <c r="IV69" i="13"/>
  <c r="A68" i="13"/>
  <c r="B68" i="13"/>
  <c r="C68" i="13"/>
  <c r="D68" i="13"/>
  <c r="E68" i="13"/>
  <c r="F68" i="13"/>
  <c r="G68" i="13"/>
  <c r="H68" i="13"/>
  <c r="I68" i="13"/>
  <c r="J68" i="13"/>
  <c r="K68" i="13"/>
  <c r="L68" i="13"/>
  <c r="M68" i="13"/>
  <c r="N68" i="13"/>
  <c r="O68" i="13"/>
  <c r="P68" i="13"/>
  <c r="Q68" i="13"/>
  <c r="R68" i="13"/>
  <c r="S68" i="13"/>
  <c r="T68" i="13"/>
  <c r="U68" i="13"/>
  <c r="V68" i="13"/>
  <c r="W68" i="13"/>
  <c r="X68" i="13"/>
  <c r="Y68" i="13"/>
  <c r="Z68" i="13"/>
  <c r="AA68" i="13"/>
  <c r="AB68" i="13"/>
  <c r="AC68" i="13"/>
  <c r="AD68" i="13"/>
  <c r="AE68" i="13"/>
  <c r="AF68" i="13"/>
  <c r="AG68" i="13"/>
  <c r="AH68" i="13"/>
  <c r="AI68" i="13"/>
  <c r="AJ68" i="13"/>
  <c r="AK68" i="13"/>
  <c r="AL68" i="13"/>
  <c r="AM68" i="13"/>
  <c r="AN68" i="13"/>
  <c r="AO68" i="13"/>
  <c r="AP68" i="13"/>
  <c r="AQ68" i="13"/>
  <c r="AR68" i="13"/>
  <c r="AS68" i="13"/>
  <c r="AT68" i="13"/>
  <c r="AU68" i="13"/>
  <c r="AV68" i="13"/>
  <c r="AW68" i="13"/>
  <c r="AX68" i="13"/>
  <c r="AY68" i="13"/>
  <c r="AZ68" i="13"/>
  <c r="BA68" i="13"/>
  <c r="BB68" i="13"/>
  <c r="BC68" i="13"/>
  <c r="BD68" i="13"/>
  <c r="BE68" i="13"/>
  <c r="BF68" i="13"/>
  <c r="BG68" i="13"/>
  <c r="BH68" i="13"/>
  <c r="BI68" i="13"/>
  <c r="BJ68" i="13"/>
  <c r="BK68" i="13"/>
  <c r="BL68" i="13"/>
  <c r="BM68" i="13"/>
  <c r="BN68" i="13"/>
  <c r="BO68" i="13"/>
  <c r="BP68" i="13"/>
  <c r="BQ68" i="13"/>
  <c r="BR68" i="13"/>
  <c r="BS68" i="13"/>
  <c r="BT68" i="13"/>
  <c r="BU68" i="13"/>
  <c r="BV68" i="13"/>
  <c r="BW68" i="13"/>
  <c r="BX68" i="13"/>
  <c r="BY68" i="13"/>
  <c r="BZ68" i="13"/>
  <c r="CA68" i="13"/>
  <c r="CB68" i="13"/>
  <c r="CC68" i="13"/>
  <c r="CD68" i="13"/>
  <c r="CE68" i="13"/>
  <c r="CF68" i="13"/>
  <c r="CG68" i="13"/>
  <c r="CH68" i="13"/>
  <c r="CI68" i="13"/>
  <c r="CJ68" i="13"/>
  <c r="CK68" i="13"/>
  <c r="CL68" i="13"/>
  <c r="CM68" i="13"/>
  <c r="CN68" i="13"/>
  <c r="CO68" i="13"/>
  <c r="CP68" i="13"/>
  <c r="CQ68" i="13"/>
  <c r="CR68" i="13"/>
  <c r="CS68" i="13"/>
  <c r="CT68" i="13"/>
  <c r="CU68" i="13"/>
  <c r="CV68" i="13"/>
  <c r="CW68" i="13"/>
  <c r="CX68" i="13"/>
  <c r="CY68" i="13"/>
  <c r="CZ68" i="13"/>
  <c r="DA68" i="13"/>
  <c r="DB68" i="13"/>
  <c r="DC68" i="13"/>
  <c r="DD68" i="13"/>
  <c r="DE68" i="13"/>
  <c r="DF68" i="13"/>
  <c r="DG68" i="13"/>
  <c r="DH68" i="13"/>
  <c r="DI68" i="13"/>
  <c r="DJ68" i="13"/>
  <c r="DK68" i="13"/>
  <c r="DL68" i="13"/>
  <c r="DM68" i="13"/>
  <c r="DN68" i="13"/>
  <c r="DO68" i="13"/>
  <c r="DP68" i="13"/>
  <c r="DQ68" i="13"/>
  <c r="DR68" i="13"/>
  <c r="DS68" i="13"/>
  <c r="DT68" i="13"/>
  <c r="DU68" i="13"/>
  <c r="DV68" i="13"/>
  <c r="DW68" i="13"/>
  <c r="DX68" i="13"/>
  <c r="DY68" i="13"/>
  <c r="DZ68" i="13"/>
  <c r="EA68" i="13"/>
  <c r="EB68" i="13"/>
  <c r="EC68" i="13"/>
  <c r="ED68" i="13"/>
  <c r="EE68" i="13"/>
  <c r="EF68" i="13"/>
  <c r="EG68" i="13"/>
  <c r="EH68" i="13"/>
  <c r="EI68" i="13"/>
  <c r="EJ68" i="13"/>
  <c r="EK68" i="13"/>
  <c r="EL68" i="13"/>
  <c r="EM68" i="13"/>
  <c r="EN68" i="13"/>
  <c r="EO68" i="13"/>
  <c r="EP68" i="13"/>
  <c r="EQ68" i="13"/>
  <c r="ER68" i="13"/>
  <c r="ES68" i="13"/>
  <c r="ET68" i="13"/>
  <c r="EU68" i="13"/>
  <c r="EV68" i="13"/>
  <c r="EW68" i="13"/>
  <c r="EX68" i="13"/>
  <c r="EY68" i="13"/>
  <c r="EZ68" i="13"/>
  <c r="FA68" i="13"/>
  <c r="FB68" i="13"/>
  <c r="FC68" i="13"/>
  <c r="FD68" i="13"/>
  <c r="FE68" i="13"/>
  <c r="FF68" i="13"/>
  <c r="FG68" i="13"/>
  <c r="FH68" i="13"/>
  <c r="FI68" i="13"/>
  <c r="FJ68" i="13"/>
  <c r="FK68" i="13"/>
  <c r="FL68" i="13"/>
  <c r="FM68" i="13"/>
  <c r="FN68" i="13"/>
  <c r="FO68" i="13"/>
  <c r="FP68" i="13"/>
  <c r="FQ68" i="13"/>
  <c r="FR68" i="13"/>
  <c r="FS68" i="13"/>
  <c r="FT68" i="13"/>
  <c r="FU68" i="13"/>
  <c r="FV68" i="13"/>
  <c r="FW68" i="13"/>
  <c r="FX68" i="13"/>
  <c r="FY68" i="13"/>
  <c r="FZ68" i="13"/>
  <c r="GA68" i="13"/>
  <c r="GB68" i="13"/>
  <c r="GC68" i="13"/>
  <c r="GD68" i="13"/>
  <c r="GE68" i="13"/>
  <c r="GF68" i="13"/>
  <c r="GG68" i="13"/>
  <c r="GH68" i="13"/>
  <c r="GI68" i="13"/>
  <c r="GJ68" i="13"/>
  <c r="GK68" i="13"/>
  <c r="GL68" i="13"/>
  <c r="GM68" i="13"/>
  <c r="GN68" i="13"/>
  <c r="GO68" i="13"/>
  <c r="GP68" i="13"/>
  <c r="GQ68" i="13"/>
  <c r="GR68" i="13"/>
  <c r="GS68" i="13"/>
  <c r="GT68" i="13"/>
  <c r="GU68" i="13"/>
  <c r="GV68" i="13"/>
  <c r="GW68" i="13"/>
  <c r="GX68" i="13"/>
  <c r="GY68" i="13"/>
  <c r="GZ68" i="13"/>
  <c r="HA68" i="13"/>
  <c r="HB68" i="13"/>
  <c r="HC68" i="13"/>
  <c r="HD68" i="13"/>
  <c r="HE68" i="13"/>
  <c r="HF68" i="13"/>
  <c r="HG68" i="13"/>
  <c r="HH68" i="13"/>
  <c r="HI68" i="13"/>
  <c r="HJ68" i="13"/>
  <c r="HK68" i="13"/>
  <c r="HL68" i="13"/>
  <c r="HM68" i="13"/>
  <c r="HN68" i="13"/>
  <c r="HO68" i="13"/>
  <c r="HP68" i="13"/>
  <c r="HQ68" i="13"/>
  <c r="HR68" i="13"/>
  <c r="HS68" i="13"/>
  <c r="HT68" i="13"/>
  <c r="HU68" i="13"/>
  <c r="HV68" i="13"/>
  <c r="HW68" i="13"/>
  <c r="HX68" i="13"/>
  <c r="HY68" i="13"/>
  <c r="HZ68" i="13"/>
  <c r="IA68" i="13"/>
  <c r="IB68" i="13"/>
  <c r="IC68" i="13"/>
  <c r="ID68" i="13"/>
  <c r="IE68" i="13"/>
  <c r="IF68" i="13"/>
  <c r="IG68" i="13"/>
  <c r="IH68" i="13"/>
  <c r="II68" i="13"/>
  <c r="IJ68" i="13"/>
  <c r="IK68" i="13"/>
  <c r="IL68" i="13"/>
  <c r="IM68" i="13"/>
  <c r="IN68" i="13"/>
  <c r="IO68" i="13"/>
  <c r="IP68" i="13"/>
  <c r="IQ68" i="13"/>
  <c r="IR68" i="13"/>
  <c r="IS68" i="13"/>
  <c r="IT68" i="13"/>
  <c r="IU68" i="13"/>
  <c r="IV68" i="13"/>
  <c r="A67" i="13"/>
  <c r="B67" i="13"/>
  <c r="C67" i="13"/>
  <c r="D67" i="13"/>
  <c r="E67" i="13"/>
  <c r="F67" i="13"/>
  <c r="G67" i="13"/>
  <c r="H67" i="13"/>
  <c r="I67" i="13"/>
  <c r="J67" i="13"/>
  <c r="K67" i="13"/>
  <c r="L67" i="13"/>
  <c r="M67" i="13"/>
  <c r="N67" i="13"/>
  <c r="O67" i="13"/>
  <c r="P67" i="13"/>
  <c r="Q67" i="13"/>
  <c r="R67" i="13"/>
  <c r="S67" i="13"/>
  <c r="T67" i="13"/>
  <c r="U67" i="13"/>
  <c r="V67" i="13"/>
  <c r="W67" i="13"/>
  <c r="X67" i="13"/>
  <c r="Y67" i="13"/>
  <c r="Z67" i="13"/>
  <c r="AA67" i="13"/>
  <c r="AB67" i="13"/>
  <c r="AC67" i="13"/>
  <c r="AD67" i="13"/>
  <c r="AE67" i="13"/>
  <c r="AF67" i="13"/>
  <c r="AG67" i="13"/>
  <c r="AH67" i="13"/>
  <c r="AI67" i="13"/>
  <c r="AJ67" i="13"/>
  <c r="AK67" i="13"/>
  <c r="AL67" i="13"/>
  <c r="AM67" i="13"/>
  <c r="AN67" i="13"/>
  <c r="AO67" i="13"/>
  <c r="AP67" i="13"/>
  <c r="AQ67" i="13"/>
  <c r="AR67" i="13"/>
  <c r="AS67" i="13"/>
  <c r="AT67" i="13"/>
  <c r="AU67" i="13"/>
  <c r="AV67" i="13"/>
  <c r="AW67" i="13"/>
  <c r="AX67" i="13"/>
  <c r="AY67" i="13"/>
  <c r="AZ67" i="13"/>
  <c r="BA67" i="13"/>
  <c r="BB67" i="13"/>
  <c r="BC67" i="13"/>
  <c r="BD67" i="13"/>
  <c r="BE67" i="13"/>
  <c r="BF67" i="13"/>
  <c r="BG67" i="13"/>
  <c r="BH67" i="13"/>
  <c r="BI67" i="13"/>
  <c r="BJ67" i="13"/>
  <c r="BK67" i="13"/>
  <c r="BL67" i="13"/>
  <c r="BM67" i="13"/>
  <c r="BN67" i="13"/>
  <c r="BO67" i="13"/>
  <c r="BP67" i="13"/>
  <c r="BQ67" i="13"/>
  <c r="BR67" i="13"/>
  <c r="BS67" i="13"/>
  <c r="BT67" i="13"/>
  <c r="BU67" i="13"/>
  <c r="BV67" i="13"/>
  <c r="BW67" i="13"/>
  <c r="BX67" i="13"/>
  <c r="BY67" i="13"/>
  <c r="BZ67" i="13"/>
  <c r="CA67" i="13"/>
  <c r="CB67" i="13"/>
  <c r="CC67" i="13"/>
  <c r="CD67" i="13"/>
  <c r="CE67" i="13"/>
  <c r="CF67" i="13"/>
  <c r="CG67" i="13"/>
  <c r="CH67" i="13"/>
  <c r="CI67" i="13"/>
  <c r="CJ67" i="13"/>
  <c r="CK67" i="13"/>
  <c r="CL67" i="13"/>
  <c r="CM67" i="13"/>
  <c r="CN67" i="13"/>
  <c r="CO67" i="13"/>
  <c r="CP67" i="13"/>
  <c r="CQ67" i="13"/>
  <c r="CR67" i="13"/>
  <c r="CS67" i="13"/>
  <c r="CT67" i="13"/>
  <c r="CU67" i="13"/>
  <c r="CV67" i="13"/>
  <c r="CW67" i="13"/>
  <c r="CX67" i="13"/>
  <c r="CY67" i="13"/>
  <c r="CZ67" i="13"/>
  <c r="DA67" i="13"/>
  <c r="DB67" i="13"/>
  <c r="DC67" i="13"/>
  <c r="DD67" i="13"/>
  <c r="DE67" i="13"/>
  <c r="DF67" i="13"/>
  <c r="DG67" i="13"/>
  <c r="DH67" i="13"/>
  <c r="DI67" i="13"/>
  <c r="DJ67" i="13"/>
  <c r="DK67" i="13"/>
  <c r="DL67" i="13"/>
  <c r="DM67" i="13"/>
  <c r="DN67" i="13"/>
  <c r="DO67" i="13"/>
  <c r="DP67" i="13"/>
  <c r="DQ67" i="13"/>
  <c r="DR67" i="13"/>
  <c r="DS67" i="13"/>
  <c r="DT67" i="13"/>
  <c r="DU67" i="13"/>
  <c r="DV67" i="13"/>
  <c r="DW67" i="13"/>
  <c r="DX67" i="13"/>
  <c r="DY67" i="13"/>
  <c r="DZ67" i="13"/>
  <c r="EA67" i="13"/>
  <c r="EB67" i="13"/>
  <c r="EC67" i="13"/>
  <c r="ED67" i="13"/>
  <c r="EE67" i="13"/>
  <c r="EF67" i="13"/>
  <c r="EG67" i="13"/>
  <c r="EH67" i="13"/>
  <c r="EI67" i="13"/>
  <c r="EJ67" i="13"/>
  <c r="EK67" i="13"/>
  <c r="EL67" i="13"/>
  <c r="EM67" i="13"/>
  <c r="EN67" i="13"/>
  <c r="EO67" i="13"/>
  <c r="EP67" i="13"/>
  <c r="EQ67" i="13"/>
  <c r="ER67" i="13"/>
  <c r="ES67" i="13"/>
  <c r="ET67" i="13"/>
  <c r="EU67" i="13"/>
  <c r="EV67" i="13"/>
  <c r="EW67" i="13"/>
  <c r="EX67" i="13"/>
  <c r="EY67" i="13"/>
  <c r="EZ67" i="13"/>
  <c r="FA67" i="13"/>
  <c r="FB67" i="13"/>
  <c r="FC67" i="13"/>
  <c r="FD67" i="13"/>
  <c r="FE67" i="13"/>
  <c r="FF67" i="13"/>
  <c r="FG67" i="13"/>
  <c r="FH67" i="13"/>
  <c r="FI67" i="13"/>
  <c r="FJ67" i="13"/>
  <c r="FK67" i="13"/>
  <c r="FL67" i="13"/>
  <c r="FM67" i="13"/>
  <c r="FN67" i="13"/>
  <c r="FO67" i="13"/>
  <c r="FP67" i="13"/>
  <c r="FQ67" i="13"/>
  <c r="FR67" i="13"/>
  <c r="FS67" i="13"/>
  <c r="FT67" i="13"/>
  <c r="FU67" i="13"/>
  <c r="FV67" i="13"/>
  <c r="FW67" i="13"/>
  <c r="FX67" i="13"/>
  <c r="FY67" i="13"/>
  <c r="FZ67" i="13"/>
  <c r="GA67" i="13"/>
  <c r="GB67" i="13"/>
  <c r="GC67" i="13"/>
  <c r="GD67" i="13"/>
  <c r="GE67" i="13"/>
  <c r="GF67" i="13"/>
  <c r="GG67" i="13"/>
  <c r="GH67" i="13"/>
  <c r="GI67" i="13"/>
  <c r="GJ67" i="13"/>
  <c r="GK67" i="13"/>
  <c r="GL67" i="13"/>
  <c r="GM67" i="13"/>
  <c r="GN67" i="13"/>
  <c r="GO67" i="13"/>
  <c r="GP67" i="13"/>
  <c r="GQ67" i="13"/>
  <c r="GR67" i="13"/>
  <c r="GS67" i="13"/>
  <c r="GT67" i="13"/>
  <c r="GU67" i="13"/>
  <c r="GV67" i="13"/>
  <c r="GW67" i="13"/>
  <c r="GX67" i="13"/>
  <c r="GY67" i="13"/>
  <c r="GZ67" i="13"/>
  <c r="HA67" i="13"/>
  <c r="HB67" i="13"/>
  <c r="HC67" i="13"/>
  <c r="HD67" i="13"/>
  <c r="HE67" i="13"/>
  <c r="HF67" i="13"/>
  <c r="HG67" i="13"/>
  <c r="HH67" i="13"/>
  <c r="HI67" i="13"/>
  <c r="HJ67" i="13"/>
  <c r="HK67" i="13"/>
  <c r="HL67" i="13"/>
  <c r="HM67" i="13"/>
  <c r="HN67" i="13"/>
  <c r="HO67" i="13"/>
  <c r="HP67" i="13"/>
  <c r="HQ67" i="13"/>
  <c r="HR67" i="13"/>
  <c r="HS67" i="13"/>
  <c r="HT67" i="13"/>
  <c r="HU67" i="13"/>
  <c r="HV67" i="13"/>
  <c r="HW67" i="13"/>
  <c r="HX67" i="13"/>
  <c r="HY67" i="13"/>
  <c r="HZ67" i="13"/>
  <c r="IA67" i="13"/>
  <c r="IB67" i="13"/>
  <c r="IC67" i="13"/>
  <c r="ID67" i="13"/>
  <c r="IE67" i="13"/>
  <c r="IF67" i="13"/>
  <c r="IG67" i="13"/>
  <c r="IH67" i="13"/>
  <c r="II67" i="13"/>
  <c r="IJ67" i="13"/>
  <c r="IK67" i="13"/>
  <c r="IL67" i="13"/>
  <c r="IM67" i="13"/>
  <c r="IN67" i="13"/>
  <c r="IO67" i="13"/>
  <c r="IP67" i="13"/>
  <c r="IQ67" i="13"/>
  <c r="IR67" i="13"/>
  <c r="IS67" i="13"/>
  <c r="IT67" i="13"/>
  <c r="IU67" i="13"/>
  <c r="IV67" i="13"/>
  <c r="A66" i="13"/>
  <c r="B66" i="13"/>
  <c r="C66" i="13"/>
  <c r="D66" i="13"/>
  <c r="E66" i="13"/>
  <c r="F66" i="13"/>
  <c r="G66" i="13"/>
  <c r="H66" i="13"/>
  <c r="I66" i="13"/>
  <c r="J66" i="13"/>
  <c r="K66" i="13"/>
  <c r="L66" i="13"/>
  <c r="M66" i="13"/>
  <c r="N66" i="13"/>
  <c r="O66" i="13"/>
  <c r="P66" i="13"/>
  <c r="Q66" i="13"/>
  <c r="R66" i="13"/>
  <c r="S66" i="13"/>
  <c r="T66" i="13"/>
  <c r="U66" i="13"/>
  <c r="V66" i="13"/>
  <c r="W66" i="13"/>
  <c r="X66" i="13"/>
  <c r="Y66" i="13"/>
  <c r="Z66" i="13"/>
  <c r="AA66" i="13"/>
  <c r="AB66" i="13"/>
  <c r="AC66" i="13"/>
  <c r="AD66" i="13"/>
  <c r="AE66" i="13"/>
  <c r="AF66" i="13"/>
  <c r="AG66" i="13"/>
  <c r="AH66" i="13"/>
  <c r="AI66" i="13"/>
  <c r="AJ66" i="13"/>
  <c r="AK66" i="13"/>
  <c r="AL66" i="13"/>
  <c r="AM66" i="13"/>
  <c r="AN66" i="13"/>
  <c r="AO66" i="13"/>
  <c r="AP66" i="13"/>
  <c r="AQ66" i="13"/>
  <c r="AR66" i="13"/>
  <c r="AS66" i="13"/>
  <c r="AT66" i="13"/>
  <c r="AU66" i="13"/>
  <c r="AV66" i="13"/>
  <c r="AW66" i="13"/>
  <c r="AX66" i="13"/>
  <c r="AY66" i="13"/>
  <c r="AZ66" i="13"/>
  <c r="BA66" i="13"/>
  <c r="BB66" i="13"/>
  <c r="BC66" i="13"/>
  <c r="BD66" i="13"/>
  <c r="BE66" i="13"/>
  <c r="BF66" i="13"/>
  <c r="BG66" i="13"/>
  <c r="BH66" i="13"/>
  <c r="BI66" i="13"/>
  <c r="BJ66" i="13"/>
  <c r="BK66" i="13"/>
  <c r="BL66" i="13"/>
  <c r="BM66" i="13"/>
  <c r="BN66" i="13"/>
  <c r="BO66" i="13"/>
  <c r="BP66" i="13"/>
  <c r="BQ66" i="13"/>
  <c r="BR66" i="13"/>
  <c r="BS66" i="13"/>
  <c r="BT66" i="13"/>
  <c r="BU66" i="13"/>
  <c r="BV66" i="13"/>
  <c r="BW66" i="13"/>
  <c r="BX66" i="13"/>
  <c r="BY66" i="13"/>
  <c r="BZ66" i="13"/>
  <c r="CA66" i="13"/>
  <c r="CB66" i="13"/>
  <c r="CC66" i="13"/>
  <c r="CD66" i="13"/>
  <c r="CE66" i="13"/>
  <c r="CF66" i="13"/>
  <c r="CG66" i="13"/>
  <c r="CH66" i="13"/>
  <c r="CI66" i="13"/>
  <c r="CJ66" i="13"/>
  <c r="CK66" i="13"/>
  <c r="CL66" i="13"/>
  <c r="CM66" i="13"/>
  <c r="CN66" i="13"/>
  <c r="CO66" i="13"/>
  <c r="CP66" i="13"/>
  <c r="CQ66" i="13"/>
  <c r="CR66" i="13"/>
  <c r="CS66" i="13"/>
  <c r="CT66" i="13"/>
  <c r="CU66" i="13"/>
  <c r="CV66" i="13"/>
  <c r="CW66" i="13"/>
  <c r="CX66" i="13"/>
  <c r="CY66" i="13"/>
  <c r="CZ66" i="13"/>
  <c r="DA66" i="13"/>
  <c r="DB66" i="13"/>
  <c r="DC66" i="13"/>
  <c r="DD66" i="13"/>
  <c r="DE66" i="13"/>
  <c r="DF66" i="13"/>
  <c r="DG66" i="13"/>
  <c r="DH66" i="13"/>
  <c r="DI66" i="13"/>
  <c r="DJ66" i="13"/>
  <c r="DK66" i="13"/>
  <c r="DL66" i="13"/>
  <c r="DM66" i="13"/>
  <c r="DN66" i="13"/>
  <c r="DO66" i="13"/>
  <c r="DP66" i="13"/>
  <c r="DQ66" i="13"/>
  <c r="DR66" i="13"/>
  <c r="DS66" i="13"/>
  <c r="DT66" i="13"/>
  <c r="DU66" i="13"/>
  <c r="DV66" i="13"/>
  <c r="DW66" i="13"/>
  <c r="DX66" i="13"/>
  <c r="DY66" i="13"/>
  <c r="DZ66" i="13"/>
  <c r="EA66" i="13"/>
  <c r="EB66" i="13"/>
  <c r="EC66" i="13"/>
  <c r="ED66" i="13"/>
  <c r="EE66" i="13"/>
  <c r="EF66" i="13"/>
  <c r="EG66" i="13"/>
  <c r="EH66" i="13"/>
  <c r="EI66" i="13"/>
  <c r="EJ66" i="13"/>
  <c r="EK66" i="13"/>
  <c r="EL66" i="13"/>
  <c r="EM66" i="13"/>
  <c r="EN66" i="13"/>
  <c r="EO66" i="13"/>
  <c r="EP66" i="13"/>
  <c r="EQ66" i="13"/>
  <c r="ER66" i="13"/>
  <c r="ES66" i="13"/>
  <c r="ET66" i="13"/>
  <c r="EU66" i="13"/>
  <c r="EV66" i="13"/>
  <c r="EW66" i="13"/>
  <c r="EX66" i="13"/>
  <c r="EY66" i="13"/>
  <c r="EZ66" i="13"/>
  <c r="FA66" i="13"/>
  <c r="FB66" i="13"/>
  <c r="FC66" i="13"/>
  <c r="FD66" i="13"/>
  <c r="FE66" i="13"/>
  <c r="FF66" i="13"/>
  <c r="FG66" i="13"/>
  <c r="FH66" i="13"/>
  <c r="FI66" i="13"/>
  <c r="FJ66" i="13"/>
  <c r="FK66" i="13"/>
  <c r="FL66" i="13"/>
  <c r="FM66" i="13"/>
  <c r="FN66" i="13"/>
  <c r="FO66" i="13"/>
  <c r="FP66" i="13"/>
  <c r="FQ66" i="13"/>
  <c r="FR66" i="13"/>
  <c r="FS66" i="13"/>
  <c r="FT66" i="13"/>
  <c r="FU66" i="13"/>
  <c r="FV66" i="13"/>
  <c r="FW66" i="13"/>
  <c r="FX66" i="13"/>
  <c r="FY66" i="13"/>
  <c r="FZ66" i="13"/>
  <c r="GA66" i="13"/>
  <c r="GB66" i="13"/>
  <c r="GC66" i="13"/>
  <c r="GD66" i="13"/>
  <c r="GE66" i="13"/>
  <c r="GF66" i="13"/>
  <c r="GG66" i="13"/>
  <c r="GH66" i="13"/>
  <c r="GI66" i="13"/>
  <c r="GJ66" i="13"/>
  <c r="GK66" i="13"/>
  <c r="GL66" i="13"/>
  <c r="GM66" i="13"/>
  <c r="GN66" i="13"/>
  <c r="GO66" i="13"/>
  <c r="GP66" i="13"/>
  <c r="GQ66" i="13"/>
  <c r="GR66" i="13"/>
  <c r="GS66" i="13"/>
  <c r="GT66" i="13"/>
  <c r="GU66" i="13"/>
  <c r="GV66" i="13"/>
  <c r="GW66" i="13"/>
  <c r="GX66" i="13"/>
  <c r="GY66" i="13"/>
  <c r="GZ66" i="13"/>
  <c r="HA66" i="13"/>
  <c r="HB66" i="13"/>
  <c r="HC66" i="13"/>
  <c r="HD66" i="13"/>
  <c r="HE66" i="13"/>
  <c r="HF66" i="13"/>
  <c r="HG66" i="13"/>
  <c r="HH66" i="13"/>
  <c r="HI66" i="13"/>
  <c r="HJ66" i="13"/>
  <c r="HK66" i="13"/>
  <c r="HL66" i="13"/>
  <c r="HM66" i="13"/>
  <c r="HN66" i="13"/>
  <c r="HO66" i="13"/>
  <c r="HP66" i="13"/>
  <c r="HQ66" i="13"/>
  <c r="HR66" i="13"/>
  <c r="HS66" i="13"/>
  <c r="HT66" i="13"/>
  <c r="HU66" i="13"/>
  <c r="HV66" i="13"/>
  <c r="HW66" i="13"/>
  <c r="HX66" i="13"/>
  <c r="HY66" i="13"/>
  <c r="HZ66" i="13"/>
  <c r="IA66" i="13"/>
  <c r="IB66" i="13"/>
  <c r="IC66" i="13"/>
  <c r="ID66" i="13"/>
  <c r="IE66" i="13"/>
  <c r="IF66" i="13"/>
  <c r="IG66" i="13"/>
  <c r="IH66" i="13"/>
  <c r="II66" i="13"/>
  <c r="IJ66" i="13"/>
  <c r="IK66" i="13"/>
  <c r="IL66" i="13"/>
  <c r="IM66" i="13"/>
  <c r="IN66" i="13"/>
  <c r="IO66" i="13"/>
  <c r="IP66" i="13"/>
  <c r="IQ66" i="13"/>
  <c r="IR66" i="13"/>
  <c r="IS66" i="13"/>
  <c r="IT66" i="13"/>
  <c r="IU66" i="13"/>
  <c r="IV66" i="13"/>
  <c r="A65" i="13"/>
  <c r="B65" i="13"/>
  <c r="C65" i="13"/>
  <c r="D65" i="13"/>
  <c r="E65" i="13"/>
  <c r="F65" i="13"/>
  <c r="G65" i="13"/>
  <c r="H65" i="13"/>
  <c r="I65" i="13"/>
  <c r="J65" i="13"/>
  <c r="K65" i="13"/>
  <c r="L65" i="13"/>
  <c r="M65" i="13"/>
  <c r="N65" i="13"/>
  <c r="O65" i="13"/>
  <c r="P65" i="13"/>
  <c r="Q65" i="13"/>
  <c r="R65" i="13"/>
  <c r="S65" i="13"/>
  <c r="T65" i="13"/>
  <c r="U65" i="13"/>
  <c r="V65" i="13"/>
  <c r="W65" i="13"/>
  <c r="X65" i="13"/>
  <c r="Y65" i="13"/>
  <c r="Z65" i="13"/>
  <c r="AA65" i="13"/>
  <c r="AB65" i="13"/>
  <c r="AC65" i="13"/>
  <c r="AD65" i="13"/>
  <c r="AE65" i="13"/>
  <c r="AF65" i="13"/>
  <c r="AG65" i="13"/>
  <c r="AH65" i="13"/>
  <c r="AI65" i="13"/>
  <c r="AJ65" i="13"/>
  <c r="AK65" i="13"/>
  <c r="AL65" i="13"/>
  <c r="AM65" i="13"/>
  <c r="AN65" i="13"/>
  <c r="AO65" i="13"/>
  <c r="AP65" i="13"/>
  <c r="AQ65" i="13"/>
  <c r="AR65" i="13"/>
  <c r="AS65" i="13"/>
  <c r="AT65" i="13"/>
  <c r="AU65" i="13"/>
  <c r="AV65" i="13"/>
  <c r="AW65" i="13"/>
  <c r="AX65" i="13"/>
  <c r="AY65" i="13"/>
  <c r="AZ65" i="13"/>
  <c r="BA65" i="13"/>
  <c r="BB65" i="13"/>
  <c r="BC65" i="13"/>
  <c r="BD65" i="13"/>
  <c r="BE65" i="13"/>
  <c r="BF65" i="13"/>
  <c r="BG65" i="13"/>
  <c r="BH65" i="13"/>
  <c r="BI65" i="13"/>
  <c r="BJ65" i="13"/>
  <c r="BK65" i="13"/>
  <c r="BL65" i="13"/>
  <c r="BM65" i="13"/>
  <c r="BN65" i="13"/>
  <c r="BO65" i="13"/>
  <c r="BP65" i="13"/>
  <c r="BQ65" i="13"/>
  <c r="BR65" i="13"/>
  <c r="BS65" i="13"/>
  <c r="BT65" i="13"/>
  <c r="BU65" i="13"/>
  <c r="BV65" i="13"/>
  <c r="BW65" i="13"/>
  <c r="BX65" i="13"/>
  <c r="BY65" i="13"/>
  <c r="BZ65" i="13"/>
  <c r="CA65" i="13"/>
  <c r="CB65" i="13"/>
  <c r="CC65" i="13"/>
  <c r="CD65" i="13"/>
  <c r="CE65" i="13"/>
  <c r="CF65" i="13"/>
  <c r="CG65" i="13"/>
  <c r="CH65" i="13"/>
  <c r="CI65" i="13"/>
  <c r="CJ65" i="13"/>
  <c r="CK65" i="13"/>
  <c r="CL65" i="13"/>
  <c r="CM65" i="13"/>
  <c r="CN65" i="13"/>
  <c r="CO65" i="13"/>
  <c r="CP65" i="13"/>
  <c r="CQ65" i="13"/>
  <c r="CR65" i="13"/>
  <c r="CS65" i="13"/>
  <c r="CT65" i="13"/>
  <c r="CU65" i="13"/>
  <c r="CV65" i="13"/>
  <c r="CW65" i="13"/>
  <c r="CX65" i="13"/>
  <c r="CY65" i="13"/>
  <c r="CZ65" i="13"/>
  <c r="DA65" i="13"/>
  <c r="DB65" i="13"/>
  <c r="DC65" i="13"/>
  <c r="DD65" i="13"/>
  <c r="DE65" i="13"/>
  <c r="DF65" i="13"/>
  <c r="DG65" i="13"/>
  <c r="DH65" i="13"/>
  <c r="DI65" i="13"/>
  <c r="DJ65" i="13"/>
  <c r="DK65" i="13"/>
  <c r="DL65" i="13"/>
  <c r="DM65" i="13"/>
  <c r="DN65" i="13"/>
  <c r="DO65" i="13"/>
  <c r="DP65" i="13"/>
  <c r="DQ65" i="13"/>
  <c r="DR65" i="13"/>
  <c r="DS65" i="13"/>
  <c r="DT65" i="13"/>
  <c r="DU65" i="13"/>
  <c r="DV65" i="13"/>
  <c r="DW65" i="13"/>
  <c r="DX65" i="13"/>
  <c r="DY65" i="13"/>
  <c r="DZ65" i="13"/>
  <c r="EA65" i="13"/>
  <c r="EB65" i="13"/>
  <c r="EC65" i="13"/>
  <c r="ED65" i="13"/>
  <c r="EE65" i="13"/>
  <c r="EF65" i="13"/>
  <c r="EG65" i="13"/>
  <c r="EH65" i="13"/>
  <c r="EI65" i="13"/>
  <c r="EJ65" i="13"/>
  <c r="EK65" i="13"/>
  <c r="EL65" i="13"/>
  <c r="EM65" i="13"/>
  <c r="EN65" i="13"/>
  <c r="EO65" i="13"/>
  <c r="EP65" i="13"/>
  <c r="EQ65" i="13"/>
  <c r="ER65" i="13"/>
  <c r="ES65" i="13"/>
  <c r="ET65" i="13"/>
  <c r="EU65" i="13"/>
  <c r="EV65" i="13"/>
  <c r="EW65" i="13"/>
  <c r="EX65" i="13"/>
  <c r="EY65" i="13"/>
  <c r="EZ65" i="13"/>
  <c r="FA65" i="13"/>
  <c r="FB65" i="13"/>
  <c r="FC65" i="13"/>
  <c r="FD65" i="13"/>
  <c r="FE65" i="13"/>
  <c r="FF65" i="13"/>
  <c r="FG65" i="13"/>
  <c r="FH65" i="13"/>
  <c r="FI65" i="13"/>
  <c r="FJ65" i="13"/>
  <c r="FK65" i="13"/>
  <c r="FL65" i="13"/>
  <c r="FM65" i="13"/>
  <c r="FN65" i="13"/>
  <c r="FO65" i="13"/>
  <c r="FP65" i="13"/>
  <c r="FQ65" i="13"/>
  <c r="FR65" i="13"/>
  <c r="FS65" i="13"/>
  <c r="FT65" i="13"/>
  <c r="FU65" i="13"/>
  <c r="FV65" i="13"/>
  <c r="FW65" i="13"/>
  <c r="FX65" i="13"/>
  <c r="FY65" i="13"/>
  <c r="FZ65" i="13"/>
  <c r="GA65" i="13"/>
  <c r="GB65" i="13"/>
  <c r="GC65" i="13"/>
  <c r="GD65" i="13"/>
  <c r="GE65" i="13"/>
  <c r="GF65" i="13"/>
  <c r="GG65" i="13"/>
  <c r="GH65" i="13"/>
  <c r="GI65" i="13"/>
  <c r="GJ65" i="13"/>
  <c r="GK65" i="13"/>
  <c r="GL65" i="13"/>
  <c r="GM65" i="13"/>
  <c r="GN65" i="13"/>
  <c r="GO65" i="13"/>
  <c r="GP65" i="13"/>
  <c r="GQ65" i="13"/>
  <c r="GR65" i="13"/>
  <c r="GS65" i="13"/>
  <c r="GT65" i="13"/>
  <c r="GU65" i="13"/>
  <c r="GV65" i="13"/>
  <c r="GW65" i="13"/>
  <c r="GX65" i="13"/>
  <c r="GY65" i="13"/>
  <c r="GZ65" i="13"/>
  <c r="HA65" i="13"/>
  <c r="HB65" i="13"/>
  <c r="HC65" i="13"/>
  <c r="HD65" i="13"/>
  <c r="HE65" i="13"/>
  <c r="HF65" i="13"/>
  <c r="HG65" i="13"/>
  <c r="HH65" i="13"/>
  <c r="HI65" i="13"/>
  <c r="HJ65" i="13"/>
  <c r="HK65" i="13"/>
  <c r="HL65" i="13"/>
  <c r="HM65" i="13"/>
  <c r="HN65" i="13"/>
  <c r="HO65" i="13"/>
  <c r="HP65" i="13"/>
  <c r="HQ65" i="13"/>
  <c r="HR65" i="13"/>
  <c r="HS65" i="13"/>
  <c r="HT65" i="13"/>
  <c r="HU65" i="13"/>
  <c r="HV65" i="13"/>
  <c r="HW65" i="13"/>
  <c r="HX65" i="13"/>
  <c r="HY65" i="13"/>
  <c r="HZ65" i="13"/>
  <c r="IA65" i="13"/>
  <c r="IB65" i="13"/>
  <c r="IC65" i="13"/>
  <c r="ID65" i="13"/>
  <c r="IE65" i="13"/>
  <c r="IF65" i="13"/>
  <c r="IG65" i="13"/>
  <c r="IH65" i="13"/>
  <c r="II65" i="13"/>
  <c r="IJ65" i="13"/>
  <c r="IK65" i="13"/>
  <c r="IL65" i="13"/>
  <c r="IM65" i="13"/>
  <c r="IN65" i="13"/>
  <c r="IO65" i="13"/>
  <c r="IP65" i="13"/>
  <c r="IQ65" i="13"/>
  <c r="IR65" i="13"/>
  <c r="IS65" i="13"/>
  <c r="IT65" i="13"/>
  <c r="IU65" i="13"/>
  <c r="IV65" i="13"/>
  <c r="A64" i="13"/>
  <c r="B64" i="13"/>
  <c r="C64" i="13"/>
  <c r="D64" i="13"/>
  <c r="E64" i="13"/>
  <c r="F64" i="13"/>
  <c r="G64" i="13"/>
  <c r="H64" i="13"/>
  <c r="I64" i="13"/>
  <c r="J64" i="13"/>
  <c r="K64" i="13"/>
  <c r="L64" i="13"/>
  <c r="M64" i="13"/>
  <c r="N64" i="13"/>
  <c r="O64" i="13"/>
  <c r="P64" i="13"/>
  <c r="Q64" i="13"/>
  <c r="R64" i="13"/>
  <c r="S64" i="13"/>
  <c r="T64" i="13"/>
  <c r="U64" i="13"/>
  <c r="V64" i="13"/>
  <c r="W64" i="13"/>
  <c r="X64" i="13"/>
  <c r="Y64" i="13"/>
  <c r="Z64" i="13"/>
  <c r="AA64" i="13"/>
  <c r="AB64" i="13"/>
  <c r="AC64" i="13"/>
  <c r="AD64" i="13"/>
  <c r="AE64" i="13"/>
  <c r="AF64" i="13"/>
  <c r="AG64" i="13"/>
  <c r="AH64" i="13"/>
  <c r="AI64" i="13"/>
  <c r="AJ64" i="13"/>
  <c r="AK64" i="13"/>
  <c r="AL64" i="13"/>
  <c r="AM64" i="13"/>
  <c r="AN64" i="13"/>
  <c r="AO64" i="13"/>
  <c r="AP64" i="13"/>
  <c r="AQ64" i="13"/>
  <c r="AR64" i="13"/>
  <c r="AS64" i="13"/>
  <c r="AT64" i="13"/>
  <c r="AU64" i="13"/>
  <c r="AV64" i="13"/>
  <c r="AW64" i="13"/>
  <c r="AX64" i="13"/>
  <c r="AY64" i="13"/>
  <c r="AZ64" i="13"/>
  <c r="BA64" i="13"/>
  <c r="BB64" i="13"/>
  <c r="BC64" i="13"/>
  <c r="BD64" i="13"/>
  <c r="BE64" i="13"/>
  <c r="BF64" i="13"/>
  <c r="BG64" i="13"/>
  <c r="BH64" i="13"/>
  <c r="BI64" i="13"/>
  <c r="BJ64" i="13"/>
  <c r="BK64" i="13"/>
  <c r="BL64" i="13"/>
  <c r="BM64" i="13"/>
  <c r="BN64" i="13"/>
  <c r="BO64" i="13"/>
  <c r="BP64" i="13"/>
  <c r="BQ64" i="13"/>
  <c r="BR64" i="13"/>
  <c r="BS64" i="13"/>
  <c r="BT64" i="13"/>
  <c r="BU64" i="13"/>
  <c r="BV64" i="13"/>
  <c r="BW64" i="13"/>
  <c r="BX64" i="13"/>
  <c r="BY64" i="13"/>
  <c r="BZ64" i="13"/>
  <c r="CA64" i="13"/>
  <c r="CB64" i="13"/>
  <c r="CC64" i="13"/>
  <c r="CD64" i="13"/>
  <c r="CE64" i="13"/>
  <c r="CF64" i="13"/>
  <c r="CG64" i="13"/>
  <c r="CH64" i="13"/>
  <c r="CI64" i="13"/>
  <c r="CJ64" i="13"/>
  <c r="CK64" i="13"/>
  <c r="CL64" i="13"/>
  <c r="CM64" i="13"/>
  <c r="CN64" i="13"/>
  <c r="CO64" i="13"/>
  <c r="CP64" i="13"/>
  <c r="CQ64" i="13"/>
  <c r="CR64" i="13"/>
  <c r="CS64" i="13"/>
  <c r="CT64" i="13"/>
  <c r="CU64" i="13"/>
  <c r="CV64" i="13"/>
  <c r="CW64" i="13"/>
  <c r="CX64" i="13"/>
  <c r="CY64" i="13"/>
  <c r="CZ64" i="13"/>
  <c r="DA64" i="13"/>
  <c r="DB64" i="13"/>
  <c r="DC64" i="13"/>
  <c r="DD64" i="13"/>
  <c r="DE64" i="13"/>
  <c r="DF64" i="13"/>
  <c r="DG64" i="13"/>
  <c r="DH64" i="13"/>
  <c r="DI64" i="13"/>
  <c r="DJ64" i="13"/>
  <c r="DK64" i="13"/>
  <c r="DL64" i="13"/>
  <c r="DM64" i="13"/>
  <c r="DN64" i="13"/>
  <c r="DO64" i="13"/>
  <c r="DP64" i="13"/>
  <c r="DQ64" i="13"/>
  <c r="DR64" i="13"/>
  <c r="DS64" i="13"/>
  <c r="DT64" i="13"/>
  <c r="DU64" i="13"/>
  <c r="DV64" i="13"/>
  <c r="DW64" i="13"/>
  <c r="DX64" i="13"/>
  <c r="DY64" i="13"/>
  <c r="DZ64" i="13"/>
  <c r="EA64" i="13"/>
  <c r="EB64" i="13"/>
  <c r="EC64" i="13"/>
  <c r="ED64" i="13"/>
  <c r="EE64" i="13"/>
  <c r="EF64" i="13"/>
  <c r="EG64" i="13"/>
  <c r="EH64" i="13"/>
  <c r="EI64" i="13"/>
  <c r="EJ64" i="13"/>
  <c r="EK64" i="13"/>
  <c r="EL64" i="13"/>
  <c r="EM64" i="13"/>
  <c r="EN64" i="13"/>
  <c r="EO64" i="13"/>
  <c r="EP64" i="13"/>
  <c r="EQ64" i="13"/>
  <c r="ER64" i="13"/>
  <c r="ES64" i="13"/>
  <c r="ET64" i="13"/>
  <c r="EU64" i="13"/>
  <c r="EV64" i="13"/>
  <c r="EW64" i="13"/>
  <c r="EX64" i="13"/>
  <c r="EY64" i="13"/>
  <c r="EZ64" i="13"/>
  <c r="FA64" i="13"/>
  <c r="FB64" i="13"/>
  <c r="FC64" i="13"/>
  <c r="FD64" i="13"/>
  <c r="FE64" i="13"/>
  <c r="FF64" i="13"/>
  <c r="FG64" i="13"/>
  <c r="FH64" i="13"/>
  <c r="FI64" i="13"/>
  <c r="FJ64" i="13"/>
  <c r="FK64" i="13"/>
  <c r="FL64" i="13"/>
  <c r="FM64" i="13"/>
  <c r="FN64" i="13"/>
  <c r="FO64" i="13"/>
  <c r="FP64" i="13"/>
  <c r="FQ64" i="13"/>
  <c r="FR64" i="13"/>
  <c r="FS64" i="13"/>
  <c r="FT64" i="13"/>
  <c r="FU64" i="13"/>
  <c r="FV64" i="13"/>
  <c r="FW64" i="13"/>
  <c r="FX64" i="13"/>
  <c r="FY64" i="13"/>
  <c r="FZ64" i="13"/>
  <c r="GA64" i="13"/>
  <c r="GB64" i="13"/>
  <c r="GC64" i="13"/>
  <c r="GD64" i="13"/>
  <c r="GE64" i="13"/>
  <c r="GF64" i="13"/>
  <c r="GG64" i="13"/>
  <c r="GH64" i="13"/>
  <c r="GI64" i="13"/>
  <c r="GJ64" i="13"/>
  <c r="GK64" i="13"/>
  <c r="GL64" i="13"/>
  <c r="GM64" i="13"/>
  <c r="GN64" i="13"/>
  <c r="GO64" i="13"/>
  <c r="GP64" i="13"/>
  <c r="GQ64" i="13"/>
  <c r="GR64" i="13"/>
  <c r="GS64" i="13"/>
  <c r="GT64" i="13"/>
  <c r="GU64" i="13"/>
  <c r="GV64" i="13"/>
  <c r="GW64" i="13"/>
  <c r="GX64" i="13"/>
  <c r="GY64" i="13"/>
  <c r="GZ64" i="13"/>
  <c r="HA64" i="13"/>
  <c r="HB64" i="13"/>
  <c r="HC64" i="13"/>
  <c r="HD64" i="13"/>
  <c r="HE64" i="13"/>
  <c r="HF64" i="13"/>
  <c r="HG64" i="13"/>
  <c r="HH64" i="13"/>
  <c r="HI64" i="13"/>
  <c r="HJ64" i="13"/>
  <c r="HK64" i="13"/>
  <c r="HL64" i="13"/>
  <c r="HM64" i="13"/>
  <c r="HN64" i="13"/>
  <c r="HO64" i="13"/>
  <c r="HP64" i="13"/>
  <c r="HQ64" i="13"/>
  <c r="HR64" i="13"/>
  <c r="HS64" i="13"/>
  <c r="HT64" i="13"/>
  <c r="HU64" i="13"/>
  <c r="HV64" i="13"/>
  <c r="HW64" i="13"/>
  <c r="HX64" i="13"/>
  <c r="HY64" i="13"/>
  <c r="HZ64" i="13"/>
  <c r="IA64" i="13"/>
  <c r="IB64" i="13"/>
  <c r="IC64" i="13"/>
  <c r="ID64" i="13"/>
  <c r="IE64" i="13"/>
  <c r="IF64" i="13"/>
  <c r="IG64" i="13"/>
  <c r="IH64" i="13"/>
  <c r="II64" i="13"/>
  <c r="IJ64" i="13"/>
  <c r="IK64" i="13"/>
  <c r="IL64" i="13"/>
  <c r="IM64" i="13"/>
  <c r="IN64" i="13"/>
  <c r="IO64" i="13"/>
  <c r="IP64" i="13"/>
  <c r="IQ64" i="13"/>
  <c r="IR64" i="13"/>
  <c r="IS64" i="13"/>
  <c r="IT64" i="13"/>
  <c r="IU64" i="13"/>
  <c r="IV64" i="13"/>
  <c r="A63" i="13"/>
  <c r="B63" i="13"/>
  <c r="C63" i="13"/>
  <c r="D63" i="13"/>
  <c r="E63" i="13"/>
  <c r="F63" i="13"/>
  <c r="G63" i="13"/>
  <c r="H63" i="13"/>
  <c r="I63" i="13"/>
  <c r="J63" i="13"/>
  <c r="K63" i="13"/>
  <c r="L63" i="13"/>
  <c r="M63" i="13"/>
  <c r="N63" i="13"/>
  <c r="O63" i="13"/>
  <c r="P63" i="13"/>
  <c r="Q63" i="13"/>
  <c r="R63" i="13"/>
  <c r="S63" i="13"/>
  <c r="T63" i="13"/>
  <c r="U63" i="13"/>
  <c r="V63" i="13"/>
  <c r="W63" i="13"/>
  <c r="X63" i="13"/>
  <c r="Y63" i="13"/>
  <c r="Z63" i="13"/>
  <c r="AA63" i="13"/>
  <c r="AB63" i="13"/>
  <c r="AC63" i="13"/>
  <c r="AD63" i="13"/>
  <c r="AE63" i="13"/>
  <c r="AF63" i="13"/>
  <c r="AG63" i="13"/>
  <c r="AH63" i="13"/>
  <c r="AI63" i="13"/>
  <c r="AJ63" i="13"/>
  <c r="AK63" i="13"/>
  <c r="AL63" i="13"/>
  <c r="AM63" i="13"/>
  <c r="AN63" i="13"/>
  <c r="AO63" i="13"/>
  <c r="AP63" i="13"/>
  <c r="AQ63" i="13"/>
  <c r="AR63" i="13"/>
  <c r="AS63" i="13"/>
  <c r="AT63" i="13"/>
  <c r="AU63" i="13"/>
  <c r="AV63" i="13"/>
  <c r="AW63" i="13"/>
  <c r="AX63" i="13"/>
  <c r="AY63" i="13"/>
  <c r="AZ63" i="13"/>
  <c r="BA63" i="13"/>
  <c r="BB63" i="13"/>
  <c r="BC63" i="13"/>
  <c r="BD63" i="13"/>
  <c r="BE63" i="13"/>
  <c r="BF63" i="13"/>
  <c r="BG63" i="13"/>
  <c r="BH63" i="13"/>
  <c r="BI63" i="13"/>
  <c r="BJ63" i="13"/>
  <c r="BK63" i="13"/>
  <c r="BL63" i="13"/>
  <c r="BM63" i="13"/>
  <c r="BN63" i="13"/>
  <c r="BO63" i="13"/>
  <c r="BP63" i="13"/>
  <c r="BQ63" i="13"/>
  <c r="BR63" i="13"/>
  <c r="BS63" i="13"/>
  <c r="BT63" i="13"/>
  <c r="BU63" i="13"/>
  <c r="BV63" i="13"/>
  <c r="BW63" i="13"/>
  <c r="BX63" i="13"/>
  <c r="BY63" i="13"/>
  <c r="BZ63" i="13"/>
  <c r="CA63" i="13"/>
  <c r="CB63" i="13"/>
  <c r="CC63" i="13"/>
  <c r="CD63" i="13"/>
  <c r="CE63" i="13"/>
  <c r="CF63" i="13"/>
  <c r="CG63" i="13"/>
  <c r="CH63" i="13"/>
  <c r="CI63" i="13"/>
  <c r="CJ63" i="13"/>
  <c r="CK63" i="13"/>
  <c r="CL63" i="13"/>
  <c r="CM63" i="13"/>
  <c r="CN63" i="13"/>
  <c r="CO63" i="13"/>
  <c r="CP63" i="13"/>
  <c r="CQ63" i="13"/>
  <c r="CR63" i="13"/>
  <c r="CS63" i="13"/>
  <c r="CT63" i="13"/>
  <c r="CU63" i="13"/>
  <c r="CV63" i="13"/>
  <c r="CW63" i="13"/>
  <c r="CX63" i="13"/>
  <c r="CY63" i="13"/>
  <c r="CZ63" i="13"/>
  <c r="DA63" i="13"/>
  <c r="DB63" i="13"/>
  <c r="DC63" i="13"/>
  <c r="DD63" i="13"/>
  <c r="DE63" i="13"/>
  <c r="DF63" i="13"/>
  <c r="DG63" i="13"/>
  <c r="DH63" i="13"/>
  <c r="DI63" i="13"/>
  <c r="DJ63" i="13"/>
  <c r="DK63" i="13"/>
  <c r="DL63" i="13"/>
  <c r="DM63" i="13"/>
  <c r="DN63" i="13"/>
  <c r="DO63" i="13"/>
  <c r="DP63" i="13"/>
  <c r="DQ63" i="13"/>
  <c r="DR63" i="13"/>
  <c r="DS63" i="13"/>
  <c r="DT63" i="13"/>
  <c r="DU63" i="13"/>
  <c r="DV63" i="13"/>
  <c r="DW63" i="13"/>
  <c r="DX63" i="13"/>
  <c r="DY63" i="13"/>
  <c r="DZ63" i="13"/>
  <c r="EA63" i="13"/>
  <c r="EB63" i="13"/>
  <c r="EC63" i="13"/>
  <c r="ED63" i="13"/>
  <c r="EE63" i="13"/>
  <c r="EF63" i="13"/>
  <c r="EG63" i="13"/>
  <c r="EH63" i="13"/>
  <c r="EI63" i="13"/>
  <c r="EJ63" i="13"/>
  <c r="EK63" i="13"/>
  <c r="EL63" i="13"/>
  <c r="EM63" i="13"/>
  <c r="EN63" i="13"/>
  <c r="EO63" i="13"/>
  <c r="EP63" i="13"/>
  <c r="EQ63" i="13"/>
  <c r="ER63" i="13"/>
  <c r="ES63" i="13"/>
  <c r="ET63" i="13"/>
  <c r="EU63" i="13"/>
  <c r="EV63" i="13"/>
  <c r="EW63" i="13"/>
  <c r="EX63" i="13"/>
  <c r="EY63" i="13"/>
  <c r="EZ63" i="13"/>
  <c r="FA63" i="13"/>
  <c r="FB63" i="13"/>
  <c r="FC63" i="13"/>
  <c r="FD63" i="13"/>
  <c r="FE63" i="13"/>
  <c r="FF63" i="13"/>
  <c r="FG63" i="13"/>
  <c r="FH63" i="13"/>
  <c r="FI63" i="13"/>
  <c r="FJ63" i="13"/>
  <c r="FK63" i="13"/>
  <c r="FL63" i="13"/>
  <c r="FM63" i="13"/>
  <c r="FN63" i="13"/>
  <c r="FO63" i="13"/>
  <c r="FP63" i="13"/>
  <c r="FQ63" i="13"/>
  <c r="FR63" i="13"/>
  <c r="FS63" i="13"/>
  <c r="FT63" i="13"/>
  <c r="FU63" i="13"/>
  <c r="FV63" i="13"/>
  <c r="FW63" i="13"/>
  <c r="FX63" i="13"/>
  <c r="FY63" i="13"/>
  <c r="FZ63" i="13"/>
  <c r="GA63" i="13"/>
  <c r="GB63" i="13"/>
  <c r="GC63" i="13"/>
  <c r="GD63" i="13"/>
  <c r="GE63" i="13"/>
  <c r="GF63" i="13"/>
  <c r="GG63" i="13"/>
  <c r="GH63" i="13"/>
  <c r="GI63" i="13"/>
  <c r="GJ63" i="13"/>
  <c r="GK63" i="13"/>
  <c r="GL63" i="13"/>
  <c r="GM63" i="13"/>
  <c r="GN63" i="13"/>
  <c r="GO63" i="13"/>
  <c r="GP63" i="13"/>
  <c r="GQ63" i="13"/>
  <c r="GR63" i="13"/>
  <c r="GS63" i="13"/>
  <c r="GT63" i="13"/>
  <c r="GU63" i="13"/>
  <c r="GV63" i="13"/>
  <c r="GW63" i="13"/>
  <c r="GX63" i="13"/>
  <c r="GY63" i="13"/>
  <c r="GZ63" i="13"/>
  <c r="HA63" i="13"/>
  <c r="HB63" i="13"/>
  <c r="HC63" i="13"/>
  <c r="HD63" i="13"/>
  <c r="HE63" i="13"/>
  <c r="HF63" i="13"/>
  <c r="HG63" i="13"/>
  <c r="HH63" i="13"/>
  <c r="HI63" i="13"/>
  <c r="HJ63" i="13"/>
  <c r="HK63" i="13"/>
  <c r="HL63" i="13"/>
  <c r="HM63" i="13"/>
  <c r="HN63" i="13"/>
  <c r="HO63" i="13"/>
  <c r="HP63" i="13"/>
  <c r="HQ63" i="13"/>
  <c r="HR63" i="13"/>
  <c r="HS63" i="13"/>
  <c r="HT63" i="13"/>
  <c r="HU63" i="13"/>
  <c r="HV63" i="13"/>
  <c r="HW63" i="13"/>
  <c r="HX63" i="13"/>
  <c r="HY63" i="13"/>
  <c r="HZ63" i="13"/>
  <c r="IA63" i="13"/>
  <c r="IB63" i="13"/>
  <c r="IC63" i="13"/>
  <c r="ID63" i="13"/>
  <c r="IE63" i="13"/>
  <c r="IF63" i="13"/>
  <c r="IG63" i="13"/>
  <c r="IH63" i="13"/>
  <c r="II63" i="13"/>
  <c r="IJ63" i="13"/>
  <c r="IK63" i="13"/>
  <c r="IL63" i="13"/>
  <c r="IM63" i="13"/>
  <c r="IN63" i="13"/>
  <c r="IO63" i="13"/>
  <c r="IP63" i="13"/>
  <c r="IQ63" i="13"/>
  <c r="IR63" i="13"/>
  <c r="IS63" i="13"/>
  <c r="IT63" i="13"/>
  <c r="IU63" i="13"/>
  <c r="IV63" i="13"/>
  <c r="A62" i="13"/>
  <c r="B62" i="13"/>
  <c r="C62" i="13"/>
  <c r="D62" i="13"/>
  <c r="E62" i="13"/>
  <c r="F62" i="13"/>
  <c r="G62" i="13"/>
  <c r="H62" i="13"/>
  <c r="I62" i="13"/>
  <c r="J62" i="13"/>
  <c r="K62" i="13"/>
  <c r="L62" i="13"/>
  <c r="M62" i="13"/>
  <c r="N62" i="13"/>
  <c r="O62" i="13"/>
  <c r="P62" i="13"/>
  <c r="Q62" i="13"/>
  <c r="R62" i="13"/>
  <c r="S62" i="13"/>
  <c r="T62" i="13"/>
  <c r="U62" i="13"/>
  <c r="V62" i="13"/>
  <c r="W62" i="13"/>
  <c r="X62" i="13"/>
  <c r="Y62" i="13"/>
  <c r="Z62" i="13"/>
  <c r="AA62" i="13"/>
  <c r="AB62" i="13"/>
  <c r="AC62" i="13"/>
  <c r="AD62" i="13"/>
  <c r="AE62" i="13"/>
  <c r="AF62" i="13"/>
  <c r="AG62" i="13"/>
  <c r="AH62" i="13"/>
  <c r="AI62" i="13"/>
  <c r="AJ62" i="13"/>
  <c r="AK62" i="13"/>
  <c r="AL62" i="13"/>
  <c r="AM62" i="13"/>
  <c r="AN62" i="13"/>
  <c r="AO62" i="13"/>
  <c r="AP62" i="13"/>
  <c r="AQ62" i="13"/>
  <c r="AR62" i="13"/>
  <c r="AS62" i="13"/>
  <c r="AT62" i="13"/>
  <c r="AU62" i="13"/>
  <c r="AV62" i="13"/>
  <c r="AW62" i="13"/>
  <c r="AX62" i="13"/>
  <c r="AY62" i="13"/>
  <c r="AZ62" i="13"/>
  <c r="BA62" i="13"/>
  <c r="BB62" i="13"/>
  <c r="BC62" i="13"/>
  <c r="BD62" i="13"/>
  <c r="BE62" i="13"/>
  <c r="BF62" i="13"/>
  <c r="BG62" i="13"/>
  <c r="BH62" i="13"/>
  <c r="BI62" i="13"/>
  <c r="BJ62" i="13"/>
  <c r="BK62" i="13"/>
  <c r="BL62" i="13"/>
  <c r="BM62" i="13"/>
  <c r="BN62" i="13"/>
  <c r="BO62" i="13"/>
  <c r="BP62" i="13"/>
  <c r="BQ62" i="13"/>
  <c r="BR62" i="13"/>
  <c r="BS62" i="13"/>
  <c r="BT62" i="13"/>
  <c r="BU62" i="13"/>
  <c r="BV62" i="13"/>
  <c r="BW62" i="13"/>
  <c r="BX62" i="13"/>
  <c r="BY62" i="13"/>
  <c r="BZ62" i="13"/>
  <c r="CA62" i="13"/>
  <c r="CB62" i="13"/>
  <c r="CC62" i="13"/>
  <c r="CD62" i="13"/>
  <c r="CE62" i="13"/>
  <c r="CF62" i="13"/>
  <c r="CG62" i="13"/>
  <c r="CH62" i="13"/>
  <c r="CI62" i="13"/>
  <c r="CJ62" i="13"/>
  <c r="CK62" i="13"/>
  <c r="CL62" i="13"/>
  <c r="CM62" i="13"/>
  <c r="CN62" i="13"/>
  <c r="CO62" i="13"/>
  <c r="CP62" i="13"/>
  <c r="CQ62" i="13"/>
  <c r="CR62" i="13"/>
  <c r="CS62" i="13"/>
  <c r="CT62" i="13"/>
  <c r="CU62" i="13"/>
  <c r="CV62" i="13"/>
  <c r="CW62" i="13"/>
  <c r="CX62" i="13"/>
  <c r="CY62" i="13"/>
  <c r="CZ62" i="13"/>
  <c r="DA62" i="13"/>
  <c r="DB62" i="13"/>
  <c r="DC62" i="13"/>
  <c r="DD62" i="13"/>
  <c r="DE62" i="13"/>
  <c r="DF62" i="13"/>
  <c r="DG62" i="13"/>
  <c r="DH62" i="13"/>
  <c r="DI62" i="13"/>
  <c r="DJ62" i="13"/>
  <c r="DK62" i="13"/>
  <c r="DL62" i="13"/>
  <c r="DM62" i="13"/>
  <c r="DN62" i="13"/>
  <c r="DO62" i="13"/>
  <c r="DP62" i="13"/>
  <c r="DQ62" i="13"/>
  <c r="DR62" i="13"/>
  <c r="DS62" i="13"/>
  <c r="DT62" i="13"/>
  <c r="DU62" i="13"/>
  <c r="DV62" i="13"/>
  <c r="DW62" i="13"/>
  <c r="DX62" i="13"/>
  <c r="DY62" i="13"/>
  <c r="DZ62" i="13"/>
  <c r="EA62" i="13"/>
  <c r="EB62" i="13"/>
  <c r="EC62" i="13"/>
  <c r="ED62" i="13"/>
  <c r="EE62" i="13"/>
  <c r="EF62" i="13"/>
  <c r="EG62" i="13"/>
  <c r="EH62" i="13"/>
  <c r="EI62" i="13"/>
  <c r="EJ62" i="13"/>
  <c r="EK62" i="13"/>
  <c r="EL62" i="13"/>
  <c r="EM62" i="13"/>
  <c r="EN62" i="13"/>
  <c r="EO62" i="13"/>
  <c r="EP62" i="13"/>
  <c r="EQ62" i="13"/>
  <c r="ER62" i="13"/>
  <c r="ES62" i="13"/>
  <c r="ET62" i="13"/>
  <c r="EU62" i="13"/>
  <c r="EV62" i="13"/>
  <c r="EW62" i="13"/>
  <c r="EX62" i="13"/>
  <c r="EY62" i="13"/>
  <c r="EZ62" i="13"/>
  <c r="FA62" i="13"/>
  <c r="FB62" i="13"/>
  <c r="FC62" i="13"/>
  <c r="FD62" i="13"/>
  <c r="FE62" i="13"/>
  <c r="FF62" i="13"/>
  <c r="FG62" i="13"/>
  <c r="FH62" i="13"/>
  <c r="FI62" i="13"/>
  <c r="FJ62" i="13"/>
  <c r="FK62" i="13"/>
  <c r="FL62" i="13"/>
  <c r="FM62" i="13"/>
  <c r="FN62" i="13"/>
  <c r="FO62" i="13"/>
  <c r="FP62" i="13"/>
  <c r="FQ62" i="13"/>
  <c r="FR62" i="13"/>
  <c r="FS62" i="13"/>
  <c r="FT62" i="13"/>
  <c r="FU62" i="13"/>
  <c r="FV62" i="13"/>
  <c r="FW62" i="13"/>
  <c r="FX62" i="13"/>
  <c r="FY62" i="13"/>
  <c r="FZ62" i="13"/>
  <c r="GA62" i="13"/>
  <c r="GB62" i="13"/>
  <c r="GC62" i="13"/>
  <c r="GD62" i="13"/>
  <c r="GE62" i="13"/>
  <c r="GF62" i="13"/>
  <c r="GG62" i="13"/>
  <c r="GH62" i="13"/>
  <c r="GI62" i="13"/>
  <c r="GJ62" i="13"/>
  <c r="GK62" i="13"/>
  <c r="GL62" i="13"/>
  <c r="GM62" i="13"/>
  <c r="GN62" i="13"/>
  <c r="GO62" i="13"/>
  <c r="GP62" i="13"/>
  <c r="GQ62" i="13"/>
  <c r="GR62" i="13"/>
  <c r="GS62" i="13"/>
  <c r="GT62" i="13"/>
  <c r="GU62" i="13"/>
  <c r="GV62" i="13"/>
  <c r="GW62" i="13"/>
  <c r="GX62" i="13"/>
  <c r="GY62" i="13"/>
  <c r="GZ62" i="13"/>
  <c r="HA62" i="13"/>
  <c r="HB62" i="13"/>
  <c r="HC62" i="13"/>
  <c r="HD62" i="13"/>
  <c r="HE62" i="13"/>
  <c r="HF62" i="13"/>
  <c r="HG62" i="13"/>
  <c r="HH62" i="13"/>
  <c r="HI62" i="13"/>
  <c r="HJ62" i="13"/>
  <c r="HK62" i="13"/>
  <c r="HL62" i="13"/>
  <c r="HM62" i="13"/>
  <c r="HN62" i="13"/>
  <c r="HO62" i="13"/>
  <c r="HP62" i="13"/>
  <c r="HQ62" i="13"/>
  <c r="HR62" i="13"/>
  <c r="HS62" i="13"/>
  <c r="HT62" i="13"/>
  <c r="HU62" i="13"/>
  <c r="HV62" i="13"/>
  <c r="HW62" i="13"/>
  <c r="HX62" i="13"/>
  <c r="HY62" i="13"/>
  <c r="HZ62" i="13"/>
  <c r="IA62" i="13"/>
  <c r="IB62" i="13"/>
  <c r="IC62" i="13"/>
  <c r="ID62" i="13"/>
  <c r="IE62" i="13"/>
  <c r="IF62" i="13"/>
  <c r="IG62" i="13"/>
  <c r="IH62" i="13"/>
  <c r="II62" i="13"/>
  <c r="IJ62" i="13"/>
  <c r="IK62" i="13"/>
  <c r="IL62" i="13"/>
  <c r="IM62" i="13"/>
  <c r="IN62" i="13"/>
  <c r="IO62" i="13"/>
  <c r="IP62" i="13"/>
  <c r="IQ62" i="13"/>
  <c r="IR62" i="13"/>
  <c r="IS62" i="13"/>
  <c r="IT62" i="13"/>
  <c r="IU62" i="13"/>
  <c r="IV62" i="13"/>
  <c r="A61" i="13"/>
  <c r="B61" i="13"/>
  <c r="C61" i="13"/>
  <c r="D61" i="13"/>
  <c r="E61" i="13"/>
  <c r="F61" i="13"/>
  <c r="G61" i="13"/>
  <c r="H61" i="13"/>
  <c r="I61" i="13"/>
  <c r="J61" i="13"/>
  <c r="K61" i="13"/>
  <c r="L61" i="13"/>
  <c r="M61" i="13"/>
  <c r="N61" i="13"/>
  <c r="O61" i="13"/>
  <c r="P61" i="13"/>
  <c r="Q61" i="13"/>
  <c r="R61" i="13"/>
  <c r="S61" i="13"/>
  <c r="T61" i="13"/>
  <c r="U61" i="13"/>
  <c r="V61" i="13"/>
  <c r="W61" i="13"/>
  <c r="X61" i="13"/>
  <c r="Y61" i="13"/>
  <c r="Z61" i="13"/>
  <c r="AA61" i="13"/>
  <c r="AB61" i="13"/>
  <c r="AC61" i="13"/>
  <c r="AD61" i="13"/>
  <c r="AE61" i="13"/>
  <c r="AF61" i="13"/>
  <c r="AG61" i="13"/>
  <c r="AH61" i="13"/>
  <c r="AI61" i="13"/>
  <c r="AJ61" i="13"/>
  <c r="AK61" i="13"/>
  <c r="AL61" i="13"/>
  <c r="AM61" i="13"/>
  <c r="AN61" i="13"/>
  <c r="AO61" i="13"/>
  <c r="AP61" i="13"/>
  <c r="AQ61" i="13"/>
  <c r="AR61" i="13"/>
  <c r="AS61" i="13"/>
  <c r="AT61" i="13"/>
  <c r="AU61" i="13"/>
  <c r="AV61" i="13"/>
  <c r="AW61" i="13"/>
  <c r="AX61" i="13"/>
  <c r="AY61" i="13"/>
  <c r="AZ61" i="13"/>
  <c r="BA61" i="13"/>
  <c r="BB61" i="13"/>
  <c r="BC61" i="13"/>
  <c r="BD61" i="13"/>
  <c r="BE61" i="13"/>
  <c r="BF61" i="13"/>
  <c r="BG61" i="13"/>
  <c r="BH61" i="13"/>
  <c r="BI61" i="13"/>
  <c r="BJ61" i="13"/>
  <c r="BK61" i="13"/>
  <c r="BL61" i="13"/>
  <c r="BM61" i="13"/>
  <c r="BN61" i="13"/>
  <c r="BO61" i="13"/>
  <c r="BP61" i="13"/>
  <c r="BQ61" i="13"/>
  <c r="BR61" i="13"/>
  <c r="BS61" i="13"/>
  <c r="BT61" i="13"/>
  <c r="BU61" i="13"/>
  <c r="BV61" i="13"/>
  <c r="BW61" i="13"/>
  <c r="BX61" i="13"/>
  <c r="BY61" i="13"/>
  <c r="BZ61" i="13"/>
  <c r="CA61" i="13"/>
  <c r="CB61" i="13"/>
  <c r="CC61" i="13"/>
  <c r="CD61" i="13"/>
  <c r="CE61" i="13"/>
  <c r="CF61" i="13"/>
  <c r="CG61" i="13"/>
  <c r="CH61" i="13"/>
  <c r="CI61" i="13"/>
  <c r="CJ61" i="13"/>
  <c r="CK61" i="13"/>
  <c r="CL61" i="13"/>
  <c r="CM61" i="13"/>
  <c r="CN61" i="13"/>
  <c r="CO61" i="13"/>
  <c r="CP61" i="13"/>
  <c r="CQ61" i="13"/>
  <c r="CR61" i="13"/>
  <c r="CS61" i="13"/>
  <c r="CT61" i="13"/>
  <c r="CU61" i="13"/>
  <c r="CV61" i="13"/>
  <c r="CW61" i="13"/>
  <c r="CX61" i="13"/>
  <c r="CY61" i="13"/>
  <c r="CZ61" i="13"/>
  <c r="DA61" i="13"/>
  <c r="DB61" i="13"/>
  <c r="DC61" i="13"/>
  <c r="DD61" i="13"/>
  <c r="DE61" i="13"/>
  <c r="DF61" i="13"/>
  <c r="DG61" i="13"/>
  <c r="DH61" i="13"/>
  <c r="DI61" i="13"/>
  <c r="DJ61" i="13"/>
  <c r="DK61" i="13"/>
  <c r="DL61" i="13"/>
  <c r="DM61" i="13"/>
  <c r="DN61" i="13"/>
  <c r="DO61" i="13"/>
  <c r="DP61" i="13"/>
  <c r="DQ61" i="13"/>
  <c r="DR61" i="13"/>
  <c r="DS61" i="13"/>
  <c r="DT61" i="13"/>
  <c r="DU61" i="13"/>
  <c r="DV61" i="13"/>
  <c r="DW61" i="13"/>
  <c r="DX61" i="13"/>
  <c r="DY61" i="13"/>
  <c r="DZ61" i="13"/>
  <c r="EA61" i="13"/>
  <c r="EB61" i="13"/>
  <c r="EC61" i="13"/>
  <c r="ED61" i="13"/>
  <c r="EE61" i="13"/>
  <c r="EF61" i="13"/>
  <c r="EG61" i="13"/>
  <c r="EH61" i="13"/>
  <c r="EI61" i="13"/>
  <c r="EJ61" i="13"/>
  <c r="EK61" i="13"/>
  <c r="EL61" i="13"/>
  <c r="EM61" i="13"/>
  <c r="EN61" i="13"/>
  <c r="EO61" i="13"/>
  <c r="EP61" i="13"/>
  <c r="EQ61" i="13"/>
  <c r="ER61" i="13"/>
  <c r="ES61" i="13"/>
  <c r="ET61" i="13"/>
  <c r="EU61" i="13"/>
  <c r="EV61" i="13"/>
  <c r="EW61" i="13"/>
  <c r="EX61" i="13"/>
  <c r="EY61" i="13"/>
  <c r="EZ61" i="13"/>
  <c r="FA61" i="13"/>
  <c r="FB61" i="13"/>
  <c r="FC61" i="13"/>
  <c r="FD61" i="13"/>
  <c r="FE61" i="13"/>
  <c r="FF61" i="13"/>
  <c r="FG61" i="13"/>
  <c r="FH61" i="13"/>
  <c r="FI61" i="13"/>
  <c r="FJ61" i="13"/>
  <c r="FK61" i="13"/>
  <c r="FL61" i="13"/>
  <c r="FM61" i="13"/>
  <c r="FN61" i="13"/>
  <c r="FO61" i="13"/>
  <c r="FP61" i="13"/>
  <c r="FQ61" i="13"/>
  <c r="FR61" i="13"/>
  <c r="FS61" i="13"/>
  <c r="FT61" i="13"/>
  <c r="FU61" i="13"/>
  <c r="FV61" i="13"/>
  <c r="FW61" i="13"/>
  <c r="FX61" i="13"/>
  <c r="FY61" i="13"/>
  <c r="FZ61" i="13"/>
  <c r="GA61" i="13"/>
  <c r="GB61" i="13"/>
  <c r="GC61" i="13"/>
  <c r="GD61" i="13"/>
  <c r="GE61" i="13"/>
  <c r="GF61" i="13"/>
  <c r="GG61" i="13"/>
  <c r="GH61" i="13"/>
  <c r="GI61" i="13"/>
  <c r="GJ61" i="13"/>
  <c r="GK61" i="13"/>
  <c r="GL61" i="13"/>
  <c r="GM61" i="13"/>
  <c r="GN61" i="13"/>
  <c r="GO61" i="13"/>
  <c r="GP61" i="13"/>
  <c r="GQ61" i="13"/>
  <c r="GR61" i="13"/>
  <c r="GS61" i="13"/>
  <c r="GT61" i="13"/>
  <c r="GU61" i="13"/>
  <c r="GV61" i="13"/>
  <c r="GW61" i="13"/>
  <c r="GX61" i="13"/>
  <c r="GY61" i="13"/>
  <c r="GZ61" i="13"/>
  <c r="HA61" i="13"/>
  <c r="HB61" i="13"/>
  <c r="HC61" i="13"/>
  <c r="HD61" i="13"/>
  <c r="HE61" i="13"/>
  <c r="HF61" i="13"/>
  <c r="HG61" i="13"/>
  <c r="HH61" i="13"/>
  <c r="HI61" i="13"/>
  <c r="HJ61" i="13"/>
  <c r="HK61" i="13"/>
  <c r="HL61" i="13"/>
  <c r="HM61" i="13"/>
  <c r="HN61" i="13"/>
  <c r="HO61" i="13"/>
  <c r="HP61" i="13"/>
  <c r="HQ61" i="13"/>
  <c r="HR61" i="13"/>
  <c r="HS61" i="13"/>
  <c r="HT61" i="13"/>
  <c r="HU61" i="13"/>
  <c r="HV61" i="13"/>
  <c r="HW61" i="13"/>
  <c r="HX61" i="13"/>
  <c r="HY61" i="13"/>
  <c r="HZ61" i="13"/>
  <c r="IA61" i="13"/>
  <c r="IB61" i="13"/>
  <c r="IC61" i="13"/>
  <c r="ID61" i="13"/>
  <c r="IE61" i="13"/>
  <c r="IF61" i="13"/>
  <c r="IG61" i="13"/>
  <c r="IH61" i="13"/>
  <c r="II61" i="13"/>
  <c r="IJ61" i="13"/>
  <c r="IK61" i="13"/>
  <c r="IL61" i="13"/>
  <c r="IM61" i="13"/>
  <c r="IN61" i="13"/>
  <c r="IO61" i="13"/>
  <c r="IP61" i="13"/>
  <c r="IQ61" i="13"/>
  <c r="IR61" i="13"/>
  <c r="IS61" i="13"/>
  <c r="IT61" i="13"/>
  <c r="IU61" i="13"/>
  <c r="IV61" i="13"/>
  <c r="A60" i="13"/>
  <c r="B60" i="13"/>
  <c r="C60" i="13"/>
  <c r="D60" i="13"/>
  <c r="E60" i="13"/>
  <c r="F60" i="13"/>
  <c r="G60" i="13"/>
  <c r="H60" i="13"/>
  <c r="I60" i="13"/>
  <c r="J60" i="13"/>
  <c r="K60" i="13"/>
  <c r="L60" i="13"/>
  <c r="M60" i="13"/>
  <c r="N60" i="13"/>
  <c r="O60" i="13"/>
  <c r="P60" i="13"/>
  <c r="Q60" i="13"/>
  <c r="R60" i="13"/>
  <c r="S60" i="13"/>
  <c r="T60" i="13"/>
  <c r="U60" i="13"/>
  <c r="V60" i="13"/>
  <c r="W60" i="13"/>
  <c r="X60" i="13"/>
  <c r="Y60" i="13"/>
  <c r="Z60" i="13"/>
  <c r="AA60" i="13"/>
  <c r="AB60" i="13"/>
  <c r="AC60" i="13"/>
  <c r="AD60" i="13"/>
  <c r="AE60" i="13"/>
  <c r="AF60" i="13"/>
  <c r="AG60" i="13"/>
  <c r="AH60" i="13"/>
  <c r="AI60" i="13"/>
  <c r="AJ60" i="13"/>
  <c r="AK60" i="13"/>
  <c r="AL60" i="13"/>
  <c r="AM60" i="13"/>
  <c r="AN60" i="13"/>
  <c r="AO60" i="13"/>
  <c r="AP60" i="13"/>
  <c r="AQ60" i="13"/>
  <c r="AR60" i="13"/>
  <c r="AS60" i="13"/>
  <c r="AT60" i="13"/>
  <c r="AU60" i="13"/>
  <c r="AV60" i="13"/>
  <c r="AW60" i="13"/>
  <c r="AX60" i="13"/>
  <c r="AY60" i="13"/>
  <c r="AZ60" i="13"/>
  <c r="BA60" i="13"/>
  <c r="BB60" i="13"/>
  <c r="BC60" i="13"/>
  <c r="BD60" i="13"/>
  <c r="BE60" i="13"/>
  <c r="BF60" i="13"/>
  <c r="BG60" i="13"/>
  <c r="BH60" i="13"/>
  <c r="BI60" i="13"/>
  <c r="BJ60" i="13"/>
  <c r="BK60" i="13"/>
  <c r="BL60" i="13"/>
  <c r="BM60" i="13"/>
  <c r="BN60" i="13"/>
  <c r="BO60" i="13"/>
  <c r="BP60" i="13"/>
  <c r="BQ60" i="13"/>
  <c r="BR60" i="13"/>
  <c r="BS60" i="13"/>
  <c r="BT60" i="13"/>
  <c r="BU60" i="13"/>
  <c r="BV60" i="13"/>
  <c r="BW60" i="13"/>
  <c r="BX60" i="13"/>
  <c r="BY60" i="13"/>
  <c r="BZ60" i="13"/>
  <c r="CA60" i="13"/>
  <c r="CB60" i="13"/>
  <c r="CC60" i="13"/>
  <c r="CD60" i="13"/>
  <c r="CE60" i="13"/>
  <c r="CF60" i="13"/>
  <c r="CG60" i="13"/>
  <c r="CH60" i="13"/>
  <c r="CI60" i="13"/>
  <c r="CJ60" i="13"/>
  <c r="CK60" i="13"/>
  <c r="CL60" i="13"/>
  <c r="CM60" i="13"/>
  <c r="CN60" i="13"/>
  <c r="CO60" i="13"/>
  <c r="CP60" i="13"/>
  <c r="CQ60" i="13"/>
  <c r="CR60" i="13"/>
  <c r="CS60" i="13"/>
  <c r="CT60" i="13"/>
  <c r="CU60" i="13"/>
  <c r="CV60" i="13"/>
  <c r="CW60" i="13"/>
  <c r="CX60" i="13"/>
  <c r="CY60" i="13"/>
  <c r="CZ60" i="13"/>
  <c r="DA60" i="13"/>
  <c r="DB60" i="13"/>
  <c r="DC60" i="13"/>
  <c r="DD60" i="13"/>
  <c r="DE60" i="13"/>
  <c r="DF60" i="13"/>
  <c r="DG60" i="13"/>
  <c r="DH60" i="13"/>
  <c r="DI60" i="13"/>
  <c r="DJ60" i="13"/>
  <c r="DK60" i="13"/>
  <c r="DL60" i="13"/>
  <c r="DM60" i="13"/>
  <c r="DN60" i="13"/>
  <c r="DO60" i="13"/>
  <c r="DP60" i="13"/>
  <c r="DQ60" i="13"/>
  <c r="DR60" i="13"/>
  <c r="DS60" i="13"/>
  <c r="DT60" i="13"/>
  <c r="DU60" i="13"/>
  <c r="DV60" i="13"/>
  <c r="DW60" i="13"/>
  <c r="DX60" i="13"/>
  <c r="DY60" i="13"/>
  <c r="DZ60" i="13"/>
  <c r="EA60" i="13"/>
  <c r="EB60" i="13"/>
  <c r="EC60" i="13"/>
  <c r="ED60" i="13"/>
  <c r="EE60" i="13"/>
  <c r="EF60" i="13"/>
  <c r="EG60" i="13"/>
  <c r="EH60" i="13"/>
  <c r="EI60" i="13"/>
  <c r="EJ60" i="13"/>
  <c r="EK60" i="13"/>
  <c r="EL60" i="13"/>
  <c r="EM60" i="13"/>
  <c r="EN60" i="13"/>
  <c r="EO60" i="13"/>
  <c r="EP60" i="13"/>
  <c r="EQ60" i="13"/>
  <c r="ER60" i="13"/>
  <c r="ES60" i="13"/>
  <c r="ET60" i="13"/>
  <c r="EU60" i="13"/>
  <c r="EV60" i="13"/>
  <c r="EW60" i="13"/>
  <c r="EX60" i="13"/>
  <c r="EY60" i="13"/>
  <c r="EZ60" i="13"/>
  <c r="FA60" i="13"/>
  <c r="FB60" i="13"/>
  <c r="FC60" i="13"/>
  <c r="FD60" i="13"/>
  <c r="FE60" i="13"/>
  <c r="FF60" i="13"/>
  <c r="FG60" i="13"/>
  <c r="FH60" i="13"/>
  <c r="FI60" i="13"/>
  <c r="FJ60" i="13"/>
  <c r="FK60" i="13"/>
  <c r="FL60" i="13"/>
  <c r="FM60" i="13"/>
  <c r="FN60" i="13"/>
  <c r="FO60" i="13"/>
  <c r="FP60" i="13"/>
  <c r="FQ60" i="13"/>
  <c r="FR60" i="13"/>
  <c r="FS60" i="13"/>
  <c r="FT60" i="13"/>
  <c r="FU60" i="13"/>
  <c r="FV60" i="13"/>
  <c r="FW60" i="13"/>
  <c r="FX60" i="13"/>
  <c r="FY60" i="13"/>
  <c r="FZ60" i="13"/>
  <c r="GA60" i="13"/>
  <c r="GB60" i="13"/>
  <c r="GC60" i="13"/>
  <c r="GD60" i="13"/>
  <c r="GE60" i="13"/>
  <c r="GF60" i="13"/>
  <c r="GG60" i="13"/>
  <c r="GH60" i="13"/>
  <c r="GI60" i="13"/>
  <c r="GJ60" i="13"/>
  <c r="GK60" i="13"/>
  <c r="GL60" i="13"/>
  <c r="GM60" i="13"/>
  <c r="GN60" i="13"/>
  <c r="GO60" i="13"/>
  <c r="GP60" i="13"/>
  <c r="GQ60" i="13"/>
  <c r="GR60" i="13"/>
  <c r="GS60" i="13"/>
  <c r="GT60" i="13"/>
  <c r="GU60" i="13"/>
  <c r="GV60" i="13"/>
  <c r="GW60" i="13"/>
  <c r="GX60" i="13"/>
  <c r="GY60" i="13"/>
  <c r="GZ60" i="13"/>
  <c r="HA60" i="13"/>
  <c r="HB60" i="13"/>
  <c r="HC60" i="13"/>
  <c r="HD60" i="13"/>
  <c r="HE60" i="13"/>
  <c r="HF60" i="13"/>
  <c r="HG60" i="13"/>
  <c r="HH60" i="13"/>
  <c r="HI60" i="13"/>
  <c r="HJ60" i="13"/>
  <c r="HK60" i="13"/>
  <c r="HL60" i="13"/>
  <c r="HM60" i="13"/>
  <c r="HN60" i="13"/>
  <c r="HO60" i="13"/>
  <c r="HP60" i="13"/>
  <c r="HQ60" i="13"/>
  <c r="HR60" i="13"/>
  <c r="HS60" i="13"/>
  <c r="HT60" i="13"/>
  <c r="HU60" i="13"/>
  <c r="HV60" i="13"/>
  <c r="HW60" i="13"/>
  <c r="HX60" i="13"/>
  <c r="HY60" i="13"/>
  <c r="HZ60" i="13"/>
  <c r="IA60" i="13"/>
  <c r="IB60" i="13"/>
  <c r="IC60" i="13"/>
  <c r="ID60" i="13"/>
  <c r="IE60" i="13"/>
  <c r="IF60" i="13"/>
  <c r="IG60" i="13"/>
  <c r="IH60" i="13"/>
  <c r="II60" i="13"/>
  <c r="IJ60" i="13"/>
  <c r="IK60" i="13"/>
  <c r="IL60" i="13"/>
  <c r="IM60" i="13"/>
  <c r="IN60" i="13"/>
  <c r="IO60" i="13"/>
  <c r="IP60" i="13"/>
  <c r="IQ60" i="13"/>
  <c r="IR60" i="13"/>
  <c r="IS60" i="13"/>
  <c r="IT60" i="13"/>
  <c r="IU60" i="13"/>
  <c r="IV60" i="13"/>
  <c r="A59" i="13"/>
  <c r="B59" i="13"/>
  <c r="C59" i="13"/>
  <c r="D59" i="13"/>
  <c r="E59" i="13"/>
  <c r="F59" i="13"/>
  <c r="G59" i="13"/>
  <c r="H59" i="13"/>
  <c r="I59" i="13"/>
  <c r="J59" i="13"/>
  <c r="K59" i="13"/>
  <c r="L59" i="13"/>
  <c r="M59" i="13"/>
  <c r="N59" i="13"/>
  <c r="O59" i="13"/>
  <c r="P59" i="13"/>
  <c r="Q59" i="13"/>
  <c r="R59" i="13"/>
  <c r="S59" i="13"/>
  <c r="T59" i="13"/>
  <c r="U59" i="13"/>
  <c r="V59" i="13"/>
  <c r="W59" i="13"/>
  <c r="X59" i="13"/>
  <c r="Y59" i="13"/>
  <c r="Z59" i="13"/>
  <c r="AA59" i="13"/>
  <c r="AB59" i="13"/>
  <c r="AC59" i="13"/>
  <c r="AD59" i="13"/>
  <c r="AE59" i="13"/>
  <c r="AF59" i="13"/>
  <c r="AG59" i="13"/>
  <c r="AH59" i="13"/>
  <c r="AI59" i="13"/>
  <c r="AJ59" i="13"/>
  <c r="AK59" i="13"/>
  <c r="AL59" i="13"/>
  <c r="AM59" i="13"/>
  <c r="AN59" i="13"/>
  <c r="AO59" i="13"/>
  <c r="AP59" i="13"/>
  <c r="AQ59" i="13"/>
  <c r="AR59" i="13"/>
  <c r="AS59" i="13"/>
  <c r="AT59" i="13"/>
  <c r="AU59" i="13"/>
  <c r="AV59" i="13"/>
  <c r="AW59" i="13"/>
  <c r="AX59" i="13"/>
  <c r="AY59" i="13"/>
  <c r="AZ59" i="13"/>
  <c r="BA59" i="13"/>
  <c r="BB59" i="13"/>
  <c r="BC59" i="13"/>
  <c r="BD59" i="13"/>
  <c r="BE59" i="13"/>
  <c r="BF59" i="13"/>
  <c r="BG59" i="13"/>
  <c r="BH59" i="13"/>
  <c r="BI59" i="13"/>
  <c r="BJ59" i="13"/>
  <c r="BK59" i="13"/>
  <c r="BL59" i="13"/>
  <c r="BM59" i="13"/>
  <c r="BN59" i="13"/>
  <c r="BO59" i="13"/>
  <c r="BP59" i="13"/>
  <c r="BQ59" i="13"/>
  <c r="BR59" i="13"/>
  <c r="BS59" i="13"/>
  <c r="BT59" i="13"/>
  <c r="BU59" i="13"/>
  <c r="BV59" i="13"/>
  <c r="BW59" i="13"/>
  <c r="BX59" i="13"/>
  <c r="BY59" i="13"/>
  <c r="BZ59" i="13"/>
  <c r="CA59" i="13"/>
  <c r="CB59" i="13"/>
  <c r="CC59" i="13"/>
  <c r="CD59" i="13"/>
  <c r="CE59" i="13"/>
  <c r="CF59" i="13"/>
  <c r="CG59" i="13"/>
  <c r="CH59" i="13"/>
  <c r="CI59" i="13"/>
  <c r="CJ59" i="13"/>
  <c r="CK59" i="13"/>
  <c r="CL59" i="13"/>
  <c r="CM59" i="13"/>
  <c r="CN59" i="13"/>
  <c r="CO59" i="13"/>
  <c r="CP59" i="13"/>
  <c r="CQ59" i="13"/>
  <c r="CR59" i="13"/>
  <c r="CS59" i="13"/>
  <c r="CT59" i="13"/>
  <c r="CU59" i="13"/>
  <c r="CV59" i="13"/>
  <c r="CW59" i="13"/>
  <c r="CX59" i="13"/>
  <c r="CY59" i="13"/>
  <c r="CZ59" i="13"/>
  <c r="DA59" i="13"/>
  <c r="DB59" i="13"/>
  <c r="DC59" i="13"/>
  <c r="DD59" i="13"/>
  <c r="DE59" i="13"/>
  <c r="DF59" i="13"/>
  <c r="DG59" i="13"/>
  <c r="DH59" i="13"/>
  <c r="DI59" i="13"/>
  <c r="DJ59" i="13"/>
  <c r="DK59" i="13"/>
  <c r="DL59" i="13"/>
  <c r="DM59" i="13"/>
  <c r="DN59" i="13"/>
  <c r="DO59" i="13"/>
  <c r="DP59" i="13"/>
  <c r="DQ59" i="13"/>
  <c r="DR59" i="13"/>
  <c r="DS59" i="13"/>
  <c r="DT59" i="13"/>
  <c r="DU59" i="13"/>
  <c r="DV59" i="13"/>
  <c r="DW59" i="13"/>
  <c r="DX59" i="13"/>
  <c r="DY59" i="13"/>
  <c r="DZ59" i="13"/>
  <c r="EA59" i="13"/>
  <c r="EB59" i="13"/>
  <c r="EC59" i="13"/>
  <c r="ED59" i="13"/>
  <c r="EE59" i="13"/>
  <c r="EF59" i="13"/>
  <c r="EG59" i="13"/>
  <c r="EH59" i="13"/>
  <c r="EI59" i="13"/>
  <c r="EJ59" i="13"/>
  <c r="EK59" i="13"/>
  <c r="EL59" i="13"/>
  <c r="EM59" i="13"/>
  <c r="EN59" i="13"/>
  <c r="EO59" i="13"/>
  <c r="EP59" i="13"/>
  <c r="EQ59" i="13"/>
  <c r="ER59" i="13"/>
  <c r="ES59" i="13"/>
  <c r="ET59" i="13"/>
  <c r="EU59" i="13"/>
  <c r="EV59" i="13"/>
  <c r="EW59" i="13"/>
  <c r="EX59" i="13"/>
  <c r="EY59" i="13"/>
  <c r="EZ59" i="13"/>
  <c r="FA59" i="13"/>
  <c r="FB59" i="13"/>
  <c r="FC59" i="13"/>
  <c r="FD59" i="13"/>
  <c r="FE59" i="13"/>
  <c r="FF59" i="13"/>
  <c r="FG59" i="13"/>
  <c r="FH59" i="13"/>
  <c r="FI59" i="13"/>
  <c r="FJ59" i="13"/>
  <c r="FK59" i="13"/>
  <c r="FL59" i="13"/>
  <c r="FM59" i="13"/>
  <c r="FN59" i="13"/>
  <c r="FO59" i="13"/>
  <c r="FP59" i="13"/>
  <c r="FQ59" i="13"/>
  <c r="FR59" i="13"/>
  <c r="FS59" i="13"/>
  <c r="FT59" i="13"/>
  <c r="FU59" i="13"/>
  <c r="FV59" i="13"/>
  <c r="FW59" i="13"/>
  <c r="FX59" i="13"/>
  <c r="FY59" i="13"/>
  <c r="FZ59" i="13"/>
  <c r="GA59" i="13"/>
  <c r="GB59" i="13"/>
  <c r="GC59" i="13"/>
  <c r="GD59" i="13"/>
  <c r="GE59" i="13"/>
  <c r="GF59" i="13"/>
  <c r="GG59" i="13"/>
  <c r="GH59" i="13"/>
  <c r="GI59" i="13"/>
  <c r="GJ59" i="13"/>
  <c r="GK59" i="13"/>
  <c r="GL59" i="13"/>
  <c r="GM59" i="13"/>
  <c r="GN59" i="13"/>
  <c r="GO59" i="13"/>
  <c r="GP59" i="13"/>
  <c r="GQ59" i="13"/>
  <c r="GR59" i="13"/>
  <c r="GS59" i="13"/>
  <c r="GT59" i="13"/>
  <c r="GU59" i="13"/>
  <c r="GV59" i="13"/>
  <c r="GW59" i="13"/>
  <c r="GX59" i="13"/>
  <c r="GY59" i="13"/>
  <c r="GZ59" i="13"/>
  <c r="HA59" i="13"/>
  <c r="HB59" i="13"/>
  <c r="HC59" i="13"/>
  <c r="HD59" i="13"/>
  <c r="HE59" i="13"/>
  <c r="HF59" i="13"/>
  <c r="HG59" i="13"/>
  <c r="HH59" i="13"/>
  <c r="HI59" i="13"/>
  <c r="HJ59" i="13"/>
  <c r="HK59" i="13"/>
  <c r="HL59" i="13"/>
  <c r="HM59" i="13"/>
  <c r="HN59" i="13"/>
  <c r="HO59" i="13"/>
  <c r="HP59" i="13"/>
  <c r="HQ59" i="13"/>
  <c r="HR59" i="13"/>
  <c r="HS59" i="13"/>
  <c r="HT59" i="13"/>
  <c r="HU59" i="13"/>
  <c r="HV59" i="13"/>
  <c r="HW59" i="13"/>
  <c r="HX59" i="13"/>
  <c r="HY59" i="13"/>
  <c r="HZ59" i="13"/>
  <c r="IA59" i="13"/>
  <c r="IB59" i="13"/>
  <c r="IC59" i="13"/>
  <c r="ID59" i="13"/>
  <c r="IE59" i="13"/>
  <c r="IF59" i="13"/>
  <c r="IG59" i="13"/>
  <c r="IH59" i="13"/>
  <c r="II59" i="13"/>
  <c r="IJ59" i="13"/>
  <c r="IK59" i="13"/>
  <c r="IL59" i="13"/>
  <c r="IM59" i="13"/>
  <c r="IN59" i="13"/>
  <c r="IO59" i="13"/>
  <c r="IP59" i="13"/>
  <c r="IQ59" i="13"/>
  <c r="IR59" i="13"/>
  <c r="IS59" i="13"/>
  <c r="IT59" i="13"/>
  <c r="IU59" i="13"/>
  <c r="IV59" i="13"/>
  <c r="A58" i="13"/>
  <c r="B58" i="13"/>
  <c r="C58" i="13"/>
  <c r="D58" i="13"/>
  <c r="E58" i="13"/>
  <c r="F58" i="13"/>
  <c r="G58" i="13"/>
  <c r="H58" i="13"/>
  <c r="I58" i="13"/>
  <c r="J58" i="13"/>
  <c r="K58" i="13"/>
  <c r="L58" i="13"/>
  <c r="M58" i="13"/>
  <c r="N58" i="13"/>
  <c r="O58" i="13"/>
  <c r="P58" i="13"/>
  <c r="Q58" i="13"/>
  <c r="R58" i="13"/>
  <c r="S58" i="13"/>
  <c r="T58" i="13"/>
  <c r="U58" i="13"/>
  <c r="V58" i="13"/>
  <c r="W58" i="13"/>
  <c r="X58" i="13"/>
  <c r="Y58" i="13"/>
  <c r="Z58" i="13"/>
  <c r="AA58" i="13"/>
  <c r="AB58" i="13"/>
  <c r="AC58" i="13"/>
  <c r="AD58" i="13"/>
  <c r="AE58" i="13"/>
  <c r="AF58" i="13"/>
  <c r="AG58" i="13"/>
  <c r="AH58" i="13"/>
  <c r="AI58" i="13"/>
  <c r="AJ58" i="13"/>
  <c r="AK58" i="13"/>
  <c r="AL58" i="13"/>
  <c r="AM58" i="13"/>
  <c r="AN58" i="13"/>
  <c r="AO58" i="13"/>
  <c r="AP58" i="13"/>
  <c r="AQ58" i="13"/>
  <c r="AR58" i="13"/>
  <c r="AS58" i="13"/>
  <c r="AT58" i="13"/>
  <c r="AU58" i="13"/>
  <c r="AV58" i="13"/>
  <c r="AW58" i="13"/>
  <c r="AX58" i="13"/>
  <c r="AY58" i="13"/>
  <c r="AZ58" i="13"/>
  <c r="BA58" i="13"/>
  <c r="BB58" i="13"/>
  <c r="BC58" i="13"/>
  <c r="BD58" i="13"/>
  <c r="BE58" i="13"/>
  <c r="BF58" i="13"/>
  <c r="BG58" i="13"/>
  <c r="BH58" i="13"/>
  <c r="BI58" i="13"/>
  <c r="BJ58" i="13"/>
  <c r="BK58" i="13"/>
  <c r="BL58" i="13"/>
  <c r="BM58" i="13"/>
  <c r="BN58" i="13"/>
  <c r="BO58" i="13"/>
  <c r="BP58" i="13"/>
  <c r="BQ58" i="13"/>
  <c r="BR58" i="13"/>
  <c r="BS58" i="13"/>
  <c r="BT58" i="13"/>
  <c r="BU58" i="13"/>
  <c r="BV58" i="13"/>
  <c r="BW58" i="13"/>
  <c r="BX58" i="13"/>
  <c r="BY58" i="13"/>
  <c r="BZ58" i="13"/>
  <c r="CA58" i="13"/>
  <c r="CB58" i="13"/>
  <c r="CC58" i="13"/>
  <c r="CD58" i="13"/>
  <c r="CE58" i="13"/>
  <c r="CF58" i="13"/>
  <c r="CG58" i="13"/>
  <c r="CH58" i="13"/>
  <c r="CI58" i="13"/>
  <c r="CJ58" i="13"/>
  <c r="CK58" i="13"/>
  <c r="CL58" i="13"/>
  <c r="CM58" i="13"/>
  <c r="CN58" i="13"/>
  <c r="CO58" i="13"/>
  <c r="CP58" i="13"/>
  <c r="CQ58" i="13"/>
  <c r="CR58" i="13"/>
  <c r="CS58" i="13"/>
  <c r="CT58" i="13"/>
  <c r="CU58" i="13"/>
  <c r="CV58" i="13"/>
  <c r="CW58" i="13"/>
  <c r="CX58" i="13"/>
  <c r="CY58" i="13"/>
  <c r="CZ58" i="13"/>
  <c r="DA58" i="13"/>
  <c r="DB58" i="13"/>
  <c r="DC58" i="13"/>
  <c r="DD58" i="13"/>
  <c r="DE58" i="13"/>
  <c r="DF58" i="13"/>
  <c r="DG58" i="13"/>
  <c r="DH58" i="13"/>
  <c r="DI58" i="13"/>
  <c r="DJ58" i="13"/>
  <c r="DK58" i="13"/>
  <c r="DL58" i="13"/>
  <c r="DM58" i="13"/>
  <c r="DN58" i="13"/>
  <c r="DO58" i="13"/>
  <c r="DP58" i="13"/>
  <c r="DQ58" i="13"/>
  <c r="DR58" i="13"/>
  <c r="DS58" i="13"/>
  <c r="DT58" i="13"/>
  <c r="DU58" i="13"/>
  <c r="DV58" i="13"/>
  <c r="DW58" i="13"/>
  <c r="DX58" i="13"/>
  <c r="DY58" i="13"/>
  <c r="DZ58" i="13"/>
  <c r="EA58" i="13"/>
  <c r="EB58" i="13"/>
  <c r="EC58" i="13"/>
  <c r="ED58" i="13"/>
  <c r="EE58" i="13"/>
  <c r="EF58" i="13"/>
  <c r="EG58" i="13"/>
  <c r="EH58" i="13"/>
  <c r="EI58" i="13"/>
  <c r="EJ58" i="13"/>
  <c r="EK58" i="13"/>
  <c r="EL58" i="13"/>
  <c r="EM58" i="13"/>
  <c r="EN58" i="13"/>
  <c r="EO58" i="13"/>
  <c r="EP58" i="13"/>
  <c r="EQ58" i="13"/>
  <c r="ER58" i="13"/>
  <c r="ES58" i="13"/>
  <c r="ET58" i="13"/>
  <c r="EU58" i="13"/>
  <c r="EV58" i="13"/>
  <c r="EW58" i="13"/>
  <c r="EX58" i="13"/>
  <c r="EY58" i="13"/>
  <c r="EZ58" i="13"/>
  <c r="FA58" i="13"/>
  <c r="FB58" i="13"/>
  <c r="FC58" i="13"/>
  <c r="FD58" i="13"/>
  <c r="FE58" i="13"/>
  <c r="FF58" i="13"/>
  <c r="FG58" i="13"/>
  <c r="FH58" i="13"/>
  <c r="FI58" i="13"/>
  <c r="FJ58" i="13"/>
  <c r="FK58" i="13"/>
  <c r="FL58" i="13"/>
  <c r="FM58" i="13"/>
  <c r="FN58" i="13"/>
  <c r="FO58" i="13"/>
  <c r="FP58" i="13"/>
  <c r="FQ58" i="13"/>
  <c r="FR58" i="13"/>
  <c r="FS58" i="13"/>
  <c r="FT58" i="13"/>
  <c r="FU58" i="13"/>
  <c r="FV58" i="13"/>
  <c r="FW58" i="13"/>
  <c r="FX58" i="13"/>
  <c r="FY58" i="13"/>
  <c r="FZ58" i="13"/>
  <c r="GA58" i="13"/>
  <c r="GB58" i="13"/>
  <c r="GC58" i="13"/>
  <c r="GD58" i="13"/>
  <c r="GE58" i="13"/>
  <c r="GF58" i="13"/>
  <c r="GG58" i="13"/>
  <c r="GH58" i="13"/>
  <c r="GI58" i="13"/>
  <c r="GJ58" i="13"/>
  <c r="GK58" i="13"/>
  <c r="GL58" i="13"/>
  <c r="GM58" i="13"/>
  <c r="GN58" i="13"/>
  <c r="GO58" i="13"/>
  <c r="GP58" i="13"/>
  <c r="GQ58" i="13"/>
  <c r="GR58" i="13"/>
  <c r="GS58" i="13"/>
  <c r="GT58" i="13"/>
  <c r="GU58" i="13"/>
  <c r="GV58" i="13"/>
  <c r="GW58" i="13"/>
  <c r="GX58" i="13"/>
  <c r="GY58" i="13"/>
  <c r="GZ58" i="13"/>
  <c r="HA58" i="13"/>
  <c r="HB58" i="13"/>
  <c r="HC58" i="13"/>
  <c r="HD58" i="13"/>
  <c r="HE58" i="13"/>
  <c r="HF58" i="13"/>
  <c r="HG58" i="13"/>
  <c r="HH58" i="13"/>
  <c r="HI58" i="13"/>
  <c r="HJ58" i="13"/>
  <c r="HK58" i="13"/>
  <c r="HL58" i="13"/>
  <c r="HM58" i="13"/>
  <c r="HN58" i="13"/>
  <c r="HO58" i="13"/>
  <c r="HP58" i="13"/>
  <c r="HQ58" i="13"/>
  <c r="HR58" i="13"/>
  <c r="HS58" i="13"/>
  <c r="HT58" i="13"/>
  <c r="HU58" i="13"/>
  <c r="HV58" i="13"/>
  <c r="HW58" i="13"/>
  <c r="HX58" i="13"/>
  <c r="HY58" i="13"/>
  <c r="HZ58" i="13"/>
  <c r="IA58" i="13"/>
  <c r="IB58" i="13"/>
  <c r="IC58" i="13"/>
  <c r="ID58" i="13"/>
  <c r="IE58" i="13"/>
  <c r="IF58" i="13"/>
  <c r="IG58" i="13"/>
  <c r="IH58" i="13"/>
  <c r="II58" i="13"/>
  <c r="IJ58" i="13"/>
  <c r="IK58" i="13"/>
  <c r="IL58" i="13"/>
  <c r="IM58" i="13"/>
  <c r="IN58" i="13"/>
  <c r="IO58" i="13"/>
  <c r="IP58" i="13"/>
  <c r="IQ58" i="13"/>
  <c r="IR58" i="13"/>
  <c r="IS58" i="13"/>
  <c r="IT58" i="13"/>
  <c r="IU58" i="13"/>
  <c r="IV58" i="13"/>
  <c r="A57" i="13"/>
  <c r="B57" i="13"/>
  <c r="C57" i="13"/>
  <c r="D57" i="13"/>
  <c r="E57" i="13"/>
  <c r="F57" i="13"/>
  <c r="G57" i="13"/>
  <c r="H57" i="13"/>
  <c r="I57" i="13"/>
  <c r="J57" i="13"/>
  <c r="K57" i="13"/>
  <c r="L57" i="13"/>
  <c r="M57" i="13"/>
  <c r="N57" i="13"/>
  <c r="O57" i="13"/>
  <c r="P57" i="13"/>
  <c r="Q57" i="13"/>
  <c r="R57" i="13"/>
  <c r="S57" i="13"/>
  <c r="T57" i="13"/>
  <c r="U57" i="13"/>
  <c r="V57" i="13"/>
  <c r="W57" i="13"/>
  <c r="X57" i="13"/>
  <c r="Y57" i="13"/>
  <c r="Z57" i="13"/>
  <c r="AA57" i="13"/>
  <c r="AB57" i="13"/>
  <c r="AC57" i="13"/>
  <c r="AD57" i="13"/>
  <c r="AE57" i="13"/>
  <c r="AF57" i="13"/>
  <c r="AG57" i="13"/>
  <c r="AH57" i="13"/>
  <c r="AI57" i="13"/>
  <c r="AJ57" i="13"/>
  <c r="AK57" i="13"/>
  <c r="AL57" i="13"/>
  <c r="AM57" i="13"/>
  <c r="AN57" i="13"/>
  <c r="AO57" i="13"/>
  <c r="AP57" i="13"/>
  <c r="AQ57" i="13"/>
  <c r="AR57" i="13"/>
  <c r="AS57" i="13"/>
  <c r="AT57" i="13"/>
  <c r="AU57" i="13"/>
  <c r="AV57" i="13"/>
  <c r="AW57" i="13"/>
  <c r="AX57" i="13"/>
  <c r="AY57" i="13"/>
  <c r="AZ57" i="13"/>
  <c r="BA57" i="13"/>
  <c r="BB57" i="13"/>
  <c r="BC57" i="13"/>
  <c r="BD57" i="13"/>
  <c r="BE57" i="13"/>
  <c r="BF57" i="13"/>
  <c r="BG57" i="13"/>
  <c r="BH57" i="13"/>
  <c r="BI57" i="13"/>
  <c r="BJ57" i="13"/>
  <c r="BK57" i="13"/>
  <c r="BL57" i="13"/>
  <c r="BM57" i="13"/>
  <c r="BN57" i="13"/>
  <c r="BO57" i="13"/>
  <c r="BP57" i="13"/>
  <c r="BQ57" i="13"/>
  <c r="BR57" i="13"/>
  <c r="BS57" i="13"/>
  <c r="BT57" i="13"/>
  <c r="BU57" i="13"/>
  <c r="BV57" i="13"/>
  <c r="BW57" i="13"/>
  <c r="BX57" i="13"/>
  <c r="BY57" i="13"/>
  <c r="BZ57" i="13"/>
  <c r="CA57" i="13"/>
  <c r="CB57" i="13"/>
  <c r="CC57" i="13"/>
  <c r="CD57" i="13"/>
  <c r="CE57" i="13"/>
  <c r="CF57" i="13"/>
  <c r="CG57" i="13"/>
  <c r="CH57" i="13"/>
  <c r="CI57" i="13"/>
  <c r="CJ57" i="13"/>
  <c r="CK57" i="13"/>
  <c r="CL57" i="13"/>
  <c r="CM57" i="13"/>
  <c r="CN57" i="13"/>
  <c r="CO57" i="13"/>
  <c r="CP57" i="13"/>
  <c r="CQ57" i="13"/>
  <c r="CR57" i="13"/>
  <c r="CS57" i="13"/>
  <c r="CT57" i="13"/>
  <c r="CU57" i="13"/>
  <c r="CV57" i="13"/>
  <c r="CW57" i="13"/>
  <c r="CX57" i="13"/>
  <c r="CY57" i="13"/>
  <c r="CZ57" i="13"/>
  <c r="DA57" i="13"/>
  <c r="DB57" i="13"/>
  <c r="DC57" i="13"/>
  <c r="DD57" i="13"/>
  <c r="DE57" i="13"/>
  <c r="DF57" i="13"/>
  <c r="DG57" i="13"/>
  <c r="DH57" i="13"/>
  <c r="DI57" i="13"/>
  <c r="DJ57" i="13"/>
  <c r="DK57" i="13"/>
  <c r="DL57" i="13"/>
  <c r="DM57" i="13"/>
  <c r="DN57" i="13"/>
  <c r="DO57" i="13"/>
  <c r="DP57" i="13"/>
  <c r="DQ57" i="13"/>
  <c r="DR57" i="13"/>
  <c r="DS57" i="13"/>
  <c r="DT57" i="13"/>
  <c r="DU57" i="13"/>
  <c r="DV57" i="13"/>
  <c r="DW57" i="13"/>
  <c r="DX57" i="13"/>
  <c r="DY57" i="13"/>
  <c r="DZ57" i="13"/>
  <c r="EA57" i="13"/>
  <c r="EB57" i="13"/>
  <c r="EC57" i="13"/>
  <c r="ED57" i="13"/>
  <c r="EE57" i="13"/>
  <c r="EF57" i="13"/>
  <c r="EG57" i="13"/>
  <c r="EH57" i="13"/>
  <c r="EI57" i="13"/>
  <c r="EJ57" i="13"/>
  <c r="EK57" i="13"/>
  <c r="EL57" i="13"/>
  <c r="EM57" i="13"/>
  <c r="EN57" i="13"/>
  <c r="EO57" i="13"/>
  <c r="EP57" i="13"/>
  <c r="EQ57" i="13"/>
  <c r="ER57" i="13"/>
  <c r="ES57" i="13"/>
  <c r="ET57" i="13"/>
  <c r="EU57" i="13"/>
  <c r="EV57" i="13"/>
  <c r="EW57" i="13"/>
  <c r="EX57" i="13"/>
  <c r="EY57" i="13"/>
  <c r="EZ57" i="13"/>
  <c r="FA57" i="13"/>
  <c r="FB57" i="13"/>
  <c r="FC57" i="13"/>
  <c r="FD57" i="13"/>
  <c r="FE57" i="13"/>
  <c r="FF57" i="13"/>
  <c r="FG57" i="13"/>
  <c r="FH57" i="13"/>
  <c r="FI57" i="13"/>
  <c r="FJ57" i="13"/>
  <c r="FK57" i="13"/>
  <c r="FL57" i="13"/>
  <c r="FM57" i="13"/>
  <c r="FN57" i="13"/>
  <c r="FO57" i="13"/>
  <c r="FP57" i="13"/>
  <c r="FQ57" i="13"/>
  <c r="FR57" i="13"/>
  <c r="FS57" i="13"/>
  <c r="FT57" i="13"/>
  <c r="FU57" i="13"/>
  <c r="FV57" i="13"/>
  <c r="FW57" i="13"/>
  <c r="FX57" i="13"/>
  <c r="FY57" i="13"/>
  <c r="FZ57" i="13"/>
  <c r="GA57" i="13"/>
  <c r="GB57" i="13"/>
  <c r="GC57" i="13"/>
  <c r="GD57" i="13"/>
  <c r="GE57" i="13"/>
  <c r="GF57" i="13"/>
  <c r="GG57" i="13"/>
  <c r="GH57" i="13"/>
  <c r="GI57" i="13"/>
  <c r="GJ57" i="13"/>
  <c r="GK57" i="13"/>
  <c r="GL57" i="13"/>
  <c r="GM57" i="13"/>
  <c r="GN57" i="13"/>
  <c r="GO57" i="13"/>
  <c r="GP57" i="13"/>
  <c r="GQ57" i="13"/>
  <c r="GR57" i="13"/>
  <c r="GS57" i="13"/>
  <c r="GT57" i="13"/>
  <c r="GU57" i="13"/>
  <c r="GV57" i="13"/>
  <c r="GW57" i="13"/>
  <c r="GX57" i="13"/>
  <c r="GY57" i="13"/>
  <c r="GZ57" i="13"/>
  <c r="HA57" i="13"/>
  <c r="HB57" i="13"/>
  <c r="HC57" i="13"/>
  <c r="HD57" i="13"/>
  <c r="HE57" i="13"/>
  <c r="HF57" i="13"/>
  <c r="HG57" i="13"/>
  <c r="HH57" i="13"/>
  <c r="HI57" i="13"/>
  <c r="HJ57" i="13"/>
  <c r="HK57" i="13"/>
  <c r="HL57" i="13"/>
  <c r="HM57" i="13"/>
  <c r="HN57" i="13"/>
  <c r="HO57" i="13"/>
  <c r="HP57" i="13"/>
  <c r="HQ57" i="13"/>
  <c r="HR57" i="13"/>
  <c r="HS57" i="13"/>
  <c r="HT57" i="13"/>
  <c r="HU57" i="13"/>
  <c r="HV57" i="13"/>
  <c r="HW57" i="13"/>
  <c r="HX57" i="13"/>
  <c r="HY57" i="13"/>
  <c r="HZ57" i="13"/>
  <c r="IA57" i="13"/>
  <c r="IB57" i="13"/>
  <c r="IC57" i="13"/>
  <c r="ID57" i="13"/>
  <c r="IE57" i="13"/>
  <c r="IF57" i="13"/>
  <c r="IG57" i="13"/>
  <c r="IH57" i="13"/>
  <c r="II57" i="13"/>
  <c r="IJ57" i="13"/>
  <c r="IK57" i="13"/>
  <c r="IL57" i="13"/>
  <c r="IM57" i="13"/>
  <c r="IN57" i="13"/>
  <c r="IO57" i="13"/>
  <c r="IP57" i="13"/>
  <c r="IQ57" i="13"/>
  <c r="IR57" i="13"/>
  <c r="IS57" i="13"/>
  <c r="IT57" i="13"/>
  <c r="IU57" i="13"/>
  <c r="IV57" i="13"/>
  <c r="A56" i="13"/>
  <c r="B56" i="13"/>
  <c r="C56" i="13"/>
  <c r="D56" i="13"/>
  <c r="E56" i="13"/>
  <c r="F56" i="13"/>
  <c r="G56" i="13"/>
  <c r="H56" i="13"/>
  <c r="I56" i="13"/>
  <c r="J56" i="13"/>
  <c r="K56" i="13"/>
  <c r="L56" i="13"/>
  <c r="M56" i="13"/>
  <c r="N56" i="13"/>
  <c r="O56" i="13"/>
  <c r="P56" i="13"/>
  <c r="Q56" i="13"/>
  <c r="R56" i="13"/>
  <c r="S56" i="13"/>
  <c r="T56" i="13"/>
  <c r="U56" i="13"/>
  <c r="V56" i="13"/>
  <c r="W56" i="13"/>
  <c r="X56" i="13"/>
  <c r="Y56" i="13"/>
  <c r="Z56" i="13"/>
  <c r="AA56" i="13"/>
  <c r="AB56" i="13"/>
  <c r="AC56" i="13"/>
  <c r="AD56" i="13"/>
  <c r="AE56" i="13"/>
  <c r="AF56" i="13"/>
  <c r="AG56" i="13"/>
  <c r="AH56" i="13"/>
  <c r="AI56" i="13"/>
  <c r="AJ56" i="13"/>
  <c r="AK56" i="13"/>
  <c r="AL56" i="13"/>
  <c r="AM56" i="13"/>
  <c r="AN56" i="13"/>
  <c r="AO56" i="13"/>
  <c r="AP56" i="13"/>
  <c r="AQ56" i="13"/>
  <c r="AR56" i="13"/>
  <c r="AS56" i="13"/>
  <c r="AT56" i="13"/>
  <c r="AU56" i="13"/>
  <c r="AV56" i="13"/>
  <c r="AW56" i="13"/>
  <c r="AX56" i="13"/>
  <c r="AY56" i="13"/>
  <c r="AZ56" i="13"/>
  <c r="BA56" i="13"/>
  <c r="BB56" i="13"/>
  <c r="BC56" i="13"/>
  <c r="BD56" i="13"/>
  <c r="BE56" i="13"/>
  <c r="BF56" i="13"/>
  <c r="BG56" i="13"/>
  <c r="BH56" i="13"/>
  <c r="BI56" i="13"/>
  <c r="BJ56" i="13"/>
  <c r="BK56" i="13"/>
  <c r="BL56" i="13"/>
  <c r="BM56" i="13"/>
  <c r="BN56" i="13"/>
  <c r="BO56" i="13"/>
  <c r="BP56" i="13"/>
  <c r="BQ56" i="13"/>
  <c r="BR56" i="13"/>
  <c r="BS56" i="13"/>
  <c r="BT56" i="13"/>
  <c r="BU56" i="13"/>
  <c r="BV56" i="13"/>
  <c r="BW56" i="13"/>
  <c r="BX56" i="13"/>
  <c r="BY56" i="13"/>
  <c r="BZ56" i="13"/>
  <c r="CA56" i="13"/>
  <c r="CB56" i="13"/>
  <c r="CC56" i="13"/>
  <c r="CD56" i="13"/>
  <c r="CE56" i="13"/>
  <c r="CF56" i="13"/>
  <c r="CG56" i="13"/>
  <c r="CH56" i="13"/>
  <c r="CI56" i="13"/>
  <c r="CJ56" i="13"/>
  <c r="CK56" i="13"/>
  <c r="CL56" i="13"/>
  <c r="CM56" i="13"/>
  <c r="CN56" i="13"/>
  <c r="CO56" i="13"/>
  <c r="CP56" i="13"/>
  <c r="CQ56" i="13"/>
  <c r="CR56" i="13"/>
  <c r="CS56" i="13"/>
  <c r="CT56" i="13"/>
  <c r="CU56" i="13"/>
  <c r="CV56" i="13"/>
  <c r="CW56" i="13"/>
  <c r="CX56" i="13"/>
  <c r="CY56" i="13"/>
  <c r="CZ56" i="13"/>
  <c r="DA56" i="13"/>
  <c r="DB56" i="13"/>
  <c r="DC56" i="13"/>
  <c r="DD56" i="13"/>
  <c r="DE56" i="13"/>
  <c r="DF56" i="13"/>
  <c r="DG56" i="13"/>
  <c r="DH56" i="13"/>
  <c r="DI56" i="13"/>
  <c r="DJ56" i="13"/>
  <c r="DK56" i="13"/>
  <c r="DL56" i="13"/>
  <c r="DM56" i="13"/>
  <c r="DN56" i="13"/>
  <c r="DO56" i="13"/>
  <c r="DP56" i="13"/>
  <c r="DQ56" i="13"/>
  <c r="DR56" i="13"/>
  <c r="DS56" i="13"/>
  <c r="DT56" i="13"/>
  <c r="DU56" i="13"/>
  <c r="DV56" i="13"/>
  <c r="DW56" i="13"/>
  <c r="DX56" i="13"/>
  <c r="DY56" i="13"/>
  <c r="DZ56" i="13"/>
  <c r="EA56" i="13"/>
  <c r="EB56" i="13"/>
  <c r="EC56" i="13"/>
  <c r="ED56" i="13"/>
  <c r="EE56" i="13"/>
  <c r="EF56" i="13"/>
  <c r="EG56" i="13"/>
  <c r="EH56" i="13"/>
  <c r="EI56" i="13"/>
  <c r="EJ56" i="13"/>
  <c r="EK56" i="13"/>
  <c r="EL56" i="13"/>
  <c r="EM56" i="13"/>
  <c r="EN56" i="13"/>
  <c r="EO56" i="13"/>
  <c r="EP56" i="13"/>
  <c r="EQ56" i="13"/>
  <c r="ER56" i="13"/>
  <c r="ES56" i="13"/>
  <c r="ET56" i="13"/>
  <c r="EU56" i="13"/>
  <c r="EV56" i="13"/>
  <c r="EW56" i="13"/>
  <c r="EX56" i="13"/>
  <c r="EY56" i="13"/>
  <c r="EZ56" i="13"/>
  <c r="FA56" i="13"/>
  <c r="FB56" i="13"/>
  <c r="FC56" i="13"/>
  <c r="FD56" i="13"/>
  <c r="FE56" i="13"/>
  <c r="FF56" i="13"/>
  <c r="FG56" i="13"/>
  <c r="FH56" i="13"/>
  <c r="FI56" i="13"/>
  <c r="FJ56" i="13"/>
  <c r="FK56" i="13"/>
  <c r="FL56" i="13"/>
  <c r="FM56" i="13"/>
  <c r="FN56" i="13"/>
  <c r="FO56" i="13"/>
  <c r="FP56" i="13"/>
  <c r="FQ56" i="13"/>
  <c r="FR56" i="13"/>
  <c r="FS56" i="13"/>
  <c r="FT56" i="13"/>
  <c r="FU56" i="13"/>
  <c r="FV56" i="13"/>
  <c r="FW56" i="13"/>
  <c r="FX56" i="13"/>
  <c r="FY56" i="13"/>
  <c r="FZ56" i="13"/>
  <c r="GA56" i="13"/>
  <c r="GB56" i="13"/>
  <c r="GC56" i="13"/>
  <c r="GD56" i="13"/>
  <c r="GE56" i="13"/>
  <c r="GF56" i="13"/>
  <c r="GG56" i="13"/>
  <c r="GH56" i="13"/>
  <c r="GI56" i="13"/>
  <c r="GJ56" i="13"/>
  <c r="GK56" i="13"/>
  <c r="GL56" i="13"/>
  <c r="GM56" i="13"/>
  <c r="GN56" i="13"/>
  <c r="GO56" i="13"/>
  <c r="GP56" i="13"/>
  <c r="GQ56" i="13"/>
  <c r="GR56" i="13"/>
  <c r="GS56" i="13"/>
  <c r="GT56" i="13"/>
  <c r="GU56" i="13"/>
  <c r="GV56" i="13"/>
  <c r="GW56" i="13"/>
  <c r="GX56" i="13"/>
  <c r="GY56" i="13"/>
  <c r="GZ56" i="13"/>
  <c r="HA56" i="13"/>
  <c r="HB56" i="13"/>
  <c r="HC56" i="13"/>
  <c r="HD56" i="13"/>
  <c r="HE56" i="13"/>
  <c r="HF56" i="13"/>
  <c r="HG56" i="13"/>
  <c r="HH56" i="13"/>
  <c r="HI56" i="13"/>
  <c r="HJ56" i="13"/>
  <c r="HK56" i="13"/>
  <c r="HL56" i="13"/>
  <c r="HM56" i="13"/>
  <c r="HN56" i="13"/>
  <c r="HO56" i="13"/>
  <c r="HP56" i="13"/>
  <c r="HQ56" i="13"/>
  <c r="HR56" i="13"/>
  <c r="HS56" i="13"/>
  <c r="HT56" i="13"/>
  <c r="HU56" i="13"/>
  <c r="HV56" i="13"/>
  <c r="HW56" i="13"/>
  <c r="HX56" i="13"/>
  <c r="HY56" i="13"/>
  <c r="HZ56" i="13"/>
  <c r="IA56" i="13"/>
  <c r="IB56" i="13"/>
  <c r="IC56" i="13"/>
  <c r="ID56" i="13"/>
  <c r="IE56" i="13"/>
  <c r="IF56" i="13"/>
  <c r="IG56" i="13"/>
  <c r="IH56" i="13"/>
  <c r="II56" i="13"/>
  <c r="IJ56" i="13"/>
  <c r="IK56" i="13"/>
  <c r="IL56" i="13"/>
  <c r="IM56" i="13"/>
  <c r="IN56" i="13"/>
  <c r="IO56" i="13"/>
  <c r="IP56" i="13"/>
  <c r="IQ56" i="13"/>
  <c r="IR56" i="13"/>
  <c r="IS56" i="13"/>
  <c r="IT56" i="13"/>
  <c r="IU56" i="13"/>
  <c r="IV56" i="13"/>
  <c r="A55" i="13"/>
  <c r="B55" i="13"/>
  <c r="C55" i="13"/>
  <c r="D55" i="13"/>
  <c r="E55" i="13"/>
  <c r="F55" i="13"/>
  <c r="G55" i="13"/>
  <c r="H55" i="13"/>
  <c r="I55" i="13"/>
  <c r="J55" i="13"/>
  <c r="K55" i="13"/>
  <c r="L55" i="13"/>
  <c r="M55" i="13"/>
  <c r="N55" i="13"/>
  <c r="O55" i="13"/>
  <c r="P55" i="13"/>
  <c r="Q55" i="13"/>
  <c r="R55" i="13"/>
  <c r="S55" i="13"/>
  <c r="T55" i="13"/>
  <c r="U55" i="13"/>
  <c r="V55" i="13"/>
  <c r="W55" i="13"/>
  <c r="X55" i="13"/>
  <c r="Y55" i="13"/>
  <c r="Z55" i="13"/>
  <c r="AA55" i="13"/>
  <c r="AB55" i="13"/>
  <c r="AC55" i="13"/>
  <c r="AD55" i="13"/>
  <c r="AE55" i="13"/>
  <c r="AF55" i="13"/>
  <c r="AG55" i="13"/>
  <c r="AH55" i="13"/>
  <c r="AI55" i="13"/>
  <c r="AJ55" i="13"/>
  <c r="AK55" i="13"/>
  <c r="AL55" i="13"/>
  <c r="AM55" i="13"/>
  <c r="AN55" i="13"/>
  <c r="AO55" i="13"/>
  <c r="AP55" i="13"/>
  <c r="AQ55" i="13"/>
  <c r="AR55" i="13"/>
  <c r="AS55" i="13"/>
  <c r="AT55" i="13"/>
  <c r="AU55" i="13"/>
  <c r="AV55" i="13"/>
  <c r="AW55" i="13"/>
  <c r="AX55" i="13"/>
  <c r="AY55" i="13"/>
  <c r="AZ55" i="13"/>
  <c r="BA55" i="13"/>
  <c r="BB55" i="13"/>
  <c r="BC55" i="13"/>
  <c r="BD55" i="13"/>
  <c r="BE55" i="13"/>
  <c r="BF55" i="13"/>
  <c r="BG55" i="13"/>
  <c r="BH55" i="13"/>
  <c r="BI55" i="13"/>
  <c r="BJ55" i="13"/>
  <c r="BK55" i="13"/>
  <c r="BL55" i="13"/>
  <c r="BM55" i="13"/>
  <c r="BN55" i="13"/>
  <c r="BO55" i="13"/>
  <c r="BP55" i="13"/>
  <c r="BQ55" i="13"/>
  <c r="BR55" i="13"/>
  <c r="BS55" i="13"/>
  <c r="BT55" i="13"/>
  <c r="BU55" i="13"/>
  <c r="BV55" i="13"/>
  <c r="BW55" i="13"/>
  <c r="BX55" i="13"/>
  <c r="BY55" i="13"/>
  <c r="BZ55" i="13"/>
  <c r="CA55" i="13"/>
  <c r="CB55" i="13"/>
  <c r="CC55" i="13"/>
  <c r="CD55" i="13"/>
  <c r="CE55" i="13"/>
  <c r="CF55" i="13"/>
  <c r="CG55" i="13"/>
  <c r="CH55" i="13"/>
  <c r="CI55" i="13"/>
  <c r="CJ55" i="13"/>
  <c r="CK55" i="13"/>
  <c r="CL55" i="13"/>
  <c r="CM55" i="13"/>
  <c r="CN55" i="13"/>
  <c r="CO55" i="13"/>
  <c r="CP55" i="13"/>
  <c r="CQ55" i="13"/>
  <c r="CR55" i="13"/>
  <c r="CS55" i="13"/>
  <c r="CT55" i="13"/>
  <c r="CU55" i="13"/>
  <c r="CV55" i="13"/>
  <c r="CW55" i="13"/>
  <c r="CX55" i="13"/>
  <c r="CY55" i="13"/>
  <c r="CZ55" i="13"/>
  <c r="DA55" i="13"/>
  <c r="DB55" i="13"/>
  <c r="DC55" i="13"/>
  <c r="DD55" i="13"/>
  <c r="DE55" i="13"/>
  <c r="DF55" i="13"/>
  <c r="DG55" i="13"/>
  <c r="DH55" i="13"/>
  <c r="DI55" i="13"/>
  <c r="DJ55" i="13"/>
  <c r="DK55" i="13"/>
  <c r="DL55" i="13"/>
  <c r="DM55" i="13"/>
  <c r="DN55" i="13"/>
  <c r="DO55" i="13"/>
  <c r="DP55" i="13"/>
  <c r="DQ55" i="13"/>
  <c r="DR55" i="13"/>
  <c r="DS55" i="13"/>
  <c r="DT55" i="13"/>
  <c r="DU55" i="13"/>
  <c r="DV55" i="13"/>
  <c r="DW55" i="13"/>
  <c r="DX55" i="13"/>
  <c r="DY55" i="13"/>
  <c r="DZ55" i="13"/>
  <c r="EA55" i="13"/>
  <c r="EB55" i="13"/>
  <c r="EC55" i="13"/>
  <c r="ED55" i="13"/>
  <c r="EE55" i="13"/>
  <c r="EF55" i="13"/>
  <c r="EG55" i="13"/>
  <c r="EH55" i="13"/>
  <c r="EI55" i="13"/>
  <c r="EJ55" i="13"/>
  <c r="EK55" i="13"/>
  <c r="EL55" i="13"/>
  <c r="EM55" i="13"/>
  <c r="EN55" i="13"/>
  <c r="EO55" i="13"/>
  <c r="EP55" i="13"/>
  <c r="EQ55" i="13"/>
  <c r="ER55" i="13"/>
  <c r="ES55" i="13"/>
  <c r="ET55" i="13"/>
  <c r="EU55" i="13"/>
  <c r="EV55" i="13"/>
  <c r="EW55" i="13"/>
  <c r="EX55" i="13"/>
  <c r="EY55" i="13"/>
  <c r="EZ55" i="13"/>
  <c r="FA55" i="13"/>
  <c r="FB55" i="13"/>
  <c r="FC55" i="13"/>
  <c r="FD55" i="13"/>
  <c r="FE55" i="13"/>
  <c r="FF55" i="13"/>
  <c r="FG55" i="13"/>
  <c r="FH55" i="13"/>
  <c r="FI55" i="13"/>
  <c r="FJ55" i="13"/>
  <c r="FK55" i="13"/>
  <c r="FL55" i="13"/>
  <c r="FM55" i="13"/>
  <c r="FN55" i="13"/>
  <c r="FO55" i="13"/>
  <c r="FP55" i="13"/>
  <c r="FQ55" i="13"/>
  <c r="FR55" i="13"/>
  <c r="FS55" i="13"/>
  <c r="FT55" i="13"/>
  <c r="FU55" i="13"/>
  <c r="FV55" i="13"/>
  <c r="FW55" i="13"/>
  <c r="FX55" i="13"/>
  <c r="FY55" i="13"/>
  <c r="FZ55" i="13"/>
  <c r="GA55" i="13"/>
  <c r="GB55" i="13"/>
  <c r="GC55" i="13"/>
  <c r="GD55" i="13"/>
  <c r="GE55" i="13"/>
  <c r="GF55" i="13"/>
  <c r="GG55" i="13"/>
  <c r="GH55" i="13"/>
  <c r="GI55" i="13"/>
  <c r="GJ55" i="13"/>
  <c r="GK55" i="13"/>
  <c r="GL55" i="13"/>
  <c r="GM55" i="13"/>
  <c r="GN55" i="13"/>
  <c r="GO55" i="13"/>
  <c r="GP55" i="13"/>
  <c r="GQ55" i="13"/>
  <c r="GR55" i="13"/>
  <c r="GS55" i="13"/>
  <c r="GT55" i="13"/>
  <c r="GU55" i="13"/>
  <c r="GV55" i="13"/>
  <c r="GW55" i="13"/>
  <c r="GX55" i="13"/>
  <c r="GY55" i="13"/>
  <c r="GZ55" i="13"/>
  <c r="HA55" i="13"/>
  <c r="HB55" i="13"/>
  <c r="HC55" i="13"/>
  <c r="HD55" i="13"/>
  <c r="HE55" i="13"/>
  <c r="HF55" i="13"/>
  <c r="HG55" i="13"/>
  <c r="HH55" i="13"/>
  <c r="HI55" i="13"/>
  <c r="HJ55" i="13"/>
  <c r="HK55" i="13"/>
  <c r="HL55" i="13"/>
  <c r="HM55" i="13"/>
  <c r="HN55" i="13"/>
  <c r="HO55" i="13"/>
  <c r="HP55" i="13"/>
  <c r="HQ55" i="13"/>
  <c r="HR55" i="13"/>
  <c r="HS55" i="13"/>
  <c r="HT55" i="13"/>
  <c r="HU55" i="13"/>
  <c r="HV55" i="13"/>
  <c r="HW55" i="13"/>
  <c r="HX55" i="13"/>
  <c r="HY55" i="13"/>
  <c r="HZ55" i="13"/>
  <c r="IA55" i="13"/>
  <c r="IB55" i="13"/>
  <c r="IC55" i="13"/>
  <c r="ID55" i="13"/>
  <c r="IE55" i="13"/>
  <c r="IF55" i="13"/>
  <c r="IG55" i="13"/>
  <c r="IH55" i="13"/>
  <c r="II55" i="13"/>
  <c r="IJ55" i="13"/>
  <c r="IK55" i="13"/>
  <c r="IL55" i="13"/>
  <c r="IM55" i="13"/>
  <c r="IN55" i="13"/>
  <c r="IO55" i="13"/>
  <c r="IP55" i="13"/>
  <c r="IQ55" i="13"/>
  <c r="IR55" i="13"/>
  <c r="IS55" i="13"/>
  <c r="IT55" i="13"/>
  <c r="IU55" i="13"/>
  <c r="IV55" i="13"/>
  <c r="A54" i="13"/>
  <c r="B54" i="13"/>
  <c r="C54" i="13"/>
  <c r="D54" i="13"/>
  <c r="E54" i="13"/>
  <c r="F54" i="13"/>
  <c r="G54" i="13"/>
  <c r="H54" i="13"/>
  <c r="I54" i="13"/>
  <c r="J54" i="13"/>
  <c r="K54" i="13"/>
  <c r="L54" i="13"/>
  <c r="M54" i="13"/>
  <c r="N54" i="13"/>
  <c r="O54" i="13"/>
  <c r="P54" i="13"/>
  <c r="Q54" i="13"/>
  <c r="R54" i="13"/>
  <c r="S54" i="13"/>
  <c r="T54" i="13"/>
  <c r="U54" i="13"/>
  <c r="V54" i="13"/>
  <c r="W54" i="13"/>
  <c r="X54" i="13"/>
  <c r="Y54" i="13"/>
  <c r="Z54" i="13"/>
  <c r="AA54" i="13"/>
  <c r="AB54" i="13"/>
  <c r="AC54" i="13"/>
  <c r="AD54" i="13"/>
  <c r="AE54" i="13"/>
  <c r="AF54" i="13"/>
  <c r="AG54" i="13"/>
  <c r="AH54" i="13"/>
  <c r="AI54" i="13"/>
  <c r="AJ54" i="13"/>
  <c r="AK54" i="13"/>
  <c r="AL54" i="13"/>
  <c r="AM54" i="13"/>
  <c r="AN54" i="13"/>
  <c r="AO54" i="13"/>
  <c r="AP54" i="13"/>
  <c r="AQ54" i="13"/>
  <c r="AR54" i="13"/>
  <c r="AS54" i="13"/>
  <c r="AT54" i="13"/>
  <c r="AU54" i="13"/>
  <c r="AV54" i="13"/>
  <c r="AW54" i="13"/>
  <c r="AX54" i="13"/>
  <c r="AY54" i="13"/>
  <c r="AZ54" i="13"/>
  <c r="BA54" i="13"/>
  <c r="BB54" i="13"/>
  <c r="BC54" i="13"/>
  <c r="BD54" i="13"/>
  <c r="BE54" i="13"/>
  <c r="BF54" i="13"/>
  <c r="BG54" i="13"/>
  <c r="BH54" i="13"/>
  <c r="BI54" i="13"/>
  <c r="BJ54" i="13"/>
  <c r="BK54" i="13"/>
  <c r="BL54" i="13"/>
  <c r="BM54" i="13"/>
  <c r="BN54" i="13"/>
  <c r="BO54" i="13"/>
  <c r="BP54" i="13"/>
  <c r="BQ54" i="13"/>
  <c r="BR54" i="13"/>
  <c r="BS54" i="13"/>
  <c r="BT54" i="13"/>
  <c r="BU54" i="13"/>
  <c r="BV54" i="13"/>
  <c r="BW54" i="13"/>
  <c r="BX54" i="13"/>
  <c r="BY54" i="13"/>
  <c r="BZ54" i="13"/>
  <c r="CA54" i="13"/>
  <c r="CB54" i="13"/>
  <c r="CC54" i="13"/>
  <c r="CD54" i="13"/>
  <c r="CE54" i="13"/>
  <c r="CF54" i="13"/>
  <c r="CG54" i="13"/>
  <c r="CH54" i="13"/>
  <c r="CI54" i="13"/>
  <c r="CJ54" i="13"/>
  <c r="CK54" i="13"/>
  <c r="CL54" i="13"/>
  <c r="CM54" i="13"/>
  <c r="CN54" i="13"/>
  <c r="CO54" i="13"/>
  <c r="CP54" i="13"/>
  <c r="CQ54" i="13"/>
  <c r="CR54" i="13"/>
  <c r="CS54" i="13"/>
  <c r="CT54" i="13"/>
  <c r="CU54" i="13"/>
  <c r="CV54" i="13"/>
  <c r="CW54" i="13"/>
  <c r="CX54" i="13"/>
  <c r="CY54" i="13"/>
  <c r="CZ54" i="13"/>
  <c r="DA54" i="13"/>
  <c r="DB54" i="13"/>
  <c r="DC54" i="13"/>
  <c r="DD54" i="13"/>
  <c r="DE54" i="13"/>
  <c r="DF54" i="13"/>
  <c r="DG54" i="13"/>
  <c r="DH54" i="13"/>
  <c r="DI54" i="13"/>
  <c r="DJ54" i="13"/>
  <c r="DK54" i="13"/>
  <c r="DL54" i="13"/>
  <c r="DM54" i="13"/>
  <c r="DN54" i="13"/>
  <c r="DO54" i="13"/>
  <c r="DP54" i="13"/>
  <c r="DQ54" i="13"/>
  <c r="DR54" i="13"/>
  <c r="DS54" i="13"/>
  <c r="DT54" i="13"/>
  <c r="DU54" i="13"/>
  <c r="DV54" i="13"/>
  <c r="DW54" i="13"/>
  <c r="DX54" i="13"/>
  <c r="DY54" i="13"/>
  <c r="DZ54" i="13"/>
  <c r="EA54" i="13"/>
  <c r="EB54" i="13"/>
  <c r="EC54" i="13"/>
  <c r="ED54" i="13"/>
  <c r="EE54" i="13"/>
  <c r="EF54" i="13"/>
  <c r="EG54" i="13"/>
  <c r="EH54" i="13"/>
  <c r="EI54" i="13"/>
  <c r="EJ54" i="13"/>
  <c r="EK54" i="13"/>
  <c r="EL54" i="13"/>
  <c r="EM54" i="13"/>
  <c r="EN54" i="13"/>
  <c r="EO54" i="13"/>
  <c r="EP54" i="13"/>
  <c r="EQ54" i="13"/>
  <c r="ER54" i="13"/>
  <c r="ES54" i="13"/>
  <c r="ET54" i="13"/>
  <c r="EU54" i="13"/>
  <c r="EV54" i="13"/>
  <c r="EW54" i="13"/>
  <c r="EX54" i="13"/>
  <c r="EY54" i="13"/>
  <c r="EZ54" i="13"/>
  <c r="FA54" i="13"/>
  <c r="FB54" i="13"/>
  <c r="FC54" i="13"/>
  <c r="FD54" i="13"/>
  <c r="FE54" i="13"/>
  <c r="FF54" i="13"/>
  <c r="FG54" i="13"/>
  <c r="FH54" i="13"/>
  <c r="FI54" i="13"/>
  <c r="FJ54" i="13"/>
  <c r="FK54" i="13"/>
  <c r="FL54" i="13"/>
  <c r="FM54" i="13"/>
  <c r="FN54" i="13"/>
  <c r="FO54" i="13"/>
  <c r="FP54" i="13"/>
  <c r="FQ54" i="13"/>
  <c r="FR54" i="13"/>
  <c r="FS54" i="13"/>
  <c r="FT54" i="13"/>
  <c r="FU54" i="13"/>
  <c r="FV54" i="13"/>
  <c r="FW54" i="13"/>
  <c r="FX54" i="13"/>
  <c r="FY54" i="13"/>
  <c r="FZ54" i="13"/>
  <c r="GA54" i="13"/>
  <c r="GB54" i="13"/>
  <c r="GC54" i="13"/>
  <c r="GD54" i="13"/>
  <c r="GE54" i="13"/>
  <c r="GF54" i="13"/>
  <c r="GG54" i="13"/>
  <c r="GH54" i="13"/>
  <c r="GI54" i="13"/>
  <c r="GJ54" i="13"/>
  <c r="GK54" i="13"/>
  <c r="GL54" i="13"/>
  <c r="GM54" i="13"/>
  <c r="GN54" i="13"/>
  <c r="GO54" i="13"/>
  <c r="GP54" i="13"/>
  <c r="GQ54" i="13"/>
  <c r="GR54" i="13"/>
  <c r="GS54" i="13"/>
  <c r="GT54" i="13"/>
  <c r="GU54" i="13"/>
  <c r="GV54" i="13"/>
  <c r="GW54" i="13"/>
  <c r="GX54" i="13"/>
  <c r="GY54" i="13"/>
  <c r="GZ54" i="13"/>
  <c r="HA54" i="13"/>
  <c r="HB54" i="13"/>
  <c r="HC54" i="13"/>
  <c r="HD54" i="13"/>
  <c r="HE54" i="13"/>
  <c r="HF54" i="13"/>
  <c r="HG54" i="13"/>
  <c r="HH54" i="13"/>
  <c r="HI54" i="13"/>
  <c r="HJ54" i="13"/>
  <c r="HK54" i="13"/>
  <c r="HL54" i="13"/>
  <c r="HM54" i="13"/>
  <c r="HN54" i="13"/>
  <c r="HO54" i="13"/>
  <c r="HP54" i="13"/>
  <c r="HQ54" i="13"/>
  <c r="HR54" i="13"/>
  <c r="HS54" i="13"/>
  <c r="HT54" i="13"/>
  <c r="HU54" i="13"/>
  <c r="HV54" i="13"/>
  <c r="HW54" i="13"/>
  <c r="HX54" i="13"/>
  <c r="HY54" i="13"/>
  <c r="HZ54" i="13"/>
  <c r="IA54" i="13"/>
  <c r="IB54" i="13"/>
  <c r="IC54" i="13"/>
  <c r="ID54" i="13"/>
  <c r="IE54" i="13"/>
  <c r="IF54" i="13"/>
  <c r="IG54" i="13"/>
  <c r="IH54" i="13"/>
  <c r="II54" i="13"/>
  <c r="IJ54" i="13"/>
  <c r="IK54" i="13"/>
  <c r="IL54" i="13"/>
  <c r="IM54" i="13"/>
  <c r="IN54" i="13"/>
  <c r="IO54" i="13"/>
  <c r="IP54" i="13"/>
  <c r="IQ54" i="13"/>
  <c r="IR54" i="13"/>
  <c r="IS54" i="13"/>
  <c r="IT54" i="13"/>
  <c r="IU54" i="13"/>
  <c r="IV54" i="13"/>
  <c r="A53" i="13"/>
  <c r="B53" i="13"/>
  <c r="C53" i="13"/>
  <c r="D53" i="13"/>
  <c r="E53" i="13"/>
  <c r="F53" i="13"/>
  <c r="G53" i="13"/>
  <c r="H53" i="13"/>
  <c r="I53" i="13"/>
  <c r="J53" i="13"/>
  <c r="K53" i="13"/>
  <c r="L53" i="13"/>
  <c r="M53" i="13"/>
  <c r="N53" i="13"/>
  <c r="O53" i="13"/>
  <c r="P53" i="13"/>
  <c r="Q53" i="13"/>
  <c r="R53" i="13"/>
  <c r="S53" i="13"/>
  <c r="T53" i="13"/>
  <c r="U53" i="13"/>
  <c r="V53" i="13"/>
  <c r="W53" i="13"/>
  <c r="X53" i="13"/>
  <c r="Y53" i="13"/>
  <c r="Z53" i="13"/>
  <c r="AA53" i="13"/>
  <c r="AB53" i="13"/>
  <c r="AC53" i="13"/>
  <c r="AD53" i="13"/>
  <c r="AE53" i="13"/>
  <c r="AF53" i="13"/>
  <c r="AG53" i="13"/>
  <c r="AH53" i="13"/>
  <c r="AI53" i="13"/>
  <c r="AJ53" i="13"/>
  <c r="AK53" i="13"/>
  <c r="AL53" i="13"/>
  <c r="AM53" i="13"/>
  <c r="AN53" i="13"/>
  <c r="AO53" i="13"/>
  <c r="AP53" i="13"/>
  <c r="AQ53" i="13"/>
  <c r="AR53" i="13"/>
  <c r="AS53" i="13"/>
  <c r="AT53" i="13"/>
  <c r="AU53" i="13"/>
  <c r="AV53" i="13"/>
  <c r="AW53" i="13"/>
  <c r="AX53" i="13"/>
  <c r="AY53" i="13"/>
  <c r="AZ53" i="13"/>
  <c r="BA53" i="13"/>
  <c r="BB53" i="13"/>
  <c r="BC53" i="13"/>
  <c r="BD53" i="13"/>
  <c r="BE53" i="13"/>
  <c r="BF53" i="13"/>
  <c r="BG53" i="13"/>
  <c r="BH53" i="13"/>
  <c r="BI53" i="13"/>
  <c r="BJ53" i="13"/>
  <c r="BK53" i="13"/>
  <c r="BL53" i="13"/>
  <c r="BM53" i="13"/>
  <c r="BN53" i="13"/>
  <c r="BO53" i="13"/>
  <c r="BP53" i="13"/>
  <c r="BQ53" i="13"/>
  <c r="BR53" i="13"/>
  <c r="BS53" i="13"/>
  <c r="BT53" i="13"/>
  <c r="BU53" i="13"/>
  <c r="BV53" i="13"/>
  <c r="BW53" i="13"/>
  <c r="BX53" i="13"/>
  <c r="BY53" i="13"/>
  <c r="BZ53" i="13"/>
  <c r="CA53" i="13"/>
  <c r="CB53" i="13"/>
  <c r="CC53" i="13"/>
  <c r="CD53" i="13"/>
  <c r="CE53" i="13"/>
  <c r="CF53" i="13"/>
  <c r="CG53" i="13"/>
  <c r="CH53" i="13"/>
  <c r="CI53" i="13"/>
  <c r="CJ53" i="13"/>
  <c r="CK53" i="13"/>
  <c r="CL53" i="13"/>
  <c r="CM53" i="13"/>
  <c r="CN53" i="13"/>
  <c r="CO53" i="13"/>
  <c r="CP53" i="13"/>
  <c r="CQ53" i="13"/>
  <c r="CR53" i="13"/>
  <c r="CS53" i="13"/>
  <c r="CT53" i="13"/>
  <c r="CU53" i="13"/>
  <c r="CV53" i="13"/>
  <c r="CW53" i="13"/>
  <c r="CX53" i="13"/>
  <c r="CY53" i="13"/>
  <c r="CZ53" i="13"/>
  <c r="DA53" i="13"/>
  <c r="DB53" i="13"/>
  <c r="DC53" i="13"/>
  <c r="DD53" i="13"/>
  <c r="DE53" i="13"/>
  <c r="DF53" i="13"/>
  <c r="DG53" i="13"/>
  <c r="DH53" i="13"/>
  <c r="DI53" i="13"/>
  <c r="DJ53" i="13"/>
  <c r="DK53" i="13"/>
  <c r="DL53" i="13"/>
  <c r="DM53" i="13"/>
  <c r="DN53" i="13"/>
  <c r="DO53" i="13"/>
  <c r="DP53" i="13"/>
  <c r="DQ53" i="13"/>
  <c r="DR53" i="13"/>
  <c r="DS53" i="13"/>
  <c r="DT53" i="13"/>
  <c r="DU53" i="13"/>
  <c r="DV53" i="13"/>
  <c r="DW53" i="13"/>
  <c r="DX53" i="13"/>
  <c r="DY53" i="13"/>
  <c r="DZ53" i="13"/>
  <c r="EA53" i="13"/>
  <c r="EB53" i="13"/>
  <c r="EC53" i="13"/>
  <c r="ED53" i="13"/>
  <c r="EE53" i="13"/>
  <c r="EF53" i="13"/>
  <c r="EG53" i="13"/>
  <c r="EH53" i="13"/>
  <c r="EI53" i="13"/>
  <c r="EJ53" i="13"/>
  <c r="EK53" i="13"/>
  <c r="EL53" i="13"/>
  <c r="EM53" i="13"/>
  <c r="EN53" i="13"/>
  <c r="EO53" i="13"/>
  <c r="EP53" i="13"/>
  <c r="EQ53" i="13"/>
  <c r="ER53" i="13"/>
  <c r="ES53" i="13"/>
  <c r="ET53" i="13"/>
  <c r="EU53" i="13"/>
  <c r="EV53" i="13"/>
  <c r="EW53" i="13"/>
  <c r="EX53" i="13"/>
  <c r="EY53" i="13"/>
  <c r="EZ53" i="13"/>
  <c r="FA53" i="13"/>
  <c r="FB53" i="13"/>
  <c r="FC53" i="13"/>
  <c r="FD53" i="13"/>
  <c r="FE53" i="13"/>
  <c r="FF53" i="13"/>
  <c r="FG53" i="13"/>
  <c r="FH53" i="13"/>
  <c r="FI53" i="13"/>
  <c r="FJ53" i="13"/>
  <c r="FK53" i="13"/>
  <c r="FL53" i="13"/>
  <c r="FM53" i="13"/>
  <c r="FN53" i="13"/>
  <c r="FO53" i="13"/>
  <c r="FP53" i="13"/>
  <c r="FQ53" i="13"/>
  <c r="FR53" i="13"/>
  <c r="FS53" i="13"/>
  <c r="FT53" i="13"/>
  <c r="FU53" i="13"/>
  <c r="FV53" i="13"/>
  <c r="FW53" i="13"/>
  <c r="FX53" i="13"/>
  <c r="FY53" i="13"/>
  <c r="FZ53" i="13"/>
  <c r="GA53" i="13"/>
  <c r="GB53" i="13"/>
  <c r="GC53" i="13"/>
  <c r="GD53" i="13"/>
  <c r="GE53" i="13"/>
  <c r="GF53" i="13"/>
  <c r="GG53" i="13"/>
  <c r="GH53" i="13"/>
  <c r="GI53" i="13"/>
  <c r="GJ53" i="13"/>
  <c r="GK53" i="13"/>
  <c r="GL53" i="13"/>
  <c r="GM53" i="13"/>
  <c r="GN53" i="13"/>
  <c r="GO53" i="13"/>
  <c r="GP53" i="13"/>
  <c r="GQ53" i="13"/>
  <c r="GR53" i="13"/>
  <c r="GS53" i="13"/>
  <c r="GT53" i="13"/>
  <c r="GU53" i="13"/>
  <c r="GV53" i="13"/>
  <c r="GW53" i="13"/>
  <c r="GX53" i="13"/>
  <c r="GY53" i="13"/>
  <c r="GZ53" i="13"/>
  <c r="HA53" i="13"/>
  <c r="HB53" i="13"/>
  <c r="HC53" i="13"/>
  <c r="HD53" i="13"/>
  <c r="HE53" i="13"/>
  <c r="HF53" i="13"/>
  <c r="HG53" i="13"/>
  <c r="HH53" i="13"/>
  <c r="HI53" i="13"/>
  <c r="HJ53" i="13"/>
  <c r="HK53" i="13"/>
  <c r="HL53" i="13"/>
  <c r="HM53" i="13"/>
  <c r="HN53" i="13"/>
  <c r="HO53" i="13"/>
  <c r="HP53" i="13"/>
  <c r="HQ53" i="13"/>
  <c r="HR53" i="13"/>
  <c r="HS53" i="13"/>
  <c r="HT53" i="13"/>
  <c r="HU53" i="13"/>
  <c r="HV53" i="13"/>
  <c r="HW53" i="13"/>
  <c r="HX53" i="13"/>
  <c r="HY53" i="13"/>
  <c r="HZ53" i="13"/>
  <c r="IA53" i="13"/>
  <c r="IB53" i="13"/>
  <c r="IC53" i="13"/>
  <c r="ID53" i="13"/>
  <c r="IE53" i="13"/>
  <c r="IF53" i="13"/>
  <c r="IG53" i="13"/>
  <c r="IH53" i="13"/>
  <c r="II53" i="13"/>
  <c r="IJ53" i="13"/>
  <c r="IK53" i="13"/>
  <c r="IL53" i="13"/>
  <c r="IM53" i="13"/>
  <c r="IN53" i="13"/>
  <c r="IO53" i="13"/>
  <c r="IP53" i="13"/>
  <c r="IQ53" i="13"/>
  <c r="IR53" i="13"/>
  <c r="IS53" i="13"/>
  <c r="IT53" i="13"/>
  <c r="IU53" i="13"/>
  <c r="IV53" i="13"/>
  <c r="A52" i="13"/>
  <c r="B52" i="13"/>
  <c r="C52" i="13"/>
  <c r="D52" i="13"/>
  <c r="E52" i="13"/>
  <c r="F52" i="13"/>
  <c r="G52" i="13"/>
  <c r="H52" i="13"/>
  <c r="I52" i="13"/>
  <c r="J52" i="13"/>
  <c r="K52" i="13"/>
  <c r="L52" i="13"/>
  <c r="M52" i="13"/>
  <c r="N52" i="13"/>
  <c r="O52" i="13"/>
  <c r="P52" i="13"/>
  <c r="Q52" i="13"/>
  <c r="R52" i="13"/>
  <c r="S52" i="13"/>
  <c r="T52" i="13"/>
  <c r="U52" i="13"/>
  <c r="V52" i="13"/>
  <c r="W52" i="13"/>
  <c r="X52" i="13"/>
  <c r="Y52" i="13"/>
  <c r="Z52" i="13"/>
  <c r="AA52" i="13"/>
  <c r="AB52" i="13"/>
  <c r="AC52" i="13"/>
  <c r="AD52" i="13"/>
  <c r="AE52" i="13"/>
  <c r="AF52" i="13"/>
  <c r="AG52" i="13"/>
  <c r="AH52" i="13"/>
  <c r="AI52" i="13"/>
  <c r="AJ52" i="13"/>
  <c r="AK52" i="13"/>
  <c r="AL52" i="13"/>
  <c r="AM52" i="13"/>
  <c r="AN52" i="13"/>
  <c r="AO52" i="13"/>
  <c r="AP52" i="13"/>
  <c r="AQ52" i="13"/>
  <c r="AR52" i="13"/>
  <c r="AS52" i="13"/>
  <c r="AT52" i="13"/>
  <c r="AU52" i="13"/>
  <c r="AV52" i="13"/>
  <c r="AW52" i="13"/>
  <c r="AX52" i="13"/>
  <c r="AY52" i="13"/>
  <c r="AZ52" i="13"/>
  <c r="BA52" i="13"/>
  <c r="BB52" i="13"/>
  <c r="BC52" i="13"/>
  <c r="BD52" i="13"/>
  <c r="BE52" i="13"/>
  <c r="BF52" i="13"/>
  <c r="BG52" i="13"/>
  <c r="BH52" i="13"/>
  <c r="BI52" i="13"/>
  <c r="BJ52" i="13"/>
  <c r="BK52" i="13"/>
  <c r="BL52" i="13"/>
  <c r="BM52" i="13"/>
  <c r="BN52" i="13"/>
  <c r="BO52" i="13"/>
  <c r="BP52" i="13"/>
  <c r="BQ52" i="13"/>
  <c r="BR52" i="13"/>
  <c r="BS52" i="13"/>
  <c r="BT52" i="13"/>
  <c r="BU52" i="13"/>
  <c r="BV52" i="13"/>
  <c r="BW52" i="13"/>
  <c r="BX52" i="13"/>
  <c r="BY52" i="13"/>
  <c r="BZ52" i="13"/>
  <c r="CA52" i="13"/>
  <c r="CB52" i="13"/>
  <c r="CC52" i="13"/>
  <c r="CD52" i="13"/>
  <c r="CE52" i="13"/>
  <c r="CF52" i="13"/>
  <c r="CG52" i="13"/>
  <c r="CH52" i="13"/>
  <c r="CI52" i="13"/>
  <c r="CJ52" i="13"/>
  <c r="CK52" i="13"/>
  <c r="CL52" i="13"/>
  <c r="CM52" i="13"/>
  <c r="CN52" i="13"/>
  <c r="CO52" i="13"/>
  <c r="CP52" i="13"/>
  <c r="CQ52" i="13"/>
  <c r="CR52" i="13"/>
  <c r="CS52" i="13"/>
  <c r="CT52" i="13"/>
  <c r="CU52" i="13"/>
  <c r="CV52" i="13"/>
  <c r="CW52" i="13"/>
  <c r="CX52" i="13"/>
  <c r="CY52" i="13"/>
  <c r="CZ52" i="13"/>
  <c r="DA52" i="13"/>
  <c r="DB52" i="13"/>
  <c r="DC52" i="13"/>
  <c r="DD52" i="13"/>
  <c r="DE52" i="13"/>
  <c r="DF52" i="13"/>
  <c r="DG52" i="13"/>
  <c r="DH52" i="13"/>
  <c r="DI52" i="13"/>
  <c r="DJ52" i="13"/>
  <c r="DK52" i="13"/>
  <c r="DL52" i="13"/>
  <c r="DM52" i="13"/>
  <c r="DN52" i="13"/>
  <c r="DO52" i="13"/>
  <c r="DP52" i="13"/>
  <c r="DQ52" i="13"/>
  <c r="DR52" i="13"/>
  <c r="DS52" i="13"/>
  <c r="DT52" i="13"/>
  <c r="DU52" i="13"/>
  <c r="DV52" i="13"/>
  <c r="DW52" i="13"/>
  <c r="DX52" i="13"/>
  <c r="DY52" i="13"/>
  <c r="DZ52" i="13"/>
  <c r="EA52" i="13"/>
  <c r="EB52" i="13"/>
  <c r="EC52" i="13"/>
  <c r="ED52" i="13"/>
  <c r="EE52" i="13"/>
  <c r="EF52" i="13"/>
  <c r="EG52" i="13"/>
  <c r="EH52" i="13"/>
  <c r="EI52" i="13"/>
  <c r="EJ52" i="13"/>
  <c r="EK52" i="13"/>
  <c r="EL52" i="13"/>
  <c r="EM52" i="13"/>
  <c r="EN52" i="13"/>
  <c r="EO52" i="13"/>
  <c r="EP52" i="13"/>
  <c r="EQ52" i="13"/>
  <c r="ER52" i="13"/>
  <c r="ES52" i="13"/>
  <c r="ET52" i="13"/>
  <c r="EU52" i="13"/>
  <c r="EV52" i="13"/>
  <c r="EW52" i="13"/>
  <c r="EX52" i="13"/>
  <c r="EY52" i="13"/>
  <c r="EZ52" i="13"/>
  <c r="FA52" i="13"/>
  <c r="FB52" i="13"/>
  <c r="FC52" i="13"/>
  <c r="FD52" i="13"/>
  <c r="FE52" i="13"/>
  <c r="FF52" i="13"/>
  <c r="FG52" i="13"/>
  <c r="FH52" i="13"/>
  <c r="FI52" i="13"/>
  <c r="FJ52" i="13"/>
  <c r="FK52" i="13"/>
  <c r="FL52" i="13"/>
  <c r="FM52" i="13"/>
  <c r="FN52" i="13"/>
  <c r="FO52" i="13"/>
  <c r="FP52" i="13"/>
  <c r="FQ52" i="13"/>
  <c r="FR52" i="13"/>
  <c r="FS52" i="13"/>
  <c r="FT52" i="13"/>
  <c r="FU52" i="13"/>
  <c r="FV52" i="13"/>
  <c r="FW52" i="13"/>
  <c r="FX52" i="13"/>
  <c r="FY52" i="13"/>
  <c r="FZ52" i="13"/>
  <c r="GA52" i="13"/>
  <c r="GB52" i="13"/>
  <c r="GC52" i="13"/>
  <c r="GD52" i="13"/>
  <c r="GE52" i="13"/>
  <c r="GF52" i="13"/>
  <c r="GG52" i="13"/>
  <c r="GH52" i="13"/>
  <c r="GI52" i="13"/>
  <c r="GJ52" i="13"/>
  <c r="GK52" i="13"/>
  <c r="GL52" i="13"/>
  <c r="GM52" i="13"/>
  <c r="GN52" i="13"/>
  <c r="GO52" i="13"/>
  <c r="GP52" i="13"/>
  <c r="GQ52" i="13"/>
  <c r="GR52" i="13"/>
  <c r="GS52" i="13"/>
  <c r="GT52" i="13"/>
  <c r="GU52" i="13"/>
  <c r="GV52" i="13"/>
  <c r="GW52" i="13"/>
  <c r="GX52" i="13"/>
  <c r="GY52" i="13"/>
  <c r="GZ52" i="13"/>
  <c r="HA52" i="13"/>
  <c r="HB52" i="13"/>
  <c r="HC52" i="13"/>
  <c r="HD52" i="13"/>
  <c r="HE52" i="13"/>
  <c r="HF52" i="13"/>
  <c r="HG52" i="13"/>
  <c r="HH52" i="13"/>
  <c r="HI52" i="13"/>
  <c r="HJ52" i="13"/>
  <c r="HK52" i="13"/>
  <c r="HL52" i="13"/>
  <c r="HM52" i="13"/>
  <c r="HN52" i="13"/>
  <c r="HO52" i="13"/>
  <c r="HP52" i="13"/>
  <c r="HQ52" i="13"/>
  <c r="HR52" i="13"/>
  <c r="HS52" i="13"/>
  <c r="HT52" i="13"/>
  <c r="HU52" i="13"/>
  <c r="HV52" i="13"/>
  <c r="HW52" i="13"/>
  <c r="HX52" i="13"/>
  <c r="HY52" i="13"/>
  <c r="HZ52" i="13"/>
  <c r="IA52" i="13"/>
  <c r="IB52" i="13"/>
  <c r="IC52" i="13"/>
  <c r="ID52" i="13"/>
  <c r="IE52" i="13"/>
  <c r="IF52" i="13"/>
  <c r="IG52" i="13"/>
  <c r="IH52" i="13"/>
  <c r="II52" i="13"/>
  <c r="IJ52" i="13"/>
  <c r="IK52" i="13"/>
  <c r="IL52" i="13"/>
  <c r="IM52" i="13"/>
  <c r="IN52" i="13"/>
  <c r="IO52" i="13"/>
  <c r="IP52" i="13"/>
  <c r="IQ52" i="13"/>
  <c r="IR52" i="13"/>
  <c r="IS52" i="13"/>
  <c r="IT52" i="13"/>
  <c r="IU52" i="13"/>
  <c r="IV52" i="13"/>
  <c r="A51" i="13"/>
  <c r="B51" i="13"/>
  <c r="C51" i="13"/>
  <c r="D51" i="13"/>
  <c r="E51" i="13"/>
  <c r="F51" i="13"/>
  <c r="G51" i="13"/>
  <c r="H51" i="13"/>
  <c r="I51" i="13"/>
  <c r="J51" i="13"/>
  <c r="K51" i="13"/>
  <c r="L51" i="13"/>
  <c r="M51" i="13"/>
  <c r="N51" i="13"/>
  <c r="O51" i="13"/>
  <c r="P51" i="13"/>
  <c r="Q51" i="13"/>
  <c r="R51" i="13"/>
  <c r="S51" i="13"/>
  <c r="T51" i="13"/>
  <c r="U51" i="13"/>
  <c r="V51" i="13"/>
  <c r="W51" i="13"/>
  <c r="X51" i="13"/>
  <c r="Y51" i="13"/>
  <c r="Z51" i="13"/>
  <c r="AA51" i="13"/>
  <c r="AB51" i="13"/>
  <c r="AC51" i="13"/>
  <c r="AD51" i="13"/>
  <c r="AE51" i="13"/>
  <c r="AF51" i="13"/>
  <c r="AG51" i="13"/>
  <c r="AH51" i="13"/>
  <c r="AI51" i="13"/>
  <c r="AJ51" i="13"/>
  <c r="AK51" i="13"/>
  <c r="AL51" i="13"/>
  <c r="AM51" i="13"/>
  <c r="AN51" i="13"/>
  <c r="AO51" i="13"/>
  <c r="AP51" i="13"/>
  <c r="AQ51" i="13"/>
  <c r="AR51" i="13"/>
  <c r="AS51" i="13"/>
  <c r="AT51" i="13"/>
  <c r="AU51" i="13"/>
  <c r="AV51" i="13"/>
  <c r="AW51" i="13"/>
  <c r="AX51" i="13"/>
  <c r="AY51" i="13"/>
  <c r="AZ51" i="13"/>
  <c r="BA51" i="13"/>
  <c r="BB51" i="13"/>
  <c r="BC51" i="13"/>
  <c r="BD51" i="13"/>
  <c r="BE51" i="13"/>
  <c r="BF51" i="13"/>
  <c r="BG51" i="13"/>
  <c r="BH51" i="13"/>
  <c r="BI51" i="13"/>
  <c r="BJ51" i="13"/>
  <c r="BK51" i="13"/>
  <c r="BL51" i="13"/>
  <c r="BM51" i="13"/>
  <c r="BN51" i="13"/>
  <c r="BO51" i="13"/>
  <c r="BP51" i="13"/>
  <c r="BQ51" i="13"/>
  <c r="BR51" i="13"/>
  <c r="BS51" i="13"/>
  <c r="BT51" i="13"/>
  <c r="BU51" i="13"/>
  <c r="BV51" i="13"/>
  <c r="BW51" i="13"/>
  <c r="BX51" i="13"/>
  <c r="BY51" i="13"/>
  <c r="BZ51" i="13"/>
  <c r="CA51" i="13"/>
  <c r="CB51" i="13"/>
  <c r="CC51" i="13"/>
  <c r="CD51" i="13"/>
  <c r="CE51" i="13"/>
  <c r="CF51" i="13"/>
  <c r="CG51" i="13"/>
  <c r="CH51" i="13"/>
  <c r="CI51" i="13"/>
  <c r="CJ51" i="13"/>
  <c r="CK51" i="13"/>
  <c r="CL51" i="13"/>
  <c r="CM51" i="13"/>
  <c r="CN51" i="13"/>
  <c r="CO51" i="13"/>
  <c r="CP51" i="13"/>
  <c r="CQ51" i="13"/>
  <c r="CR51" i="13"/>
  <c r="CS51" i="13"/>
  <c r="CT51" i="13"/>
  <c r="CU51" i="13"/>
  <c r="CV51" i="13"/>
  <c r="CW51" i="13"/>
  <c r="CX51" i="13"/>
  <c r="CY51" i="13"/>
  <c r="CZ51" i="13"/>
  <c r="DA51" i="13"/>
  <c r="DB51" i="13"/>
  <c r="DC51" i="13"/>
  <c r="DD51" i="13"/>
  <c r="DE51" i="13"/>
  <c r="DF51" i="13"/>
  <c r="DG51" i="13"/>
  <c r="DH51" i="13"/>
  <c r="DI51" i="13"/>
  <c r="DJ51" i="13"/>
  <c r="DK51" i="13"/>
  <c r="DL51" i="13"/>
  <c r="DM51" i="13"/>
  <c r="DN51" i="13"/>
  <c r="DO51" i="13"/>
  <c r="DP51" i="13"/>
  <c r="DQ51" i="13"/>
  <c r="DR51" i="13"/>
  <c r="DS51" i="13"/>
  <c r="DT51" i="13"/>
  <c r="DU51" i="13"/>
  <c r="DV51" i="13"/>
  <c r="DW51" i="13"/>
  <c r="DX51" i="13"/>
  <c r="DY51" i="13"/>
  <c r="DZ51" i="13"/>
  <c r="EA51" i="13"/>
  <c r="EB51" i="13"/>
  <c r="EC51" i="13"/>
  <c r="ED51" i="13"/>
  <c r="EE51" i="13"/>
  <c r="EF51" i="13"/>
  <c r="EG51" i="13"/>
  <c r="EH51" i="13"/>
  <c r="EI51" i="13"/>
  <c r="EJ51" i="13"/>
  <c r="EK51" i="13"/>
  <c r="EL51" i="13"/>
  <c r="EM51" i="13"/>
  <c r="EN51" i="13"/>
  <c r="EO51" i="13"/>
  <c r="EP51" i="13"/>
  <c r="EQ51" i="13"/>
  <c r="ER51" i="13"/>
  <c r="ES51" i="13"/>
  <c r="ET51" i="13"/>
  <c r="EU51" i="13"/>
  <c r="EV51" i="13"/>
  <c r="EW51" i="13"/>
  <c r="EX51" i="13"/>
  <c r="EY51" i="13"/>
  <c r="EZ51" i="13"/>
  <c r="FA51" i="13"/>
  <c r="FB51" i="13"/>
  <c r="FC51" i="13"/>
  <c r="FD51" i="13"/>
  <c r="FE51" i="13"/>
  <c r="FF51" i="13"/>
  <c r="FG51" i="13"/>
  <c r="FH51" i="13"/>
  <c r="FI51" i="13"/>
  <c r="FJ51" i="13"/>
  <c r="FK51" i="13"/>
  <c r="FL51" i="13"/>
  <c r="FM51" i="13"/>
  <c r="FN51" i="13"/>
  <c r="FO51" i="13"/>
  <c r="FP51" i="13"/>
  <c r="FQ51" i="13"/>
  <c r="FR51" i="13"/>
  <c r="FS51" i="13"/>
  <c r="FT51" i="13"/>
  <c r="FU51" i="13"/>
  <c r="FV51" i="13"/>
  <c r="FW51" i="13"/>
  <c r="FX51" i="13"/>
  <c r="FY51" i="13"/>
  <c r="FZ51" i="13"/>
  <c r="GA51" i="13"/>
  <c r="GB51" i="13"/>
  <c r="GC51" i="13"/>
  <c r="GD51" i="13"/>
  <c r="GE51" i="13"/>
  <c r="GF51" i="13"/>
  <c r="GG51" i="13"/>
  <c r="GH51" i="13"/>
  <c r="GI51" i="13"/>
  <c r="GJ51" i="13"/>
  <c r="GK51" i="13"/>
  <c r="GL51" i="13"/>
  <c r="GM51" i="13"/>
  <c r="GN51" i="13"/>
  <c r="GO51" i="13"/>
  <c r="GP51" i="13"/>
  <c r="GQ51" i="13"/>
  <c r="GR51" i="13"/>
  <c r="GS51" i="13"/>
  <c r="GT51" i="13"/>
  <c r="GU51" i="13"/>
  <c r="GV51" i="13"/>
  <c r="GW51" i="13"/>
  <c r="GX51" i="13"/>
  <c r="GY51" i="13"/>
  <c r="GZ51" i="13"/>
  <c r="HA51" i="13"/>
  <c r="HB51" i="13"/>
  <c r="HC51" i="13"/>
  <c r="HD51" i="13"/>
  <c r="HE51" i="13"/>
  <c r="HF51" i="13"/>
  <c r="HG51" i="13"/>
  <c r="HH51" i="13"/>
  <c r="HI51" i="13"/>
  <c r="HJ51" i="13"/>
  <c r="HK51" i="13"/>
  <c r="HL51" i="13"/>
  <c r="HM51" i="13"/>
  <c r="HN51" i="13"/>
  <c r="HO51" i="13"/>
  <c r="HP51" i="13"/>
  <c r="HQ51" i="13"/>
  <c r="HR51" i="13"/>
  <c r="HS51" i="13"/>
  <c r="HT51" i="13"/>
  <c r="HU51" i="13"/>
  <c r="HV51" i="13"/>
  <c r="HW51" i="13"/>
  <c r="HX51" i="13"/>
  <c r="HY51" i="13"/>
  <c r="HZ51" i="13"/>
  <c r="IA51" i="13"/>
  <c r="IB51" i="13"/>
  <c r="IC51" i="13"/>
  <c r="ID51" i="13"/>
  <c r="IE51" i="13"/>
  <c r="IF51" i="13"/>
  <c r="IG51" i="13"/>
  <c r="IH51" i="13"/>
  <c r="II51" i="13"/>
  <c r="IJ51" i="13"/>
  <c r="IK51" i="13"/>
  <c r="IL51" i="13"/>
  <c r="IM51" i="13"/>
  <c r="IN51" i="13"/>
  <c r="IO51" i="13"/>
  <c r="IP51" i="13"/>
  <c r="IQ51" i="13"/>
  <c r="IR51" i="13"/>
  <c r="IS51" i="13"/>
  <c r="IT51" i="13"/>
  <c r="IU51" i="13"/>
  <c r="IV51" i="13"/>
  <c r="A50" i="13"/>
  <c r="B50" i="13"/>
  <c r="C50" i="13"/>
  <c r="D50" i="13"/>
  <c r="E50" i="13"/>
  <c r="F50" i="13"/>
  <c r="G50" i="13"/>
  <c r="H50" i="13"/>
  <c r="I50" i="13"/>
  <c r="J50" i="13"/>
  <c r="K50" i="13"/>
  <c r="L50" i="13"/>
  <c r="M50" i="13"/>
  <c r="N50" i="13"/>
  <c r="O50" i="13"/>
  <c r="P50" i="13"/>
  <c r="Q50" i="13"/>
  <c r="R50" i="13"/>
  <c r="S50" i="13"/>
  <c r="T50" i="13"/>
  <c r="U50" i="13"/>
  <c r="V50" i="13"/>
  <c r="W50" i="13"/>
  <c r="X50" i="13"/>
  <c r="Y50" i="13"/>
  <c r="Z50" i="13"/>
  <c r="AA50" i="13"/>
  <c r="AB50" i="13"/>
  <c r="AC50" i="13"/>
  <c r="AD50" i="13"/>
  <c r="AE50" i="13"/>
  <c r="AF50" i="13"/>
  <c r="AG50" i="13"/>
  <c r="AH50" i="13"/>
  <c r="AI50" i="13"/>
  <c r="AJ50" i="13"/>
  <c r="AK50" i="13"/>
  <c r="AL50" i="13"/>
  <c r="AM50" i="13"/>
  <c r="AN50" i="13"/>
  <c r="AO50" i="13"/>
  <c r="AP50" i="13"/>
  <c r="AQ50" i="13"/>
  <c r="AR50" i="13"/>
  <c r="AS50" i="13"/>
  <c r="AT50" i="13"/>
  <c r="AU50" i="13"/>
  <c r="AV50" i="13"/>
  <c r="AW50" i="13"/>
  <c r="AX50" i="13"/>
  <c r="AY50" i="13"/>
  <c r="AZ50" i="13"/>
  <c r="BA50" i="13"/>
  <c r="BB50" i="13"/>
  <c r="BC50" i="13"/>
  <c r="BD50" i="13"/>
  <c r="BE50" i="13"/>
  <c r="BF50" i="13"/>
  <c r="BG50" i="13"/>
  <c r="BH50" i="13"/>
  <c r="BI50" i="13"/>
  <c r="BJ50" i="13"/>
  <c r="BK50" i="13"/>
  <c r="BL50" i="13"/>
  <c r="BM50" i="13"/>
  <c r="BN50" i="13"/>
  <c r="BO50" i="13"/>
  <c r="BP50" i="13"/>
  <c r="BQ50" i="13"/>
  <c r="BR50" i="13"/>
  <c r="BS50" i="13"/>
  <c r="BT50" i="13"/>
  <c r="BU50" i="13"/>
  <c r="BV50" i="13"/>
  <c r="BW50" i="13"/>
  <c r="BX50" i="13"/>
  <c r="BY50" i="13"/>
  <c r="BZ50" i="13"/>
  <c r="CA50" i="13"/>
  <c r="CB50" i="13"/>
  <c r="CC50" i="13"/>
  <c r="CD50" i="13"/>
  <c r="CE50" i="13"/>
  <c r="CF50" i="13"/>
  <c r="CG50" i="13"/>
  <c r="CH50" i="13"/>
  <c r="CI50" i="13"/>
  <c r="CJ50" i="13"/>
  <c r="CK50" i="13"/>
  <c r="CL50" i="13"/>
  <c r="CM50" i="13"/>
  <c r="CN50" i="13"/>
  <c r="CO50" i="13"/>
  <c r="CP50" i="13"/>
  <c r="CQ50" i="13"/>
  <c r="CR50" i="13"/>
  <c r="CS50" i="13"/>
  <c r="CT50" i="13"/>
  <c r="CU50" i="13"/>
  <c r="CV50" i="13"/>
  <c r="CW50" i="13"/>
  <c r="CX50" i="13"/>
  <c r="CY50" i="13"/>
  <c r="CZ50" i="13"/>
  <c r="DA50" i="13"/>
  <c r="DB50" i="13"/>
  <c r="DC50" i="13"/>
  <c r="DD50" i="13"/>
  <c r="DE50" i="13"/>
  <c r="DF50" i="13"/>
  <c r="DG50" i="13"/>
  <c r="DH50" i="13"/>
  <c r="DI50" i="13"/>
  <c r="DJ50" i="13"/>
  <c r="DK50" i="13"/>
  <c r="DL50" i="13"/>
  <c r="DM50" i="13"/>
  <c r="DN50" i="13"/>
  <c r="DO50" i="13"/>
  <c r="DP50" i="13"/>
  <c r="DQ50" i="13"/>
  <c r="DR50" i="13"/>
  <c r="DS50" i="13"/>
  <c r="DT50" i="13"/>
  <c r="DU50" i="13"/>
  <c r="DV50" i="13"/>
  <c r="DW50" i="13"/>
  <c r="DX50" i="13"/>
  <c r="DY50" i="13"/>
  <c r="DZ50" i="13"/>
  <c r="EA50" i="13"/>
  <c r="EB50" i="13"/>
  <c r="EC50" i="13"/>
  <c r="ED50" i="13"/>
  <c r="EE50" i="13"/>
  <c r="EF50" i="13"/>
  <c r="EG50" i="13"/>
  <c r="EH50" i="13"/>
  <c r="EI50" i="13"/>
  <c r="EJ50" i="13"/>
  <c r="EK50" i="13"/>
  <c r="EL50" i="13"/>
  <c r="EM50" i="13"/>
  <c r="EN50" i="13"/>
  <c r="EO50" i="13"/>
  <c r="EP50" i="13"/>
  <c r="EQ50" i="13"/>
  <c r="ER50" i="13"/>
  <c r="ES50" i="13"/>
  <c r="ET50" i="13"/>
  <c r="EU50" i="13"/>
  <c r="EV50" i="13"/>
  <c r="EW50" i="13"/>
  <c r="EX50" i="13"/>
  <c r="EY50" i="13"/>
  <c r="EZ50" i="13"/>
  <c r="FA50" i="13"/>
  <c r="FB50" i="13"/>
  <c r="FC50" i="13"/>
  <c r="FD50" i="13"/>
  <c r="FE50" i="13"/>
  <c r="FF50" i="13"/>
  <c r="FG50" i="13"/>
  <c r="FH50" i="13"/>
  <c r="FI50" i="13"/>
  <c r="FJ50" i="13"/>
  <c r="FK50" i="13"/>
  <c r="FL50" i="13"/>
  <c r="FM50" i="13"/>
  <c r="FN50" i="13"/>
  <c r="FO50" i="13"/>
  <c r="FP50" i="13"/>
  <c r="FQ50" i="13"/>
  <c r="FR50" i="13"/>
  <c r="FS50" i="13"/>
  <c r="FT50" i="13"/>
  <c r="FU50" i="13"/>
  <c r="FV50" i="13"/>
  <c r="FW50" i="13"/>
  <c r="FX50" i="13"/>
  <c r="FY50" i="13"/>
  <c r="FZ50" i="13"/>
  <c r="GA50" i="13"/>
  <c r="GB50" i="13"/>
  <c r="GC50" i="13"/>
  <c r="GD50" i="13"/>
  <c r="GE50" i="13"/>
  <c r="GF50" i="13"/>
  <c r="GG50" i="13"/>
  <c r="GH50" i="13"/>
  <c r="GI50" i="13"/>
  <c r="GJ50" i="13"/>
  <c r="GK50" i="13"/>
  <c r="GL50" i="13"/>
  <c r="GM50" i="13"/>
  <c r="GN50" i="13"/>
  <c r="GO50" i="13"/>
  <c r="GP50" i="13"/>
  <c r="GQ50" i="13"/>
  <c r="GR50" i="13"/>
  <c r="GS50" i="13"/>
  <c r="GT50" i="13"/>
  <c r="GU50" i="13"/>
  <c r="GV50" i="13"/>
  <c r="GW50" i="13"/>
  <c r="GX50" i="13"/>
  <c r="GY50" i="13"/>
  <c r="GZ50" i="13"/>
  <c r="HA50" i="13"/>
  <c r="HB50" i="13"/>
  <c r="HC50" i="13"/>
  <c r="HD50" i="13"/>
  <c r="HE50" i="13"/>
  <c r="HF50" i="13"/>
  <c r="HG50" i="13"/>
  <c r="HH50" i="13"/>
  <c r="HI50" i="13"/>
  <c r="HJ50" i="13"/>
  <c r="HK50" i="13"/>
  <c r="HL50" i="13"/>
  <c r="HM50" i="13"/>
  <c r="HN50" i="13"/>
  <c r="HO50" i="13"/>
  <c r="HP50" i="13"/>
  <c r="HQ50" i="13"/>
  <c r="HR50" i="13"/>
  <c r="HS50" i="13"/>
  <c r="HT50" i="13"/>
  <c r="HU50" i="13"/>
  <c r="HV50" i="13"/>
  <c r="HW50" i="13"/>
  <c r="HX50" i="13"/>
  <c r="HY50" i="13"/>
  <c r="HZ50" i="13"/>
  <c r="IA50" i="13"/>
  <c r="IB50" i="13"/>
  <c r="IC50" i="13"/>
  <c r="ID50" i="13"/>
  <c r="IE50" i="13"/>
  <c r="IF50" i="13"/>
  <c r="IG50" i="13"/>
  <c r="IH50" i="13"/>
  <c r="II50" i="13"/>
  <c r="IJ50" i="13"/>
  <c r="IK50" i="13"/>
  <c r="IL50" i="13"/>
  <c r="IM50" i="13"/>
  <c r="IN50" i="13"/>
  <c r="IO50" i="13"/>
  <c r="IP50" i="13"/>
  <c r="IQ50" i="13"/>
  <c r="IR50" i="13"/>
  <c r="IS50" i="13"/>
  <c r="IT50" i="13"/>
  <c r="IU50" i="13"/>
  <c r="IV50" i="13"/>
  <c r="A49" i="13"/>
  <c r="B49" i="13"/>
  <c r="C49" i="13"/>
  <c r="D49" i="13"/>
  <c r="E49" i="13"/>
  <c r="F49" i="13"/>
  <c r="G49" i="13"/>
  <c r="H49" i="13"/>
  <c r="I49" i="13"/>
  <c r="J49" i="13"/>
  <c r="K49" i="13"/>
  <c r="L49" i="13"/>
  <c r="M49" i="13"/>
  <c r="N49" i="13"/>
  <c r="O49" i="13"/>
  <c r="P49" i="13"/>
  <c r="Q49" i="13"/>
  <c r="R49" i="13"/>
  <c r="S49" i="13"/>
  <c r="T49" i="13"/>
  <c r="U49" i="13"/>
  <c r="V49" i="13"/>
  <c r="W49" i="13"/>
  <c r="X49" i="13"/>
  <c r="Y49" i="13"/>
  <c r="Z49" i="13"/>
  <c r="AA49" i="13"/>
  <c r="AB49" i="13"/>
  <c r="AC49" i="13"/>
  <c r="AD49" i="13"/>
  <c r="AE49" i="13"/>
  <c r="AF49" i="13"/>
  <c r="AG49" i="13"/>
  <c r="AH49" i="13"/>
  <c r="AI49" i="13"/>
  <c r="AJ49" i="13"/>
  <c r="AK49" i="13"/>
  <c r="AL49" i="13"/>
  <c r="AM49" i="13"/>
  <c r="AN49" i="13"/>
  <c r="AO49" i="13"/>
  <c r="AP49" i="13"/>
  <c r="AQ49" i="13"/>
  <c r="AR49" i="13"/>
  <c r="AS49" i="13"/>
  <c r="AT49" i="13"/>
  <c r="AU49" i="13"/>
  <c r="AV49" i="13"/>
  <c r="AW49" i="13"/>
  <c r="AX49" i="13"/>
  <c r="AY49" i="13"/>
  <c r="AZ49" i="13"/>
  <c r="BA49" i="13"/>
  <c r="BB49" i="13"/>
  <c r="BC49" i="13"/>
  <c r="BD49" i="13"/>
  <c r="BE49" i="13"/>
  <c r="BF49" i="13"/>
  <c r="BG49" i="13"/>
  <c r="BH49" i="13"/>
  <c r="BI49" i="13"/>
  <c r="BJ49" i="13"/>
  <c r="BK49" i="13"/>
  <c r="BL49" i="13"/>
  <c r="BM49" i="13"/>
  <c r="BN49" i="13"/>
  <c r="BO49" i="13"/>
  <c r="BP49" i="13"/>
  <c r="BQ49" i="13"/>
  <c r="BR49" i="13"/>
  <c r="BS49" i="13"/>
  <c r="BT49" i="13"/>
  <c r="BU49" i="13"/>
  <c r="BV49" i="13"/>
  <c r="BW49" i="13"/>
  <c r="BX49" i="13"/>
  <c r="BY49" i="13"/>
  <c r="BZ49" i="13"/>
  <c r="CA49" i="13"/>
  <c r="CB49" i="13"/>
  <c r="CC49" i="13"/>
  <c r="CD49" i="13"/>
  <c r="CE49" i="13"/>
  <c r="CF49" i="13"/>
  <c r="CG49" i="13"/>
  <c r="CH49" i="13"/>
  <c r="CI49" i="13"/>
  <c r="CJ49" i="13"/>
  <c r="CK49" i="13"/>
  <c r="CL49" i="13"/>
  <c r="CM49" i="13"/>
  <c r="CN49" i="13"/>
  <c r="CO49" i="13"/>
  <c r="CP49" i="13"/>
  <c r="CQ49" i="13"/>
  <c r="CR49" i="13"/>
  <c r="CS49" i="13"/>
  <c r="CT49" i="13"/>
  <c r="CU49" i="13"/>
  <c r="CV49" i="13"/>
  <c r="CW49" i="13"/>
  <c r="CX49" i="13"/>
  <c r="CY49" i="13"/>
  <c r="CZ49" i="13"/>
  <c r="DA49" i="13"/>
  <c r="DB49" i="13"/>
  <c r="DC49" i="13"/>
  <c r="DD49" i="13"/>
  <c r="DE49" i="13"/>
  <c r="DF49" i="13"/>
  <c r="DG49" i="13"/>
  <c r="DH49" i="13"/>
  <c r="DI49" i="13"/>
  <c r="DJ49" i="13"/>
  <c r="DK49" i="13"/>
  <c r="DL49" i="13"/>
  <c r="DM49" i="13"/>
  <c r="DN49" i="13"/>
  <c r="DO49" i="13"/>
  <c r="DP49" i="13"/>
  <c r="DQ49" i="13"/>
  <c r="DR49" i="13"/>
  <c r="DS49" i="13"/>
  <c r="DT49" i="13"/>
  <c r="DU49" i="13"/>
  <c r="DV49" i="13"/>
  <c r="DW49" i="13"/>
  <c r="DX49" i="13"/>
  <c r="DY49" i="13"/>
  <c r="DZ49" i="13"/>
  <c r="EA49" i="13"/>
  <c r="EB49" i="13"/>
  <c r="EC49" i="13"/>
  <c r="ED49" i="13"/>
  <c r="EE49" i="13"/>
  <c r="EF49" i="13"/>
  <c r="EG49" i="13"/>
  <c r="EH49" i="13"/>
  <c r="EI49" i="13"/>
  <c r="EJ49" i="13"/>
  <c r="EK49" i="13"/>
  <c r="EL49" i="13"/>
  <c r="EM49" i="13"/>
  <c r="EN49" i="13"/>
  <c r="EO49" i="13"/>
  <c r="EP49" i="13"/>
  <c r="EQ49" i="13"/>
  <c r="ER49" i="13"/>
  <c r="ES49" i="13"/>
  <c r="ET49" i="13"/>
  <c r="EU49" i="13"/>
  <c r="EV49" i="13"/>
  <c r="EW49" i="13"/>
  <c r="EX49" i="13"/>
  <c r="EY49" i="13"/>
  <c r="EZ49" i="13"/>
  <c r="FA49" i="13"/>
  <c r="FB49" i="13"/>
  <c r="FC49" i="13"/>
  <c r="FD49" i="13"/>
  <c r="FE49" i="13"/>
  <c r="FF49" i="13"/>
  <c r="FG49" i="13"/>
  <c r="FH49" i="13"/>
  <c r="FI49" i="13"/>
  <c r="FJ49" i="13"/>
  <c r="FK49" i="13"/>
  <c r="FL49" i="13"/>
  <c r="FM49" i="13"/>
  <c r="FN49" i="13"/>
  <c r="FO49" i="13"/>
  <c r="FP49" i="13"/>
  <c r="FQ49" i="13"/>
  <c r="FR49" i="13"/>
  <c r="FS49" i="13"/>
  <c r="FT49" i="13"/>
  <c r="FU49" i="13"/>
  <c r="FV49" i="13"/>
  <c r="FW49" i="13"/>
  <c r="FX49" i="13"/>
  <c r="FY49" i="13"/>
  <c r="FZ49" i="13"/>
  <c r="GA49" i="13"/>
  <c r="GB49" i="13"/>
  <c r="GC49" i="13"/>
  <c r="GD49" i="13"/>
  <c r="GE49" i="13"/>
  <c r="GF49" i="13"/>
  <c r="GG49" i="13"/>
  <c r="GH49" i="13"/>
  <c r="GI49" i="13"/>
  <c r="GJ49" i="13"/>
  <c r="GK49" i="13"/>
  <c r="GL49" i="13"/>
  <c r="GM49" i="13"/>
  <c r="GN49" i="13"/>
  <c r="GO49" i="13"/>
  <c r="GP49" i="13"/>
  <c r="GQ49" i="13"/>
  <c r="GR49" i="13"/>
  <c r="GS49" i="13"/>
  <c r="GT49" i="13"/>
  <c r="GU49" i="13"/>
  <c r="GV49" i="13"/>
  <c r="GW49" i="13"/>
  <c r="GX49" i="13"/>
  <c r="GY49" i="13"/>
  <c r="GZ49" i="13"/>
  <c r="HA49" i="13"/>
  <c r="HB49" i="13"/>
  <c r="HC49" i="13"/>
  <c r="HD49" i="13"/>
  <c r="HE49" i="13"/>
  <c r="HF49" i="13"/>
  <c r="HG49" i="13"/>
  <c r="HH49" i="13"/>
  <c r="HI49" i="13"/>
  <c r="HJ49" i="13"/>
  <c r="HK49" i="13"/>
  <c r="HL49" i="13"/>
  <c r="HM49" i="13"/>
  <c r="HN49" i="13"/>
  <c r="HO49" i="13"/>
  <c r="HP49" i="13"/>
  <c r="HQ49" i="13"/>
  <c r="HR49" i="13"/>
  <c r="HS49" i="13"/>
  <c r="HT49" i="13"/>
  <c r="HU49" i="13"/>
  <c r="HV49" i="13"/>
  <c r="HW49" i="13"/>
  <c r="HX49" i="13"/>
  <c r="HY49" i="13"/>
  <c r="HZ49" i="13"/>
  <c r="IA49" i="13"/>
  <c r="IB49" i="13"/>
  <c r="IC49" i="13"/>
  <c r="ID49" i="13"/>
  <c r="IE49" i="13"/>
  <c r="IF49" i="13"/>
  <c r="IG49" i="13"/>
  <c r="IH49" i="13"/>
  <c r="II49" i="13"/>
  <c r="IJ49" i="13"/>
  <c r="IK49" i="13"/>
  <c r="IL49" i="13"/>
  <c r="IM49" i="13"/>
  <c r="IN49" i="13"/>
  <c r="IO49" i="13"/>
  <c r="IP49" i="13"/>
  <c r="IQ49" i="13"/>
  <c r="IR49" i="13"/>
  <c r="IS49" i="13"/>
  <c r="IT49" i="13"/>
  <c r="IU49" i="13"/>
  <c r="IV49" i="13"/>
  <c r="A48" i="13"/>
  <c r="B48" i="13"/>
  <c r="C48" i="13"/>
  <c r="D48" i="13"/>
  <c r="E48" i="13"/>
  <c r="F48" i="13"/>
  <c r="G48" i="13"/>
  <c r="H48" i="13"/>
  <c r="I48" i="13"/>
  <c r="J48" i="13"/>
  <c r="K48" i="13"/>
  <c r="L48" i="13"/>
  <c r="M48" i="13"/>
  <c r="N48" i="13"/>
  <c r="O48" i="13"/>
  <c r="P48" i="13"/>
  <c r="Q48" i="13"/>
  <c r="R48" i="13"/>
  <c r="S48" i="13"/>
  <c r="T48" i="13"/>
  <c r="U48" i="13"/>
  <c r="V48" i="13"/>
  <c r="W48" i="13"/>
  <c r="X48" i="13"/>
  <c r="Y48" i="13"/>
  <c r="Z48" i="13"/>
  <c r="AA48" i="13"/>
  <c r="AB48" i="13"/>
  <c r="AC48" i="13"/>
  <c r="AD48" i="13"/>
  <c r="AE48" i="13"/>
  <c r="AF48" i="13"/>
  <c r="AG48" i="13"/>
  <c r="AH48" i="13"/>
  <c r="AI48" i="13"/>
  <c r="AJ48" i="13"/>
  <c r="AK48" i="13"/>
  <c r="AL48" i="13"/>
  <c r="AM48" i="13"/>
  <c r="AN48" i="13"/>
  <c r="AO48" i="13"/>
  <c r="AP48" i="13"/>
  <c r="AQ48" i="13"/>
  <c r="AR48" i="13"/>
  <c r="AS48" i="13"/>
  <c r="AT48" i="13"/>
  <c r="AU48" i="13"/>
  <c r="AV48" i="13"/>
  <c r="AW48" i="13"/>
  <c r="AX48" i="13"/>
  <c r="AY48" i="13"/>
  <c r="AZ48" i="13"/>
  <c r="BA48" i="13"/>
  <c r="BB48" i="13"/>
  <c r="BC48" i="13"/>
  <c r="BD48" i="13"/>
  <c r="BE48" i="13"/>
  <c r="BF48" i="13"/>
  <c r="BG48" i="13"/>
  <c r="BH48" i="13"/>
  <c r="BI48" i="13"/>
  <c r="BJ48" i="13"/>
  <c r="BK48" i="13"/>
  <c r="BL48" i="13"/>
  <c r="BM48" i="13"/>
  <c r="BN48" i="13"/>
  <c r="BO48" i="13"/>
  <c r="BP48" i="13"/>
  <c r="BQ48" i="13"/>
  <c r="BR48" i="13"/>
  <c r="BS48" i="13"/>
  <c r="BT48" i="13"/>
  <c r="BU48" i="13"/>
  <c r="BV48" i="13"/>
  <c r="BW48" i="13"/>
  <c r="BX48" i="13"/>
  <c r="BY48" i="13"/>
  <c r="BZ48" i="13"/>
  <c r="CA48" i="13"/>
  <c r="CB48" i="13"/>
  <c r="CC48" i="13"/>
  <c r="CD48" i="13"/>
  <c r="CE48" i="13"/>
  <c r="CF48" i="13"/>
  <c r="CG48" i="13"/>
  <c r="CH48" i="13"/>
  <c r="CI48" i="13"/>
  <c r="CJ48" i="13"/>
  <c r="CK48" i="13"/>
  <c r="CL48" i="13"/>
  <c r="CM48" i="13"/>
  <c r="CN48" i="13"/>
  <c r="CO48" i="13"/>
  <c r="CP48" i="13"/>
  <c r="CQ48" i="13"/>
  <c r="CR48" i="13"/>
  <c r="CS48" i="13"/>
  <c r="CT48" i="13"/>
  <c r="CU48" i="13"/>
  <c r="CV48" i="13"/>
  <c r="CW48" i="13"/>
  <c r="CX48" i="13"/>
  <c r="CY48" i="13"/>
  <c r="CZ48" i="13"/>
  <c r="DA48" i="13"/>
  <c r="DB48" i="13"/>
  <c r="DC48" i="13"/>
  <c r="DD48" i="13"/>
  <c r="DE48" i="13"/>
  <c r="DF48" i="13"/>
  <c r="DG48" i="13"/>
  <c r="DH48" i="13"/>
  <c r="DI48" i="13"/>
  <c r="DJ48" i="13"/>
  <c r="DK48" i="13"/>
  <c r="DL48" i="13"/>
  <c r="DM48" i="13"/>
  <c r="DN48" i="13"/>
  <c r="DO48" i="13"/>
  <c r="DP48" i="13"/>
  <c r="DQ48" i="13"/>
  <c r="DR48" i="13"/>
  <c r="DS48" i="13"/>
  <c r="DT48" i="13"/>
  <c r="DU48" i="13"/>
  <c r="DV48" i="13"/>
  <c r="DW48" i="13"/>
  <c r="DX48" i="13"/>
  <c r="DY48" i="13"/>
  <c r="DZ48" i="13"/>
  <c r="EA48" i="13"/>
  <c r="EB48" i="13"/>
  <c r="EC48" i="13"/>
  <c r="ED48" i="13"/>
  <c r="EE48" i="13"/>
  <c r="EF48" i="13"/>
  <c r="EG48" i="13"/>
  <c r="EH48" i="13"/>
  <c r="EI48" i="13"/>
  <c r="EJ48" i="13"/>
  <c r="EK48" i="13"/>
  <c r="EL48" i="13"/>
  <c r="EM48" i="13"/>
  <c r="EN48" i="13"/>
  <c r="EO48" i="13"/>
  <c r="EP48" i="13"/>
  <c r="EQ48" i="13"/>
  <c r="ER48" i="13"/>
  <c r="ES48" i="13"/>
  <c r="ET48" i="13"/>
  <c r="EU48" i="13"/>
  <c r="EV48" i="13"/>
  <c r="EW48" i="13"/>
  <c r="EX48" i="13"/>
  <c r="EY48" i="13"/>
  <c r="EZ48" i="13"/>
  <c r="FA48" i="13"/>
  <c r="FB48" i="13"/>
  <c r="FC48" i="13"/>
  <c r="FD48" i="13"/>
  <c r="FE48" i="13"/>
  <c r="FF48" i="13"/>
  <c r="FG48" i="13"/>
  <c r="FH48" i="13"/>
  <c r="FI48" i="13"/>
  <c r="FJ48" i="13"/>
  <c r="FK48" i="13"/>
  <c r="FL48" i="13"/>
  <c r="FM48" i="13"/>
  <c r="FN48" i="13"/>
  <c r="FO48" i="13"/>
  <c r="FP48" i="13"/>
  <c r="FQ48" i="13"/>
  <c r="FR48" i="13"/>
  <c r="FS48" i="13"/>
  <c r="FT48" i="13"/>
  <c r="FU48" i="13"/>
  <c r="FV48" i="13"/>
  <c r="FW48" i="13"/>
  <c r="FX48" i="13"/>
  <c r="FY48" i="13"/>
  <c r="FZ48" i="13"/>
  <c r="GA48" i="13"/>
  <c r="GB48" i="13"/>
  <c r="GC48" i="13"/>
  <c r="GD48" i="13"/>
  <c r="GE48" i="13"/>
  <c r="GF48" i="13"/>
  <c r="GG48" i="13"/>
  <c r="GH48" i="13"/>
  <c r="GI48" i="13"/>
  <c r="GJ48" i="13"/>
  <c r="GK48" i="13"/>
  <c r="GL48" i="13"/>
  <c r="GM48" i="13"/>
  <c r="GN48" i="13"/>
  <c r="GO48" i="13"/>
  <c r="GP48" i="13"/>
  <c r="GQ48" i="13"/>
  <c r="GR48" i="13"/>
  <c r="GS48" i="13"/>
  <c r="GT48" i="13"/>
  <c r="GU48" i="13"/>
  <c r="GV48" i="13"/>
  <c r="GW48" i="13"/>
  <c r="GX48" i="13"/>
  <c r="GY48" i="13"/>
  <c r="GZ48" i="13"/>
  <c r="HA48" i="13"/>
  <c r="HB48" i="13"/>
  <c r="HC48" i="13"/>
  <c r="HD48" i="13"/>
  <c r="HE48" i="13"/>
  <c r="HF48" i="13"/>
  <c r="HG48" i="13"/>
  <c r="HH48" i="13"/>
  <c r="HI48" i="13"/>
  <c r="HJ48" i="13"/>
  <c r="HK48" i="13"/>
  <c r="HL48" i="13"/>
  <c r="HM48" i="13"/>
  <c r="HN48" i="13"/>
  <c r="HO48" i="13"/>
  <c r="HP48" i="13"/>
  <c r="HQ48" i="13"/>
  <c r="HR48" i="13"/>
  <c r="HS48" i="13"/>
  <c r="HT48" i="13"/>
  <c r="HU48" i="13"/>
  <c r="HV48" i="13"/>
  <c r="HW48" i="13"/>
  <c r="HX48" i="13"/>
  <c r="HY48" i="13"/>
  <c r="HZ48" i="13"/>
  <c r="IA48" i="13"/>
  <c r="IB48" i="13"/>
  <c r="IC48" i="13"/>
  <c r="ID48" i="13"/>
  <c r="IE48" i="13"/>
  <c r="IF48" i="13"/>
  <c r="IG48" i="13"/>
  <c r="IH48" i="13"/>
  <c r="II48" i="13"/>
  <c r="IJ48" i="13"/>
  <c r="IK48" i="13"/>
  <c r="IL48" i="13"/>
  <c r="IM48" i="13"/>
  <c r="IN48" i="13"/>
  <c r="IO48" i="13"/>
  <c r="IP48" i="13"/>
  <c r="IQ48" i="13"/>
  <c r="IR48" i="13"/>
  <c r="IS48" i="13"/>
  <c r="IT48" i="13"/>
  <c r="IU48" i="13"/>
  <c r="IV48" i="13"/>
  <c r="A47" i="13"/>
  <c r="B47" i="13"/>
  <c r="C47" i="13"/>
  <c r="D47" i="13"/>
  <c r="E47" i="13"/>
  <c r="F47" i="13"/>
  <c r="G47" i="13"/>
  <c r="H47" i="13"/>
  <c r="I47" i="13"/>
  <c r="J47" i="13"/>
  <c r="K47" i="13"/>
  <c r="L47" i="13"/>
  <c r="M47" i="13"/>
  <c r="N47" i="13"/>
  <c r="O47" i="13"/>
  <c r="P47" i="13"/>
  <c r="Q47" i="13"/>
  <c r="R47" i="13"/>
  <c r="S47" i="13"/>
  <c r="T47" i="13"/>
  <c r="U47" i="13"/>
  <c r="V47" i="13"/>
  <c r="W47" i="13"/>
  <c r="X47" i="13"/>
  <c r="Y47" i="13"/>
  <c r="Z47" i="13"/>
  <c r="AA47" i="13"/>
  <c r="AB47" i="13"/>
  <c r="AC47" i="13"/>
  <c r="AD47" i="13"/>
  <c r="AE47" i="13"/>
  <c r="AF47" i="13"/>
  <c r="AG47" i="13"/>
  <c r="AH47" i="13"/>
  <c r="AI47" i="13"/>
  <c r="AJ47" i="13"/>
  <c r="AK47" i="13"/>
  <c r="AL47" i="13"/>
  <c r="AM47" i="13"/>
  <c r="AN47" i="13"/>
  <c r="AO47" i="13"/>
  <c r="AP47" i="13"/>
  <c r="AQ47" i="13"/>
  <c r="AR47" i="13"/>
  <c r="AS47" i="13"/>
  <c r="AT47" i="13"/>
  <c r="AU47" i="13"/>
  <c r="AV47" i="13"/>
  <c r="AW47" i="13"/>
  <c r="AX47" i="13"/>
  <c r="AY47" i="13"/>
  <c r="AZ47" i="13"/>
  <c r="BA47" i="13"/>
  <c r="BB47" i="13"/>
  <c r="BC47" i="13"/>
  <c r="BD47" i="13"/>
  <c r="BE47" i="13"/>
  <c r="BF47" i="13"/>
  <c r="BG47" i="13"/>
  <c r="BH47" i="13"/>
  <c r="BI47" i="13"/>
  <c r="BJ47" i="13"/>
  <c r="BK47" i="13"/>
  <c r="BL47" i="13"/>
  <c r="BM47" i="13"/>
  <c r="BN47" i="13"/>
  <c r="BO47" i="13"/>
  <c r="BP47" i="13"/>
  <c r="BQ47" i="13"/>
  <c r="BR47" i="13"/>
  <c r="BS47" i="13"/>
  <c r="BT47" i="13"/>
  <c r="BU47" i="13"/>
  <c r="BV47" i="13"/>
  <c r="BW47" i="13"/>
  <c r="BX47" i="13"/>
  <c r="BY47" i="13"/>
  <c r="BZ47" i="13"/>
  <c r="CA47" i="13"/>
  <c r="CB47" i="13"/>
  <c r="CC47" i="13"/>
  <c r="CD47" i="13"/>
  <c r="CE47" i="13"/>
  <c r="CF47" i="13"/>
  <c r="CG47" i="13"/>
  <c r="CH47" i="13"/>
  <c r="CI47" i="13"/>
  <c r="CJ47" i="13"/>
  <c r="CK47" i="13"/>
  <c r="CL47" i="13"/>
  <c r="CM47" i="13"/>
  <c r="CN47" i="13"/>
  <c r="CO47" i="13"/>
  <c r="CP47" i="13"/>
  <c r="CQ47" i="13"/>
  <c r="CR47" i="13"/>
  <c r="CS47" i="13"/>
  <c r="CT47" i="13"/>
  <c r="CU47" i="13"/>
  <c r="CV47" i="13"/>
  <c r="CW47" i="13"/>
  <c r="CX47" i="13"/>
  <c r="CY47" i="13"/>
  <c r="CZ47" i="13"/>
  <c r="DA47" i="13"/>
  <c r="DB47" i="13"/>
  <c r="DC47" i="13"/>
  <c r="DD47" i="13"/>
  <c r="DE47" i="13"/>
  <c r="DF47" i="13"/>
  <c r="DG47" i="13"/>
  <c r="DH47" i="13"/>
  <c r="DI47" i="13"/>
  <c r="DJ47" i="13"/>
  <c r="DK47" i="13"/>
  <c r="DL47" i="13"/>
  <c r="DM47" i="13"/>
  <c r="DN47" i="13"/>
  <c r="DO47" i="13"/>
  <c r="DP47" i="13"/>
  <c r="DQ47" i="13"/>
  <c r="DR47" i="13"/>
  <c r="DS47" i="13"/>
  <c r="DT47" i="13"/>
  <c r="DU47" i="13"/>
  <c r="DV47" i="13"/>
  <c r="DW47" i="13"/>
  <c r="DX47" i="13"/>
  <c r="DY47" i="13"/>
  <c r="DZ47" i="13"/>
  <c r="EA47" i="13"/>
  <c r="EB47" i="13"/>
  <c r="EC47" i="13"/>
  <c r="ED47" i="13"/>
  <c r="EE47" i="13"/>
  <c r="EF47" i="13"/>
  <c r="EG47" i="13"/>
  <c r="EH47" i="13"/>
  <c r="EI47" i="13"/>
  <c r="EJ47" i="13"/>
  <c r="EK47" i="13"/>
  <c r="EL47" i="13"/>
  <c r="EM47" i="13"/>
  <c r="EN47" i="13"/>
  <c r="EO47" i="13"/>
  <c r="EP47" i="13"/>
  <c r="EQ47" i="13"/>
  <c r="ER47" i="13"/>
  <c r="ES47" i="13"/>
  <c r="ET47" i="13"/>
  <c r="EU47" i="13"/>
  <c r="EV47" i="13"/>
  <c r="EW47" i="13"/>
  <c r="EX47" i="13"/>
  <c r="EY47" i="13"/>
  <c r="EZ47" i="13"/>
  <c r="FA47" i="13"/>
  <c r="FB47" i="13"/>
  <c r="FC47" i="13"/>
  <c r="FD47" i="13"/>
  <c r="FE47" i="13"/>
  <c r="FF47" i="13"/>
  <c r="FG47" i="13"/>
  <c r="FH47" i="13"/>
  <c r="FI47" i="13"/>
  <c r="FJ47" i="13"/>
  <c r="FK47" i="13"/>
  <c r="FL47" i="13"/>
  <c r="FM47" i="13"/>
  <c r="FN47" i="13"/>
  <c r="FO47" i="13"/>
  <c r="FP47" i="13"/>
  <c r="FQ47" i="13"/>
  <c r="FR47" i="13"/>
  <c r="FS47" i="13"/>
  <c r="FT47" i="13"/>
  <c r="FU47" i="13"/>
  <c r="FV47" i="13"/>
  <c r="FW47" i="13"/>
  <c r="FX47" i="13"/>
  <c r="FY47" i="13"/>
  <c r="FZ47" i="13"/>
  <c r="GA47" i="13"/>
  <c r="GB47" i="13"/>
  <c r="GC47" i="13"/>
  <c r="GD47" i="13"/>
  <c r="GE47" i="13"/>
  <c r="GF47" i="13"/>
  <c r="GG47" i="13"/>
  <c r="GH47" i="13"/>
  <c r="GI47" i="13"/>
  <c r="GJ47" i="13"/>
  <c r="GK47" i="13"/>
  <c r="GL47" i="13"/>
  <c r="GM47" i="13"/>
  <c r="GN47" i="13"/>
  <c r="GO47" i="13"/>
  <c r="GP47" i="13"/>
  <c r="GQ47" i="13"/>
  <c r="GR47" i="13"/>
  <c r="GS47" i="13"/>
  <c r="GT47" i="13"/>
  <c r="GU47" i="13"/>
  <c r="GV47" i="13"/>
  <c r="GW47" i="13"/>
  <c r="GX47" i="13"/>
  <c r="GY47" i="13"/>
  <c r="GZ47" i="13"/>
  <c r="HA47" i="13"/>
  <c r="HB47" i="13"/>
  <c r="HC47" i="13"/>
  <c r="HD47" i="13"/>
  <c r="HE47" i="13"/>
  <c r="HF47" i="13"/>
  <c r="HG47" i="13"/>
  <c r="HH47" i="13"/>
  <c r="HI47" i="13"/>
  <c r="HJ47" i="13"/>
  <c r="HK47" i="13"/>
  <c r="HL47" i="13"/>
  <c r="HM47" i="13"/>
  <c r="HN47" i="13"/>
  <c r="HO47" i="13"/>
  <c r="HP47" i="13"/>
  <c r="HQ47" i="13"/>
  <c r="HR47" i="13"/>
  <c r="HS47" i="13"/>
  <c r="HT47" i="13"/>
  <c r="HU47" i="13"/>
  <c r="HV47" i="13"/>
  <c r="HW47" i="13"/>
  <c r="HX47" i="13"/>
  <c r="HY47" i="13"/>
  <c r="HZ47" i="13"/>
  <c r="IA47" i="13"/>
  <c r="IB47" i="13"/>
  <c r="IC47" i="13"/>
  <c r="ID47" i="13"/>
  <c r="IE47" i="13"/>
  <c r="IF47" i="13"/>
  <c r="IG47" i="13"/>
  <c r="IH47" i="13"/>
  <c r="II47" i="13"/>
  <c r="IJ47" i="13"/>
  <c r="IK47" i="13"/>
  <c r="IL47" i="13"/>
  <c r="IM47" i="13"/>
  <c r="IN47" i="13"/>
  <c r="IO47" i="13"/>
  <c r="IP47" i="13"/>
  <c r="IQ47" i="13"/>
  <c r="IR47" i="13"/>
  <c r="IS47" i="13"/>
  <c r="IT47" i="13"/>
  <c r="IU47" i="13"/>
  <c r="IV47" i="13"/>
  <c r="A46" i="13"/>
  <c r="B46" i="13"/>
  <c r="C46" i="13"/>
  <c r="D46" i="13"/>
  <c r="E46" i="13"/>
  <c r="F46" i="13"/>
  <c r="G46" i="13"/>
  <c r="H46" i="13"/>
  <c r="I46" i="13"/>
  <c r="J46" i="13"/>
  <c r="K46" i="13"/>
  <c r="L46" i="13"/>
  <c r="M46" i="13"/>
  <c r="N46" i="13"/>
  <c r="O46" i="13"/>
  <c r="P46" i="13"/>
  <c r="Q46" i="13"/>
  <c r="R46" i="13"/>
  <c r="S46" i="13"/>
  <c r="T46" i="13"/>
  <c r="U46" i="13"/>
  <c r="V46" i="13"/>
  <c r="W46" i="13"/>
  <c r="X46" i="13"/>
  <c r="Y46" i="13"/>
  <c r="Z46" i="13"/>
  <c r="AA46" i="13"/>
  <c r="AB46" i="13"/>
  <c r="AC46" i="13"/>
  <c r="AD46" i="13"/>
  <c r="AE46" i="13"/>
  <c r="AF46" i="13"/>
  <c r="AG46" i="13"/>
  <c r="AH46" i="13"/>
  <c r="AI46" i="13"/>
  <c r="AJ46" i="13"/>
  <c r="AK46" i="13"/>
  <c r="AL46" i="13"/>
  <c r="AM46" i="13"/>
  <c r="AN46" i="13"/>
  <c r="AO46" i="13"/>
  <c r="AP46" i="13"/>
  <c r="AQ46" i="13"/>
  <c r="AR46" i="13"/>
  <c r="AS46" i="13"/>
  <c r="AT46" i="13"/>
  <c r="AU46" i="13"/>
  <c r="AV46" i="13"/>
  <c r="AW46" i="13"/>
  <c r="AX46" i="13"/>
  <c r="AY46" i="13"/>
  <c r="AZ46" i="13"/>
  <c r="BA46" i="13"/>
  <c r="BB46" i="13"/>
  <c r="BC46" i="13"/>
  <c r="BD46" i="13"/>
  <c r="BE46" i="13"/>
  <c r="BF46" i="13"/>
  <c r="BG46" i="13"/>
  <c r="BH46" i="13"/>
  <c r="BI46" i="13"/>
  <c r="BJ46" i="13"/>
  <c r="BK46" i="13"/>
  <c r="BL46" i="13"/>
  <c r="BM46" i="13"/>
  <c r="BN46" i="13"/>
  <c r="BO46" i="13"/>
  <c r="BP46" i="13"/>
  <c r="BQ46" i="13"/>
  <c r="BR46" i="13"/>
  <c r="BS46" i="13"/>
  <c r="BT46" i="13"/>
  <c r="BU46" i="13"/>
  <c r="BV46" i="13"/>
  <c r="BW46" i="13"/>
  <c r="BX46" i="13"/>
  <c r="BY46" i="13"/>
  <c r="BZ46" i="13"/>
  <c r="CA46" i="13"/>
  <c r="CB46" i="13"/>
  <c r="CC46" i="13"/>
  <c r="CD46" i="13"/>
  <c r="CE46" i="13"/>
  <c r="CF46" i="13"/>
  <c r="CG46" i="13"/>
  <c r="CH46" i="13"/>
  <c r="CI46" i="13"/>
  <c r="CJ46" i="13"/>
  <c r="CK46" i="13"/>
  <c r="CL46" i="13"/>
  <c r="CM46" i="13"/>
  <c r="CN46" i="13"/>
  <c r="CO46" i="13"/>
  <c r="CP46" i="13"/>
  <c r="CQ46" i="13"/>
  <c r="CR46" i="13"/>
  <c r="CS46" i="13"/>
  <c r="CT46" i="13"/>
  <c r="CU46" i="13"/>
  <c r="CV46" i="13"/>
  <c r="CW46" i="13"/>
  <c r="CX46" i="13"/>
  <c r="CY46" i="13"/>
  <c r="CZ46" i="13"/>
  <c r="DA46" i="13"/>
  <c r="DB46" i="13"/>
  <c r="DC46" i="13"/>
  <c r="DD46" i="13"/>
  <c r="DE46" i="13"/>
  <c r="DF46" i="13"/>
  <c r="DG46" i="13"/>
  <c r="DH46" i="13"/>
  <c r="DI46" i="13"/>
  <c r="DJ46" i="13"/>
  <c r="DK46" i="13"/>
  <c r="DL46" i="13"/>
  <c r="DM46" i="13"/>
  <c r="DN46" i="13"/>
  <c r="DO46" i="13"/>
  <c r="DP46" i="13"/>
  <c r="DQ46" i="13"/>
  <c r="DR46" i="13"/>
  <c r="DS46" i="13"/>
  <c r="DT46" i="13"/>
  <c r="DU46" i="13"/>
  <c r="DV46" i="13"/>
  <c r="DW46" i="13"/>
  <c r="DX46" i="13"/>
  <c r="DY46" i="13"/>
  <c r="DZ46" i="13"/>
  <c r="EA46" i="13"/>
  <c r="EB46" i="13"/>
  <c r="EC46" i="13"/>
  <c r="ED46" i="13"/>
  <c r="EE46" i="13"/>
  <c r="EF46" i="13"/>
  <c r="EG46" i="13"/>
  <c r="EH46" i="13"/>
  <c r="EI46" i="13"/>
  <c r="EJ46" i="13"/>
  <c r="EK46" i="13"/>
  <c r="EL46" i="13"/>
  <c r="EM46" i="13"/>
  <c r="EN46" i="13"/>
  <c r="EO46" i="13"/>
  <c r="EP46" i="13"/>
  <c r="EQ46" i="13"/>
  <c r="ER46" i="13"/>
  <c r="ES46" i="13"/>
  <c r="ET46" i="13"/>
  <c r="EU46" i="13"/>
  <c r="EV46" i="13"/>
  <c r="EW46" i="13"/>
  <c r="EX46" i="13"/>
  <c r="EY46" i="13"/>
  <c r="EZ46" i="13"/>
  <c r="FA46" i="13"/>
  <c r="FB46" i="13"/>
  <c r="FC46" i="13"/>
  <c r="FD46" i="13"/>
  <c r="FE46" i="13"/>
  <c r="FF46" i="13"/>
  <c r="FG46" i="13"/>
  <c r="FH46" i="13"/>
  <c r="FI46" i="13"/>
  <c r="FJ46" i="13"/>
  <c r="FK46" i="13"/>
  <c r="FL46" i="13"/>
  <c r="FM46" i="13"/>
  <c r="FN46" i="13"/>
  <c r="FO46" i="13"/>
  <c r="FP46" i="13"/>
  <c r="FQ46" i="13"/>
  <c r="FR46" i="13"/>
  <c r="FS46" i="13"/>
  <c r="FT46" i="13"/>
  <c r="FU46" i="13"/>
  <c r="FV46" i="13"/>
  <c r="FW46" i="13"/>
  <c r="FX46" i="13"/>
  <c r="FY46" i="13"/>
  <c r="FZ46" i="13"/>
  <c r="GA46" i="13"/>
  <c r="GB46" i="13"/>
  <c r="GC46" i="13"/>
  <c r="GD46" i="13"/>
  <c r="GE46" i="13"/>
  <c r="GF46" i="13"/>
  <c r="GG46" i="13"/>
  <c r="GH46" i="13"/>
  <c r="GI46" i="13"/>
  <c r="GJ46" i="13"/>
  <c r="GK46" i="13"/>
  <c r="GL46" i="13"/>
  <c r="GM46" i="13"/>
  <c r="GN46" i="13"/>
  <c r="GO46" i="13"/>
  <c r="GP46" i="13"/>
  <c r="GQ46" i="13"/>
  <c r="GR46" i="13"/>
  <c r="GS46" i="13"/>
  <c r="GT46" i="13"/>
  <c r="GU46" i="13"/>
  <c r="GV46" i="13"/>
  <c r="GW46" i="13"/>
  <c r="GX46" i="13"/>
  <c r="GY46" i="13"/>
  <c r="GZ46" i="13"/>
  <c r="HA46" i="13"/>
  <c r="HB46" i="13"/>
  <c r="HC46" i="13"/>
  <c r="HD46" i="13"/>
  <c r="HE46" i="13"/>
  <c r="HF46" i="13"/>
  <c r="HG46" i="13"/>
  <c r="HH46" i="13"/>
  <c r="HI46" i="13"/>
  <c r="HJ46" i="13"/>
  <c r="HK46" i="13"/>
  <c r="HL46" i="13"/>
  <c r="HM46" i="13"/>
  <c r="HN46" i="13"/>
  <c r="HO46" i="13"/>
  <c r="HP46" i="13"/>
  <c r="HQ46" i="13"/>
  <c r="HR46" i="13"/>
  <c r="HS46" i="13"/>
  <c r="HT46" i="13"/>
  <c r="HU46" i="13"/>
  <c r="HV46" i="13"/>
  <c r="HW46" i="13"/>
  <c r="HX46" i="13"/>
  <c r="HY46" i="13"/>
  <c r="HZ46" i="13"/>
  <c r="IA46" i="13"/>
  <c r="IB46" i="13"/>
  <c r="IC46" i="13"/>
  <c r="ID46" i="13"/>
  <c r="IE46" i="13"/>
  <c r="IF46" i="13"/>
  <c r="IG46" i="13"/>
  <c r="IH46" i="13"/>
  <c r="II46" i="13"/>
  <c r="IJ46" i="13"/>
  <c r="IK46" i="13"/>
  <c r="IL46" i="13"/>
  <c r="IM46" i="13"/>
  <c r="IN46" i="13"/>
  <c r="IO46" i="13"/>
  <c r="IP46" i="13"/>
  <c r="IQ46" i="13"/>
  <c r="IR46" i="13"/>
  <c r="IS46" i="13"/>
  <c r="IT46" i="13"/>
  <c r="IU46" i="13"/>
  <c r="IV46" i="13"/>
  <c r="A45" i="13"/>
  <c r="B45" i="13"/>
  <c r="C45" i="13"/>
  <c r="D45" i="13"/>
  <c r="E45" i="13"/>
  <c r="F45" i="13"/>
  <c r="G45" i="13"/>
  <c r="H45" i="13"/>
  <c r="I45" i="13"/>
  <c r="J45" i="13"/>
  <c r="K45" i="13"/>
  <c r="L45" i="13"/>
  <c r="M45" i="13"/>
  <c r="N45" i="13"/>
  <c r="O45" i="13"/>
  <c r="P45" i="13"/>
  <c r="Q45" i="13"/>
  <c r="R45" i="13"/>
  <c r="S45" i="13"/>
  <c r="T45" i="13"/>
  <c r="U45" i="13"/>
  <c r="V45" i="13"/>
  <c r="W45" i="13"/>
  <c r="X45" i="13"/>
  <c r="Y45" i="13"/>
  <c r="Z45" i="13"/>
  <c r="AA45" i="13"/>
  <c r="AB45" i="13"/>
  <c r="AC45" i="13"/>
  <c r="AD45" i="13"/>
  <c r="AE45" i="13"/>
  <c r="AF45" i="13"/>
  <c r="AG45" i="13"/>
  <c r="AH45" i="13"/>
  <c r="AI45" i="13"/>
  <c r="AJ45" i="13"/>
  <c r="AK45" i="13"/>
  <c r="AL45" i="13"/>
  <c r="AM45" i="13"/>
  <c r="AN45" i="13"/>
  <c r="AO45" i="13"/>
  <c r="AP45" i="13"/>
  <c r="AQ45" i="13"/>
  <c r="AR45" i="13"/>
  <c r="AS45" i="13"/>
  <c r="AT45" i="13"/>
  <c r="AU45" i="13"/>
  <c r="AV45" i="13"/>
  <c r="AW45" i="13"/>
  <c r="AX45" i="13"/>
  <c r="AY45" i="13"/>
  <c r="AZ45" i="13"/>
  <c r="BA45" i="13"/>
  <c r="BB45" i="13"/>
  <c r="BC45" i="13"/>
  <c r="BD45" i="13"/>
  <c r="BE45" i="13"/>
  <c r="BF45" i="13"/>
  <c r="BG45" i="13"/>
  <c r="BH45" i="13"/>
  <c r="BI45" i="13"/>
  <c r="BJ45" i="13"/>
  <c r="BK45" i="13"/>
  <c r="BL45" i="13"/>
  <c r="BM45" i="13"/>
  <c r="BN45" i="13"/>
  <c r="BO45" i="13"/>
  <c r="BP45" i="13"/>
  <c r="BQ45" i="13"/>
  <c r="BR45" i="13"/>
  <c r="BS45" i="13"/>
  <c r="BT45" i="13"/>
  <c r="BU45" i="13"/>
  <c r="BV45" i="13"/>
  <c r="BW45" i="13"/>
  <c r="BX45" i="13"/>
  <c r="BY45" i="13"/>
  <c r="BZ45" i="13"/>
  <c r="CA45" i="13"/>
  <c r="CB45" i="13"/>
  <c r="CC45" i="13"/>
  <c r="CD45" i="13"/>
  <c r="CE45" i="13"/>
  <c r="CF45" i="13"/>
  <c r="CG45" i="13"/>
  <c r="CH45" i="13"/>
  <c r="CI45" i="13"/>
  <c r="CJ45" i="13"/>
  <c r="CK45" i="13"/>
  <c r="CL45" i="13"/>
  <c r="CM45" i="13"/>
  <c r="CN45" i="13"/>
  <c r="CO45" i="13"/>
  <c r="CP45" i="13"/>
  <c r="CQ45" i="13"/>
  <c r="CR45" i="13"/>
  <c r="CS45" i="13"/>
  <c r="CT45" i="13"/>
  <c r="CU45" i="13"/>
  <c r="CV45" i="13"/>
  <c r="CW45" i="13"/>
  <c r="CX45" i="13"/>
  <c r="CY45" i="13"/>
  <c r="CZ45" i="13"/>
  <c r="DA45" i="13"/>
  <c r="DB45" i="13"/>
  <c r="DC45" i="13"/>
  <c r="DD45" i="13"/>
  <c r="DE45" i="13"/>
  <c r="DF45" i="13"/>
  <c r="DG45" i="13"/>
  <c r="DH45" i="13"/>
  <c r="DI45" i="13"/>
  <c r="DJ45" i="13"/>
  <c r="DK45" i="13"/>
  <c r="DL45" i="13"/>
  <c r="DM45" i="13"/>
  <c r="DN45" i="13"/>
  <c r="DO45" i="13"/>
  <c r="DP45" i="13"/>
  <c r="DQ45" i="13"/>
  <c r="DR45" i="13"/>
  <c r="DS45" i="13"/>
  <c r="DT45" i="13"/>
  <c r="DU45" i="13"/>
  <c r="DV45" i="13"/>
  <c r="DW45" i="13"/>
  <c r="DX45" i="13"/>
  <c r="DY45" i="13"/>
  <c r="DZ45" i="13"/>
  <c r="EA45" i="13"/>
  <c r="EB45" i="13"/>
  <c r="EC45" i="13"/>
  <c r="ED45" i="13"/>
  <c r="EE45" i="13"/>
  <c r="EF45" i="13"/>
  <c r="EG45" i="13"/>
  <c r="EH45" i="13"/>
  <c r="EI45" i="13"/>
  <c r="EJ45" i="13"/>
  <c r="EK45" i="13"/>
  <c r="EL45" i="13"/>
  <c r="EM45" i="13"/>
  <c r="EN45" i="13"/>
  <c r="EO45" i="13"/>
  <c r="EP45" i="13"/>
  <c r="EQ45" i="13"/>
  <c r="ER45" i="13"/>
  <c r="ES45" i="13"/>
  <c r="ET45" i="13"/>
  <c r="EU45" i="13"/>
  <c r="EV45" i="13"/>
  <c r="EW45" i="13"/>
  <c r="EX45" i="13"/>
  <c r="EY45" i="13"/>
  <c r="EZ45" i="13"/>
  <c r="FA45" i="13"/>
  <c r="FB45" i="13"/>
  <c r="FC45" i="13"/>
  <c r="FD45" i="13"/>
  <c r="FE45" i="13"/>
  <c r="FF45" i="13"/>
  <c r="FG45" i="13"/>
  <c r="FH45" i="13"/>
  <c r="FI45" i="13"/>
  <c r="FJ45" i="13"/>
  <c r="FK45" i="13"/>
  <c r="FL45" i="13"/>
  <c r="FM45" i="13"/>
  <c r="FN45" i="13"/>
  <c r="FO45" i="13"/>
  <c r="FP45" i="13"/>
  <c r="FQ45" i="13"/>
  <c r="FR45" i="13"/>
  <c r="FS45" i="13"/>
  <c r="FT45" i="13"/>
  <c r="FU45" i="13"/>
  <c r="FV45" i="13"/>
  <c r="FW45" i="13"/>
  <c r="FX45" i="13"/>
  <c r="FY45" i="13"/>
  <c r="FZ45" i="13"/>
  <c r="GA45" i="13"/>
  <c r="GB45" i="13"/>
  <c r="GC45" i="13"/>
  <c r="GD45" i="13"/>
  <c r="GE45" i="13"/>
  <c r="GF45" i="13"/>
  <c r="GG45" i="13"/>
  <c r="GH45" i="13"/>
  <c r="GI45" i="13"/>
  <c r="GJ45" i="13"/>
  <c r="GK45" i="13"/>
  <c r="GL45" i="13"/>
  <c r="GM45" i="13"/>
  <c r="GN45" i="13"/>
  <c r="GO45" i="13"/>
  <c r="GP45" i="13"/>
  <c r="GQ45" i="13"/>
  <c r="GR45" i="13"/>
  <c r="GS45" i="13"/>
  <c r="GT45" i="13"/>
  <c r="GU45" i="13"/>
  <c r="GV45" i="13"/>
  <c r="GW45" i="13"/>
  <c r="GX45" i="13"/>
  <c r="GY45" i="13"/>
  <c r="GZ45" i="13"/>
  <c r="HA45" i="13"/>
  <c r="HB45" i="13"/>
  <c r="HC45" i="13"/>
  <c r="HD45" i="13"/>
  <c r="HE45" i="13"/>
  <c r="HF45" i="13"/>
  <c r="HG45" i="13"/>
  <c r="HH45" i="13"/>
  <c r="HI45" i="13"/>
  <c r="HJ45" i="13"/>
  <c r="HK45" i="13"/>
  <c r="HL45" i="13"/>
  <c r="HM45" i="13"/>
  <c r="HN45" i="13"/>
  <c r="HO45" i="13"/>
  <c r="HP45" i="13"/>
  <c r="HQ45" i="13"/>
  <c r="HR45" i="13"/>
  <c r="HS45" i="13"/>
  <c r="HT45" i="13"/>
  <c r="HU45" i="13"/>
  <c r="HV45" i="13"/>
  <c r="HW45" i="13"/>
  <c r="HX45" i="13"/>
  <c r="HY45" i="13"/>
  <c r="HZ45" i="13"/>
  <c r="IA45" i="13"/>
  <c r="IB45" i="13"/>
  <c r="IC45" i="13"/>
  <c r="ID45" i="13"/>
  <c r="IE45" i="13"/>
  <c r="IF45" i="13"/>
  <c r="IG45" i="13"/>
  <c r="IH45" i="13"/>
  <c r="II45" i="13"/>
  <c r="IJ45" i="13"/>
  <c r="IK45" i="13"/>
  <c r="IL45" i="13"/>
  <c r="IM45" i="13"/>
  <c r="IN45" i="13"/>
  <c r="IO45" i="13"/>
  <c r="IP45" i="13"/>
  <c r="IQ45" i="13"/>
  <c r="IR45" i="13"/>
  <c r="IS45" i="13"/>
  <c r="IT45" i="13"/>
  <c r="IU45" i="13"/>
  <c r="IV45" i="13"/>
  <c r="A44" i="13"/>
  <c r="B44" i="13"/>
  <c r="C44" i="13"/>
  <c r="D44" i="13"/>
  <c r="E44" i="13"/>
  <c r="F44" i="13"/>
  <c r="G44" i="13"/>
  <c r="H44" i="13"/>
  <c r="I44" i="13"/>
  <c r="J44" i="13"/>
  <c r="K44" i="13"/>
  <c r="L44" i="13"/>
  <c r="N44" i="13"/>
  <c r="O44" i="13"/>
  <c r="P44" i="13"/>
  <c r="Q44" i="13"/>
  <c r="R44" i="13"/>
  <c r="S44" i="13"/>
  <c r="T44" i="13"/>
  <c r="U44" i="13"/>
  <c r="V44" i="13"/>
  <c r="W44" i="13"/>
  <c r="X44" i="13"/>
  <c r="Y44" i="13"/>
  <c r="Z44" i="13"/>
  <c r="AA44" i="13"/>
  <c r="AB44" i="13"/>
  <c r="AC44" i="13"/>
  <c r="AD44" i="13"/>
  <c r="AE44" i="13"/>
  <c r="AF44" i="13"/>
  <c r="AG44" i="13"/>
  <c r="AH44" i="13"/>
  <c r="AI44" i="13"/>
  <c r="AJ44" i="13"/>
  <c r="AK44" i="13"/>
  <c r="AL44" i="13"/>
  <c r="AM44" i="13"/>
  <c r="AN44" i="13"/>
  <c r="AO44" i="13"/>
  <c r="AP44" i="13"/>
  <c r="AQ44" i="13"/>
  <c r="AR44" i="13"/>
  <c r="AS44" i="13"/>
  <c r="AT44" i="13"/>
  <c r="AU44" i="13"/>
  <c r="AV44" i="13"/>
  <c r="AW44" i="13"/>
  <c r="AX44" i="13"/>
  <c r="AY44" i="13"/>
  <c r="AZ44" i="13"/>
  <c r="BA44" i="13"/>
  <c r="BB44" i="13"/>
  <c r="BC44" i="13"/>
  <c r="BD44" i="13"/>
  <c r="BE44" i="13"/>
  <c r="BF44" i="13"/>
  <c r="BG44" i="13"/>
  <c r="BH44" i="13"/>
  <c r="BI44" i="13"/>
  <c r="BJ44" i="13"/>
  <c r="BK44" i="13"/>
  <c r="BL44" i="13"/>
  <c r="BM44" i="13"/>
  <c r="BN44" i="13"/>
  <c r="BO44" i="13"/>
  <c r="BP44" i="13"/>
  <c r="BQ44" i="13"/>
  <c r="BR44" i="13"/>
  <c r="BS44" i="13"/>
  <c r="BT44" i="13"/>
  <c r="BU44" i="13"/>
  <c r="BV44" i="13"/>
  <c r="BW44" i="13"/>
  <c r="BX44" i="13"/>
  <c r="BY44" i="13"/>
  <c r="BZ44" i="13"/>
  <c r="CA44" i="13"/>
  <c r="CB44" i="13"/>
  <c r="CC44" i="13"/>
  <c r="CD44" i="13"/>
  <c r="CE44" i="13"/>
  <c r="CF44" i="13"/>
  <c r="CG44" i="13"/>
  <c r="CH44" i="13"/>
  <c r="CI44" i="13"/>
  <c r="CJ44" i="13"/>
  <c r="CK44" i="13"/>
  <c r="CL44" i="13"/>
  <c r="CM44" i="13"/>
  <c r="CN44" i="13"/>
  <c r="CO44" i="13"/>
  <c r="CP44" i="13"/>
  <c r="CQ44" i="13"/>
  <c r="CR44" i="13"/>
  <c r="CS44" i="13"/>
  <c r="CT44" i="13"/>
  <c r="CU44" i="13"/>
  <c r="CV44" i="13"/>
  <c r="CW44" i="13"/>
  <c r="CX44" i="13"/>
  <c r="CY44" i="13"/>
  <c r="CZ44" i="13"/>
  <c r="DA44" i="13"/>
  <c r="DB44" i="13"/>
  <c r="DC44" i="13"/>
  <c r="DD44" i="13"/>
  <c r="DE44" i="13"/>
  <c r="DF44" i="13"/>
  <c r="DG44" i="13"/>
  <c r="DH44" i="13"/>
  <c r="DI44" i="13"/>
  <c r="DJ44" i="13"/>
  <c r="DK44" i="13"/>
  <c r="DL44" i="13"/>
  <c r="DM44" i="13"/>
  <c r="DN44" i="13"/>
  <c r="DO44" i="13"/>
  <c r="DP44" i="13"/>
  <c r="DQ44" i="13"/>
  <c r="DR44" i="13"/>
  <c r="DS44" i="13"/>
  <c r="DT44" i="13"/>
  <c r="DU44" i="13"/>
  <c r="DV44" i="13"/>
  <c r="DW44" i="13"/>
  <c r="DX44" i="13"/>
  <c r="DY44" i="13"/>
  <c r="DZ44" i="13"/>
  <c r="EA44" i="13"/>
  <c r="EB44" i="13"/>
  <c r="EC44" i="13"/>
  <c r="ED44" i="13"/>
  <c r="EE44" i="13"/>
  <c r="EF44" i="13"/>
  <c r="EG44" i="13"/>
  <c r="EH44" i="13"/>
  <c r="EI44" i="13"/>
  <c r="EJ44" i="13"/>
  <c r="EK44" i="13"/>
  <c r="EL44" i="13"/>
  <c r="EM44" i="13"/>
  <c r="EN44" i="13"/>
  <c r="EO44" i="13"/>
  <c r="EP44" i="13"/>
  <c r="EQ44" i="13"/>
  <c r="ER44" i="13"/>
  <c r="ES44" i="13"/>
  <c r="ET44" i="13"/>
  <c r="EU44" i="13"/>
  <c r="EV44" i="13"/>
  <c r="EW44" i="13"/>
  <c r="EX44" i="13"/>
  <c r="EY44" i="13"/>
  <c r="EZ44" i="13"/>
  <c r="FA44" i="13"/>
  <c r="FB44" i="13"/>
  <c r="FC44" i="13"/>
  <c r="FD44" i="13"/>
  <c r="FE44" i="13"/>
  <c r="FF44" i="13"/>
  <c r="FG44" i="13"/>
  <c r="FH44" i="13"/>
  <c r="FI44" i="13"/>
  <c r="FJ44" i="13"/>
  <c r="FK44" i="13"/>
  <c r="FL44" i="13"/>
  <c r="FM44" i="13"/>
  <c r="FN44" i="13"/>
  <c r="FO44" i="13"/>
  <c r="FP44" i="13"/>
  <c r="FQ44" i="13"/>
  <c r="FR44" i="13"/>
  <c r="FS44" i="13"/>
  <c r="FT44" i="13"/>
  <c r="FU44" i="13"/>
  <c r="FV44" i="13"/>
  <c r="FW44" i="13"/>
  <c r="FX44" i="13"/>
  <c r="FY44" i="13"/>
  <c r="FZ44" i="13"/>
  <c r="GA44" i="13"/>
  <c r="GB44" i="13"/>
  <c r="GC44" i="13"/>
  <c r="GD44" i="13"/>
  <c r="GE44" i="13"/>
  <c r="GF44" i="13"/>
  <c r="GG44" i="13"/>
  <c r="GH44" i="13"/>
  <c r="GI44" i="13"/>
  <c r="GJ44" i="13"/>
  <c r="GK44" i="13"/>
  <c r="GL44" i="13"/>
  <c r="GM44" i="13"/>
  <c r="GN44" i="13"/>
  <c r="GO44" i="13"/>
  <c r="GP44" i="13"/>
  <c r="GQ44" i="13"/>
  <c r="GR44" i="13"/>
  <c r="GS44" i="13"/>
  <c r="GT44" i="13"/>
  <c r="GU44" i="13"/>
  <c r="GV44" i="13"/>
  <c r="GW44" i="13"/>
  <c r="GX44" i="13"/>
  <c r="GY44" i="13"/>
  <c r="GZ44" i="13"/>
  <c r="HA44" i="13"/>
  <c r="HB44" i="13"/>
  <c r="HC44" i="13"/>
  <c r="HD44" i="13"/>
  <c r="HE44" i="13"/>
  <c r="HF44" i="13"/>
  <c r="HG44" i="13"/>
  <c r="HH44" i="13"/>
  <c r="HI44" i="13"/>
  <c r="HJ44" i="13"/>
  <c r="HK44" i="13"/>
  <c r="HL44" i="13"/>
  <c r="HM44" i="13"/>
  <c r="HN44" i="13"/>
  <c r="HO44" i="13"/>
  <c r="HP44" i="13"/>
  <c r="HQ44" i="13"/>
  <c r="HR44" i="13"/>
  <c r="HS44" i="13"/>
  <c r="HT44" i="13"/>
  <c r="HU44" i="13"/>
  <c r="HV44" i="13"/>
  <c r="HW44" i="13"/>
  <c r="HX44" i="13"/>
  <c r="HY44" i="13"/>
  <c r="HZ44" i="13"/>
  <c r="IA44" i="13"/>
  <c r="IB44" i="13"/>
  <c r="IC44" i="13"/>
  <c r="ID44" i="13"/>
  <c r="IE44" i="13"/>
  <c r="IF44" i="13"/>
  <c r="IG44" i="13"/>
  <c r="IH44" i="13"/>
  <c r="II44" i="13"/>
  <c r="IJ44" i="13"/>
  <c r="IK44" i="13"/>
  <c r="IL44" i="13"/>
  <c r="IM44" i="13"/>
  <c r="IN44" i="13"/>
  <c r="IO44" i="13"/>
  <c r="IP44" i="13"/>
  <c r="IQ44" i="13"/>
  <c r="IR44" i="13"/>
  <c r="IS44" i="13"/>
  <c r="IT44" i="13"/>
  <c r="IU44" i="13"/>
  <c r="IV44" i="13"/>
  <c r="A43" i="13"/>
  <c r="B43" i="13"/>
  <c r="C43" i="13"/>
  <c r="D43" i="13"/>
  <c r="E43" i="13"/>
  <c r="F43" i="13"/>
  <c r="G43" i="13"/>
  <c r="H43" i="13"/>
  <c r="I43" i="13"/>
  <c r="J43" i="13"/>
  <c r="K43" i="13"/>
  <c r="L43" i="13"/>
  <c r="M43" i="13"/>
  <c r="N43" i="13"/>
  <c r="O43" i="13"/>
  <c r="P43" i="13"/>
  <c r="Q43" i="13"/>
  <c r="R43" i="13"/>
  <c r="S43" i="13"/>
  <c r="T43" i="13"/>
  <c r="U43" i="13"/>
  <c r="V43" i="13"/>
  <c r="W43" i="13"/>
  <c r="X43" i="13"/>
  <c r="Y43" i="13"/>
  <c r="Z43" i="13"/>
  <c r="AA43" i="13"/>
  <c r="AB43" i="13"/>
  <c r="AC43" i="13"/>
  <c r="AD43" i="13"/>
  <c r="AE43" i="13"/>
  <c r="AF43" i="13"/>
  <c r="AG43" i="13"/>
  <c r="AH43" i="13"/>
  <c r="AI43" i="13"/>
  <c r="AJ43" i="13"/>
  <c r="AK43" i="13"/>
  <c r="AL43" i="13"/>
  <c r="AM43" i="13"/>
  <c r="AN43" i="13"/>
  <c r="AO43" i="13"/>
  <c r="AP43" i="13"/>
  <c r="AQ43" i="13"/>
  <c r="AR43" i="13"/>
  <c r="AS43" i="13"/>
  <c r="AT43" i="13"/>
  <c r="AU43" i="13"/>
  <c r="AV43" i="13"/>
  <c r="AW43" i="13"/>
  <c r="AX43" i="13"/>
  <c r="AY43" i="13"/>
  <c r="AZ43" i="13"/>
  <c r="BA43" i="13"/>
  <c r="BB43" i="13"/>
  <c r="BC43" i="13"/>
  <c r="BD43" i="13"/>
  <c r="BE43" i="13"/>
  <c r="BF43" i="13"/>
  <c r="BG43" i="13"/>
  <c r="BH43" i="13"/>
  <c r="BI43" i="13"/>
  <c r="BJ43" i="13"/>
  <c r="BK43" i="13"/>
  <c r="BL43" i="13"/>
  <c r="BM43" i="13"/>
  <c r="BN43" i="13"/>
  <c r="BO43" i="13"/>
  <c r="BP43" i="13"/>
  <c r="BQ43" i="13"/>
  <c r="BR43" i="13"/>
  <c r="BS43" i="13"/>
  <c r="BT43" i="13"/>
  <c r="BU43" i="13"/>
  <c r="BV43" i="13"/>
  <c r="BW43" i="13"/>
  <c r="BX43" i="13"/>
  <c r="BY43" i="13"/>
  <c r="BZ43" i="13"/>
  <c r="CA43" i="13"/>
  <c r="CB43" i="13"/>
  <c r="CC43" i="13"/>
  <c r="CD43" i="13"/>
  <c r="CE43" i="13"/>
  <c r="CF43" i="13"/>
  <c r="CG43" i="13"/>
  <c r="CH43" i="13"/>
  <c r="CI43" i="13"/>
  <c r="CJ43" i="13"/>
  <c r="CK43" i="13"/>
  <c r="CL43" i="13"/>
  <c r="CM43" i="13"/>
  <c r="CN43" i="13"/>
  <c r="CO43" i="13"/>
  <c r="CP43" i="13"/>
  <c r="CQ43" i="13"/>
  <c r="CR43" i="13"/>
  <c r="CS43" i="13"/>
  <c r="CT43" i="13"/>
  <c r="CU43" i="13"/>
  <c r="CV43" i="13"/>
  <c r="CW43" i="13"/>
  <c r="CX43" i="13"/>
  <c r="CY43" i="13"/>
  <c r="CZ43" i="13"/>
  <c r="DA43" i="13"/>
  <c r="DB43" i="13"/>
  <c r="DC43" i="13"/>
  <c r="DD43" i="13"/>
  <c r="DE43" i="13"/>
  <c r="DF43" i="13"/>
  <c r="DG43" i="13"/>
  <c r="DH43" i="13"/>
  <c r="DI43" i="13"/>
  <c r="DJ43" i="13"/>
  <c r="DK43" i="13"/>
  <c r="DL43" i="13"/>
  <c r="DM43" i="13"/>
  <c r="DN43" i="13"/>
  <c r="DO43" i="13"/>
  <c r="DP43" i="13"/>
  <c r="DQ43" i="13"/>
  <c r="DR43" i="13"/>
  <c r="DS43" i="13"/>
  <c r="DT43" i="13"/>
  <c r="DU43" i="13"/>
  <c r="DV43" i="13"/>
  <c r="DW43" i="13"/>
  <c r="DX43" i="13"/>
  <c r="DY43" i="13"/>
  <c r="DZ43" i="13"/>
  <c r="EA43" i="13"/>
  <c r="EB43" i="13"/>
  <c r="EC43" i="13"/>
  <c r="ED43" i="13"/>
  <c r="EE43" i="13"/>
  <c r="EF43" i="13"/>
  <c r="EG43" i="13"/>
  <c r="EH43" i="13"/>
  <c r="EI43" i="13"/>
  <c r="EJ43" i="13"/>
  <c r="EK43" i="13"/>
  <c r="EL43" i="13"/>
  <c r="EM43" i="13"/>
  <c r="EN43" i="13"/>
  <c r="EO43" i="13"/>
  <c r="EP43" i="13"/>
  <c r="EQ43" i="13"/>
  <c r="ER43" i="13"/>
  <c r="ES43" i="13"/>
  <c r="ET43" i="13"/>
  <c r="EU43" i="13"/>
  <c r="EV43" i="13"/>
  <c r="EW43" i="13"/>
  <c r="EX43" i="13"/>
  <c r="EY43" i="13"/>
  <c r="EZ43" i="13"/>
  <c r="FA43" i="13"/>
  <c r="FB43" i="13"/>
  <c r="FC43" i="13"/>
  <c r="FD43" i="13"/>
  <c r="FE43" i="13"/>
  <c r="FF43" i="13"/>
  <c r="FG43" i="13"/>
  <c r="FH43" i="13"/>
  <c r="FI43" i="13"/>
  <c r="FJ43" i="13"/>
  <c r="FK43" i="13"/>
  <c r="FL43" i="13"/>
  <c r="FM43" i="13"/>
  <c r="FN43" i="13"/>
  <c r="FO43" i="13"/>
  <c r="FP43" i="13"/>
  <c r="FQ43" i="13"/>
  <c r="FR43" i="13"/>
  <c r="FS43" i="13"/>
  <c r="FT43" i="13"/>
  <c r="FU43" i="13"/>
  <c r="FV43" i="13"/>
  <c r="FW43" i="13"/>
  <c r="FX43" i="13"/>
  <c r="FY43" i="13"/>
  <c r="FZ43" i="13"/>
  <c r="GA43" i="13"/>
  <c r="GB43" i="13"/>
  <c r="GC43" i="13"/>
  <c r="GD43" i="13"/>
  <c r="GE43" i="13"/>
  <c r="GF43" i="13"/>
  <c r="GG43" i="13"/>
  <c r="GH43" i="13"/>
  <c r="GI43" i="13"/>
  <c r="GJ43" i="13"/>
  <c r="GK43" i="13"/>
  <c r="GL43" i="13"/>
  <c r="GM43" i="13"/>
  <c r="GN43" i="13"/>
  <c r="GO43" i="13"/>
  <c r="GP43" i="13"/>
  <c r="GQ43" i="13"/>
  <c r="GR43" i="13"/>
  <c r="GS43" i="13"/>
  <c r="GT43" i="13"/>
  <c r="GU43" i="13"/>
  <c r="GV43" i="13"/>
  <c r="GW43" i="13"/>
  <c r="GX43" i="13"/>
  <c r="GY43" i="13"/>
  <c r="GZ43" i="13"/>
  <c r="HA43" i="13"/>
  <c r="HB43" i="13"/>
  <c r="HC43" i="13"/>
  <c r="HD43" i="13"/>
  <c r="HE43" i="13"/>
  <c r="HF43" i="13"/>
  <c r="HG43" i="13"/>
  <c r="HH43" i="13"/>
  <c r="HI43" i="13"/>
  <c r="HJ43" i="13"/>
  <c r="HK43" i="13"/>
  <c r="HL43" i="13"/>
  <c r="HM43" i="13"/>
  <c r="HN43" i="13"/>
  <c r="HO43" i="13"/>
  <c r="HP43" i="13"/>
  <c r="HQ43" i="13"/>
  <c r="HR43" i="13"/>
  <c r="HS43" i="13"/>
  <c r="HT43" i="13"/>
  <c r="HU43" i="13"/>
  <c r="HV43" i="13"/>
  <c r="HW43" i="13"/>
  <c r="HX43" i="13"/>
  <c r="HY43" i="13"/>
  <c r="HZ43" i="13"/>
  <c r="IA43" i="13"/>
  <c r="IB43" i="13"/>
  <c r="IC43" i="13"/>
  <c r="ID43" i="13"/>
  <c r="IE43" i="13"/>
  <c r="IF43" i="13"/>
  <c r="IG43" i="13"/>
  <c r="IH43" i="13"/>
  <c r="II43" i="13"/>
  <c r="IJ43" i="13"/>
  <c r="IK43" i="13"/>
  <c r="IL43" i="13"/>
  <c r="IM43" i="13"/>
  <c r="IN43" i="13"/>
  <c r="IO43" i="13"/>
  <c r="IP43" i="13"/>
  <c r="IQ43" i="13"/>
  <c r="IR43" i="13"/>
  <c r="IS43" i="13"/>
  <c r="IT43" i="13"/>
  <c r="IU43" i="13"/>
  <c r="IV43" i="13"/>
  <c r="A42" i="13"/>
  <c r="B42" i="13"/>
  <c r="C42" i="13"/>
  <c r="D42" i="13"/>
  <c r="E42" i="13"/>
  <c r="F42" i="13"/>
  <c r="G42" i="13"/>
  <c r="H42" i="13"/>
  <c r="I42" i="13"/>
  <c r="J42" i="13"/>
  <c r="K42" i="13"/>
  <c r="L42" i="13"/>
  <c r="M42" i="13"/>
  <c r="N42" i="13"/>
  <c r="O42" i="13"/>
  <c r="P42" i="13"/>
  <c r="Q42" i="13"/>
  <c r="R42" i="13"/>
  <c r="S42" i="13"/>
  <c r="T42" i="13"/>
  <c r="U42" i="13"/>
  <c r="V42" i="13"/>
  <c r="W42" i="13"/>
  <c r="X42" i="13"/>
  <c r="Y42" i="13"/>
  <c r="Z42" i="13"/>
  <c r="AA42" i="13"/>
  <c r="AB42" i="13"/>
  <c r="AC42" i="13"/>
  <c r="AD42" i="13"/>
  <c r="AE42" i="13"/>
  <c r="AF42" i="13"/>
  <c r="AG42" i="13"/>
  <c r="AH42" i="13"/>
  <c r="AI42" i="13"/>
  <c r="AJ42" i="13"/>
  <c r="AK42" i="13"/>
  <c r="AL42" i="13"/>
  <c r="AM42" i="13"/>
  <c r="AN42" i="13"/>
  <c r="AO42" i="13"/>
  <c r="AP42" i="13"/>
  <c r="AQ42" i="13"/>
  <c r="AR42" i="13"/>
  <c r="AS42" i="13"/>
  <c r="AT42" i="13"/>
  <c r="AU42" i="13"/>
  <c r="AV42" i="13"/>
  <c r="AW42" i="13"/>
  <c r="AX42" i="13"/>
  <c r="AY42" i="13"/>
  <c r="AZ42" i="13"/>
  <c r="BA42" i="13"/>
  <c r="BB42" i="13"/>
  <c r="BC42" i="13"/>
  <c r="BD42" i="13"/>
  <c r="BE42" i="13"/>
  <c r="BF42" i="13"/>
  <c r="BG42" i="13"/>
  <c r="BH42" i="13"/>
  <c r="BI42" i="13"/>
  <c r="BJ42" i="13"/>
  <c r="BK42" i="13"/>
  <c r="BL42" i="13"/>
  <c r="BM42" i="13"/>
  <c r="BN42" i="13"/>
  <c r="BO42" i="13"/>
  <c r="BP42" i="13"/>
  <c r="BQ42" i="13"/>
  <c r="BR42" i="13"/>
  <c r="BS42" i="13"/>
  <c r="BT42" i="13"/>
  <c r="BU42" i="13"/>
  <c r="BV42" i="13"/>
  <c r="BW42" i="13"/>
  <c r="BX42" i="13"/>
  <c r="BY42" i="13"/>
  <c r="BZ42" i="13"/>
  <c r="CA42" i="13"/>
  <c r="CB42" i="13"/>
  <c r="CC42" i="13"/>
  <c r="CD42" i="13"/>
  <c r="CE42" i="13"/>
  <c r="CF42" i="13"/>
  <c r="CG42" i="13"/>
  <c r="CH42" i="13"/>
  <c r="CI42" i="13"/>
  <c r="CJ42" i="13"/>
  <c r="CK42" i="13"/>
  <c r="CL42" i="13"/>
  <c r="CM42" i="13"/>
  <c r="CN42" i="13"/>
  <c r="CO42" i="13"/>
  <c r="CP42" i="13"/>
  <c r="CQ42" i="13"/>
  <c r="CR42" i="13"/>
  <c r="CS42" i="13"/>
  <c r="CT42" i="13"/>
  <c r="CU42" i="13"/>
  <c r="CV42" i="13"/>
  <c r="CW42" i="13"/>
  <c r="CX42" i="13"/>
  <c r="CY42" i="13"/>
  <c r="CZ42" i="13"/>
  <c r="DA42" i="13"/>
  <c r="DB42" i="13"/>
  <c r="DC42" i="13"/>
  <c r="DD42" i="13"/>
  <c r="DE42" i="13"/>
  <c r="DF42" i="13"/>
  <c r="DG42" i="13"/>
  <c r="DH42" i="13"/>
  <c r="DI42" i="13"/>
  <c r="DJ42" i="13"/>
  <c r="DK42" i="13"/>
  <c r="DL42" i="13"/>
  <c r="DM42" i="13"/>
  <c r="DN42" i="13"/>
  <c r="DO42" i="13"/>
  <c r="DP42" i="13"/>
  <c r="DQ42" i="13"/>
  <c r="DR42" i="13"/>
  <c r="DS42" i="13"/>
  <c r="DT42" i="13"/>
  <c r="DU42" i="13"/>
  <c r="DV42" i="13"/>
  <c r="DW42" i="13"/>
  <c r="DX42" i="13"/>
  <c r="DY42" i="13"/>
  <c r="DZ42" i="13"/>
  <c r="EA42" i="13"/>
  <c r="EB42" i="13"/>
  <c r="EC42" i="13"/>
  <c r="ED42" i="13"/>
  <c r="EE42" i="13"/>
  <c r="EF42" i="13"/>
  <c r="EG42" i="13"/>
  <c r="EH42" i="13"/>
  <c r="EI42" i="13"/>
  <c r="EJ42" i="13"/>
  <c r="EK42" i="13"/>
  <c r="EL42" i="13"/>
  <c r="EM42" i="13"/>
  <c r="EN42" i="13"/>
  <c r="EO42" i="13"/>
  <c r="EP42" i="13"/>
  <c r="EQ42" i="13"/>
  <c r="ER42" i="13"/>
  <c r="ES42" i="13"/>
  <c r="ET42" i="13"/>
  <c r="EU42" i="13"/>
  <c r="EV42" i="13"/>
  <c r="EW42" i="13"/>
  <c r="EX42" i="13"/>
  <c r="EY42" i="13"/>
  <c r="EZ42" i="13"/>
  <c r="FA42" i="13"/>
  <c r="FB42" i="13"/>
  <c r="FC42" i="13"/>
  <c r="FD42" i="13"/>
  <c r="FE42" i="13"/>
  <c r="FF42" i="13"/>
  <c r="FG42" i="13"/>
  <c r="FH42" i="13"/>
  <c r="FI42" i="13"/>
  <c r="FJ42" i="13"/>
  <c r="FK42" i="13"/>
  <c r="FL42" i="13"/>
  <c r="FM42" i="13"/>
  <c r="FN42" i="13"/>
  <c r="FO42" i="13"/>
  <c r="FP42" i="13"/>
  <c r="FQ42" i="13"/>
  <c r="FR42" i="13"/>
  <c r="FS42" i="13"/>
  <c r="FT42" i="13"/>
  <c r="FU42" i="13"/>
  <c r="FV42" i="13"/>
  <c r="FW42" i="13"/>
  <c r="FX42" i="13"/>
  <c r="FY42" i="13"/>
  <c r="FZ42" i="13"/>
  <c r="GA42" i="13"/>
  <c r="GB42" i="13"/>
  <c r="GC42" i="13"/>
  <c r="GD42" i="13"/>
  <c r="GE42" i="13"/>
  <c r="GF42" i="13"/>
  <c r="GG42" i="13"/>
  <c r="GH42" i="13"/>
  <c r="GI42" i="13"/>
  <c r="GJ42" i="13"/>
  <c r="GK42" i="13"/>
  <c r="GL42" i="13"/>
  <c r="GM42" i="13"/>
  <c r="GN42" i="13"/>
  <c r="GO42" i="13"/>
  <c r="GP42" i="13"/>
  <c r="GQ42" i="13"/>
  <c r="GR42" i="13"/>
  <c r="GS42" i="13"/>
  <c r="GT42" i="13"/>
  <c r="GU42" i="13"/>
  <c r="GV42" i="13"/>
  <c r="GW42" i="13"/>
  <c r="GX42" i="13"/>
  <c r="GY42" i="13"/>
  <c r="GZ42" i="13"/>
  <c r="HA42" i="13"/>
  <c r="HB42" i="13"/>
  <c r="HC42" i="13"/>
  <c r="HD42" i="13"/>
  <c r="HE42" i="13"/>
  <c r="HF42" i="13"/>
  <c r="HG42" i="13"/>
  <c r="HH42" i="13"/>
  <c r="HI42" i="13"/>
  <c r="HJ42" i="13"/>
  <c r="HK42" i="13"/>
  <c r="HL42" i="13"/>
  <c r="HM42" i="13"/>
  <c r="HN42" i="13"/>
  <c r="HO42" i="13"/>
  <c r="HP42" i="13"/>
  <c r="HQ42" i="13"/>
  <c r="HR42" i="13"/>
  <c r="HS42" i="13"/>
  <c r="HT42" i="13"/>
  <c r="HU42" i="13"/>
  <c r="HV42" i="13"/>
  <c r="HW42" i="13"/>
  <c r="HX42" i="13"/>
  <c r="HY42" i="13"/>
  <c r="HZ42" i="13"/>
  <c r="IA42" i="13"/>
  <c r="IB42" i="13"/>
  <c r="IC42" i="13"/>
  <c r="ID42" i="13"/>
  <c r="IE42" i="13"/>
  <c r="IF42" i="13"/>
  <c r="IG42" i="13"/>
  <c r="IH42" i="13"/>
  <c r="II42" i="13"/>
  <c r="IJ42" i="13"/>
  <c r="IK42" i="13"/>
  <c r="IL42" i="13"/>
  <c r="IM42" i="13"/>
  <c r="IN42" i="13"/>
  <c r="IO42" i="13"/>
  <c r="IP42" i="13"/>
  <c r="IQ42" i="13"/>
  <c r="IR42" i="13"/>
  <c r="IS42" i="13"/>
  <c r="IT42" i="13"/>
  <c r="IU42" i="13"/>
  <c r="IV42" i="13"/>
  <c r="A41" i="13"/>
  <c r="B41" i="13"/>
  <c r="C41" i="13"/>
  <c r="D41" i="13"/>
  <c r="E41" i="13"/>
  <c r="F41" i="13"/>
  <c r="G41" i="13"/>
  <c r="H41" i="13"/>
  <c r="I41" i="13"/>
  <c r="J41" i="13"/>
  <c r="K41" i="13"/>
  <c r="L41" i="13"/>
  <c r="M41" i="13"/>
  <c r="N41" i="13"/>
  <c r="O41" i="13"/>
  <c r="P41" i="13"/>
  <c r="Q41" i="13"/>
  <c r="R41" i="13"/>
  <c r="S41" i="13"/>
  <c r="T41" i="13"/>
  <c r="U41" i="13"/>
  <c r="V41" i="13"/>
  <c r="W41" i="13"/>
  <c r="X41" i="13"/>
  <c r="Y41" i="13"/>
  <c r="Z41" i="13"/>
  <c r="AA41" i="13"/>
  <c r="AB41" i="13"/>
  <c r="AC41" i="13"/>
  <c r="AD41" i="13"/>
  <c r="AE41" i="13"/>
  <c r="AF41" i="13"/>
  <c r="AG41" i="13"/>
  <c r="AH41" i="13"/>
  <c r="AI41" i="13"/>
  <c r="AJ41" i="13"/>
  <c r="AK41" i="13"/>
  <c r="AL41" i="13"/>
  <c r="AM41" i="13"/>
  <c r="AN41" i="13"/>
  <c r="AO41" i="13"/>
  <c r="AP41" i="13"/>
  <c r="AQ41" i="13"/>
  <c r="AR41" i="13"/>
  <c r="AS41" i="13"/>
  <c r="AT41" i="13"/>
  <c r="AU41" i="13"/>
  <c r="AV41" i="13"/>
  <c r="AW41" i="13"/>
  <c r="AX41" i="13"/>
  <c r="AY41" i="13"/>
  <c r="AZ41" i="13"/>
  <c r="BA41" i="13"/>
  <c r="BB41" i="13"/>
  <c r="BC41" i="13"/>
  <c r="BD41" i="13"/>
  <c r="BE41" i="13"/>
  <c r="BF41" i="13"/>
  <c r="BG41" i="13"/>
  <c r="BH41" i="13"/>
  <c r="BI41" i="13"/>
  <c r="BJ41" i="13"/>
  <c r="BK41" i="13"/>
  <c r="BL41" i="13"/>
  <c r="BM41" i="13"/>
  <c r="BN41" i="13"/>
  <c r="BO41" i="13"/>
  <c r="BP41" i="13"/>
  <c r="BQ41" i="13"/>
  <c r="BR41" i="13"/>
  <c r="BS41" i="13"/>
  <c r="BT41" i="13"/>
  <c r="BU41" i="13"/>
  <c r="BV41" i="13"/>
  <c r="BW41" i="13"/>
  <c r="BX41" i="13"/>
  <c r="BY41" i="13"/>
  <c r="BZ41" i="13"/>
  <c r="CA41" i="13"/>
  <c r="CB41" i="13"/>
  <c r="CC41" i="13"/>
  <c r="CD41" i="13"/>
  <c r="CE41" i="13"/>
  <c r="CF41" i="13"/>
  <c r="CG41" i="13"/>
  <c r="CH41" i="13"/>
  <c r="CI41" i="13"/>
  <c r="CJ41" i="13"/>
  <c r="CK41" i="13"/>
  <c r="CL41" i="13"/>
  <c r="CM41" i="13"/>
  <c r="CN41" i="13"/>
  <c r="CO41" i="13"/>
  <c r="CP41" i="13"/>
  <c r="CQ41" i="13"/>
  <c r="CR41" i="13"/>
  <c r="CS41" i="13"/>
  <c r="CT41" i="13"/>
  <c r="CU41" i="13"/>
  <c r="CV41" i="13"/>
  <c r="CW41" i="13"/>
  <c r="CX41" i="13"/>
  <c r="CY41" i="13"/>
  <c r="CZ41" i="13"/>
  <c r="DA41" i="13"/>
  <c r="DB41" i="13"/>
  <c r="DC41" i="13"/>
  <c r="DD41" i="13"/>
  <c r="DE41" i="13"/>
  <c r="DF41" i="13"/>
  <c r="DG41" i="13"/>
  <c r="DH41" i="13"/>
  <c r="DI41" i="13"/>
  <c r="DJ41" i="13"/>
  <c r="DK41" i="13"/>
  <c r="DL41" i="13"/>
  <c r="DM41" i="13"/>
  <c r="DN41" i="13"/>
  <c r="DO41" i="13"/>
  <c r="DP41" i="13"/>
  <c r="DQ41" i="13"/>
  <c r="DR41" i="13"/>
  <c r="DS41" i="13"/>
  <c r="DT41" i="13"/>
  <c r="DU41" i="13"/>
  <c r="DV41" i="13"/>
  <c r="DW41" i="13"/>
  <c r="DX41" i="13"/>
  <c r="DY41" i="13"/>
  <c r="DZ41" i="13"/>
  <c r="EA41" i="13"/>
  <c r="EB41" i="13"/>
  <c r="EC41" i="13"/>
  <c r="ED41" i="13"/>
  <c r="EE41" i="13"/>
  <c r="EF41" i="13"/>
  <c r="EG41" i="13"/>
  <c r="EH41" i="13"/>
  <c r="EI41" i="13"/>
  <c r="EJ41" i="13"/>
  <c r="EK41" i="13"/>
  <c r="EL41" i="13"/>
  <c r="EM41" i="13"/>
  <c r="EN41" i="13"/>
  <c r="EO41" i="13"/>
  <c r="EP41" i="13"/>
  <c r="EQ41" i="13"/>
  <c r="ER41" i="13"/>
  <c r="ES41" i="13"/>
  <c r="ET41" i="13"/>
  <c r="EU41" i="13"/>
  <c r="EV41" i="13"/>
  <c r="EW41" i="13"/>
  <c r="EX41" i="13"/>
  <c r="EY41" i="13"/>
  <c r="EZ41" i="13"/>
  <c r="FA41" i="13"/>
  <c r="FB41" i="13"/>
  <c r="FC41" i="13"/>
  <c r="FD41" i="13"/>
  <c r="FE41" i="13"/>
  <c r="FF41" i="13"/>
  <c r="FG41" i="13"/>
  <c r="FH41" i="13"/>
  <c r="FI41" i="13"/>
  <c r="FJ41" i="13"/>
  <c r="FK41" i="13"/>
  <c r="FL41" i="13"/>
  <c r="FM41" i="13"/>
  <c r="FN41" i="13"/>
  <c r="FO41" i="13"/>
  <c r="FP41" i="13"/>
  <c r="FQ41" i="13"/>
  <c r="FR41" i="13"/>
  <c r="FS41" i="13"/>
  <c r="FT41" i="13"/>
  <c r="FU41" i="13"/>
  <c r="FV41" i="13"/>
  <c r="FW41" i="13"/>
  <c r="FX41" i="13"/>
  <c r="FY41" i="13"/>
  <c r="FZ41" i="13"/>
  <c r="GA41" i="13"/>
  <c r="GB41" i="13"/>
  <c r="GC41" i="13"/>
  <c r="GD41" i="13"/>
  <c r="GE41" i="13"/>
  <c r="GF41" i="13"/>
  <c r="GG41" i="13"/>
  <c r="GH41" i="13"/>
  <c r="GI41" i="13"/>
  <c r="GJ41" i="13"/>
  <c r="GK41" i="13"/>
  <c r="GL41" i="13"/>
  <c r="GM41" i="13"/>
  <c r="GN41" i="13"/>
  <c r="GO41" i="13"/>
  <c r="GP41" i="13"/>
  <c r="GQ41" i="13"/>
  <c r="GR41" i="13"/>
  <c r="GS41" i="13"/>
  <c r="GT41" i="13"/>
  <c r="GU41" i="13"/>
  <c r="GV41" i="13"/>
  <c r="GW41" i="13"/>
  <c r="GX41" i="13"/>
  <c r="GY41" i="13"/>
  <c r="GZ41" i="13"/>
  <c r="HA41" i="13"/>
  <c r="HB41" i="13"/>
  <c r="HC41" i="13"/>
  <c r="HD41" i="13"/>
  <c r="HE41" i="13"/>
  <c r="HF41" i="13"/>
  <c r="HG41" i="13"/>
  <c r="HH41" i="13"/>
  <c r="HI41" i="13"/>
  <c r="HJ41" i="13"/>
  <c r="HK41" i="13"/>
  <c r="HL41" i="13"/>
  <c r="HM41" i="13"/>
  <c r="HN41" i="13"/>
  <c r="HO41" i="13"/>
  <c r="HP41" i="13"/>
  <c r="HQ41" i="13"/>
  <c r="HR41" i="13"/>
  <c r="HS41" i="13"/>
  <c r="HT41" i="13"/>
  <c r="HU41" i="13"/>
  <c r="HV41" i="13"/>
  <c r="HW41" i="13"/>
  <c r="HX41" i="13"/>
  <c r="HY41" i="13"/>
  <c r="HZ41" i="13"/>
  <c r="IA41" i="13"/>
  <c r="IB41" i="13"/>
  <c r="IC41" i="13"/>
  <c r="ID41" i="13"/>
  <c r="IE41" i="13"/>
  <c r="IF41" i="13"/>
  <c r="IG41" i="13"/>
  <c r="IH41" i="13"/>
  <c r="II41" i="13"/>
  <c r="IJ41" i="13"/>
  <c r="IK41" i="13"/>
  <c r="IL41" i="13"/>
  <c r="IM41" i="13"/>
  <c r="IN41" i="13"/>
  <c r="IO41" i="13"/>
  <c r="IP41" i="13"/>
  <c r="IQ41" i="13"/>
  <c r="IR41" i="13"/>
  <c r="IS41" i="13"/>
  <c r="IT41" i="13"/>
  <c r="IU41" i="13"/>
  <c r="IV41" i="13"/>
  <c r="A40" i="13"/>
  <c r="B40" i="13"/>
  <c r="C40" i="13"/>
  <c r="D40" i="13"/>
  <c r="E40" i="13"/>
  <c r="F40" i="13"/>
  <c r="G40" i="13"/>
  <c r="H40" i="13"/>
  <c r="I40" i="13"/>
  <c r="J40" i="13"/>
  <c r="K40" i="13"/>
  <c r="L40" i="13"/>
  <c r="M40" i="13"/>
  <c r="N40" i="13"/>
  <c r="O40" i="13"/>
  <c r="P40" i="13"/>
  <c r="Q40" i="13"/>
  <c r="R40" i="13"/>
  <c r="S40" i="13"/>
  <c r="T40" i="13"/>
  <c r="U40" i="13"/>
  <c r="V40" i="13"/>
  <c r="W40" i="13"/>
  <c r="X40" i="13"/>
  <c r="Y40" i="13"/>
  <c r="Z40" i="13"/>
  <c r="AA40" i="13"/>
  <c r="AB40" i="13"/>
  <c r="AC40" i="13"/>
  <c r="AD40" i="13"/>
  <c r="AE40" i="13"/>
  <c r="AF40" i="13"/>
  <c r="AG40" i="13"/>
  <c r="AH40" i="13"/>
  <c r="AI40" i="13"/>
  <c r="AJ40" i="13"/>
  <c r="AK40" i="13"/>
  <c r="AL40" i="13"/>
  <c r="AM40" i="13"/>
  <c r="AN40" i="13"/>
  <c r="AO40" i="13"/>
  <c r="AP40" i="13"/>
  <c r="AQ40" i="13"/>
  <c r="AR40" i="13"/>
  <c r="AS40" i="13"/>
  <c r="AT40" i="13"/>
  <c r="AU40" i="13"/>
  <c r="AV40" i="13"/>
  <c r="AW40" i="13"/>
  <c r="AX40" i="13"/>
  <c r="AY40" i="13"/>
  <c r="AZ40" i="13"/>
  <c r="BA40" i="13"/>
  <c r="BB40" i="13"/>
  <c r="BC40" i="13"/>
  <c r="BD40" i="13"/>
  <c r="BE40" i="13"/>
  <c r="BF40" i="13"/>
  <c r="BG40" i="13"/>
  <c r="BH40" i="13"/>
  <c r="BI40" i="13"/>
  <c r="BJ40" i="13"/>
  <c r="BK40" i="13"/>
  <c r="BL40" i="13"/>
  <c r="BM40" i="13"/>
  <c r="BN40" i="13"/>
  <c r="BO40" i="13"/>
  <c r="BP40" i="13"/>
  <c r="BQ40" i="13"/>
  <c r="BR40" i="13"/>
  <c r="BS40" i="13"/>
  <c r="BT40" i="13"/>
  <c r="BU40" i="13"/>
  <c r="BV40" i="13"/>
  <c r="BW40" i="13"/>
  <c r="BX40" i="13"/>
  <c r="BY40" i="13"/>
  <c r="BZ40" i="13"/>
  <c r="CA40" i="13"/>
  <c r="CB40" i="13"/>
  <c r="CC40" i="13"/>
  <c r="CD40" i="13"/>
  <c r="CE40" i="13"/>
  <c r="CF40" i="13"/>
  <c r="CG40" i="13"/>
  <c r="CH40" i="13"/>
  <c r="CI40" i="13"/>
  <c r="CJ40" i="13"/>
  <c r="CK40" i="13"/>
  <c r="CL40" i="13"/>
  <c r="CM40" i="13"/>
  <c r="CN40" i="13"/>
  <c r="CO40" i="13"/>
  <c r="CP40" i="13"/>
  <c r="CQ40" i="13"/>
  <c r="CR40" i="13"/>
  <c r="CS40" i="13"/>
  <c r="CT40" i="13"/>
  <c r="CU40" i="13"/>
  <c r="CV40" i="13"/>
  <c r="CW40" i="13"/>
  <c r="CX40" i="13"/>
  <c r="CY40" i="13"/>
  <c r="CZ40" i="13"/>
  <c r="DA40" i="13"/>
  <c r="DB40" i="13"/>
  <c r="DC40" i="13"/>
  <c r="DD40" i="13"/>
  <c r="DE40" i="13"/>
  <c r="DF40" i="13"/>
  <c r="DG40" i="13"/>
  <c r="DH40" i="13"/>
  <c r="DI40" i="13"/>
  <c r="DJ40" i="13"/>
  <c r="DK40" i="13"/>
  <c r="DL40" i="13"/>
  <c r="DM40" i="13"/>
  <c r="DN40" i="13"/>
  <c r="DO40" i="13"/>
  <c r="DP40" i="13"/>
  <c r="DQ40" i="13"/>
  <c r="DR40" i="13"/>
  <c r="DS40" i="13"/>
  <c r="DT40" i="13"/>
  <c r="DU40" i="13"/>
  <c r="DV40" i="13"/>
  <c r="DW40" i="13"/>
  <c r="DX40" i="13"/>
  <c r="DY40" i="13"/>
  <c r="DZ40" i="13"/>
  <c r="EA40" i="13"/>
  <c r="EB40" i="13"/>
  <c r="EC40" i="13"/>
  <c r="ED40" i="13"/>
  <c r="EE40" i="13"/>
  <c r="EF40" i="13"/>
  <c r="EG40" i="13"/>
  <c r="EH40" i="13"/>
  <c r="EI40" i="13"/>
  <c r="EJ40" i="13"/>
  <c r="EK40" i="13"/>
  <c r="EL40" i="13"/>
  <c r="EM40" i="13"/>
  <c r="EN40" i="13"/>
  <c r="EO40" i="13"/>
  <c r="EP40" i="13"/>
  <c r="EQ40" i="13"/>
  <c r="ER40" i="13"/>
  <c r="ES40" i="13"/>
  <c r="ET40" i="13"/>
  <c r="EU40" i="13"/>
  <c r="EV40" i="13"/>
  <c r="EW40" i="13"/>
  <c r="EX40" i="13"/>
  <c r="EY40" i="13"/>
  <c r="EZ40" i="13"/>
  <c r="FA40" i="13"/>
  <c r="FB40" i="13"/>
  <c r="FC40" i="13"/>
  <c r="FD40" i="13"/>
  <c r="FE40" i="13"/>
  <c r="FF40" i="13"/>
  <c r="FG40" i="13"/>
  <c r="FH40" i="13"/>
  <c r="FI40" i="13"/>
  <c r="FJ40" i="13"/>
  <c r="FK40" i="13"/>
  <c r="FL40" i="13"/>
  <c r="FM40" i="13"/>
  <c r="FN40" i="13"/>
  <c r="FO40" i="13"/>
  <c r="FP40" i="13"/>
  <c r="FQ40" i="13"/>
  <c r="FR40" i="13"/>
  <c r="FS40" i="13"/>
  <c r="FT40" i="13"/>
  <c r="FU40" i="13"/>
  <c r="FV40" i="13"/>
  <c r="FW40" i="13"/>
  <c r="FX40" i="13"/>
  <c r="FY40" i="13"/>
  <c r="FZ40" i="13"/>
  <c r="GA40" i="13"/>
  <c r="GB40" i="13"/>
  <c r="GC40" i="13"/>
  <c r="GD40" i="13"/>
  <c r="GE40" i="13"/>
  <c r="GF40" i="13"/>
  <c r="GG40" i="13"/>
  <c r="GH40" i="13"/>
  <c r="GI40" i="13"/>
  <c r="GJ40" i="13"/>
  <c r="GK40" i="13"/>
  <c r="GL40" i="13"/>
  <c r="GM40" i="13"/>
  <c r="GN40" i="13"/>
  <c r="GO40" i="13"/>
  <c r="GP40" i="13"/>
  <c r="GQ40" i="13"/>
  <c r="GR40" i="13"/>
  <c r="GS40" i="13"/>
  <c r="GT40" i="13"/>
  <c r="GU40" i="13"/>
  <c r="GV40" i="13"/>
  <c r="GW40" i="13"/>
  <c r="GX40" i="13"/>
  <c r="GY40" i="13"/>
  <c r="GZ40" i="13"/>
  <c r="HA40" i="13"/>
  <c r="HB40" i="13"/>
  <c r="HC40" i="13"/>
  <c r="HD40" i="13"/>
  <c r="HE40" i="13"/>
  <c r="HF40" i="13"/>
  <c r="HG40" i="13"/>
  <c r="HH40" i="13"/>
  <c r="HI40" i="13"/>
  <c r="HJ40" i="13"/>
  <c r="HK40" i="13"/>
  <c r="HL40" i="13"/>
  <c r="HM40" i="13"/>
  <c r="HN40" i="13"/>
  <c r="HO40" i="13"/>
  <c r="HP40" i="13"/>
  <c r="HQ40" i="13"/>
  <c r="HR40" i="13"/>
  <c r="HS40" i="13"/>
  <c r="HT40" i="13"/>
  <c r="HU40" i="13"/>
  <c r="HV40" i="13"/>
  <c r="HW40" i="13"/>
  <c r="HX40" i="13"/>
  <c r="HY40" i="13"/>
  <c r="HZ40" i="13"/>
  <c r="IA40" i="13"/>
  <c r="IB40" i="13"/>
  <c r="IC40" i="13"/>
  <c r="ID40" i="13"/>
  <c r="IE40" i="13"/>
  <c r="IF40" i="13"/>
  <c r="IG40" i="13"/>
  <c r="IH40" i="13"/>
  <c r="II40" i="13"/>
  <c r="IJ40" i="13"/>
  <c r="IK40" i="13"/>
  <c r="IL40" i="13"/>
  <c r="IM40" i="13"/>
  <c r="IN40" i="13"/>
  <c r="IO40" i="13"/>
  <c r="IP40" i="13"/>
  <c r="IQ40" i="13"/>
  <c r="IR40" i="13"/>
  <c r="IS40" i="13"/>
  <c r="IT40" i="13"/>
  <c r="IU40" i="13"/>
  <c r="IV40" i="13"/>
  <c r="A39" i="13"/>
  <c r="B39" i="13"/>
  <c r="C39" i="13"/>
  <c r="D39" i="13"/>
  <c r="E39" i="13"/>
  <c r="F39" i="13"/>
  <c r="G39" i="13"/>
  <c r="H39" i="13"/>
  <c r="I39" i="13"/>
  <c r="J39" i="13"/>
  <c r="K39" i="13"/>
  <c r="L39" i="13"/>
  <c r="M39" i="13"/>
  <c r="N39" i="13"/>
  <c r="O39" i="13"/>
  <c r="P39" i="13"/>
  <c r="Q39" i="13"/>
  <c r="R39" i="13"/>
  <c r="S39" i="13"/>
  <c r="T39" i="13"/>
  <c r="U39" i="13"/>
  <c r="V39" i="13"/>
  <c r="W39" i="13"/>
  <c r="X39" i="13"/>
  <c r="Y39" i="13"/>
  <c r="Z39" i="13"/>
  <c r="AA39" i="13"/>
  <c r="AB39" i="13"/>
  <c r="AC39" i="13"/>
  <c r="AD39" i="13"/>
  <c r="AE39" i="13"/>
  <c r="AF39" i="13"/>
  <c r="AG39" i="13"/>
  <c r="AH39" i="13"/>
  <c r="AI39" i="13"/>
  <c r="AJ39" i="13"/>
  <c r="AK39" i="13"/>
  <c r="AL39" i="13"/>
  <c r="AM39" i="13"/>
  <c r="AN39" i="13"/>
  <c r="AO39" i="13"/>
  <c r="AP39" i="13"/>
  <c r="AQ39" i="13"/>
  <c r="AR39" i="13"/>
  <c r="AS39" i="13"/>
  <c r="AT39" i="13"/>
  <c r="AU39" i="13"/>
  <c r="AV39" i="13"/>
  <c r="AW39" i="13"/>
  <c r="AX39" i="13"/>
  <c r="AY39" i="13"/>
  <c r="AZ39" i="13"/>
  <c r="BA39" i="13"/>
  <c r="BB39" i="13"/>
  <c r="BC39" i="13"/>
  <c r="BD39" i="13"/>
  <c r="BE39" i="13"/>
  <c r="BF39" i="13"/>
  <c r="BG39" i="13"/>
  <c r="BH39" i="13"/>
  <c r="BI39" i="13"/>
  <c r="BJ39" i="13"/>
  <c r="BK39" i="13"/>
  <c r="BL39" i="13"/>
  <c r="BM39" i="13"/>
  <c r="BN39" i="13"/>
  <c r="BO39" i="13"/>
  <c r="BP39" i="13"/>
  <c r="BQ39" i="13"/>
  <c r="BR39" i="13"/>
  <c r="BS39" i="13"/>
  <c r="BT39" i="13"/>
  <c r="BU39" i="13"/>
  <c r="BV39" i="13"/>
  <c r="BW39" i="13"/>
  <c r="BX39" i="13"/>
  <c r="BY39" i="13"/>
  <c r="BZ39" i="13"/>
  <c r="CA39" i="13"/>
  <c r="CB39" i="13"/>
  <c r="CC39" i="13"/>
  <c r="CD39" i="13"/>
  <c r="CE39" i="13"/>
  <c r="CF39" i="13"/>
  <c r="CG39" i="13"/>
  <c r="CH39" i="13"/>
  <c r="CI39" i="13"/>
  <c r="CJ39" i="13"/>
  <c r="CK39" i="13"/>
  <c r="CL39" i="13"/>
  <c r="CM39" i="13"/>
  <c r="CN39" i="13"/>
  <c r="CO39" i="13"/>
  <c r="CP39" i="13"/>
  <c r="CQ39" i="13"/>
  <c r="CR39" i="13"/>
  <c r="CS39" i="13"/>
  <c r="CT39" i="13"/>
  <c r="CU39" i="13"/>
  <c r="CV39" i="13"/>
  <c r="CW39" i="13"/>
  <c r="CX39" i="13"/>
  <c r="CY39" i="13"/>
  <c r="CZ39" i="13"/>
  <c r="DA39" i="13"/>
  <c r="DB39" i="13"/>
  <c r="DC39" i="13"/>
  <c r="DD39" i="13"/>
  <c r="DE39" i="13"/>
  <c r="DF39" i="13"/>
  <c r="DG39" i="13"/>
  <c r="DH39" i="13"/>
  <c r="DI39" i="13"/>
  <c r="DJ39" i="13"/>
  <c r="DK39" i="13"/>
  <c r="DL39" i="13"/>
  <c r="DM39" i="13"/>
  <c r="DN39" i="13"/>
  <c r="DO39" i="13"/>
  <c r="DP39" i="13"/>
  <c r="DQ39" i="13"/>
  <c r="DR39" i="13"/>
  <c r="DS39" i="13"/>
  <c r="DT39" i="13"/>
  <c r="DU39" i="13"/>
  <c r="DV39" i="13"/>
  <c r="DW39" i="13"/>
  <c r="DX39" i="13"/>
  <c r="DY39" i="13"/>
  <c r="DZ39" i="13"/>
  <c r="EA39" i="13"/>
  <c r="EB39" i="13"/>
  <c r="EC39" i="13"/>
  <c r="ED39" i="13"/>
  <c r="EE39" i="13"/>
  <c r="EF39" i="13"/>
  <c r="EG39" i="13"/>
  <c r="EH39" i="13"/>
  <c r="EI39" i="13"/>
  <c r="EJ39" i="13"/>
  <c r="EK39" i="13"/>
  <c r="EL39" i="13"/>
  <c r="EM39" i="13"/>
  <c r="EN39" i="13"/>
  <c r="EO39" i="13"/>
  <c r="EP39" i="13"/>
  <c r="EQ39" i="13"/>
  <c r="ER39" i="13"/>
  <c r="ES39" i="13"/>
  <c r="ET39" i="13"/>
  <c r="EU39" i="13"/>
  <c r="EV39" i="13"/>
  <c r="EW39" i="13"/>
  <c r="EX39" i="13"/>
  <c r="EY39" i="13"/>
  <c r="EZ39" i="13"/>
  <c r="FA39" i="13"/>
  <c r="FB39" i="13"/>
  <c r="FC39" i="13"/>
  <c r="FD39" i="13"/>
  <c r="FE39" i="13"/>
  <c r="FF39" i="13"/>
  <c r="FG39" i="13"/>
  <c r="FH39" i="13"/>
  <c r="FI39" i="13"/>
  <c r="FJ39" i="13"/>
  <c r="FK39" i="13"/>
  <c r="FL39" i="13"/>
  <c r="FM39" i="13"/>
  <c r="FN39" i="13"/>
  <c r="FO39" i="13"/>
  <c r="FP39" i="13"/>
  <c r="FQ39" i="13"/>
  <c r="FR39" i="13"/>
  <c r="FS39" i="13"/>
  <c r="FT39" i="13"/>
  <c r="FU39" i="13"/>
  <c r="FV39" i="13"/>
  <c r="FW39" i="13"/>
  <c r="FX39" i="13"/>
  <c r="FY39" i="13"/>
  <c r="FZ39" i="13"/>
  <c r="GA39" i="13"/>
  <c r="GB39" i="13"/>
  <c r="GC39" i="13"/>
  <c r="GD39" i="13"/>
  <c r="GE39" i="13"/>
  <c r="GF39" i="13"/>
  <c r="GG39" i="13"/>
  <c r="GH39" i="13"/>
  <c r="GI39" i="13"/>
  <c r="GJ39" i="13"/>
  <c r="GK39" i="13"/>
  <c r="GL39" i="13"/>
  <c r="GM39" i="13"/>
  <c r="GN39" i="13"/>
  <c r="GO39" i="13"/>
  <c r="GP39" i="13"/>
  <c r="GQ39" i="13"/>
  <c r="GR39" i="13"/>
  <c r="GS39" i="13"/>
  <c r="GT39" i="13"/>
  <c r="GU39" i="13"/>
  <c r="GV39" i="13"/>
  <c r="GW39" i="13"/>
  <c r="GX39" i="13"/>
  <c r="GY39" i="13"/>
  <c r="GZ39" i="13"/>
  <c r="HA39" i="13"/>
  <c r="HB39" i="13"/>
  <c r="HC39" i="13"/>
  <c r="HD39" i="13"/>
  <c r="HE39" i="13"/>
  <c r="HF39" i="13"/>
  <c r="HG39" i="13"/>
  <c r="HH39" i="13"/>
  <c r="HI39" i="13"/>
  <c r="HJ39" i="13"/>
  <c r="HK39" i="13"/>
  <c r="HL39" i="13"/>
  <c r="HM39" i="13"/>
  <c r="HN39" i="13"/>
  <c r="HO39" i="13"/>
  <c r="HP39" i="13"/>
  <c r="HQ39" i="13"/>
  <c r="HR39" i="13"/>
  <c r="HS39" i="13"/>
  <c r="HT39" i="13"/>
  <c r="HU39" i="13"/>
  <c r="HV39" i="13"/>
  <c r="HW39" i="13"/>
  <c r="HX39" i="13"/>
  <c r="HY39" i="13"/>
  <c r="HZ39" i="13"/>
  <c r="IA39" i="13"/>
  <c r="IB39" i="13"/>
  <c r="IC39" i="13"/>
  <c r="ID39" i="13"/>
  <c r="IE39" i="13"/>
  <c r="IF39" i="13"/>
  <c r="IG39" i="13"/>
  <c r="IH39" i="13"/>
  <c r="II39" i="13"/>
  <c r="IJ39" i="13"/>
  <c r="IK39" i="13"/>
  <c r="IL39" i="13"/>
  <c r="IM39" i="13"/>
  <c r="IN39" i="13"/>
  <c r="IO39" i="13"/>
  <c r="IP39" i="13"/>
  <c r="IQ39" i="13"/>
  <c r="IR39" i="13"/>
  <c r="IS39" i="13"/>
  <c r="IT39" i="13"/>
  <c r="IU39" i="13"/>
  <c r="IV39" i="13"/>
  <c r="A38" i="13"/>
  <c r="B38" i="13"/>
  <c r="C38" i="13"/>
  <c r="D38" i="13"/>
  <c r="E38" i="13"/>
  <c r="F38" i="13"/>
  <c r="G38" i="13"/>
  <c r="H38" i="13"/>
  <c r="I38" i="13"/>
  <c r="J38" i="13"/>
  <c r="K38" i="13"/>
  <c r="L38" i="13"/>
  <c r="M38" i="13"/>
  <c r="N38" i="13"/>
  <c r="O38" i="13"/>
  <c r="P38" i="13"/>
  <c r="Q38" i="13"/>
  <c r="R38" i="13"/>
  <c r="S38" i="13"/>
  <c r="T38" i="13"/>
  <c r="U38" i="13"/>
  <c r="V38" i="13"/>
  <c r="W38" i="13"/>
  <c r="X38" i="13"/>
  <c r="Y38" i="13"/>
  <c r="Z38" i="13"/>
  <c r="AA38" i="13"/>
  <c r="AB38" i="13"/>
  <c r="AC38" i="13"/>
  <c r="AD38" i="13"/>
  <c r="AE38" i="13"/>
  <c r="AF38" i="13"/>
  <c r="AG38" i="13"/>
  <c r="AH38" i="13"/>
  <c r="AI38" i="13"/>
  <c r="AJ38" i="13"/>
  <c r="AK38" i="13"/>
  <c r="AL38" i="13"/>
  <c r="AM38" i="13"/>
  <c r="AN38" i="13"/>
  <c r="AO38" i="13"/>
  <c r="AP38" i="13"/>
  <c r="AQ38" i="13"/>
  <c r="AR38" i="13"/>
  <c r="AS38" i="13"/>
  <c r="AT38" i="13"/>
  <c r="AU38" i="13"/>
  <c r="AV38" i="13"/>
  <c r="AW38" i="13"/>
  <c r="AX38" i="13"/>
  <c r="AY38" i="13"/>
  <c r="AZ38" i="13"/>
  <c r="BA38" i="13"/>
  <c r="BB38" i="13"/>
  <c r="BC38" i="13"/>
  <c r="BD38" i="13"/>
  <c r="BE38" i="13"/>
  <c r="BF38" i="13"/>
  <c r="BG38" i="13"/>
  <c r="BH38" i="13"/>
  <c r="BI38" i="13"/>
  <c r="BJ38" i="13"/>
  <c r="BK38" i="13"/>
  <c r="BL38" i="13"/>
  <c r="BM38" i="13"/>
  <c r="BN38" i="13"/>
  <c r="BO38" i="13"/>
  <c r="BP38" i="13"/>
  <c r="BQ38" i="13"/>
  <c r="BR38" i="13"/>
  <c r="BS38" i="13"/>
  <c r="BT38" i="13"/>
  <c r="BU38" i="13"/>
  <c r="BV38" i="13"/>
  <c r="BW38" i="13"/>
  <c r="BX38" i="13"/>
  <c r="BY38" i="13"/>
  <c r="BZ38" i="13"/>
  <c r="CA38" i="13"/>
  <c r="CB38" i="13"/>
  <c r="CC38" i="13"/>
  <c r="CD38" i="13"/>
  <c r="CE38" i="13"/>
  <c r="CF38" i="13"/>
  <c r="CG38" i="13"/>
  <c r="CH38" i="13"/>
  <c r="CI38" i="13"/>
  <c r="CJ38" i="13"/>
  <c r="CK38" i="13"/>
  <c r="CL38" i="13"/>
  <c r="CM38" i="13"/>
  <c r="CN38" i="13"/>
  <c r="CO38" i="13"/>
  <c r="CP38" i="13"/>
  <c r="CQ38" i="13"/>
  <c r="CR38" i="13"/>
  <c r="CS38" i="13"/>
  <c r="CT38" i="13"/>
  <c r="CU38" i="13"/>
  <c r="CV38" i="13"/>
  <c r="CW38" i="13"/>
  <c r="CX38" i="13"/>
  <c r="CY38" i="13"/>
  <c r="CZ38" i="13"/>
  <c r="DA38" i="13"/>
  <c r="DB38" i="13"/>
  <c r="DC38" i="13"/>
  <c r="DD38" i="13"/>
  <c r="DE38" i="13"/>
  <c r="DF38" i="13"/>
  <c r="DG38" i="13"/>
  <c r="DH38" i="13"/>
  <c r="DI38" i="13"/>
  <c r="DJ38" i="13"/>
  <c r="DK38" i="13"/>
  <c r="DL38" i="13"/>
  <c r="DM38" i="13"/>
  <c r="DN38" i="13"/>
  <c r="DO38" i="13"/>
  <c r="DP38" i="13"/>
  <c r="DQ38" i="13"/>
  <c r="DR38" i="13"/>
  <c r="DS38" i="13"/>
  <c r="DT38" i="13"/>
  <c r="DU38" i="13"/>
  <c r="DV38" i="13"/>
  <c r="DW38" i="13"/>
  <c r="DX38" i="13"/>
  <c r="DY38" i="13"/>
  <c r="DZ38" i="13"/>
  <c r="EA38" i="13"/>
  <c r="EB38" i="13"/>
  <c r="EC38" i="13"/>
  <c r="ED38" i="13"/>
  <c r="EE38" i="13"/>
  <c r="EF38" i="13"/>
  <c r="EG38" i="13"/>
  <c r="EH38" i="13"/>
  <c r="EI38" i="13"/>
  <c r="EJ38" i="13"/>
  <c r="EK38" i="13"/>
  <c r="EL38" i="13"/>
  <c r="EM38" i="13"/>
  <c r="EN38" i="13"/>
  <c r="EO38" i="13"/>
  <c r="EP38" i="13"/>
  <c r="EQ38" i="13"/>
  <c r="ER38" i="13"/>
  <c r="ES38" i="13"/>
  <c r="ET38" i="13"/>
  <c r="EU38" i="13"/>
  <c r="EV38" i="13"/>
  <c r="EW38" i="13"/>
  <c r="EX38" i="13"/>
  <c r="EY38" i="13"/>
  <c r="EZ38" i="13"/>
  <c r="FA38" i="13"/>
  <c r="FB38" i="13"/>
  <c r="FC38" i="13"/>
  <c r="FD38" i="13"/>
  <c r="FE38" i="13"/>
  <c r="FF38" i="13"/>
  <c r="FG38" i="13"/>
  <c r="FH38" i="13"/>
  <c r="FI38" i="13"/>
  <c r="FJ38" i="13"/>
  <c r="FK38" i="13"/>
  <c r="FL38" i="13"/>
  <c r="FM38" i="13"/>
  <c r="FN38" i="13"/>
  <c r="FO38" i="13"/>
  <c r="FP38" i="13"/>
  <c r="FQ38" i="13"/>
  <c r="FR38" i="13"/>
  <c r="FS38" i="13"/>
  <c r="FT38" i="13"/>
  <c r="FU38" i="13"/>
  <c r="FV38" i="13"/>
  <c r="FW38" i="13"/>
  <c r="FX38" i="13"/>
  <c r="FY38" i="13"/>
  <c r="FZ38" i="13"/>
  <c r="GA38" i="13"/>
  <c r="GB38" i="13"/>
  <c r="GC38" i="13"/>
  <c r="GD38" i="13"/>
  <c r="GE38" i="13"/>
  <c r="GF38" i="13"/>
  <c r="GG38" i="13"/>
  <c r="GH38" i="13"/>
  <c r="GI38" i="13"/>
  <c r="GJ38" i="13"/>
  <c r="GK38" i="13"/>
  <c r="GL38" i="13"/>
  <c r="GM38" i="13"/>
  <c r="GN38" i="13"/>
  <c r="GO38" i="13"/>
  <c r="GP38" i="13"/>
  <c r="GQ38" i="13"/>
  <c r="GR38" i="13"/>
  <c r="GS38" i="13"/>
  <c r="GT38" i="13"/>
  <c r="GU38" i="13"/>
  <c r="GV38" i="13"/>
  <c r="GW38" i="13"/>
  <c r="GX38" i="13"/>
  <c r="GY38" i="13"/>
  <c r="GZ38" i="13"/>
  <c r="HA38" i="13"/>
  <c r="HB38" i="13"/>
  <c r="HC38" i="13"/>
  <c r="HD38" i="13"/>
  <c r="HE38" i="13"/>
  <c r="HF38" i="13"/>
  <c r="HG38" i="13"/>
  <c r="HH38" i="13"/>
  <c r="HI38" i="13"/>
  <c r="HJ38" i="13"/>
  <c r="HK38" i="13"/>
  <c r="HL38" i="13"/>
  <c r="HM38" i="13"/>
  <c r="HN38" i="13"/>
  <c r="HO38" i="13"/>
  <c r="HP38" i="13"/>
  <c r="HQ38" i="13"/>
  <c r="HR38" i="13"/>
  <c r="HS38" i="13"/>
  <c r="HT38" i="13"/>
  <c r="HU38" i="13"/>
  <c r="HV38" i="13"/>
  <c r="HW38" i="13"/>
  <c r="HX38" i="13"/>
  <c r="HY38" i="13"/>
  <c r="HZ38" i="13"/>
  <c r="IA38" i="13"/>
  <c r="IB38" i="13"/>
  <c r="IC38" i="13"/>
  <c r="ID38" i="13"/>
  <c r="IE38" i="13"/>
  <c r="IF38" i="13"/>
  <c r="IG38" i="13"/>
  <c r="IH38" i="13"/>
  <c r="II38" i="13"/>
  <c r="IJ38" i="13"/>
  <c r="IK38" i="13"/>
  <c r="IL38" i="13"/>
  <c r="IM38" i="13"/>
  <c r="IN38" i="13"/>
  <c r="IO38" i="13"/>
  <c r="IP38" i="13"/>
  <c r="IQ38" i="13"/>
  <c r="IR38" i="13"/>
  <c r="IS38" i="13"/>
  <c r="IT38" i="13"/>
  <c r="IU38" i="13"/>
  <c r="IV38" i="13"/>
  <c r="A37" i="13"/>
  <c r="B37" i="13"/>
  <c r="C37" i="13"/>
  <c r="D37" i="13"/>
  <c r="E37" i="13"/>
  <c r="F37" i="13"/>
  <c r="G37" i="13"/>
  <c r="H37" i="13"/>
  <c r="I37" i="13"/>
  <c r="J37" i="13"/>
  <c r="K37" i="13"/>
  <c r="L37" i="13"/>
  <c r="M37" i="13"/>
  <c r="N37" i="13"/>
  <c r="O37" i="13"/>
  <c r="P37" i="13"/>
  <c r="Q37" i="13"/>
  <c r="R37" i="13"/>
  <c r="S37" i="13"/>
  <c r="T37" i="13"/>
  <c r="U37" i="13"/>
  <c r="V37" i="13"/>
  <c r="W37" i="13"/>
  <c r="X37" i="13"/>
  <c r="Y37" i="13"/>
  <c r="Z37" i="13"/>
  <c r="AA37" i="13"/>
  <c r="AB37" i="13"/>
  <c r="AC37" i="13"/>
  <c r="AD37" i="13"/>
  <c r="AE37" i="13"/>
  <c r="AF37" i="13"/>
  <c r="AG37" i="13"/>
  <c r="AH37" i="13"/>
  <c r="AI37" i="13"/>
  <c r="AJ37" i="13"/>
  <c r="AK37" i="13"/>
  <c r="AL37" i="13"/>
  <c r="AM37" i="13"/>
  <c r="AN37" i="13"/>
  <c r="AO37" i="13"/>
  <c r="AP37" i="13"/>
  <c r="AQ37" i="13"/>
  <c r="AR37" i="13"/>
  <c r="AS37" i="13"/>
  <c r="AT37" i="13"/>
  <c r="AU37" i="13"/>
  <c r="AV37" i="13"/>
  <c r="AW37" i="13"/>
  <c r="AX37" i="13"/>
  <c r="AY37" i="13"/>
  <c r="AZ37" i="13"/>
  <c r="BA37" i="13"/>
  <c r="BB37" i="13"/>
  <c r="BC37" i="13"/>
  <c r="BD37" i="13"/>
  <c r="BE37" i="13"/>
  <c r="BF37" i="13"/>
  <c r="BG37" i="13"/>
  <c r="BH37" i="13"/>
  <c r="BI37" i="13"/>
  <c r="BJ37" i="13"/>
  <c r="BK37" i="13"/>
  <c r="BL37" i="13"/>
  <c r="BM37" i="13"/>
  <c r="BN37" i="13"/>
  <c r="BO37" i="13"/>
  <c r="BP37" i="13"/>
  <c r="BQ37" i="13"/>
  <c r="BR37" i="13"/>
  <c r="BS37" i="13"/>
  <c r="BT37" i="13"/>
  <c r="BU37" i="13"/>
  <c r="BV37" i="13"/>
  <c r="BW37" i="13"/>
  <c r="BX37" i="13"/>
  <c r="BY37" i="13"/>
  <c r="BZ37" i="13"/>
  <c r="CA37" i="13"/>
  <c r="CB37" i="13"/>
  <c r="CC37" i="13"/>
  <c r="CD37" i="13"/>
  <c r="CE37" i="13"/>
  <c r="CF37" i="13"/>
  <c r="CG37" i="13"/>
  <c r="CH37" i="13"/>
  <c r="CI37" i="13"/>
  <c r="CJ37" i="13"/>
  <c r="CK37" i="13"/>
  <c r="CL37" i="13"/>
  <c r="CM37" i="13"/>
  <c r="CN37" i="13"/>
  <c r="CO37" i="13"/>
  <c r="CP37" i="13"/>
  <c r="CQ37" i="13"/>
  <c r="CR37" i="13"/>
  <c r="CS37" i="13"/>
  <c r="CT37" i="13"/>
  <c r="CU37" i="13"/>
  <c r="CV37" i="13"/>
  <c r="CW37" i="13"/>
  <c r="CX37" i="13"/>
  <c r="CY37" i="13"/>
  <c r="CZ37" i="13"/>
  <c r="DA37" i="13"/>
  <c r="DB37" i="13"/>
  <c r="DC37" i="13"/>
  <c r="DD37" i="13"/>
  <c r="DE37" i="13"/>
  <c r="DF37" i="13"/>
  <c r="DG37" i="13"/>
  <c r="DH37" i="13"/>
  <c r="DI37" i="13"/>
  <c r="DJ37" i="13"/>
  <c r="DK37" i="13"/>
  <c r="DL37" i="13"/>
  <c r="DM37" i="13"/>
  <c r="DN37" i="13"/>
  <c r="DO37" i="13"/>
  <c r="DP37" i="13"/>
  <c r="DQ37" i="13"/>
  <c r="DR37" i="13"/>
  <c r="DS37" i="13"/>
  <c r="DT37" i="13"/>
  <c r="DU37" i="13"/>
  <c r="DV37" i="13"/>
  <c r="DW37" i="13"/>
  <c r="DX37" i="13"/>
  <c r="DY37" i="13"/>
  <c r="DZ37" i="13"/>
  <c r="EA37" i="13"/>
  <c r="EB37" i="13"/>
  <c r="EC37" i="13"/>
  <c r="ED37" i="13"/>
  <c r="EE37" i="13"/>
  <c r="EF37" i="13"/>
  <c r="EG37" i="13"/>
  <c r="EH37" i="13"/>
  <c r="EI37" i="13"/>
  <c r="EJ37" i="13"/>
  <c r="EK37" i="13"/>
  <c r="EL37" i="13"/>
  <c r="EM37" i="13"/>
  <c r="EN37" i="13"/>
  <c r="EO37" i="13"/>
  <c r="EP37" i="13"/>
  <c r="EQ37" i="13"/>
  <c r="ER37" i="13"/>
  <c r="ES37" i="13"/>
  <c r="ET37" i="13"/>
  <c r="EU37" i="13"/>
  <c r="EV37" i="13"/>
  <c r="EW37" i="13"/>
  <c r="EX37" i="13"/>
  <c r="EY37" i="13"/>
  <c r="EZ37" i="13"/>
  <c r="FA37" i="13"/>
  <c r="FB37" i="13"/>
  <c r="FC37" i="13"/>
  <c r="FD37" i="13"/>
  <c r="FE37" i="13"/>
  <c r="FF37" i="13"/>
  <c r="FG37" i="13"/>
  <c r="FH37" i="13"/>
  <c r="FI37" i="13"/>
  <c r="FJ37" i="13"/>
  <c r="FK37" i="13"/>
  <c r="FL37" i="13"/>
  <c r="FM37" i="13"/>
  <c r="FN37" i="13"/>
  <c r="FO37" i="13"/>
  <c r="FP37" i="13"/>
  <c r="FQ37" i="13"/>
  <c r="FR37" i="13"/>
  <c r="FS37" i="13"/>
  <c r="FT37" i="13"/>
  <c r="FU37" i="13"/>
  <c r="FV37" i="13"/>
  <c r="FW37" i="13"/>
  <c r="FX37" i="13"/>
  <c r="FY37" i="13"/>
  <c r="FZ37" i="13"/>
  <c r="GA37" i="13"/>
  <c r="GB37" i="13"/>
  <c r="GC37" i="13"/>
  <c r="GD37" i="13"/>
  <c r="GE37" i="13"/>
  <c r="GF37" i="13"/>
  <c r="GG37" i="13"/>
  <c r="GH37" i="13"/>
  <c r="GI37" i="13"/>
  <c r="GJ37" i="13"/>
  <c r="GK37" i="13"/>
  <c r="GL37" i="13"/>
  <c r="GM37" i="13"/>
  <c r="GN37" i="13"/>
  <c r="GO37" i="13"/>
  <c r="GP37" i="13"/>
  <c r="GQ37" i="13"/>
  <c r="GR37" i="13"/>
  <c r="GS37" i="13"/>
  <c r="GT37" i="13"/>
  <c r="GU37" i="13"/>
  <c r="GV37" i="13"/>
  <c r="GW37" i="13"/>
  <c r="GX37" i="13"/>
  <c r="GY37" i="13"/>
  <c r="GZ37" i="13"/>
  <c r="HA37" i="13"/>
  <c r="HB37" i="13"/>
  <c r="HC37" i="13"/>
  <c r="HD37" i="13"/>
  <c r="HE37" i="13"/>
  <c r="HF37" i="13"/>
  <c r="HG37" i="13"/>
  <c r="HH37" i="13"/>
  <c r="HI37" i="13"/>
  <c r="HJ37" i="13"/>
  <c r="HK37" i="13"/>
  <c r="HL37" i="13"/>
  <c r="HM37" i="13"/>
  <c r="HN37" i="13"/>
  <c r="HO37" i="13"/>
  <c r="HP37" i="13"/>
  <c r="HQ37" i="13"/>
  <c r="HR37" i="13"/>
  <c r="HS37" i="13"/>
  <c r="HT37" i="13"/>
  <c r="HU37" i="13"/>
  <c r="HV37" i="13"/>
  <c r="HW37" i="13"/>
  <c r="HX37" i="13"/>
  <c r="HY37" i="13"/>
  <c r="HZ37" i="13"/>
  <c r="IA37" i="13"/>
  <c r="IB37" i="13"/>
  <c r="IC37" i="13"/>
  <c r="ID37" i="13"/>
  <c r="IE37" i="13"/>
  <c r="IF37" i="13"/>
  <c r="IG37" i="13"/>
  <c r="IH37" i="13"/>
  <c r="II37" i="13"/>
  <c r="IJ37" i="13"/>
  <c r="IK37" i="13"/>
  <c r="IL37" i="13"/>
  <c r="IM37" i="13"/>
  <c r="IN37" i="13"/>
  <c r="IO37" i="13"/>
  <c r="IP37" i="13"/>
  <c r="IQ37" i="13"/>
  <c r="IR37" i="13"/>
  <c r="IS37" i="13"/>
  <c r="IT37" i="13"/>
  <c r="IU37" i="13"/>
  <c r="IV37" i="13"/>
  <c r="A36" i="13"/>
  <c r="B36" i="13"/>
  <c r="C36" i="13"/>
  <c r="D36" i="13"/>
  <c r="E36" i="13"/>
  <c r="F36" i="13"/>
  <c r="G36" i="13"/>
  <c r="H36" i="13"/>
  <c r="I36" i="13"/>
  <c r="J36" i="13"/>
  <c r="K36" i="13"/>
  <c r="L36" i="13"/>
  <c r="M36" i="13"/>
  <c r="N36" i="13"/>
  <c r="O36" i="13"/>
  <c r="P36" i="13"/>
  <c r="Q36" i="13"/>
  <c r="R36" i="13"/>
  <c r="S36" i="13"/>
  <c r="T36" i="13"/>
  <c r="U36" i="13"/>
  <c r="V36" i="13"/>
  <c r="W36" i="13"/>
  <c r="X36" i="13"/>
  <c r="Y36" i="13"/>
  <c r="Z36" i="13"/>
  <c r="AA36" i="13"/>
  <c r="AB36" i="13"/>
  <c r="AC36" i="13"/>
  <c r="AD36" i="13"/>
  <c r="AE36" i="13"/>
  <c r="AF36" i="13"/>
  <c r="AG36" i="13"/>
  <c r="AH36" i="13"/>
  <c r="AI36" i="13"/>
  <c r="AJ36" i="13"/>
  <c r="AK36" i="13"/>
  <c r="AL36" i="13"/>
  <c r="AM36" i="13"/>
  <c r="AN36" i="13"/>
  <c r="AO36" i="13"/>
  <c r="AP36" i="13"/>
  <c r="AQ36" i="13"/>
  <c r="AR36" i="13"/>
  <c r="AS36" i="13"/>
  <c r="AT36" i="13"/>
  <c r="AU36" i="13"/>
  <c r="AV36" i="13"/>
  <c r="AW36" i="13"/>
  <c r="AX36" i="13"/>
  <c r="AY36" i="13"/>
  <c r="AZ36" i="13"/>
  <c r="BA36" i="13"/>
  <c r="BB36" i="13"/>
  <c r="BC36" i="13"/>
  <c r="BD36" i="13"/>
  <c r="BE36" i="13"/>
  <c r="BF36" i="13"/>
  <c r="BG36" i="13"/>
  <c r="BH36" i="13"/>
  <c r="BI36" i="13"/>
  <c r="BJ36" i="13"/>
  <c r="BK36" i="13"/>
  <c r="BL36" i="13"/>
  <c r="BM36" i="13"/>
  <c r="BN36" i="13"/>
  <c r="BO36" i="13"/>
  <c r="BP36" i="13"/>
  <c r="BQ36" i="13"/>
  <c r="BR36" i="13"/>
  <c r="BS36" i="13"/>
  <c r="BT36" i="13"/>
  <c r="BU36" i="13"/>
  <c r="BV36" i="13"/>
  <c r="BW36" i="13"/>
  <c r="BX36" i="13"/>
  <c r="BY36" i="13"/>
  <c r="BZ36" i="13"/>
  <c r="CA36" i="13"/>
  <c r="CB36" i="13"/>
  <c r="CC36" i="13"/>
  <c r="CD36" i="13"/>
  <c r="CE36" i="13"/>
  <c r="CF36" i="13"/>
  <c r="CG36" i="13"/>
  <c r="CH36" i="13"/>
  <c r="CI36" i="13"/>
  <c r="CJ36" i="13"/>
  <c r="CK36" i="13"/>
  <c r="CL36" i="13"/>
  <c r="CM36" i="13"/>
  <c r="CN36" i="13"/>
  <c r="CO36" i="13"/>
  <c r="CP36" i="13"/>
  <c r="CQ36" i="13"/>
  <c r="CR36" i="13"/>
  <c r="CS36" i="13"/>
  <c r="CT36" i="13"/>
  <c r="CU36" i="13"/>
  <c r="CV36" i="13"/>
  <c r="CW36" i="13"/>
  <c r="CX36" i="13"/>
  <c r="CY36" i="13"/>
  <c r="CZ36" i="13"/>
  <c r="DA36" i="13"/>
  <c r="DB36" i="13"/>
  <c r="DC36" i="13"/>
  <c r="DD36" i="13"/>
  <c r="DE36" i="13"/>
  <c r="DF36" i="13"/>
  <c r="DG36" i="13"/>
  <c r="DH36" i="13"/>
  <c r="DI36" i="13"/>
  <c r="DJ36" i="13"/>
  <c r="DK36" i="13"/>
  <c r="DL36" i="13"/>
  <c r="DM36" i="13"/>
  <c r="DN36" i="13"/>
  <c r="DO36" i="13"/>
  <c r="DP36" i="13"/>
  <c r="DQ36" i="13"/>
  <c r="DR36" i="13"/>
  <c r="DS36" i="13"/>
  <c r="DT36" i="13"/>
  <c r="DU36" i="13"/>
  <c r="DV36" i="13"/>
  <c r="DW36" i="13"/>
  <c r="DX36" i="13"/>
  <c r="DY36" i="13"/>
  <c r="DZ36" i="13"/>
  <c r="EA36" i="13"/>
  <c r="EB36" i="13"/>
  <c r="EC36" i="13"/>
  <c r="ED36" i="13"/>
  <c r="EE36" i="13"/>
  <c r="EF36" i="13"/>
  <c r="EG36" i="13"/>
  <c r="EH36" i="13"/>
  <c r="EI36" i="13"/>
  <c r="EJ36" i="13"/>
  <c r="EK36" i="13"/>
  <c r="EL36" i="13"/>
  <c r="EM36" i="13"/>
  <c r="EN36" i="13"/>
  <c r="EO36" i="13"/>
  <c r="EP36" i="13"/>
  <c r="EQ36" i="13"/>
  <c r="ER36" i="13"/>
  <c r="ES36" i="13"/>
  <c r="ET36" i="13"/>
  <c r="EU36" i="13"/>
  <c r="EV36" i="13"/>
  <c r="EW36" i="13"/>
  <c r="EX36" i="13"/>
  <c r="EY36" i="13"/>
  <c r="EZ36" i="13"/>
  <c r="FA36" i="13"/>
  <c r="FB36" i="13"/>
  <c r="FC36" i="13"/>
  <c r="FD36" i="13"/>
  <c r="FE36" i="13"/>
  <c r="FF36" i="13"/>
  <c r="FG36" i="13"/>
  <c r="FH36" i="13"/>
  <c r="FI36" i="13"/>
  <c r="FJ36" i="13"/>
  <c r="FK36" i="13"/>
  <c r="FL36" i="13"/>
  <c r="FM36" i="13"/>
  <c r="FN36" i="13"/>
  <c r="FO36" i="13"/>
  <c r="FP36" i="13"/>
  <c r="FQ36" i="13"/>
  <c r="FR36" i="13"/>
  <c r="FS36" i="13"/>
  <c r="FT36" i="13"/>
  <c r="FU36" i="13"/>
  <c r="FV36" i="13"/>
  <c r="FW36" i="13"/>
  <c r="FX36" i="13"/>
  <c r="FY36" i="13"/>
  <c r="FZ36" i="13"/>
  <c r="GA36" i="13"/>
  <c r="GB36" i="13"/>
  <c r="GC36" i="13"/>
  <c r="GD36" i="13"/>
  <c r="GE36" i="13"/>
  <c r="GF36" i="13"/>
  <c r="GG36" i="13"/>
  <c r="GH36" i="13"/>
  <c r="GI36" i="13"/>
  <c r="GJ36" i="13"/>
  <c r="GK36" i="13"/>
  <c r="GL36" i="13"/>
  <c r="GM36" i="13"/>
  <c r="GN36" i="13"/>
  <c r="GO36" i="13"/>
  <c r="GP36" i="13"/>
  <c r="GQ36" i="13"/>
  <c r="GR36" i="13"/>
  <c r="GS36" i="13"/>
  <c r="GT36" i="13"/>
  <c r="GU36" i="13"/>
  <c r="GV36" i="13"/>
  <c r="GW36" i="13"/>
  <c r="GX36" i="13"/>
  <c r="GY36" i="13"/>
  <c r="GZ36" i="13"/>
  <c r="HA36" i="13"/>
  <c r="HB36" i="13"/>
  <c r="HC36" i="13"/>
  <c r="HD36" i="13"/>
  <c r="HE36" i="13"/>
  <c r="HF36" i="13"/>
  <c r="HG36" i="13"/>
  <c r="HH36" i="13"/>
  <c r="HI36" i="13"/>
  <c r="HJ36" i="13"/>
  <c r="HK36" i="13"/>
  <c r="HL36" i="13"/>
  <c r="HM36" i="13"/>
  <c r="HN36" i="13"/>
  <c r="HO36" i="13"/>
  <c r="HP36" i="13"/>
  <c r="HQ36" i="13"/>
  <c r="HR36" i="13"/>
  <c r="HS36" i="13"/>
  <c r="HT36" i="13"/>
  <c r="HU36" i="13"/>
  <c r="HV36" i="13"/>
  <c r="HW36" i="13"/>
  <c r="HX36" i="13"/>
  <c r="HY36" i="13"/>
  <c r="HZ36" i="13"/>
  <c r="IA36" i="13"/>
  <c r="IB36" i="13"/>
  <c r="IC36" i="13"/>
  <c r="ID36" i="13"/>
  <c r="IE36" i="13"/>
  <c r="IF36" i="13"/>
  <c r="IG36" i="13"/>
  <c r="IH36" i="13"/>
  <c r="II36" i="13"/>
  <c r="IJ36" i="13"/>
  <c r="IK36" i="13"/>
  <c r="IL36" i="13"/>
  <c r="IM36" i="13"/>
  <c r="IN36" i="13"/>
  <c r="IO36" i="13"/>
  <c r="IP36" i="13"/>
  <c r="IQ36" i="13"/>
  <c r="IR36" i="13"/>
  <c r="IS36" i="13"/>
  <c r="IT36" i="13"/>
  <c r="IU36" i="13"/>
  <c r="IV36" i="13"/>
  <c r="A35" i="13"/>
  <c r="B35" i="13"/>
  <c r="C35" i="13"/>
  <c r="D35" i="13"/>
  <c r="E35" i="13"/>
  <c r="F35" i="13"/>
  <c r="G35" i="13"/>
  <c r="H35" i="13"/>
  <c r="I35" i="13"/>
  <c r="J35" i="13"/>
  <c r="K35" i="13"/>
  <c r="L35" i="13"/>
  <c r="M35" i="13"/>
  <c r="N35" i="13"/>
  <c r="O35" i="13"/>
  <c r="P35" i="13"/>
  <c r="Q35" i="13"/>
  <c r="R35" i="13"/>
  <c r="S35" i="13"/>
  <c r="T35" i="13"/>
  <c r="U35" i="13"/>
  <c r="V35" i="13"/>
  <c r="W35" i="13"/>
  <c r="X35" i="13"/>
  <c r="Y35" i="13"/>
  <c r="Z35" i="13"/>
  <c r="AA35" i="13"/>
  <c r="AB35" i="13"/>
  <c r="AC35" i="13"/>
  <c r="AD35" i="13"/>
  <c r="AE35" i="13"/>
  <c r="AF35" i="13"/>
  <c r="AG35" i="13"/>
  <c r="AH35" i="13"/>
  <c r="AI35" i="13"/>
  <c r="AJ35" i="13"/>
  <c r="AK35" i="13"/>
  <c r="AL35" i="13"/>
  <c r="AM35" i="13"/>
  <c r="AN35" i="13"/>
  <c r="AO35" i="13"/>
  <c r="AP35" i="13"/>
  <c r="AQ35" i="13"/>
  <c r="AR35" i="13"/>
  <c r="AS35" i="13"/>
  <c r="AT35" i="13"/>
  <c r="AU35" i="13"/>
  <c r="AV35" i="13"/>
  <c r="AW35" i="13"/>
  <c r="AX35" i="13"/>
  <c r="AY35" i="13"/>
  <c r="AZ35" i="13"/>
  <c r="BA35" i="13"/>
  <c r="BB35" i="13"/>
  <c r="BC35" i="13"/>
  <c r="BD35" i="13"/>
  <c r="BE35" i="13"/>
  <c r="BF35" i="13"/>
  <c r="BG35" i="13"/>
  <c r="BH35" i="13"/>
  <c r="BI35" i="13"/>
  <c r="BJ35" i="13"/>
  <c r="BK35" i="13"/>
  <c r="BL35" i="13"/>
  <c r="BM35" i="13"/>
  <c r="BN35" i="13"/>
  <c r="BO35" i="13"/>
  <c r="BP35" i="13"/>
  <c r="BQ35" i="13"/>
  <c r="BR35" i="13"/>
  <c r="BS35" i="13"/>
  <c r="BT35" i="13"/>
  <c r="BU35" i="13"/>
  <c r="BV35" i="13"/>
  <c r="BW35" i="13"/>
  <c r="BX35" i="13"/>
  <c r="BY35" i="13"/>
  <c r="BZ35" i="13"/>
  <c r="CA35" i="13"/>
  <c r="CB35" i="13"/>
  <c r="CC35" i="13"/>
  <c r="CD35" i="13"/>
  <c r="CE35" i="13"/>
  <c r="CF35" i="13"/>
  <c r="CG35" i="13"/>
  <c r="CH35" i="13"/>
  <c r="CI35" i="13"/>
  <c r="CJ35" i="13"/>
  <c r="CK35" i="13"/>
  <c r="CL35" i="13"/>
  <c r="CM35" i="13"/>
  <c r="CN35" i="13"/>
  <c r="CO35" i="13"/>
  <c r="CP35" i="13"/>
  <c r="CQ35" i="13"/>
  <c r="CR35" i="13"/>
  <c r="CS35" i="13"/>
  <c r="CT35" i="13"/>
  <c r="CU35" i="13"/>
  <c r="CV35" i="13"/>
  <c r="CW35" i="13"/>
  <c r="CX35" i="13"/>
  <c r="CY35" i="13"/>
  <c r="CZ35" i="13"/>
  <c r="DA35" i="13"/>
  <c r="DB35" i="13"/>
  <c r="DC35" i="13"/>
  <c r="DD35" i="13"/>
  <c r="DE35" i="13"/>
  <c r="DF35" i="13"/>
  <c r="DG35" i="13"/>
  <c r="DH35" i="13"/>
  <c r="DI35" i="13"/>
  <c r="DJ35" i="13"/>
  <c r="DK35" i="13"/>
  <c r="DL35" i="13"/>
  <c r="DM35" i="13"/>
  <c r="DN35" i="13"/>
  <c r="DO35" i="13"/>
  <c r="DP35" i="13"/>
  <c r="DQ35" i="13"/>
  <c r="DR35" i="13"/>
  <c r="DS35" i="13"/>
  <c r="DT35" i="13"/>
  <c r="DU35" i="13"/>
  <c r="DV35" i="13"/>
  <c r="DW35" i="13"/>
  <c r="DX35" i="13"/>
  <c r="DY35" i="13"/>
  <c r="DZ35" i="13"/>
  <c r="EA35" i="13"/>
  <c r="EB35" i="13"/>
  <c r="EC35" i="13"/>
  <c r="ED35" i="13"/>
  <c r="EE35" i="13"/>
  <c r="EF35" i="13"/>
  <c r="EG35" i="13"/>
  <c r="EH35" i="13"/>
  <c r="EI35" i="13"/>
  <c r="EJ35" i="13"/>
  <c r="EK35" i="13"/>
  <c r="EL35" i="13"/>
  <c r="EM35" i="13"/>
  <c r="EN35" i="13"/>
  <c r="EO35" i="13"/>
  <c r="EP35" i="13"/>
  <c r="EQ35" i="13"/>
  <c r="ER35" i="13"/>
  <c r="ES35" i="13"/>
  <c r="ET35" i="13"/>
  <c r="EU35" i="13"/>
  <c r="EV35" i="13"/>
  <c r="EW35" i="13"/>
  <c r="EX35" i="13"/>
  <c r="EY35" i="13"/>
  <c r="EZ35" i="13"/>
  <c r="FA35" i="13"/>
  <c r="FB35" i="13"/>
  <c r="FC35" i="13"/>
  <c r="FD35" i="13"/>
  <c r="FE35" i="13"/>
  <c r="FF35" i="13"/>
  <c r="FG35" i="13"/>
  <c r="FH35" i="13"/>
  <c r="FI35" i="13"/>
  <c r="FJ35" i="13"/>
  <c r="FK35" i="13"/>
  <c r="FL35" i="13"/>
  <c r="FM35" i="13"/>
  <c r="FN35" i="13"/>
  <c r="FO35" i="13"/>
  <c r="FP35" i="13"/>
  <c r="FQ35" i="13"/>
  <c r="FR35" i="13"/>
  <c r="FS35" i="13"/>
  <c r="FT35" i="13"/>
  <c r="FU35" i="13"/>
  <c r="FV35" i="13"/>
  <c r="FW35" i="13"/>
  <c r="FX35" i="13"/>
  <c r="FY35" i="13"/>
  <c r="FZ35" i="13"/>
  <c r="GA35" i="13"/>
  <c r="GB35" i="13"/>
  <c r="GC35" i="13"/>
  <c r="GD35" i="13"/>
  <c r="GE35" i="13"/>
  <c r="GF35" i="13"/>
  <c r="GG35" i="13"/>
  <c r="GH35" i="13"/>
  <c r="GI35" i="13"/>
  <c r="GJ35" i="13"/>
  <c r="GK35" i="13"/>
  <c r="GL35" i="13"/>
  <c r="GM35" i="13"/>
  <c r="GN35" i="13"/>
  <c r="GO35" i="13"/>
  <c r="GP35" i="13"/>
  <c r="GQ35" i="13"/>
  <c r="GR35" i="13"/>
  <c r="GS35" i="13"/>
  <c r="GT35" i="13"/>
  <c r="GU35" i="13"/>
  <c r="GV35" i="13"/>
  <c r="GW35" i="13"/>
  <c r="GX35" i="13"/>
  <c r="GY35" i="13"/>
  <c r="GZ35" i="13"/>
  <c r="HA35" i="13"/>
  <c r="HB35" i="13"/>
  <c r="HC35" i="13"/>
  <c r="HD35" i="13"/>
  <c r="HE35" i="13"/>
  <c r="HF35" i="13"/>
  <c r="HG35" i="13"/>
  <c r="HH35" i="13"/>
  <c r="HI35" i="13"/>
  <c r="HJ35" i="13"/>
  <c r="HK35" i="13"/>
  <c r="HL35" i="13"/>
  <c r="HM35" i="13"/>
  <c r="HN35" i="13"/>
  <c r="HO35" i="13"/>
  <c r="HP35" i="13"/>
  <c r="HQ35" i="13"/>
  <c r="HR35" i="13"/>
  <c r="HS35" i="13"/>
  <c r="HT35" i="13"/>
  <c r="HU35" i="13"/>
  <c r="HV35" i="13"/>
  <c r="HW35" i="13"/>
  <c r="HX35" i="13"/>
  <c r="HY35" i="13"/>
  <c r="IB35" i="13"/>
  <c r="IE35" i="13"/>
  <c r="IF35" i="13"/>
  <c r="IG35" i="13"/>
  <c r="IJ35" i="13"/>
  <c r="IL35" i="13"/>
  <c r="IM35" i="13"/>
  <c r="IN35" i="13"/>
  <c r="IO35" i="13"/>
  <c r="IP35" i="13"/>
  <c r="IQ35" i="13"/>
  <c r="IR35" i="13"/>
  <c r="IS35" i="13"/>
  <c r="IT35" i="13"/>
  <c r="IU35" i="13"/>
  <c r="IV35" i="13"/>
  <c r="A34" i="13"/>
  <c r="B34" i="13"/>
  <c r="C34" i="13"/>
  <c r="D34" i="13"/>
  <c r="E34" i="13"/>
  <c r="F34" i="13"/>
  <c r="G34" i="13"/>
  <c r="H34" i="13"/>
  <c r="I34" i="13"/>
  <c r="J34" i="13"/>
  <c r="K34" i="13"/>
  <c r="L34" i="13"/>
  <c r="M34" i="13"/>
  <c r="N34" i="13"/>
  <c r="O34" i="13"/>
  <c r="P34" i="13"/>
  <c r="Q34" i="13"/>
  <c r="R34" i="13"/>
  <c r="S34" i="13"/>
  <c r="T34" i="13"/>
  <c r="U34" i="13"/>
  <c r="V34" i="13"/>
  <c r="W34" i="13"/>
  <c r="X34" i="13"/>
  <c r="Y34" i="13"/>
  <c r="Z34" i="13"/>
  <c r="AA34" i="13"/>
  <c r="AB34" i="13"/>
  <c r="AC34" i="13"/>
  <c r="AD34" i="13"/>
  <c r="AE34" i="13"/>
  <c r="AF34" i="13"/>
  <c r="AG34" i="13"/>
  <c r="AH34" i="13"/>
  <c r="AI34" i="13"/>
  <c r="AJ34" i="13"/>
  <c r="AK34" i="13"/>
  <c r="AL34" i="13"/>
  <c r="AM34" i="13"/>
  <c r="AN34" i="13"/>
  <c r="AO34" i="13"/>
  <c r="AP34" i="13"/>
  <c r="AQ34" i="13"/>
  <c r="AR34" i="13"/>
  <c r="AS34" i="13"/>
  <c r="AT34" i="13"/>
  <c r="AU34" i="13"/>
  <c r="AV34" i="13"/>
  <c r="AW34" i="13"/>
  <c r="AX34" i="13"/>
  <c r="AY34" i="13"/>
  <c r="AZ34" i="13"/>
  <c r="BA34" i="13"/>
  <c r="BB34" i="13"/>
  <c r="BC34" i="13"/>
  <c r="BD34" i="13"/>
  <c r="BE34" i="13"/>
  <c r="BF34" i="13"/>
  <c r="BG34" i="13"/>
  <c r="BH34" i="13"/>
  <c r="BI34" i="13"/>
  <c r="BJ34" i="13"/>
  <c r="BK34" i="13"/>
  <c r="BL34" i="13"/>
  <c r="BM34" i="13"/>
  <c r="BN34" i="13"/>
  <c r="BO34" i="13"/>
  <c r="BP34" i="13"/>
  <c r="BQ34" i="13"/>
  <c r="BR34" i="13"/>
  <c r="BS34" i="13"/>
  <c r="BT34" i="13"/>
  <c r="BU34" i="13"/>
  <c r="BV34" i="13"/>
  <c r="BW34" i="13"/>
  <c r="BX34" i="13"/>
  <c r="BY34" i="13"/>
  <c r="BZ34" i="13"/>
  <c r="CA34" i="13"/>
  <c r="CB34" i="13"/>
  <c r="CC34" i="13"/>
  <c r="CD34" i="13"/>
  <c r="CE34" i="13"/>
  <c r="CF34" i="13"/>
  <c r="CG34" i="13"/>
  <c r="CH34" i="13"/>
  <c r="CI34" i="13"/>
  <c r="CJ34" i="13"/>
  <c r="CK34" i="13"/>
  <c r="CL34" i="13"/>
  <c r="CM34" i="13"/>
  <c r="CN34" i="13"/>
  <c r="CO34" i="13"/>
  <c r="CP34" i="13"/>
  <c r="CQ34" i="13"/>
  <c r="CR34" i="13"/>
  <c r="CS34" i="13"/>
  <c r="CT34" i="13"/>
  <c r="CU34" i="13"/>
  <c r="CV34" i="13"/>
  <c r="CW34" i="13"/>
  <c r="CX34" i="13"/>
  <c r="CY34" i="13"/>
  <c r="CZ34" i="13"/>
  <c r="DA34" i="13"/>
  <c r="DB34" i="13"/>
  <c r="DC34" i="13"/>
  <c r="DD34" i="13"/>
  <c r="DE34" i="13"/>
  <c r="DF34" i="13"/>
  <c r="DG34" i="13"/>
  <c r="DH34" i="13"/>
  <c r="DI34" i="13"/>
  <c r="DJ34" i="13"/>
  <c r="DK34" i="13"/>
  <c r="DL34" i="13"/>
  <c r="DM34" i="13"/>
  <c r="DN34" i="13"/>
  <c r="DO34" i="13"/>
  <c r="DP34" i="13"/>
  <c r="DQ34" i="13"/>
  <c r="DR34" i="13"/>
  <c r="DS34" i="13"/>
  <c r="DT34" i="13"/>
  <c r="DU34" i="13"/>
  <c r="DV34" i="13"/>
  <c r="DW34" i="13"/>
  <c r="DX34" i="13"/>
  <c r="DY34" i="13"/>
  <c r="DZ34" i="13"/>
  <c r="EA34" i="13"/>
  <c r="EB34" i="13"/>
  <c r="EC34" i="13"/>
  <c r="ED34" i="13"/>
  <c r="EE34" i="13"/>
  <c r="EF34" i="13"/>
  <c r="EG34" i="13"/>
  <c r="EH34" i="13"/>
  <c r="EI34" i="13"/>
  <c r="EJ34" i="13"/>
  <c r="EK34" i="13"/>
  <c r="EL34" i="13"/>
  <c r="EM34" i="13"/>
  <c r="EN34" i="13"/>
  <c r="EO34" i="13"/>
  <c r="EP34" i="13"/>
  <c r="EQ34" i="13"/>
  <c r="ER34" i="13"/>
  <c r="ES34" i="13"/>
  <c r="ET34" i="13"/>
  <c r="EU34" i="13"/>
  <c r="EV34" i="13"/>
  <c r="EW34" i="13"/>
  <c r="EX34" i="13"/>
  <c r="EY34" i="13"/>
  <c r="EZ34" i="13"/>
  <c r="FA34" i="13"/>
  <c r="FB34" i="13"/>
  <c r="FC34" i="13"/>
  <c r="FD34" i="13"/>
  <c r="FE34" i="13"/>
  <c r="FF34" i="13"/>
  <c r="FG34" i="13"/>
  <c r="FH34" i="13"/>
  <c r="FI34" i="13"/>
  <c r="FJ34" i="13"/>
  <c r="FK34" i="13"/>
  <c r="FL34" i="13"/>
  <c r="FM34" i="13"/>
  <c r="FN34" i="13"/>
  <c r="FO34" i="13"/>
  <c r="FP34" i="13"/>
  <c r="FQ34" i="13"/>
  <c r="FR34" i="13"/>
  <c r="FS34" i="13"/>
  <c r="FT34" i="13"/>
  <c r="FU34" i="13"/>
  <c r="FV34" i="13"/>
  <c r="FW34" i="13"/>
  <c r="FX34" i="13"/>
  <c r="FY34" i="13"/>
  <c r="FZ34" i="13"/>
  <c r="GA34" i="13"/>
  <c r="GB34" i="13"/>
  <c r="GC34" i="13"/>
  <c r="GD34" i="13"/>
  <c r="GE34" i="13"/>
  <c r="GF34" i="13"/>
  <c r="GG34" i="13"/>
  <c r="GH34" i="13"/>
  <c r="GI34" i="13"/>
  <c r="GJ34" i="13"/>
  <c r="GK34" i="13"/>
  <c r="GL34" i="13"/>
  <c r="GM34" i="13"/>
  <c r="GN34" i="13"/>
  <c r="GO34" i="13"/>
  <c r="GP34" i="13"/>
  <c r="GQ34" i="13"/>
  <c r="GR34" i="13"/>
  <c r="GS34" i="13"/>
  <c r="GT34" i="13"/>
  <c r="GU34" i="13"/>
  <c r="GV34" i="13"/>
  <c r="GW34" i="13"/>
  <c r="GX34" i="13"/>
  <c r="GY34" i="13"/>
  <c r="GZ34" i="13"/>
  <c r="HA34" i="13"/>
  <c r="HB34" i="13"/>
  <c r="HC34" i="13"/>
  <c r="HD34" i="13"/>
  <c r="HE34" i="13"/>
  <c r="HF34" i="13"/>
  <c r="HG34" i="13"/>
  <c r="HH34" i="13"/>
  <c r="HI34" i="13"/>
  <c r="HJ34" i="13"/>
  <c r="HK34" i="13"/>
  <c r="HL34" i="13"/>
  <c r="HM34" i="13"/>
  <c r="HN34" i="13"/>
  <c r="HO34" i="13"/>
  <c r="HP34" i="13"/>
  <c r="HQ34" i="13"/>
  <c r="HR34" i="13"/>
  <c r="HS34" i="13"/>
  <c r="HT34" i="13"/>
  <c r="HU34" i="13"/>
  <c r="HV34" i="13"/>
  <c r="HW34" i="13"/>
  <c r="HX34" i="13"/>
  <c r="HY34" i="13"/>
  <c r="HZ34" i="13"/>
  <c r="IA34" i="13"/>
  <c r="IB34" i="13"/>
  <c r="IC34" i="13"/>
  <c r="ID34" i="13"/>
  <c r="IE34" i="13"/>
  <c r="IF34" i="13"/>
  <c r="IG34" i="13"/>
  <c r="IH34" i="13"/>
  <c r="II34" i="13"/>
  <c r="IJ34" i="13"/>
  <c r="IK34" i="13"/>
  <c r="IL34" i="13"/>
  <c r="IM34" i="13"/>
  <c r="IN34" i="13"/>
  <c r="IO34" i="13"/>
  <c r="IP34" i="13"/>
  <c r="IQ34" i="13"/>
  <c r="IR34" i="13"/>
  <c r="IS34" i="13"/>
  <c r="IT34" i="13"/>
  <c r="IU34" i="13"/>
  <c r="IV34" i="13"/>
  <c r="A33" i="13"/>
  <c r="B33" i="13"/>
  <c r="C33" i="13"/>
  <c r="D33" i="13"/>
  <c r="E33" i="13"/>
  <c r="F33" i="13"/>
  <c r="G33" i="13"/>
  <c r="H33" i="13"/>
  <c r="I33" i="13"/>
  <c r="J33" i="13"/>
  <c r="K33" i="13"/>
  <c r="L33" i="13"/>
  <c r="M33" i="13"/>
  <c r="N33" i="13"/>
  <c r="O33" i="13"/>
  <c r="P33" i="13"/>
  <c r="Q33" i="13"/>
  <c r="R33" i="13"/>
  <c r="S33" i="13"/>
  <c r="T33" i="13"/>
  <c r="U33" i="13"/>
  <c r="V33" i="13"/>
  <c r="W33" i="13"/>
  <c r="X33" i="13"/>
  <c r="Y33" i="13"/>
  <c r="Z33" i="13"/>
  <c r="AA33" i="13"/>
  <c r="AB33" i="13"/>
  <c r="AC33" i="13"/>
  <c r="AD33" i="13"/>
  <c r="AE33" i="13"/>
  <c r="AF33" i="13"/>
  <c r="AG33" i="13"/>
  <c r="AH33" i="13"/>
  <c r="AI33" i="13"/>
  <c r="AJ33" i="13"/>
  <c r="AK33" i="13"/>
  <c r="AL33" i="13"/>
  <c r="AM33" i="13"/>
  <c r="AN33" i="13"/>
  <c r="AO33" i="13"/>
  <c r="AP33" i="13"/>
  <c r="AQ33" i="13"/>
  <c r="AR33" i="13"/>
  <c r="AS33" i="13"/>
  <c r="AT33" i="13"/>
  <c r="AU33" i="13"/>
  <c r="AV33" i="13"/>
  <c r="AW33" i="13"/>
  <c r="AX33" i="13"/>
  <c r="AY33" i="13"/>
  <c r="AZ33" i="13"/>
  <c r="BA33" i="13"/>
  <c r="BB33" i="13"/>
  <c r="BC33" i="13"/>
  <c r="BD33" i="13"/>
  <c r="BE33" i="13"/>
  <c r="BF33" i="13"/>
  <c r="BG33" i="13"/>
  <c r="BH33" i="13"/>
  <c r="BI33" i="13"/>
  <c r="BJ33" i="13"/>
  <c r="BK33" i="13"/>
  <c r="BL33" i="13"/>
  <c r="BM33" i="13"/>
  <c r="BN33" i="13"/>
  <c r="BO33" i="13"/>
  <c r="BP33" i="13"/>
  <c r="BQ33" i="13"/>
  <c r="BR33" i="13"/>
  <c r="BS33" i="13"/>
  <c r="BT33" i="13"/>
  <c r="BU33" i="13"/>
  <c r="BV33" i="13"/>
  <c r="BW33" i="13"/>
  <c r="BX33" i="13"/>
  <c r="BY33" i="13"/>
  <c r="BZ33" i="13"/>
  <c r="CA33" i="13"/>
  <c r="CB33" i="13"/>
  <c r="CC33" i="13"/>
  <c r="CD33" i="13"/>
  <c r="CE33" i="13"/>
  <c r="CF33" i="13"/>
  <c r="CG33" i="13"/>
  <c r="CH33" i="13"/>
  <c r="CI33" i="13"/>
  <c r="CJ33" i="13"/>
  <c r="CK33" i="13"/>
  <c r="CL33" i="13"/>
  <c r="CM33" i="13"/>
  <c r="CN33" i="13"/>
  <c r="CO33" i="13"/>
  <c r="CP33" i="13"/>
  <c r="CQ33" i="13"/>
  <c r="CR33" i="13"/>
  <c r="CS33" i="13"/>
  <c r="CT33" i="13"/>
  <c r="CU33" i="13"/>
  <c r="CV33" i="13"/>
  <c r="CW33" i="13"/>
  <c r="CX33" i="13"/>
  <c r="CY33" i="13"/>
  <c r="CZ33" i="13"/>
  <c r="DA33" i="13"/>
  <c r="DB33" i="13"/>
  <c r="DC33" i="13"/>
  <c r="DD33" i="13"/>
  <c r="DE33" i="13"/>
  <c r="DF33" i="13"/>
  <c r="DG33" i="13"/>
  <c r="DH33" i="13"/>
  <c r="DI33" i="13"/>
  <c r="DJ33" i="13"/>
  <c r="DK33" i="13"/>
  <c r="DL33" i="13"/>
  <c r="DM33" i="13"/>
  <c r="DN33" i="13"/>
  <c r="DO33" i="13"/>
  <c r="DP33" i="13"/>
  <c r="DQ33" i="13"/>
  <c r="DR33" i="13"/>
  <c r="DS33" i="13"/>
  <c r="DT33" i="13"/>
  <c r="DU33" i="13"/>
  <c r="DV33" i="13"/>
  <c r="DW33" i="13"/>
  <c r="DX33" i="13"/>
  <c r="DY33" i="13"/>
  <c r="DZ33" i="13"/>
  <c r="EA33" i="13"/>
  <c r="EB33" i="13"/>
  <c r="EC33" i="13"/>
  <c r="ED33" i="13"/>
  <c r="EE33" i="13"/>
  <c r="EF33" i="13"/>
  <c r="EG33" i="13"/>
  <c r="EH33" i="13"/>
  <c r="EI33" i="13"/>
  <c r="EJ33" i="13"/>
  <c r="EK33" i="13"/>
  <c r="EL33" i="13"/>
  <c r="EM33" i="13"/>
  <c r="EN33" i="13"/>
  <c r="EO33" i="13"/>
  <c r="EP33" i="13"/>
  <c r="EQ33" i="13"/>
  <c r="ER33" i="13"/>
  <c r="ES33" i="13"/>
  <c r="ET33" i="13"/>
  <c r="EU33" i="13"/>
  <c r="EV33" i="13"/>
  <c r="EW33" i="13"/>
  <c r="EX33" i="13"/>
  <c r="EY33" i="13"/>
  <c r="EZ33" i="13"/>
  <c r="FA33" i="13"/>
  <c r="FB33" i="13"/>
  <c r="FC33" i="13"/>
  <c r="FD33" i="13"/>
  <c r="FE33" i="13"/>
  <c r="FF33" i="13"/>
  <c r="FG33" i="13"/>
  <c r="FH33" i="13"/>
  <c r="FI33" i="13"/>
  <c r="FJ33" i="13"/>
  <c r="FK33" i="13"/>
  <c r="FL33" i="13"/>
  <c r="FM33" i="13"/>
  <c r="FN33" i="13"/>
  <c r="FO33" i="13"/>
  <c r="FP33" i="13"/>
  <c r="FQ33" i="13"/>
  <c r="FR33" i="13"/>
  <c r="FS33" i="13"/>
  <c r="FT33" i="13"/>
  <c r="FU33" i="13"/>
  <c r="FV33" i="13"/>
  <c r="FW33" i="13"/>
  <c r="FX33" i="13"/>
  <c r="FY33" i="13"/>
  <c r="FZ33" i="13"/>
  <c r="GA33" i="13"/>
  <c r="GB33" i="13"/>
  <c r="GC33" i="13"/>
  <c r="GD33" i="13"/>
  <c r="GE33" i="13"/>
  <c r="GF33" i="13"/>
  <c r="GG33" i="13"/>
  <c r="GH33" i="13"/>
  <c r="GI33" i="13"/>
  <c r="GJ33" i="13"/>
  <c r="GK33" i="13"/>
  <c r="GL33" i="13"/>
  <c r="GM33" i="13"/>
  <c r="GN33" i="13"/>
  <c r="GO33" i="13"/>
  <c r="GP33" i="13"/>
  <c r="GQ33" i="13"/>
  <c r="GR33" i="13"/>
  <c r="GS33" i="13"/>
  <c r="GT33" i="13"/>
  <c r="GU33" i="13"/>
  <c r="GV33" i="13"/>
  <c r="GW33" i="13"/>
  <c r="GX33" i="13"/>
  <c r="GY33" i="13"/>
  <c r="GZ33" i="13"/>
  <c r="HA33" i="13"/>
  <c r="HB33" i="13"/>
  <c r="HC33" i="13"/>
  <c r="HD33" i="13"/>
  <c r="HE33" i="13"/>
  <c r="HF33" i="13"/>
  <c r="HG33" i="13"/>
  <c r="HH33" i="13"/>
  <c r="HI33" i="13"/>
  <c r="HJ33" i="13"/>
  <c r="HK33" i="13"/>
  <c r="HL33" i="13"/>
  <c r="HM33" i="13"/>
  <c r="HN33" i="13"/>
  <c r="HO33" i="13"/>
  <c r="HP33" i="13"/>
  <c r="HQ33" i="13"/>
  <c r="HR33" i="13"/>
  <c r="HS33" i="13"/>
  <c r="HT33" i="13"/>
  <c r="HU33" i="13"/>
  <c r="HV33" i="13"/>
  <c r="HW33" i="13"/>
  <c r="HX33" i="13"/>
  <c r="HY33" i="13"/>
  <c r="HZ33" i="13"/>
  <c r="IA33" i="13"/>
  <c r="IB33" i="13"/>
  <c r="IC33" i="13"/>
  <c r="ID33" i="13"/>
  <c r="IE33" i="13"/>
  <c r="IF33" i="13"/>
  <c r="IG33" i="13"/>
  <c r="IH33" i="13"/>
  <c r="II33" i="13"/>
  <c r="IJ33" i="13"/>
  <c r="IK33" i="13"/>
  <c r="IL33" i="13"/>
  <c r="IM33" i="13"/>
  <c r="IN33" i="13"/>
  <c r="IO33" i="13"/>
  <c r="IP33" i="13"/>
  <c r="IQ33" i="13"/>
  <c r="IR33" i="13"/>
  <c r="IS33" i="13"/>
  <c r="IT33" i="13"/>
  <c r="IU33" i="13"/>
  <c r="IV33" i="13"/>
  <c r="A32" i="13"/>
  <c r="B32" i="13"/>
  <c r="C32" i="13"/>
  <c r="D32" i="13"/>
  <c r="E32" i="13"/>
  <c r="F32" i="13"/>
  <c r="G32" i="13"/>
  <c r="H32" i="13"/>
  <c r="I32" i="13"/>
  <c r="J32" i="13"/>
  <c r="K32" i="13"/>
  <c r="L32" i="13"/>
  <c r="M32" i="13"/>
  <c r="N32" i="13"/>
  <c r="O32" i="13"/>
  <c r="P32" i="13"/>
  <c r="Q32" i="13"/>
  <c r="R32" i="13"/>
  <c r="S32" i="13"/>
  <c r="T32" i="13"/>
  <c r="U32" i="13"/>
  <c r="V32" i="13"/>
  <c r="W32" i="13"/>
  <c r="X32" i="13"/>
  <c r="Y32" i="13"/>
  <c r="Z32" i="13"/>
  <c r="AA32" i="13"/>
  <c r="AB32" i="13"/>
  <c r="AC32" i="13"/>
  <c r="AD32" i="13"/>
  <c r="AE32" i="13"/>
  <c r="AF32" i="13"/>
  <c r="AG32" i="13"/>
  <c r="AH32" i="13"/>
  <c r="AI32" i="13"/>
  <c r="AJ32" i="13"/>
  <c r="AK32" i="13"/>
  <c r="AL32" i="13"/>
  <c r="AM32" i="13"/>
  <c r="AN32" i="13"/>
  <c r="AO32" i="13"/>
  <c r="AP32" i="13"/>
  <c r="AQ32" i="13"/>
  <c r="AR32" i="13"/>
  <c r="AS32" i="13"/>
  <c r="AT32" i="13"/>
  <c r="AU32" i="13"/>
  <c r="AV32" i="13"/>
  <c r="AW32" i="13"/>
  <c r="AX32" i="13"/>
  <c r="AY32" i="13"/>
  <c r="AZ32" i="13"/>
  <c r="BA32" i="13"/>
  <c r="BB32" i="13"/>
  <c r="BC32" i="13"/>
  <c r="BD32" i="13"/>
  <c r="BE32" i="13"/>
  <c r="BF32" i="13"/>
  <c r="BG32" i="13"/>
  <c r="BH32" i="13"/>
  <c r="BI32" i="13"/>
  <c r="BJ32" i="13"/>
  <c r="BK32" i="13"/>
  <c r="BL32" i="13"/>
  <c r="BM32" i="13"/>
  <c r="BN32" i="13"/>
  <c r="BO32" i="13"/>
  <c r="BP32" i="13"/>
  <c r="BQ32" i="13"/>
  <c r="BR32" i="13"/>
  <c r="BS32" i="13"/>
  <c r="BT32" i="13"/>
  <c r="BU32" i="13"/>
  <c r="BV32" i="13"/>
  <c r="BW32" i="13"/>
  <c r="BX32" i="13"/>
  <c r="BY32" i="13"/>
  <c r="BZ32" i="13"/>
  <c r="CA32" i="13"/>
  <c r="CB32" i="13"/>
  <c r="CC32" i="13"/>
  <c r="CD32" i="13"/>
  <c r="CE32" i="13"/>
  <c r="CF32" i="13"/>
  <c r="CG32" i="13"/>
  <c r="CH32" i="13"/>
  <c r="CI32" i="13"/>
  <c r="CJ32" i="13"/>
  <c r="CK32" i="13"/>
  <c r="CL32" i="13"/>
  <c r="CM32" i="13"/>
  <c r="CN32" i="13"/>
  <c r="CO32" i="13"/>
  <c r="CP32" i="13"/>
  <c r="CQ32" i="13"/>
  <c r="CR32" i="13"/>
  <c r="CS32" i="13"/>
  <c r="CT32" i="13"/>
  <c r="CU32" i="13"/>
  <c r="CV32" i="13"/>
  <c r="CW32" i="13"/>
  <c r="CX32" i="13"/>
  <c r="CY32" i="13"/>
  <c r="CZ32" i="13"/>
  <c r="DA32" i="13"/>
  <c r="DB32" i="13"/>
  <c r="DC32" i="13"/>
  <c r="DD32" i="13"/>
  <c r="DE32" i="13"/>
  <c r="DF32" i="13"/>
  <c r="DG32" i="13"/>
  <c r="DH32" i="13"/>
  <c r="DI32" i="13"/>
  <c r="DJ32" i="13"/>
  <c r="DK32" i="13"/>
  <c r="DL32" i="13"/>
  <c r="DM32" i="13"/>
  <c r="DN32" i="13"/>
  <c r="DO32" i="13"/>
  <c r="DP32" i="13"/>
  <c r="DQ32" i="13"/>
  <c r="DR32" i="13"/>
  <c r="DS32" i="13"/>
  <c r="DT32" i="13"/>
  <c r="DU32" i="13"/>
  <c r="DV32" i="13"/>
  <c r="DW32" i="13"/>
  <c r="DX32" i="13"/>
  <c r="DY32" i="13"/>
  <c r="DZ32" i="13"/>
  <c r="EA32" i="13"/>
  <c r="EB32" i="13"/>
  <c r="EC32" i="13"/>
  <c r="ED32" i="13"/>
  <c r="EE32" i="13"/>
  <c r="EF32" i="13"/>
  <c r="EG32" i="13"/>
  <c r="EH32" i="13"/>
  <c r="EI32" i="13"/>
  <c r="EJ32" i="13"/>
  <c r="EK32" i="13"/>
  <c r="EL32" i="13"/>
  <c r="EM32" i="13"/>
  <c r="EN32" i="13"/>
  <c r="EO32" i="13"/>
  <c r="EP32" i="13"/>
  <c r="EQ32" i="13"/>
  <c r="ER32" i="13"/>
  <c r="ES32" i="13"/>
  <c r="ET32" i="13"/>
  <c r="EU32" i="13"/>
  <c r="EV32" i="13"/>
  <c r="EW32" i="13"/>
  <c r="EX32" i="13"/>
  <c r="EY32" i="13"/>
  <c r="EZ32" i="13"/>
  <c r="FA32" i="13"/>
  <c r="FB32" i="13"/>
  <c r="FC32" i="13"/>
  <c r="FD32" i="13"/>
  <c r="FE32" i="13"/>
  <c r="FF32" i="13"/>
  <c r="FG32" i="13"/>
  <c r="FH32" i="13"/>
  <c r="FI32" i="13"/>
  <c r="FJ32" i="13"/>
  <c r="FK32" i="13"/>
  <c r="FL32" i="13"/>
  <c r="FM32" i="13"/>
  <c r="FN32" i="13"/>
  <c r="FO32" i="13"/>
  <c r="FP32" i="13"/>
  <c r="FQ32" i="13"/>
  <c r="FR32" i="13"/>
  <c r="FS32" i="13"/>
  <c r="FT32" i="13"/>
  <c r="FU32" i="13"/>
  <c r="FV32" i="13"/>
  <c r="FW32" i="13"/>
  <c r="FX32" i="13"/>
  <c r="FY32" i="13"/>
  <c r="FZ32" i="13"/>
  <c r="GA32" i="13"/>
  <c r="GB32" i="13"/>
  <c r="GC32" i="13"/>
  <c r="GD32" i="13"/>
  <c r="GE32" i="13"/>
  <c r="GF32" i="13"/>
  <c r="GG32" i="13"/>
  <c r="GH32" i="13"/>
  <c r="GI32" i="13"/>
  <c r="GJ32" i="13"/>
  <c r="GK32" i="13"/>
  <c r="GL32" i="13"/>
  <c r="GM32" i="13"/>
  <c r="GN32" i="13"/>
  <c r="GO32" i="13"/>
  <c r="GP32" i="13"/>
  <c r="GQ32" i="13"/>
  <c r="GR32" i="13"/>
  <c r="GS32" i="13"/>
  <c r="GT32" i="13"/>
  <c r="GU32" i="13"/>
  <c r="GV32" i="13"/>
  <c r="GW32" i="13"/>
  <c r="GX32" i="13"/>
  <c r="GY32" i="13"/>
  <c r="GZ32" i="13"/>
  <c r="HA32" i="13"/>
  <c r="HB32" i="13"/>
  <c r="HC32" i="13"/>
  <c r="HD32" i="13"/>
  <c r="HE32" i="13"/>
  <c r="HF32" i="13"/>
  <c r="HG32" i="13"/>
  <c r="HH32" i="13"/>
  <c r="HI32" i="13"/>
  <c r="HJ32" i="13"/>
  <c r="HK32" i="13"/>
  <c r="HL32" i="13"/>
  <c r="HM32" i="13"/>
  <c r="HN32" i="13"/>
  <c r="HO32" i="13"/>
  <c r="HP32" i="13"/>
  <c r="HQ32" i="13"/>
  <c r="HR32" i="13"/>
  <c r="HS32" i="13"/>
  <c r="HT32" i="13"/>
  <c r="HU32" i="13"/>
  <c r="HV32" i="13"/>
  <c r="HW32" i="13"/>
  <c r="HX32" i="13"/>
  <c r="HY32" i="13"/>
  <c r="HZ32" i="13"/>
  <c r="IA32" i="13"/>
  <c r="IB32" i="13"/>
  <c r="IC32" i="13"/>
  <c r="ID32" i="13"/>
  <c r="IE32" i="13"/>
  <c r="IF32" i="13"/>
  <c r="IG32" i="13"/>
  <c r="IH32" i="13"/>
  <c r="II32" i="13"/>
  <c r="IJ32" i="13"/>
  <c r="IK32" i="13"/>
  <c r="IL32" i="13"/>
  <c r="IM32" i="13"/>
  <c r="IN32" i="13"/>
  <c r="IO32" i="13"/>
  <c r="IP32" i="13"/>
  <c r="IQ32" i="13"/>
  <c r="IR32" i="13"/>
  <c r="IS32" i="13"/>
  <c r="IT32" i="13"/>
  <c r="IU32" i="13"/>
  <c r="IV32" i="13"/>
  <c r="A31" i="13"/>
  <c r="B31" i="13"/>
  <c r="C31" i="13"/>
  <c r="D31" i="13"/>
  <c r="E31" i="13"/>
  <c r="F31" i="13"/>
  <c r="G31" i="13"/>
  <c r="H31" i="13"/>
  <c r="I31" i="13"/>
  <c r="J31" i="13"/>
  <c r="K31" i="13"/>
  <c r="L31" i="13"/>
  <c r="M31" i="13"/>
  <c r="N31" i="13"/>
  <c r="O31" i="13"/>
  <c r="P31" i="13"/>
  <c r="Q31" i="13"/>
  <c r="R31" i="13"/>
  <c r="S31" i="13"/>
  <c r="T31" i="13"/>
  <c r="U31" i="13"/>
  <c r="V31" i="13"/>
  <c r="W31" i="13"/>
  <c r="X31" i="13"/>
  <c r="Y31" i="13"/>
  <c r="Z31" i="13"/>
  <c r="AA31" i="13"/>
  <c r="AB31" i="13"/>
  <c r="AC31" i="13"/>
  <c r="AD31" i="13"/>
  <c r="AE31" i="13"/>
  <c r="AF31" i="13"/>
  <c r="AG31" i="13"/>
  <c r="AH31" i="13"/>
  <c r="AI31" i="13"/>
  <c r="AJ31" i="13"/>
  <c r="AK31" i="13"/>
  <c r="AL31" i="13"/>
  <c r="AM31" i="13"/>
  <c r="AN31" i="13"/>
  <c r="AO31" i="13"/>
  <c r="AP31" i="13"/>
  <c r="AQ31" i="13"/>
  <c r="AR31" i="13"/>
  <c r="AS31" i="13"/>
  <c r="AT31" i="13"/>
  <c r="AU31" i="13"/>
  <c r="AV31" i="13"/>
  <c r="AW31" i="13"/>
  <c r="AX31" i="13"/>
  <c r="AY31" i="13"/>
  <c r="AZ31" i="13"/>
  <c r="BA31" i="13"/>
  <c r="BB31" i="13"/>
  <c r="BC31" i="13"/>
  <c r="BD31" i="13"/>
  <c r="BE31" i="13"/>
  <c r="BF31" i="13"/>
  <c r="BG31" i="13"/>
  <c r="BH31" i="13"/>
  <c r="BI31" i="13"/>
  <c r="BJ31" i="13"/>
  <c r="BK31" i="13"/>
  <c r="BL31" i="13"/>
  <c r="BM31" i="13"/>
  <c r="BN31" i="13"/>
  <c r="BO31" i="13"/>
  <c r="BP31" i="13"/>
  <c r="BQ31" i="13"/>
  <c r="BR31" i="13"/>
  <c r="BS31" i="13"/>
  <c r="BT31" i="13"/>
  <c r="BU31" i="13"/>
  <c r="BV31" i="13"/>
  <c r="BW31" i="13"/>
  <c r="BX31" i="13"/>
  <c r="BY31" i="13"/>
  <c r="BZ31" i="13"/>
  <c r="CA31" i="13"/>
  <c r="CB31" i="13"/>
  <c r="CC31" i="13"/>
  <c r="CD31" i="13"/>
  <c r="CE31" i="13"/>
  <c r="CF31" i="13"/>
  <c r="CG31" i="13"/>
  <c r="CH31" i="13"/>
  <c r="CI31" i="13"/>
  <c r="CJ31" i="13"/>
  <c r="CK31" i="13"/>
  <c r="CL31" i="13"/>
  <c r="CM31" i="13"/>
  <c r="CN31" i="13"/>
  <c r="CO31" i="13"/>
  <c r="CP31" i="13"/>
  <c r="CQ31" i="13"/>
  <c r="CR31" i="13"/>
  <c r="CS31" i="13"/>
  <c r="CT31" i="13"/>
  <c r="CU31" i="13"/>
  <c r="CV31" i="13"/>
  <c r="CW31" i="13"/>
  <c r="CX31" i="13"/>
  <c r="CY31" i="13"/>
  <c r="CZ31" i="13"/>
  <c r="DA31" i="13"/>
  <c r="DB31" i="13"/>
  <c r="DC31" i="13"/>
  <c r="DD31" i="13"/>
  <c r="DE31" i="13"/>
  <c r="DF31" i="13"/>
  <c r="DG31" i="13"/>
  <c r="DH31" i="13"/>
  <c r="DI31" i="13"/>
  <c r="DJ31" i="13"/>
  <c r="DK31" i="13"/>
  <c r="DL31" i="13"/>
  <c r="DM31" i="13"/>
  <c r="DN31" i="13"/>
  <c r="DO31" i="13"/>
  <c r="DP31" i="13"/>
  <c r="DQ31" i="13"/>
  <c r="DR31" i="13"/>
  <c r="DS31" i="13"/>
  <c r="DT31" i="13"/>
  <c r="DU31" i="13"/>
  <c r="DV31" i="13"/>
  <c r="DW31" i="13"/>
  <c r="DX31" i="13"/>
  <c r="DY31" i="13"/>
  <c r="DZ31" i="13"/>
  <c r="EA31" i="13"/>
  <c r="EB31" i="13"/>
  <c r="EC31" i="13"/>
  <c r="ED31" i="13"/>
  <c r="EE31" i="13"/>
  <c r="EF31" i="13"/>
  <c r="EG31" i="13"/>
  <c r="EH31" i="13"/>
  <c r="EI31" i="13"/>
  <c r="EJ31" i="13"/>
  <c r="EK31" i="13"/>
  <c r="EL31" i="13"/>
  <c r="EM31" i="13"/>
  <c r="EN31" i="13"/>
  <c r="EO31" i="13"/>
  <c r="EP31" i="13"/>
  <c r="EQ31" i="13"/>
  <c r="ER31" i="13"/>
  <c r="ES31" i="13"/>
  <c r="ET31" i="13"/>
  <c r="EU31" i="13"/>
  <c r="EV31" i="13"/>
  <c r="EW31" i="13"/>
  <c r="EX31" i="13"/>
  <c r="EY31" i="13"/>
  <c r="EZ31" i="13"/>
  <c r="FA31" i="13"/>
  <c r="FB31" i="13"/>
  <c r="FC31" i="13"/>
  <c r="FD31" i="13"/>
  <c r="FE31" i="13"/>
  <c r="FF31" i="13"/>
  <c r="FG31" i="13"/>
  <c r="FH31" i="13"/>
  <c r="FI31" i="13"/>
  <c r="FJ31" i="13"/>
  <c r="FK31" i="13"/>
  <c r="FL31" i="13"/>
  <c r="FM31" i="13"/>
  <c r="FN31" i="13"/>
  <c r="FO31" i="13"/>
  <c r="FP31" i="13"/>
  <c r="FQ31" i="13"/>
  <c r="FR31" i="13"/>
  <c r="FS31" i="13"/>
  <c r="FT31" i="13"/>
  <c r="FU31" i="13"/>
  <c r="FV31" i="13"/>
  <c r="FW31" i="13"/>
  <c r="FX31" i="13"/>
  <c r="FY31" i="13"/>
  <c r="FZ31" i="13"/>
  <c r="GA31" i="13"/>
  <c r="GB31" i="13"/>
  <c r="GC31" i="13"/>
  <c r="GD31" i="13"/>
  <c r="GE31" i="13"/>
  <c r="GF31" i="13"/>
  <c r="GG31" i="13"/>
  <c r="GH31" i="13"/>
  <c r="GI31" i="13"/>
  <c r="GJ31" i="13"/>
  <c r="GK31" i="13"/>
  <c r="GL31" i="13"/>
  <c r="GM31" i="13"/>
  <c r="GN31" i="13"/>
  <c r="GO31" i="13"/>
  <c r="GP31" i="13"/>
  <c r="GQ31" i="13"/>
  <c r="GR31" i="13"/>
  <c r="GS31" i="13"/>
  <c r="GT31" i="13"/>
  <c r="GU31" i="13"/>
  <c r="GV31" i="13"/>
  <c r="GW31" i="13"/>
  <c r="GX31" i="13"/>
  <c r="GY31" i="13"/>
  <c r="GZ31" i="13"/>
  <c r="HA31" i="13"/>
  <c r="HB31" i="13"/>
  <c r="HC31" i="13"/>
  <c r="HD31" i="13"/>
  <c r="HE31" i="13"/>
  <c r="HF31" i="13"/>
  <c r="HG31" i="13"/>
  <c r="HH31" i="13"/>
  <c r="HI31" i="13"/>
  <c r="HJ31" i="13"/>
  <c r="HK31" i="13"/>
  <c r="HL31" i="13"/>
  <c r="HM31" i="13"/>
  <c r="HN31" i="13"/>
  <c r="HO31" i="13"/>
  <c r="HP31" i="13"/>
  <c r="HQ31" i="13"/>
  <c r="HR31" i="13"/>
  <c r="HS31" i="13"/>
  <c r="HT31" i="13"/>
  <c r="HU31" i="13"/>
  <c r="HV31" i="13"/>
  <c r="HW31" i="13"/>
  <c r="HX31" i="13"/>
  <c r="HY31" i="13"/>
  <c r="HZ31" i="13"/>
  <c r="IA31" i="13"/>
  <c r="IB31" i="13"/>
  <c r="IC31" i="13"/>
  <c r="ID31" i="13"/>
  <c r="IE31" i="13"/>
  <c r="IF31" i="13"/>
  <c r="IG31" i="13"/>
  <c r="IH31" i="13"/>
  <c r="II31" i="13"/>
  <c r="IJ31" i="13"/>
  <c r="IK31" i="13"/>
  <c r="IL31" i="13"/>
  <c r="IM31" i="13"/>
  <c r="IN31" i="13"/>
  <c r="IO31" i="13"/>
  <c r="IP31" i="13"/>
  <c r="IQ31" i="13"/>
  <c r="IR31" i="13"/>
  <c r="IS31" i="13"/>
  <c r="IT31" i="13"/>
  <c r="IU31" i="13"/>
  <c r="IV31" i="13"/>
  <c r="A30" i="13"/>
  <c r="B30" i="13"/>
  <c r="C30" i="13"/>
  <c r="D30" i="13"/>
  <c r="E30" i="13"/>
  <c r="F30" i="13"/>
  <c r="G30" i="13"/>
  <c r="H30" i="13"/>
  <c r="I30" i="13"/>
  <c r="J30" i="13"/>
  <c r="K30" i="13"/>
  <c r="L30" i="13"/>
  <c r="M30" i="13"/>
  <c r="N30" i="13"/>
  <c r="O30" i="13"/>
  <c r="P30" i="13"/>
  <c r="Q30" i="13"/>
  <c r="R30" i="13"/>
  <c r="S30" i="13"/>
  <c r="T30" i="13"/>
  <c r="U30" i="13"/>
  <c r="V30" i="13"/>
  <c r="W30" i="13"/>
  <c r="X30" i="13"/>
  <c r="Y30" i="13"/>
  <c r="Z30" i="13"/>
  <c r="AA30" i="13"/>
  <c r="AB30" i="13"/>
  <c r="AC30" i="13"/>
  <c r="AD30" i="13"/>
  <c r="AE30" i="13"/>
  <c r="AF30" i="13"/>
  <c r="AG30" i="13"/>
  <c r="AH30" i="13"/>
  <c r="AI30" i="13"/>
  <c r="AJ30" i="13"/>
  <c r="AK30" i="13"/>
  <c r="AL30" i="13"/>
  <c r="AM30" i="13"/>
  <c r="AN30" i="13"/>
  <c r="AO30" i="13"/>
  <c r="AP30" i="13"/>
  <c r="AQ30" i="13"/>
  <c r="AR30" i="13"/>
  <c r="AS30" i="13"/>
  <c r="AT30" i="13"/>
  <c r="AU30" i="13"/>
  <c r="AV30" i="13"/>
  <c r="AW30" i="13"/>
  <c r="AX30" i="13"/>
  <c r="AY30" i="13"/>
  <c r="AZ30" i="13"/>
  <c r="BA30" i="13"/>
  <c r="BB30" i="13"/>
  <c r="BC30" i="13"/>
  <c r="BD30" i="13"/>
  <c r="BE30" i="13"/>
  <c r="BF30" i="13"/>
  <c r="BG30" i="13"/>
  <c r="BH30" i="13"/>
  <c r="BI30" i="13"/>
  <c r="BJ30" i="13"/>
  <c r="BK30" i="13"/>
  <c r="BL30" i="13"/>
  <c r="BM30" i="13"/>
  <c r="BN30" i="13"/>
  <c r="BO30" i="13"/>
  <c r="BP30" i="13"/>
  <c r="BQ30" i="13"/>
  <c r="BR30" i="13"/>
  <c r="BS30" i="13"/>
  <c r="BT30" i="13"/>
  <c r="BU30" i="13"/>
  <c r="BV30" i="13"/>
  <c r="BW30" i="13"/>
  <c r="BX30" i="13"/>
  <c r="BY30" i="13"/>
  <c r="BZ30" i="13"/>
  <c r="CA30" i="13"/>
  <c r="CB30" i="13"/>
  <c r="CC30" i="13"/>
  <c r="CD30" i="13"/>
  <c r="CE30" i="13"/>
  <c r="CF30" i="13"/>
  <c r="CG30" i="13"/>
  <c r="CH30" i="13"/>
  <c r="CI30" i="13"/>
  <c r="CJ30" i="13"/>
  <c r="CK30" i="13"/>
  <c r="CL30" i="13"/>
  <c r="CM30" i="13"/>
  <c r="CN30" i="13"/>
  <c r="CO30" i="13"/>
  <c r="CP30" i="13"/>
  <c r="CQ30" i="13"/>
  <c r="CR30" i="13"/>
  <c r="CS30" i="13"/>
  <c r="CT30" i="13"/>
  <c r="CU30" i="13"/>
  <c r="CV30" i="13"/>
  <c r="CW30" i="13"/>
  <c r="CX30" i="13"/>
  <c r="CY30" i="13"/>
  <c r="CZ30" i="13"/>
  <c r="DA30" i="13"/>
  <c r="DB30" i="13"/>
  <c r="DC30" i="13"/>
  <c r="DD30" i="13"/>
  <c r="DE30" i="13"/>
  <c r="DF30" i="13"/>
  <c r="DG30" i="13"/>
  <c r="DH30" i="13"/>
  <c r="DI30" i="13"/>
  <c r="DJ30" i="13"/>
  <c r="DK30" i="13"/>
  <c r="DL30" i="13"/>
  <c r="DM30" i="13"/>
  <c r="DN30" i="13"/>
  <c r="DO30" i="13"/>
  <c r="DP30" i="13"/>
  <c r="DQ30" i="13"/>
  <c r="DR30" i="13"/>
  <c r="DS30" i="13"/>
  <c r="DT30" i="13"/>
  <c r="DU30" i="13"/>
  <c r="DV30" i="13"/>
  <c r="DW30" i="13"/>
  <c r="DX30" i="13"/>
  <c r="DY30" i="13"/>
  <c r="DZ30" i="13"/>
  <c r="EA30" i="13"/>
  <c r="EB30" i="13"/>
  <c r="EC30" i="13"/>
  <c r="ED30" i="13"/>
  <c r="EE30" i="13"/>
  <c r="EF30" i="13"/>
  <c r="EG30" i="13"/>
  <c r="EH30" i="13"/>
  <c r="EI30" i="13"/>
  <c r="EJ30" i="13"/>
  <c r="EK30" i="13"/>
  <c r="EL30" i="13"/>
  <c r="EM30" i="13"/>
  <c r="EN30" i="13"/>
  <c r="EO30" i="13"/>
  <c r="EP30" i="13"/>
  <c r="EQ30" i="13"/>
  <c r="ER30" i="13"/>
  <c r="ES30" i="13"/>
  <c r="ET30" i="13"/>
  <c r="EU30" i="13"/>
  <c r="EV30" i="13"/>
  <c r="EW30" i="13"/>
  <c r="EX30" i="13"/>
  <c r="EY30" i="13"/>
  <c r="EZ30" i="13"/>
  <c r="FA30" i="13"/>
  <c r="FB30" i="13"/>
  <c r="FC30" i="13"/>
  <c r="FD30" i="13"/>
  <c r="FE30" i="13"/>
  <c r="FF30" i="13"/>
  <c r="FG30" i="13"/>
  <c r="FH30" i="13"/>
  <c r="FI30" i="13"/>
  <c r="FJ30" i="13"/>
  <c r="FK30" i="13"/>
  <c r="FL30" i="13"/>
  <c r="FM30" i="13"/>
  <c r="FN30" i="13"/>
  <c r="FO30" i="13"/>
  <c r="FP30" i="13"/>
  <c r="FQ30" i="13"/>
  <c r="FR30" i="13"/>
  <c r="FS30" i="13"/>
  <c r="FT30" i="13"/>
  <c r="FU30" i="13"/>
  <c r="FV30" i="13"/>
  <c r="FW30" i="13"/>
  <c r="FX30" i="13"/>
  <c r="FY30" i="13"/>
  <c r="FZ30" i="13"/>
  <c r="GA30" i="13"/>
  <c r="GB30" i="13"/>
  <c r="GC30" i="13"/>
  <c r="GD30" i="13"/>
  <c r="GE30" i="13"/>
  <c r="GF30" i="13"/>
  <c r="GG30" i="13"/>
  <c r="GH30" i="13"/>
  <c r="GI30" i="13"/>
  <c r="GJ30" i="13"/>
  <c r="GK30" i="13"/>
  <c r="GL30" i="13"/>
  <c r="GM30" i="13"/>
  <c r="GN30" i="13"/>
  <c r="GO30" i="13"/>
  <c r="GP30" i="13"/>
  <c r="GQ30" i="13"/>
  <c r="GR30" i="13"/>
  <c r="GS30" i="13"/>
  <c r="GT30" i="13"/>
  <c r="GU30" i="13"/>
  <c r="GV30" i="13"/>
  <c r="GW30" i="13"/>
  <c r="GX30" i="13"/>
  <c r="GY30" i="13"/>
  <c r="GZ30" i="13"/>
  <c r="HA30" i="13"/>
  <c r="HB30" i="13"/>
  <c r="HC30" i="13"/>
  <c r="HD30" i="13"/>
  <c r="HE30" i="13"/>
  <c r="HF30" i="13"/>
  <c r="HG30" i="13"/>
  <c r="HH30" i="13"/>
  <c r="HI30" i="13"/>
  <c r="HJ30" i="13"/>
  <c r="HK30" i="13"/>
  <c r="HL30" i="13"/>
  <c r="HM30" i="13"/>
  <c r="HN30" i="13"/>
  <c r="HO30" i="13"/>
  <c r="HP30" i="13"/>
  <c r="HQ30" i="13"/>
  <c r="HR30" i="13"/>
  <c r="HS30" i="13"/>
  <c r="HT30" i="13"/>
  <c r="HU30" i="13"/>
  <c r="HV30" i="13"/>
  <c r="HW30" i="13"/>
  <c r="HX30" i="13"/>
  <c r="HY30" i="13"/>
  <c r="HZ30" i="13"/>
  <c r="IA30" i="13"/>
  <c r="IB30" i="13"/>
  <c r="IC30" i="13"/>
  <c r="ID30" i="13"/>
  <c r="IE30" i="13"/>
  <c r="IF30" i="13"/>
  <c r="IG30" i="13"/>
  <c r="IH30" i="13"/>
  <c r="II30" i="13"/>
  <c r="IJ30" i="13"/>
  <c r="IK30" i="13"/>
  <c r="IL30" i="13"/>
  <c r="IM30" i="13"/>
  <c r="IN30" i="13"/>
  <c r="IO30" i="13"/>
  <c r="IP30" i="13"/>
  <c r="IQ30" i="13"/>
  <c r="IR30" i="13"/>
  <c r="IS30" i="13"/>
  <c r="IT30" i="13"/>
  <c r="IU30" i="13"/>
  <c r="IV30" i="13"/>
  <c r="A29" i="13"/>
  <c r="B29" i="13"/>
  <c r="C29" i="13"/>
  <c r="D29" i="13"/>
  <c r="E29" i="13"/>
  <c r="F29" i="13"/>
  <c r="G29" i="13"/>
  <c r="H29" i="13"/>
  <c r="I29" i="13"/>
  <c r="J29" i="13"/>
  <c r="K29" i="13"/>
  <c r="L29" i="13"/>
  <c r="M29" i="13"/>
  <c r="N29" i="13"/>
  <c r="O29" i="13"/>
  <c r="P29" i="13"/>
  <c r="Q29" i="13"/>
  <c r="R29" i="13"/>
  <c r="S29" i="13"/>
  <c r="T29" i="13"/>
  <c r="U29" i="13"/>
  <c r="V29" i="13"/>
  <c r="W29" i="13"/>
  <c r="X29" i="13"/>
  <c r="Y29" i="13"/>
  <c r="Z29" i="13"/>
  <c r="AA29" i="13"/>
  <c r="AB29" i="13"/>
  <c r="AC29" i="13"/>
  <c r="AD29" i="13"/>
  <c r="AE29" i="13"/>
  <c r="AF29" i="13"/>
  <c r="AG29" i="13"/>
  <c r="AH29" i="13"/>
  <c r="AI29" i="13"/>
  <c r="AJ29" i="13"/>
  <c r="AK29" i="13"/>
  <c r="AL29" i="13"/>
  <c r="AM29" i="13"/>
  <c r="AN29" i="13"/>
  <c r="AO29" i="13"/>
  <c r="AP29" i="13"/>
  <c r="AQ29" i="13"/>
  <c r="AR29" i="13"/>
  <c r="AS29" i="13"/>
  <c r="AT29" i="13"/>
  <c r="AU29" i="13"/>
  <c r="AV29" i="13"/>
  <c r="AW29" i="13"/>
  <c r="AX29" i="13"/>
  <c r="AY29" i="13"/>
  <c r="AZ29" i="13"/>
  <c r="BA29" i="13"/>
  <c r="BB29" i="13"/>
  <c r="BC29" i="13"/>
  <c r="BD29" i="13"/>
  <c r="BE29" i="13"/>
  <c r="BF29" i="13"/>
  <c r="BG29" i="13"/>
  <c r="BH29" i="13"/>
  <c r="BI29" i="13"/>
  <c r="BJ29" i="13"/>
  <c r="BK29" i="13"/>
  <c r="BL29" i="13"/>
  <c r="BM29" i="13"/>
  <c r="BN29" i="13"/>
  <c r="BO29" i="13"/>
  <c r="BP29" i="13"/>
  <c r="BQ29" i="13"/>
  <c r="BR29" i="13"/>
  <c r="BS29" i="13"/>
  <c r="BT29" i="13"/>
  <c r="BU29" i="13"/>
  <c r="BV29" i="13"/>
  <c r="BW29" i="13"/>
  <c r="BX29" i="13"/>
  <c r="BY29" i="13"/>
  <c r="BZ29" i="13"/>
  <c r="CA29" i="13"/>
  <c r="CB29" i="13"/>
  <c r="CC29" i="13"/>
  <c r="CD29" i="13"/>
  <c r="CE29" i="13"/>
  <c r="CF29" i="13"/>
  <c r="CG29" i="13"/>
  <c r="CH29" i="13"/>
  <c r="CI29" i="13"/>
  <c r="CJ29" i="13"/>
  <c r="CK29" i="13"/>
  <c r="CL29" i="13"/>
  <c r="CM29" i="13"/>
  <c r="CN29" i="13"/>
  <c r="CO29" i="13"/>
  <c r="CP29" i="13"/>
  <c r="CQ29" i="13"/>
  <c r="CR29" i="13"/>
  <c r="CS29" i="13"/>
  <c r="CT29" i="13"/>
  <c r="CU29" i="13"/>
  <c r="CV29" i="13"/>
  <c r="CW29" i="13"/>
  <c r="CX29" i="13"/>
  <c r="CY29" i="13"/>
  <c r="CZ29" i="13"/>
  <c r="DA29" i="13"/>
  <c r="DB29" i="13"/>
  <c r="DC29" i="13"/>
  <c r="DD29" i="13"/>
  <c r="DE29" i="13"/>
  <c r="DF29" i="13"/>
  <c r="DG29" i="13"/>
  <c r="DH29" i="13"/>
  <c r="DI29" i="13"/>
  <c r="DJ29" i="13"/>
  <c r="DK29" i="13"/>
  <c r="DL29" i="13"/>
  <c r="DM29" i="13"/>
  <c r="DN29" i="13"/>
  <c r="DO29" i="13"/>
  <c r="DP29" i="13"/>
  <c r="DQ29" i="13"/>
  <c r="DR29" i="13"/>
  <c r="DS29" i="13"/>
  <c r="DT29" i="13"/>
  <c r="DU29" i="13"/>
  <c r="DV29" i="13"/>
  <c r="DW29" i="13"/>
  <c r="DX29" i="13"/>
  <c r="DY29" i="13"/>
  <c r="DZ29" i="13"/>
  <c r="EA29" i="13"/>
  <c r="EB29" i="13"/>
  <c r="EC29" i="13"/>
  <c r="ED29" i="13"/>
  <c r="EE29" i="13"/>
  <c r="EF29" i="13"/>
  <c r="EG29" i="13"/>
  <c r="EH29" i="13"/>
  <c r="EI29" i="13"/>
  <c r="EJ29" i="13"/>
  <c r="EK29" i="13"/>
  <c r="EL29" i="13"/>
  <c r="EM29" i="13"/>
  <c r="EN29" i="13"/>
  <c r="EO29" i="13"/>
  <c r="EP29" i="13"/>
  <c r="EQ29" i="13"/>
  <c r="ER29" i="13"/>
  <c r="ES29" i="13"/>
  <c r="ET29" i="13"/>
  <c r="EU29" i="13"/>
  <c r="EV29" i="13"/>
  <c r="EW29" i="13"/>
  <c r="EX29" i="13"/>
  <c r="EY29" i="13"/>
  <c r="EZ29" i="13"/>
  <c r="FA29" i="13"/>
  <c r="FB29" i="13"/>
  <c r="FC29" i="13"/>
  <c r="FD29" i="13"/>
  <c r="FE29" i="13"/>
  <c r="FF29" i="13"/>
  <c r="FG29" i="13"/>
  <c r="FH29" i="13"/>
  <c r="FI29" i="13"/>
  <c r="FJ29" i="13"/>
  <c r="FK29" i="13"/>
  <c r="FL29" i="13"/>
  <c r="FM29" i="13"/>
  <c r="FN29" i="13"/>
  <c r="FO29" i="13"/>
  <c r="FP29" i="13"/>
  <c r="FQ29" i="13"/>
  <c r="FR29" i="13"/>
  <c r="FS29" i="13"/>
  <c r="FT29" i="13"/>
  <c r="FU29" i="13"/>
  <c r="FV29" i="13"/>
  <c r="FW29" i="13"/>
  <c r="FX29" i="13"/>
  <c r="FY29" i="13"/>
  <c r="FZ29" i="13"/>
  <c r="GA29" i="13"/>
  <c r="GB29" i="13"/>
  <c r="GC29" i="13"/>
  <c r="GD29" i="13"/>
  <c r="GE29" i="13"/>
  <c r="GF29" i="13"/>
  <c r="GG29" i="13"/>
  <c r="GH29" i="13"/>
  <c r="GI29" i="13"/>
  <c r="GJ29" i="13"/>
  <c r="GK29" i="13"/>
  <c r="GL29" i="13"/>
  <c r="GM29" i="13"/>
  <c r="GN29" i="13"/>
  <c r="GO29" i="13"/>
  <c r="GP29" i="13"/>
  <c r="GQ29" i="13"/>
  <c r="GR29" i="13"/>
  <c r="GS29" i="13"/>
  <c r="GT29" i="13"/>
  <c r="GU29" i="13"/>
  <c r="GV29" i="13"/>
  <c r="GW29" i="13"/>
  <c r="GX29" i="13"/>
  <c r="GY29" i="13"/>
  <c r="GZ29" i="13"/>
  <c r="HA29" i="13"/>
  <c r="HB29" i="13"/>
  <c r="HC29" i="13"/>
  <c r="HD29" i="13"/>
  <c r="HE29" i="13"/>
  <c r="HF29" i="13"/>
  <c r="HG29" i="13"/>
  <c r="HH29" i="13"/>
  <c r="HI29" i="13"/>
  <c r="HJ29" i="13"/>
  <c r="HK29" i="13"/>
  <c r="HL29" i="13"/>
  <c r="HM29" i="13"/>
  <c r="HN29" i="13"/>
  <c r="HO29" i="13"/>
  <c r="HP29" i="13"/>
  <c r="HQ29" i="13"/>
  <c r="HR29" i="13"/>
  <c r="HS29" i="13"/>
  <c r="HT29" i="13"/>
  <c r="HU29" i="13"/>
  <c r="HV29" i="13"/>
  <c r="HW29" i="13"/>
  <c r="HX29" i="13"/>
  <c r="HY29" i="13"/>
  <c r="HZ29" i="13"/>
  <c r="IA29" i="13"/>
  <c r="IB29" i="13"/>
  <c r="IC29" i="13"/>
  <c r="ID29" i="13"/>
  <c r="IE29" i="13"/>
  <c r="IF29" i="13"/>
  <c r="IG29" i="13"/>
  <c r="IH29" i="13"/>
  <c r="II29" i="13"/>
  <c r="IJ29" i="13"/>
  <c r="IK29" i="13"/>
  <c r="IL29" i="13"/>
  <c r="IM29" i="13"/>
  <c r="IN29" i="13"/>
  <c r="IO29" i="13"/>
  <c r="IP29" i="13"/>
  <c r="IQ29" i="13"/>
  <c r="IR29" i="13"/>
  <c r="IS29" i="13"/>
  <c r="IT29" i="13"/>
  <c r="IU29" i="13"/>
  <c r="IV29" i="13"/>
  <c r="A28" i="13"/>
  <c r="B28" i="13"/>
  <c r="C28" i="13"/>
  <c r="D28" i="13"/>
  <c r="E28" i="13"/>
  <c r="F28" i="13"/>
  <c r="G28" i="13"/>
  <c r="H28" i="13"/>
  <c r="I28" i="13"/>
  <c r="J28" i="13"/>
  <c r="K28" i="13"/>
  <c r="L28" i="13"/>
  <c r="M28" i="13"/>
  <c r="N28" i="13"/>
  <c r="O28" i="13"/>
  <c r="P28" i="13"/>
  <c r="Q28" i="13"/>
  <c r="R28" i="13"/>
  <c r="S28" i="13"/>
  <c r="T28" i="13"/>
  <c r="U28" i="13"/>
  <c r="V28" i="13"/>
  <c r="W28" i="13"/>
  <c r="X28" i="13"/>
  <c r="Y28" i="13"/>
  <c r="Z28" i="13"/>
  <c r="AA28" i="13"/>
  <c r="AB28" i="13"/>
  <c r="AC28" i="13"/>
  <c r="AD28" i="13"/>
  <c r="AE28" i="13"/>
  <c r="AF28" i="13"/>
  <c r="AG28" i="13"/>
  <c r="AH28" i="13"/>
  <c r="AI28" i="13"/>
  <c r="AJ28" i="13"/>
  <c r="AK28" i="13"/>
  <c r="AL28" i="13"/>
  <c r="AM28" i="13"/>
  <c r="AN28" i="13"/>
  <c r="AO28" i="13"/>
  <c r="AP28" i="13"/>
  <c r="AQ28" i="13"/>
  <c r="AR28" i="13"/>
  <c r="AS28" i="13"/>
  <c r="AT28" i="13"/>
  <c r="AU28" i="13"/>
  <c r="AV28" i="13"/>
  <c r="AW28" i="13"/>
  <c r="AX28" i="13"/>
  <c r="AY28" i="13"/>
  <c r="AZ28" i="13"/>
  <c r="BA28" i="13"/>
  <c r="BB28" i="13"/>
  <c r="BC28" i="13"/>
  <c r="BD28" i="13"/>
  <c r="BE28" i="13"/>
  <c r="BF28" i="13"/>
  <c r="BG28" i="13"/>
  <c r="BH28" i="13"/>
  <c r="BI28" i="13"/>
  <c r="BJ28" i="13"/>
  <c r="BK28" i="13"/>
  <c r="BL28" i="13"/>
  <c r="BM28" i="13"/>
  <c r="BN28" i="13"/>
  <c r="BO28" i="13"/>
  <c r="BP28" i="13"/>
  <c r="BQ28" i="13"/>
  <c r="BR28" i="13"/>
  <c r="BS28" i="13"/>
  <c r="BT28" i="13"/>
  <c r="BU28" i="13"/>
  <c r="BV28" i="13"/>
  <c r="BW28" i="13"/>
  <c r="BX28" i="13"/>
  <c r="BY28" i="13"/>
  <c r="BZ28" i="13"/>
  <c r="CA28" i="13"/>
  <c r="CB28" i="13"/>
  <c r="CC28" i="13"/>
  <c r="CD28" i="13"/>
  <c r="CE28" i="13"/>
  <c r="CF28" i="13"/>
  <c r="CG28" i="13"/>
  <c r="CH28" i="13"/>
  <c r="CI28" i="13"/>
  <c r="CJ28" i="13"/>
  <c r="CK28" i="13"/>
  <c r="CL28" i="13"/>
  <c r="CM28" i="13"/>
  <c r="CN28" i="13"/>
  <c r="CO28" i="13"/>
  <c r="CP28" i="13"/>
  <c r="CQ28" i="13"/>
  <c r="CR28" i="13"/>
  <c r="CS28" i="13"/>
  <c r="CT28" i="13"/>
  <c r="CU28" i="13"/>
  <c r="CV28" i="13"/>
  <c r="CW28" i="13"/>
  <c r="CX28" i="13"/>
  <c r="CY28" i="13"/>
  <c r="CZ28" i="13"/>
  <c r="DA28" i="13"/>
  <c r="DB28" i="13"/>
  <c r="DC28" i="13"/>
  <c r="DD28" i="13"/>
  <c r="DE28" i="13"/>
  <c r="DF28" i="13"/>
  <c r="DG28" i="13"/>
  <c r="DH28" i="13"/>
  <c r="DI28" i="13"/>
  <c r="DJ28" i="13"/>
  <c r="DK28" i="13"/>
  <c r="DL28" i="13"/>
  <c r="DM28" i="13"/>
  <c r="DN28" i="13"/>
  <c r="DO28" i="13"/>
  <c r="DP28" i="13"/>
  <c r="DQ28" i="13"/>
  <c r="DR28" i="13"/>
  <c r="DS28" i="13"/>
  <c r="DT28" i="13"/>
  <c r="DU28" i="13"/>
  <c r="DV28" i="13"/>
  <c r="DW28" i="13"/>
  <c r="DX28" i="13"/>
  <c r="DY28" i="13"/>
  <c r="DZ28" i="13"/>
  <c r="EA28" i="13"/>
  <c r="EB28" i="13"/>
  <c r="EC28" i="13"/>
  <c r="ED28" i="13"/>
  <c r="EE28" i="13"/>
  <c r="EF28" i="13"/>
  <c r="EG28" i="13"/>
  <c r="EH28" i="13"/>
  <c r="EI28" i="13"/>
  <c r="EJ28" i="13"/>
  <c r="EK28" i="13"/>
  <c r="EL28" i="13"/>
  <c r="EM28" i="13"/>
  <c r="EN28" i="13"/>
  <c r="EO28" i="13"/>
  <c r="EP28" i="13"/>
  <c r="EQ28" i="13"/>
  <c r="ER28" i="13"/>
  <c r="ES28" i="13"/>
  <c r="ET28" i="13"/>
  <c r="EU28" i="13"/>
  <c r="EV28" i="13"/>
  <c r="EW28" i="13"/>
  <c r="EX28" i="13"/>
  <c r="EY28" i="13"/>
  <c r="EZ28" i="13"/>
  <c r="FA28" i="13"/>
  <c r="FB28" i="13"/>
  <c r="FC28" i="13"/>
  <c r="FD28" i="13"/>
  <c r="FE28" i="13"/>
  <c r="FF28" i="13"/>
  <c r="FG28" i="13"/>
  <c r="FH28" i="13"/>
  <c r="FI28" i="13"/>
  <c r="FJ28" i="13"/>
  <c r="FK28" i="13"/>
  <c r="FL28" i="13"/>
  <c r="FM28" i="13"/>
  <c r="FN28" i="13"/>
  <c r="FO28" i="13"/>
  <c r="FP28" i="13"/>
  <c r="FQ28" i="13"/>
  <c r="FR28" i="13"/>
  <c r="FS28" i="13"/>
  <c r="FT28" i="13"/>
  <c r="FU28" i="13"/>
  <c r="FV28" i="13"/>
  <c r="FW28" i="13"/>
  <c r="FX28" i="13"/>
  <c r="FY28" i="13"/>
  <c r="FZ28" i="13"/>
  <c r="GA28" i="13"/>
  <c r="GB28" i="13"/>
  <c r="GC28" i="13"/>
  <c r="GD28" i="13"/>
  <c r="GE28" i="13"/>
  <c r="GF28" i="13"/>
  <c r="GG28" i="13"/>
  <c r="GH28" i="13"/>
  <c r="GI28" i="13"/>
  <c r="GJ28" i="13"/>
  <c r="GK28" i="13"/>
  <c r="GL28" i="13"/>
  <c r="GM28" i="13"/>
  <c r="GN28" i="13"/>
  <c r="GO28" i="13"/>
  <c r="GP28" i="13"/>
  <c r="GQ28" i="13"/>
  <c r="GR28" i="13"/>
  <c r="GS28" i="13"/>
  <c r="GT28" i="13"/>
  <c r="GU28" i="13"/>
  <c r="GV28" i="13"/>
  <c r="GW28" i="13"/>
  <c r="GX28" i="13"/>
  <c r="GY28" i="13"/>
  <c r="GZ28" i="13"/>
  <c r="HA28" i="13"/>
  <c r="HB28" i="13"/>
  <c r="HC28" i="13"/>
  <c r="HD28" i="13"/>
  <c r="HE28" i="13"/>
  <c r="HF28" i="13"/>
  <c r="HG28" i="13"/>
  <c r="HH28" i="13"/>
  <c r="HI28" i="13"/>
  <c r="HJ28" i="13"/>
  <c r="HK28" i="13"/>
  <c r="HL28" i="13"/>
  <c r="HM28" i="13"/>
  <c r="HN28" i="13"/>
  <c r="HO28" i="13"/>
  <c r="HP28" i="13"/>
  <c r="HQ28" i="13"/>
  <c r="HR28" i="13"/>
  <c r="HS28" i="13"/>
  <c r="HT28" i="13"/>
  <c r="HU28" i="13"/>
  <c r="HV28" i="13"/>
  <c r="HW28" i="13"/>
  <c r="HX28" i="13"/>
  <c r="HY28" i="13"/>
  <c r="HZ28" i="13"/>
  <c r="IA28" i="13"/>
  <c r="IB28" i="13"/>
  <c r="IC28" i="13"/>
  <c r="ID28" i="13"/>
  <c r="IE28" i="13"/>
  <c r="IF28" i="13"/>
  <c r="IG28" i="13"/>
  <c r="IH28" i="13"/>
  <c r="II28" i="13"/>
  <c r="IJ28" i="13"/>
  <c r="IK28" i="13"/>
  <c r="IL28" i="13"/>
  <c r="IM28" i="13"/>
  <c r="IN28" i="13"/>
  <c r="IO28" i="13"/>
  <c r="IP28" i="13"/>
  <c r="IQ28" i="13"/>
  <c r="IR28" i="13"/>
  <c r="IS28" i="13"/>
  <c r="IT28" i="13"/>
  <c r="IU28" i="13"/>
  <c r="IV28" i="13"/>
  <c r="A27" i="13"/>
  <c r="B27" i="13"/>
  <c r="C27" i="13"/>
  <c r="D27" i="13"/>
  <c r="E27" i="13"/>
  <c r="F27" i="13"/>
  <c r="G27" i="13"/>
  <c r="H27" i="13"/>
  <c r="I27" i="13"/>
  <c r="J27" i="13"/>
  <c r="K27" i="13"/>
  <c r="L27" i="13"/>
  <c r="M27" i="13"/>
  <c r="N27" i="13"/>
  <c r="O27" i="13"/>
  <c r="P27" i="13"/>
  <c r="Q27" i="13"/>
  <c r="R27" i="13"/>
  <c r="S27" i="13"/>
  <c r="T27" i="13"/>
  <c r="U27" i="13"/>
  <c r="V27" i="13"/>
  <c r="W27" i="13"/>
  <c r="X27" i="13"/>
  <c r="Y27" i="13"/>
  <c r="Z27" i="13"/>
  <c r="AA27" i="13"/>
  <c r="AB27" i="13"/>
  <c r="AC27" i="13"/>
  <c r="AD27" i="13"/>
  <c r="AE27" i="13"/>
  <c r="AF27" i="13"/>
  <c r="AG27" i="13"/>
  <c r="AH27" i="13"/>
  <c r="AI27" i="13"/>
  <c r="AJ27" i="13"/>
  <c r="AK27" i="13"/>
  <c r="AL27" i="13"/>
  <c r="AM27" i="13"/>
  <c r="AN27" i="13"/>
  <c r="AO27" i="13"/>
  <c r="AP27" i="13"/>
  <c r="AQ27" i="13"/>
  <c r="AR27" i="13"/>
  <c r="AS27" i="13"/>
  <c r="AT27" i="13"/>
  <c r="AU27" i="13"/>
  <c r="AV27" i="13"/>
  <c r="AW27" i="13"/>
  <c r="AX27" i="13"/>
  <c r="AY27" i="13"/>
  <c r="AZ27" i="13"/>
  <c r="BA27" i="13"/>
  <c r="BB27" i="13"/>
  <c r="BC27" i="13"/>
  <c r="BD27" i="13"/>
  <c r="BE27" i="13"/>
  <c r="BF27" i="13"/>
  <c r="BG27" i="13"/>
  <c r="BH27" i="13"/>
  <c r="BI27" i="13"/>
  <c r="BJ27" i="13"/>
  <c r="BK27" i="13"/>
  <c r="BL27" i="13"/>
  <c r="BM27" i="13"/>
  <c r="BN27" i="13"/>
  <c r="BO27" i="13"/>
  <c r="BP27" i="13"/>
  <c r="BQ27" i="13"/>
  <c r="BR27" i="13"/>
  <c r="BS27" i="13"/>
  <c r="BT27" i="13"/>
  <c r="BU27" i="13"/>
  <c r="BV27" i="13"/>
  <c r="BW27" i="13"/>
  <c r="BX27" i="13"/>
  <c r="BY27" i="13"/>
  <c r="BZ27" i="13"/>
  <c r="CA27" i="13"/>
  <c r="CB27" i="13"/>
  <c r="CC27" i="13"/>
  <c r="CD27" i="13"/>
  <c r="CE27" i="13"/>
  <c r="CF27" i="13"/>
  <c r="CG27" i="13"/>
  <c r="CH27" i="13"/>
  <c r="CI27" i="13"/>
  <c r="CJ27" i="13"/>
  <c r="CK27" i="13"/>
  <c r="CL27" i="13"/>
  <c r="CM27" i="13"/>
  <c r="CN27" i="13"/>
  <c r="CO27" i="13"/>
  <c r="CP27" i="13"/>
  <c r="CQ27" i="13"/>
  <c r="CR27" i="13"/>
  <c r="CS27" i="13"/>
  <c r="CT27" i="13"/>
  <c r="CU27" i="13"/>
  <c r="CV27" i="13"/>
  <c r="CW27" i="13"/>
  <c r="CX27" i="13"/>
  <c r="CY27" i="13"/>
  <c r="CZ27" i="13"/>
  <c r="DA27" i="13"/>
  <c r="DB27" i="13"/>
  <c r="DC27" i="13"/>
  <c r="DD27" i="13"/>
  <c r="DE27" i="13"/>
  <c r="DF27" i="13"/>
  <c r="DG27" i="13"/>
  <c r="DH27" i="13"/>
  <c r="DI27" i="13"/>
  <c r="DJ27" i="13"/>
  <c r="DK27" i="13"/>
  <c r="DL27" i="13"/>
  <c r="DM27" i="13"/>
  <c r="DN27" i="13"/>
  <c r="DO27" i="13"/>
  <c r="DP27" i="13"/>
  <c r="DQ27" i="13"/>
  <c r="DR27" i="13"/>
  <c r="DS27" i="13"/>
  <c r="DT27" i="13"/>
  <c r="DU27" i="13"/>
  <c r="DV27" i="13"/>
  <c r="DW27" i="13"/>
  <c r="DX27" i="13"/>
  <c r="DY27" i="13"/>
  <c r="DZ27" i="13"/>
  <c r="EA27" i="13"/>
  <c r="EB27" i="13"/>
  <c r="EC27" i="13"/>
  <c r="ED27" i="13"/>
  <c r="EE27" i="13"/>
  <c r="EF27" i="13"/>
  <c r="EG27" i="13"/>
  <c r="EH27" i="13"/>
  <c r="EI27" i="13"/>
  <c r="EJ27" i="13"/>
  <c r="EK27" i="13"/>
  <c r="EL27" i="13"/>
  <c r="EM27" i="13"/>
  <c r="EN27" i="13"/>
  <c r="EO27" i="13"/>
  <c r="EP27" i="13"/>
  <c r="EQ27" i="13"/>
  <c r="ER27" i="13"/>
  <c r="ES27" i="13"/>
  <c r="ET27" i="13"/>
  <c r="EU27" i="13"/>
  <c r="EV27" i="13"/>
  <c r="EW27" i="13"/>
  <c r="EX27" i="13"/>
  <c r="EY27" i="13"/>
  <c r="EZ27" i="13"/>
  <c r="FA27" i="13"/>
  <c r="FB27" i="13"/>
  <c r="FC27" i="13"/>
  <c r="FD27" i="13"/>
  <c r="FE27" i="13"/>
  <c r="FF27" i="13"/>
  <c r="FG27" i="13"/>
  <c r="FH27" i="13"/>
  <c r="FI27" i="13"/>
  <c r="FJ27" i="13"/>
  <c r="FK27" i="13"/>
  <c r="FL27" i="13"/>
  <c r="FM27" i="13"/>
  <c r="FN27" i="13"/>
  <c r="FO27" i="13"/>
  <c r="FP27" i="13"/>
  <c r="FQ27" i="13"/>
  <c r="FR27" i="13"/>
  <c r="FS27" i="13"/>
  <c r="FT27" i="13"/>
  <c r="FU27" i="13"/>
  <c r="FV27" i="13"/>
  <c r="FW27" i="13"/>
  <c r="FX27" i="13"/>
  <c r="FY27" i="13"/>
  <c r="FZ27" i="13"/>
  <c r="GA27" i="13"/>
  <c r="GB27" i="13"/>
  <c r="GC27" i="13"/>
  <c r="GD27" i="13"/>
  <c r="GE27" i="13"/>
  <c r="GF27" i="13"/>
  <c r="GG27" i="13"/>
  <c r="GH27" i="13"/>
  <c r="GI27" i="13"/>
  <c r="GJ27" i="13"/>
  <c r="GK27" i="13"/>
  <c r="GL27" i="13"/>
  <c r="GM27" i="13"/>
  <c r="GN27" i="13"/>
  <c r="GO27" i="13"/>
  <c r="GP27" i="13"/>
  <c r="GQ27" i="13"/>
  <c r="GR27" i="13"/>
  <c r="GS27" i="13"/>
  <c r="GT27" i="13"/>
  <c r="GU27" i="13"/>
  <c r="GV27" i="13"/>
  <c r="GW27" i="13"/>
  <c r="GX27" i="13"/>
  <c r="GY27" i="13"/>
  <c r="GZ27" i="13"/>
  <c r="HA27" i="13"/>
  <c r="HB27" i="13"/>
  <c r="HC27" i="13"/>
  <c r="HD27" i="13"/>
  <c r="HE27" i="13"/>
  <c r="HF27" i="13"/>
  <c r="HG27" i="13"/>
  <c r="HH27" i="13"/>
  <c r="HI27" i="13"/>
  <c r="HJ27" i="13"/>
  <c r="HK27" i="13"/>
  <c r="HL27" i="13"/>
  <c r="HM27" i="13"/>
  <c r="HN27" i="13"/>
  <c r="HO27" i="13"/>
  <c r="HP27" i="13"/>
  <c r="HQ27" i="13"/>
  <c r="HR27" i="13"/>
  <c r="HS27" i="13"/>
  <c r="HT27" i="13"/>
  <c r="HU27" i="13"/>
  <c r="HV27" i="13"/>
  <c r="HW27" i="13"/>
  <c r="HX27" i="13"/>
  <c r="HY27" i="13"/>
  <c r="HZ27" i="13"/>
  <c r="IA27" i="13"/>
  <c r="IB27" i="13"/>
  <c r="IC27" i="13"/>
  <c r="ID27" i="13"/>
  <c r="IE27" i="13"/>
  <c r="IF27" i="13"/>
  <c r="IG27" i="13"/>
  <c r="IH27" i="13"/>
  <c r="II27" i="13"/>
  <c r="IJ27" i="13"/>
  <c r="IK27" i="13"/>
  <c r="IL27" i="13"/>
  <c r="IM27" i="13"/>
  <c r="IN27" i="13"/>
  <c r="IO27" i="13"/>
  <c r="IP27" i="13"/>
  <c r="IQ27" i="13"/>
  <c r="IR27" i="13"/>
  <c r="IS27" i="13"/>
  <c r="IT27" i="13"/>
  <c r="IU27" i="13"/>
  <c r="IV27" i="13"/>
  <c r="A26" i="13"/>
  <c r="B26" i="13"/>
  <c r="C26" i="13"/>
  <c r="D26" i="13"/>
  <c r="E26" i="13"/>
  <c r="F26" i="13"/>
  <c r="G26" i="13"/>
  <c r="H26" i="13"/>
  <c r="J26" i="13"/>
  <c r="K26" i="13"/>
  <c r="L26" i="13"/>
  <c r="M26" i="13"/>
  <c r="N26" i="13"/>
  <c r="O26" i="13"/>
  <c r="P26" i="13"/>
  <c r="Q26" i="13"/>
  <c r="R26" i="13"/>
  <c r="S26" i="13"/>
  <c r="T26" i="13"/>
  <c r="U26" i="13"/>
  <c r="V26" i="13"/>
  <c r="W26" i="13"/>
  <c r="X26" i="13"/>
  <c r="Y26" i="13"/>
  <c r="Z26" i="13"/>
  <c r="AA26" i="13"/>
  <c r="AB26" i="13"/>
  <c r="AC26" i="13"/>
  <c r="AD26" i="13"/>
  <c r="AE26" i="13"/>
  <c r="AF26" i="13"/>
  <c r="AG26" i="13"/>
  <c r="AH26" i="13"/>
  <c r="AI26" i="13"/>
  <c r="AJ26" i="13"/>
  <c r="AK26" i="13"/>
  <c r="AL26" i="13"/>
  <c r="AM26" i="13"/>
  <c r="AN26" i="13"/>
  <c r="AO26" i="13"/>
  <c r="AP26" i="13"/>
  <c r="AQ26" i="13"/>
  <c r="AR26" i="13"/>
  <c r="AS26" i="13"/>
  <c r="AT26" i="13"/>
  <c r="AU26" i="13"/>
  <c r="AV26" i="13"/>
  <c r="AW26" i="13"/>
  <c r="AX26" i="13"/>
  <c r="AY26" i="13"/>
  <c r="AZ26" i="13"/>
  <c r="BA26" i="13"/>
  <c r="BB26" i="13"/>
  <c r="BC26" i="13"/>
  <c r="BD26" i="13"/>
  <c r="BE26" i="13"/>
  <c r="BF26" i="13"/>
  <c r="BG26" i="13"/>
  <c r="BH26" i="13"/>
  <c r="BI26" i="13"/>
  <c r="BJ26" i="13"/>
  <c r="BK26" i="13"/>
  <c r="BL26" i="13"/>
  <c r="BM26" i="13"/>
  <c r="BN26" i="13"/>
  <c r="BO26" i="13"/>
  <c r="BP26" i="13"/>
  <c r="BQ26" i="13"/>
  <c r="BR26" i="13"/>
  <c r="BS26" i="13"/>
  <c r="BT26" i="13"/>
  <c r="BU26" i="13"/>
  <c r="BV26" i="13"/>
  <c r="BW26" i="13"/>
  <c r="BX26" i="13"/>
  <c r="BY26" i="13"/>
  <c r="BZ26" i="13"/>
  <c r="CA26" i="13"/>
  <c r="CB26" i="13"/>
  <c r="CC26" i="13"/>
  <c r="CD26" i="13"/>
  <c r="CE26" i="13"/>
  <c r="CF26" i="13"/>
  <c r="CG26" i="13"/>
  <c r="CH26" i="13"/>
  <c r="CI26" i="13"/>
  <c r="CJ26" i="13"/>
  <c r="CK26" i="13"/>
  <c r="CL26" i="13"/>
  <c r="CM26" i="13"/>
  <c r="CN26" i="13"/>
  <c r="CO26" i="13"/>
  <c r="CP26" i="13"/>
  <c r="CQ26" i="13"/>
  <c r="CR26" i="13"/>
  <c r="CS26" i="13"/>
  <c r="CT26" i="13"/>
  <c r="CU26" i="13"/>
  <c r="CV26" i="13"/>
  <c r="CW26" i="13"/>
  <c r="CX26" i="13"/>
  <c r="CY26" i="13"/>
  <c r="CZ26" i="13"/>
  <c r="DA26" i="13"/>
  <c r="DB26" i="13"/>
  <c r="DC26" i="13"/>
  <c r="DD26" i="13"/>
  <c r="DE26" i="13"/>
  <c r="DF26" i="13"/>
  <c r="DG26" i="13"/>
  <c r="DH26" i="13"/>
  <c r="DI26" i="13"/>
  <c r="DJ26" i="13"/>
  <c r="DK26" i="13"/>
  <c r="DL26" i="13"/>
  <c r="DM26" i="13"/>
  <c r="DN26" i="13"/>
  <c r="DO26" i="13"/>
  <c r="DP26" i="13"/>
  <c r="DQ26" i="13"/>
  <c r="DR26" i="13"/>
  <c r="DS26" i="13"/>
  <c r="DT26" i="13"/>
  <c r="DU26" i="13"/>
  <c r="DV26" i="13"/>
  <c r="DW26" i="13"/>
  <c r="DX26" i="13"/>
  <c r="DY26" i="13"/>
  <c r="DZ26" i="13"/>
  <c r="EA26" i="13"/>
  <c r="EB26" i="13"/>
  <c r="EC26" i="13"/>
  <c r="ED26" i="13"/>
  <c r="EE26" i="13"/>
  <c r="EF26" i="13"/>
  <c r="EG26" i="13"/>
  <c r="EH26" i="13"/>
  <c r="EI26" i="13"/>
  <c r="EJ26" i="13"/>
  <c r="EK26" i="13"/>
  <c r="EL26" i="13"/>
  <c r="EM26" i="13"/>
  <c r="EN26" i="13"/>
  <c r="EO26" i="13"/>
  <c r="EP26" i="13"/>
  <c r="EQ26" i="13"/>
  <c r="ER26" i="13"/>
  <c r="ES26" i="13"/>
  <c r="ET26" i="13"/>
  <c r="EU26" i="13"/>
  <c r="EV26" i="13"/>
  <c r="EW26" i="13"/>
  <c r="EX26" i="13"/>
  <c r="EY26" i="13"/>
  <c r="EZ26" i="13"/>
  <c r="FA26" i="13"/>
  <c r="FB26" i="13"/>
  <c r="FC26" i="13"/>
  <c r="FD26" i="13"/>
  <c r="FE26" i="13"/>
  <c r="FF26" i="13"/>
  <c r="FG26" i="13"/>
  <c r="FH26" i="13"/>
  <c r="FI26" i="13"/>
  <c r="FJ26" i="13"/>
  <c r="FK26" i="13"/>
  <c r="FL26" i="13"/>
  <c r="FM26" i="13"/>
  <c r="FN26" i="13"/>
  <c r="FO26" i="13"/>
  <c r="FP26" i="13"/>
  <c r="FQ26" i="13"/>
  <c r="FR26" i="13"/>
  <c r="FS26" i="13"/>
  <c r="FT26" i="13"/>
  <c r="FU26" i="13"/>
  <c r="FV26" i="13"/>
  <c r="FW26" i="13"/>
  <c r="FX26" i="13"/>
  <c r="FY26" i="13"/>
  <c r="FZ26" i="13"/>
  <c r="GA26" i="13"/>
  <c r="GB26" i="13"/>
  <c r="GC26" i="13"/>
  <c r="GD26" i="13"/>
  <c r="GE26" i="13"/>
  <c r="GF26" i="13"/>
  <c r="GG26" i="13"/>
  <c r="GH26" i="13"/>
  <c r="GI26" i="13"/>
  <c r="GJ26" i="13"/>
  <c r="GK26" i="13"/>
  <c r="GL26" i="13"/>
  <c r="GM26" i="13"/>
  <c r="GN26" i="13"/>
  <c r="GO26" i="13"/>
  <c r="GP26" i="13"/>
  <c r="GQ26" i="13"/>
  <c r="GR26" i="13"/>
  <c r="GS26" i="13"/>
  <c r="GT26" i="13"/>
  <c r="GU26" i="13"/>
  <c r="GV26" i="13"/>
  <c r="GW26" i="13"/>
  <c r="GX26" i="13"/>
  <c r="GY26" i="13"/>
  <c r="GZ26" i="13"/>
  <c r="HA26" i="13"/>
  <c r="HB26" i="13"/>
  <c r="HC26" i="13"/>
  <c r="HD26" i="13"/>
  <c r="HE26" i="13"/>
  <c r="HF26" i="13"/>
  <c r="HG26" i="13"/>
  <c r="HH26" i="13"/>
  <c r="HI26" i="13"/>
  <c r="HJ26" i="13"/>
  <c r="HK26" i="13"/>
  <c r="HL26" i="13"/>
  <c r="HM26" i="13"/>
  <c r="HN26" i="13"/>
  <c r="HO26" i="13"/>
  <c r="HP26" i="13"/>
  <c r="HQ26" i="13"/>
  <c r="HR26" i="13"/>
  <c r="HS26" i="13"/>
  <c r="HT26" i="13"/>
  <c r="HU26" i="13"/>
  <c r="HV26" i="13"/>
  <c r="HW26" i="13"/>
  <c r="HX26" i="13"/>
  <c r="HY26" i="13"/>
  <c r="HZ26" i="13"/>
  <c r="IA26" i="13"/>
  <c r="IB26" i="13"/>
  <c r="IC26" i="13"/>
  <c r="ID26" i="13"/>
  <c r="IE26" i="13"/>
  <c r="IF26" i="13"/>
  <c r="IG26" i="13"/>
  <c r="IH26" i="13"/>
  <c r="II26" i="13"/>
  <c r="IJ26" i="13"/>
  <c r="IK26" i="13"/>
  <c r="IL26" i="13"/>
  <c r="IM26" i="13"/>
  <c r="IN26" i="13"/>
  <c r="IO26" i="13"/>
  <c r="IP26" i="13"/>
  <c r="IQ26" i="13"/>
  <c r="IR26" i="13"/>
  <c r="IS26" i="13"/>
  <c r="IT26" i="13"/>
  <c r="IU26" i="13"/>
  <c r="IV26" i="13"/>
  <c r="A25" i="13"/>
  <c r="B25" i="13"/>
  <c r="C25" i="13"/>
  <c r="D25" i="13"/>
  <c r="E25" i="13"/>
  <c r="F25" i="13"/>
  <c r="G25" i="13"/>
  <c r="H25" i="13"/>
  <c r="I25" i="13"/>
  <c r="J25" i="13"/>
  <c r="K25" i="13"/>
  <c r="L25" i="13"/>
  <c r="M25" i="13"/>
  <c r="N25" i="13"/>
  <c r="O25" i="13"/>
  <c r="P25" i="13"/>
  <c r="Q25" i="13"/>
  <c r="R25" i="13"/>
  <c r="S25" i="13"/>
  <c r="T25" i="13"/>
  <c r="U25" i="13"/>
  <c r="V25" i="13"/>
  <c r="W25" i="13"/>
  <c r="X25" i="13"/>
  <c r="Y25" i="13"/>
  <c r="Z25" i="13"/>
  <c r="AA25" i="13"/>
  <c r="AB25" i="13"/>
  <c r="AC25" i="13"/>
  <c r="AD25" i="13"/>
  <c r="AE25" i="13"/>
  <c r="AF25" i="13"/>
  <c r="AG25" i="13"/>
  <c r="AH25" i="13"/>
  <c r="AI25" i="13"/>
  <c r="AJ25" i="13"/>
  <c r="AK25" i="13"/>
  <c r="AL25" i="13"/>
  <c r="AM25" i="13"/>
  <c r="AN25" i="13"/>
  <c r="AO25" i="13"/>
  <c r="AP25" i="13"/>
  <c r="AQ25" i="13"/>
  <c r="AR25" i="13"/>
  <c r="AS25" i="13"/>
  <c r="AT25" i="13"/>
  <c r="AU25" i="13"/>
  <c r="AV25" i="13"/>
  <c r="AW25" i="13"/>
  <c r="AX25" i="13"/>
  <c r="AY25" i="13"/>
  <c r="AZ25" i="13"/>
  <c r="BA25" i="13"/>
  <c r="BB25" i="13"/>
  <c r="BC25" i="13"/>
  <c r="BD25" i="13"/>
  <c r="BE25" i="13"/>
  <c r="BF25" i="13"/>
  <c r="BG25" i="13"/>
  <c r="BH25" i="13"/>
  <c r="BI25" i="13"/>
  <c r="BJ25" i="13"/>
  <c r="BK25" i="13"/>
  <c r="BL25" i="13"/>
  <c r="BM25" i="13"/>
  <c r="BN25" i="13"/>
  <c r="BO25" i="13"/>
  <c r="BP25" i="13"/>
  <c r="BQ25" i="13"/>
  <c r="BR25" i="13"/>
  <c r="BS25" i="13"/>
  <c r="BT25" i="13"/>
  <c r="BU25" i="13"/>
  <c r="BV25" i="13"/>
  <c r="BW25" i="13"/>
  <c r="BX25" i="13"/>
  <c r="BY25" i="13"/>
  <c r="BZ25" i="13"/>
  <c r="CA25" i="13"/>
  <c r="CB25" i="13"/>
  <c r="CC25" i="13"/>
  <c r="CD25" i="13"/>
  <c r="CE25" i="13"/>
  <c r="CF25" i="13"/>
  <c r="CG25" i="13"/>
  <c r="CH25" i="13"/>
  <c r="CI25" i="13"/>
  <c r="CJ25" i="13"/>
  <c r="CK25" i="13"/>
  <c r="CL25" i="13"/>
  <c r="CM25" i="13"/>
  <c r="CN25" i="13"/>
  <c r="CO25" i="13"/>
  <c r="CP25" i="13"/>
  <c r="CQ25" i="13"/>
  <c r="CR25" i="13"/>
  <c r="CS25" i="13"/>
  <c r="CT25" i="13"/>
  <c r="CU25" i="13"/>
  <c r="CV25" i="13"/>
  <c r="CW25" i="13"/>
  <c r="CX25" i="13"/>
  <c r="CY25" i="13"/>
  <c r="CZ25" i="13"/>
  <c r="DA25" i="13"/>
  <c r="DB25" i="13"/>
  <c r="DC25" i="13"/>
  <c r="DD25" i="13"/>
  <c r="DE25" i="13"/>
  <c r="DF25" i="13"/>
  <c r="DG25" i="13"/>
  <c r="DH25" i="13"/>
  <c r="DI25" i="13"/>
  <c r="DJ25" i="13"/>
  <c r="DK25" i="13"/>
  <c r="DL25" i="13"/>
  <c r="DM25" i="13"/>
  <c r="DN25" i="13"/>
  <c r="DO25" i="13"/>
  <c r="DP25" i="13"/>
  <c r="DQ25" i="13"/>
  <c r="DR25" i="13"/>
  <c r="DS25" i="13"/>
  <c r="DT25" i="13"/>
  <c r="DU25" i="13"/>
  <c r="DV25" i="13"/>
  <c r="DW25" i="13"/>
  <c r="DX25" i="13"/>
  <c r="DY25" i="13"/>
  <c r="DZ25" i="13"/>
  <c r="EA25" i="13"/>
  <c r="EB25" i="13"/>
  <c r="EC25" i="13"/>
  <c r="ED25" i="13"/>
  <c r="EE25" i="13"/>
  <c r="EF25" i="13"/>
  <c r="EG25" i="13"/>
  <c r="EH25" i="13"/>
  <c r="EI25" i="13"/>
  <c r="EJ25" i="13"/>
  <c r="EK25" i="13"/>
  <c r="EL25" i="13"/>
  <c r="EM25" i="13"/>
  <c r="EN25" i="13"/>
  <c r="EO25" i="13"/>
  <c r="EP25" i="13"/>
  <c r="EQ25" i="13"/>
  <c r="ER25" i="13"/>
  <c r="ES25" i="13"/>
  <c r="ET25" i="13"/>
  <c r="EU25" i="13"/>
  <c r="EV25" i="13"/>
  <c r="EW25" i="13"/>
  <c r="EX25" i="13"/>
  <c r="EY25" i="13"/>
  <c r="EZ25" i="13"/>
  <c r="FA25" i="13"/>
  <c r="FB25" i="13"/>
  <c r="FC25" i="13"/>
  <c r="FD25" i="13"/>
  <c r="FE25" i="13"/>
  <c r="FF25" i="13"/>
  <c r="FG25" i="13"/>
  <c r="FH25" i="13"/>
  <c r="FI25" i="13"/>
  <c r="FJ25" i="13"/>
  <c r="FK25" i="13"/>
  <c r="FL25" i="13"/>
  <c r="FM25" i="13"/>
  <c r="FN25" i="13"/>
  <c r="FO25" i="13"/>
  <c r="FP25" i="13"/>
  <c r="FQ25" i="13"/>
  <c r="FR25" i="13"/>
  <c r="FS25" i="13"/>
  <c r="FT25" i="13"/>
  <c r="FU25" i="13"/>
  <c r="FV25" i="13"/>
  <c r="FW25" i="13"/>
  <c r="FX25" i="13"/>
  <c r="FY25" i="13"/>
  <c r="FZ25" i="13"/>
  <c r="GA25" i="13"/>
  <c r="GB25" i="13"/>
  <c r="GC25" i="13"/>
  <c r="GD25" i="13"/>
  <c r="GE25" i="13"/>
  <c r="GF25" i="13"/>
  <c r="GG25" i="13"/>
  <c r="GH25" i="13"/>
  <c r="GI25" i="13"/>
  <c r="GJ25" i="13"/>
  <c r="GK25" i="13"/>
  <c r="GL25" i="13"/>
  <c r="GM25" i="13"/>
  <c r="GN25" i="13"/>
  <c r="GO25" i="13"/>
  <c r="GP25" i="13"/>
  <c r="GQ25" i="13"/>
  <c r="GR25" i="13"/>
  <c r="GS25" i="13"/>
  <c r="GT25" i="13"/>
  <c r="GU25" i="13"/>
  <c r="GV25" i="13"/>
  <c r="GW25" i="13"/>
  <c r="GX25" i="13"/>
  <c r="GY25" i="13"/>
  <c r="GZ25" i="13"/>
  <c r="HA25" i="13"/>
  <c r="HB25" i="13"/>
  <c r="HC25" i="13"/>
  <c r="HD25" i="13"/>
  <c r="HE25" i="13"/>
  <c r="HF25" i="13"/>
  <c r="HG25" i="13"/>
  <c r="HH25" i="13"/>
  <c r="HI25" i="13"/>
  <c r="HJ25" i="13"/>
  <c r="HK25" i="13"/>
  <c r="HL25" i="13"/>
  <c r="HM25" i="13"/>
  <c r="HN25" i="13"/>
  <c r="HO25" i="13"/>
  <c r="HP25" i="13"/>
  <c r="HQ25" i="13"/>
  <c r="HR25" i="13"/>
  <c r="HS25" i="13"/>
  <c r="HT25" i="13"/>
  <c r="HU25" i="13"/>
  <c r="HV25" i="13"/>
  <c r="HW25" i="13"/>
  <c r="HX25" i="13"/>
  <c r="HY25" i="13"/>
  <c r="HZ25" i="13"/>
  <c r="IA25" i="13"/>
  <c r="IB25" i="13"/>
  <c r="IC25" i="13"/>
  <c r="ID25" i="13"/>
  <c r="IE25" i="13"/>
  <c r="IF25" i="13"/>
  <c r="IG25" i="13"/>
  <c r="IH25" i="13"/>
  <c r="II25" i="13"/>
  <c r="IJ25" i="13"/>
  <c r="IK25" i="13"/>
  <c r="IL25" i="13"/>
  <c r="IM25" i="13"/>
  <c r="IN25" i="13"/>
  <c r="IO25" i="13"/>
  <c r="IP25" i="13"/>
  <c r="IQ25" i="13"/>
  <c r="IR25" i="13"/>
  <c r="IS25" i="13"/>
  <c r="IT25" i="13"/>
  <c r="IU25" i="13"/>
  <c r="IV25" i="13"/>
  <c r="A24" i="13"/>
  <c r="B24" i="13"/>
  <c r="C24" i="13"/>
  <c r="D24" i="13"/>
  <c r="E24" i="13"/>
  <c r="F24" i="13"/>
  <c r="G24" i="13"/>
  <c r="H24" i="13"/>
  <c r="I24" i="13"/>
  <c r="J24" i="13"/>
  <c r="K24" i="13"/>
  <c r="L24" i="13"/>
  <c r="M24" i="13"/>
  <c r="N24" i="13"/>
  <c r="O24" i="13"/>
  <c r="P24" i="13"/>
  <c r="Q24" i="13"/>
  <c r="R24" i="13"/>
  <c r="S24" i="13"/>
  <c r="T24" i="13"/>
  <c r="U24" i="13"/>
  <c r="V24" i="13"/>
  <c r="W24" i="13"/>
  <c r="X24" i="13"/>
  <c r="Y24" i="13"/>
  <c r="Z24" i="13"/>
  <c r="AA24" i="13"/>
  <c r="AB24" i="13"/>
  <c r="AC24" i="13"/>
  <c r="AD24" i="13"/>
  <c r="AE24" i="13"/>
  <c r="AF24" i="13"/>
  <c r="AG24" i="13"/>
  <c r="AH24" i="13"/>
  <c r="AI24" i="13"/>
  <c r="AJ24" i="13"/>
  <c r="AK24" i="13"/>
  <c r="AL24" i="13"/>
  <c r="AM24" i="13"/>
  <c r="AN24" i="13"/>
  <c r="AO24" i="13"/>
  <c r="AP24" i="13"/>
  <c r="AQ24" i="13"/>
  <c r="AR24" i="13"/>
  <c r="AS24" i="13"/>
  <c r="AT24" i="13"/>
  <c r="AU24" i="13"/>
  <c r="AV24" i="13"/>
  <c r="AW24" i="13"/>
  <c r="AX24" i="13"/>
  <c r="AY24" i="13"/>
  <c r="AZ24" i="13"/>
  <c r="BA24" i="13"/>
  <c r="BB24" i="13"/>
  <c r="BC24" i="13"/>
  <c r="BD24" i="13"/>
  <c r="BE24" i="13"/>
  <c r="BF24" i="13"/>
  <c r="BG24" i="13"/>
  <c r="BH24" i="13"/>
  <c r="BI24" i="13"/>
  <c r="BJ24" i="13"/>
  <c r="BK24" i="13"/>
  <c r="BL24" i="13"/>
  <c r="BM24" i="13"/>
  <c r="BN24" i="13"/>
  <c r="BO24" i="13"/>
  <c r="BP24" i="13"/>
  <c r="BQ24" i="13"/>
  <c r="BR24" i="13"/>
  <c r="BS24" i="13"/>
  <c r="BT24" i="13"/>
  <c r="BU24" i="13"/>
  <c r="BV24" i="13"/>
  <c r="BW24" i="13"/>
  <c r="BX24" i="13"/>
  <c r="BY24" i="13"/>
  <c r="BZ24" i="13"/>
  <c r="CA24" i="13"/>
  <c r="CB24" i="13"/>
  <c r="CC24" i="13"/>
  <c r="CD24" i="13"/>
  <c r="CE24" i="13"/>
  <c r="CF24" i="13"/>
  <c r="CG24" i="13"/>
  <c r="CH24" i="13"/>
  <c r="CI24" i="13"/>
  <c r="CJ24" i="13"/>
  <c r="CK24" i="13"/>
  <c r="CL24" i="13"/>
  <c r="CM24" i="13"/>
  <c r="CN24" i="13"/>
  <c r="CO24" i="13"/>
  <c r="CP24" i="13"/>
  <c r="CQ24" i="13"/>
  <c r="CR24" i="13"/>
  <c r="CS24" i="13"/>
  <c r="CT24" i="13"/>
  <c r="CU24" i="13"/>
  <c r="CV24" i="13"/>
  <c r="CW24" i="13"/>
  <c r="CX24" i="13"/>
  <c r="CY24" i="13"/>
  <c r="CZ24" i="13"/>
  <c r="DA24" i="13"/>
  <c r="DB24" i="13"/>
  <c r="DC24" i="13"/>
  <c r="DD24" i="13"/>
  <c r="DE24" i="13"/>
  <c r="DF24" i="13"/>
  <c r="DG24" i="13"/>
  <c r="DH24" i="13"/>
  <c r="DI24" i="13"/>
  <c r="DJ24" i="13"/>
  <c r="DK24" i="13"/>
  <c r="DL24" i="13"/>
  <c r="DM24" i="13"/>
  <c r="DN24" i="13"/>
  <c r="DO24" i="13"/>
  <c r="DP24" i="13"/>
  <c r="DQ24" i="13"/>
  <c r="DR24" i="13"/>
  <c r="DS24" i="13"/>
  <c r="DT24" i="13"/>
  <c r="DU24" i="13"/>
  <c r="DV24" i="13"/>
  <c r="DW24" i="13"/>
  <c r="DX24" i="13"/>
  <c r="DY24" i="13"/>
  <c r="DZ24" i="13"/>
  <c r="EA24" i="13"/>
  <c r="EB24" i="13"/>
  <c r="EC24" i="13"/>
  <c r="ED24" i="13"/>
  <c r="EE24" i="13"/>
  <c r="EF24" i="13"/>
  <c r="EG24" i="13"/>
  <c r="EH24" i="13"/>
  <c r="EI24" i="13"/>
  <c r="EJ24" i="13"/>
  <c r="EK24" i="13"/>
  <c r="EL24" i="13"/>
  <c r="EM24" i="13"/>
  <c r="EN24" i="13"/>
  <c r="EO24" i="13"/>
  <c r="EP24" i="13"/>
  <c r="EQ24" i="13"/>
  <c r="ER24" i="13"/>
  <c r="ES24" i="13"/>
  <c r="ET24" i="13"/>
  <c r="EU24" i="13"/>
  <c r="EV24" i="13"/>
  <c r="EW24" i="13"/>
  <c r="EX24" i="13"/>
  <c r="EY24" i="13"/>
  <c r="EZ24" i="13"/>
  <c r="FA24" i="13"/>
  <c r="FB24" i="13"/>
  <c r="FC24" i="13"/>
  <c r="FD24" i="13"/>
  <c r="FE24" i="13"/>
  <c r="FF24" i="13"/>
  <c r="FG24" i="13"/>
  <c r="FH24" i="13"/>
  <c r="FI24" i="13"/>
  <c r="FJ24" i="13"/>
  <c r="FK24" i="13"/>
  <c r="FL24" i="13"/>
  <c r="FM24" i="13"/>
  <c r="FN24" i="13"/>
  <c r="FO24" i="13"/>
  <c r="FP24" i="13"/>
  <c r="FQ24" i="13"/>
  <c r="FR24" i="13"/>
  <c r="FS24" i="13"/>
  <c r="FT24" i="13"/>
  <c r="FU24" i="13"/>
  <c r="FV24" i="13"/>
  <c r="FW24" i="13"/>
  <c r="FX24" i="13"/>
  <c r="FY24" i="13"/>
  <c r="FZ24" i="13"/>
  <c r="GA24" i="13"/>
  <c r="GB24" i="13"/>
  <c r="GC24" i="13"/>
  <c r="GD24" i="13"/>
  <c r="GE24" i="13"/>
  <c r="GF24" i="13"/>
  <c r="GG24" i="13"/>
  <c r="GH24" i="13"/>
  <c r="GI24" i="13"/>
  <c r="GJ24" i="13"/>
  <c r="GK24" i="13"/>
  <c r="GL24" i="13"/>
  <c r="GM24" i="13"/>
  <c r="GN24" i="13"/>
  <c r="GO24" i="13"/>
  <c r="GP24" i="13"/>
  <c r="GQ24" i="13"/>
  <c r="GR24" i="13"/>
  <c r="GS24" i="13"/>
  <c r="GT24" i="13"/>
  <c r="GU24" i="13"/>
  <c r="GV24" i="13"/>
  <c r="GW24" i="13"/>
  <c r="GX24" i="13"/>
  <c r="GY24" i="13"/>
  <c r="GZ24" i="13"/>
  <c r="HA24" i="13"/>
  <c r="HB24" i="13"/>
  <c r="HC24" i="13"/>
  <c r="HD24" i="13"/>
  <c r="HE24" i="13"/>
  <c r="HF24" i="13"/>
  <c r="HG24" i="13"/>
  <c r="HH24" i="13"/>
  <c r="HI24" i="13"/>
  <c r="HJ24" i="13"/>
  <c r="HK24" i="13"/>
  <c r="HL24" i="13"/>
  <c r="HM24" i="13"/>
  <c r="HN24" i="13"/>
  <c r="HO24" i="13"/>
  <c r="HP24" i="13"/>
  <c r="HQ24" i="13"/>
  <c r="HR24" i="13"/>
  <c r="HS24" i="13"/>
  <c r="HT24" i="13"/>
  <c r="HU24" i="13"/>
  <c r="HV24" i="13"/>
  <c r="HW24" i="13"/>
  <c r="HX24" i="13"/>
  <c r="HY24" i="13"/>
  <c r="HZ24" i="13"/>
  <c r="IA24" i="13"/>
  <c r="IB24" i="13"/>
  <c r="IC24" i="13"/>
  <c r="ID24" i="13"/>
  <c r="IE24" i="13"/>
  <c r="IF24" i="13"/>
  <c r="IG24" i="13"/>
  <c r="IH24" i="13"/>
  <c r="II24" i="13"/>
  <c r="IJ24" i="13"/>
  <c r="IK24" i="13"/>
  <c r="IL24" i="13"/>
  <c r="IM24" i="13"/>
  <c r="IN24" i="13"/>
  <c r="IO24" i="13"/>
  <c r="IP24" i="13"/>
  <c r="IQ24" i="13"/>
  <c r="IR24" i="13"/>
  <c r="IS24" i="13"/>
  <c r="IT24" i="13"/>
  <c r="IU24" i="13"/>
  <c r="IV24" i="13"/>
  <c r="A23" i="13"/>
  <c r="B23" i="13"/>
  <c r="C23" i="13"/>
  <c r="D23" i="13"/>
  <c r="E23" i="13"/>
  <c r="F23" i="13"/>
  <c r="G23" i="13"/>
  <c r="H23" i="13"/>
  <c r="I23" i="13"/>
  <c r="J23" i="13"/>
  <c r="K23" i="13"/>
  <c r="L23" i="13"/>
  <c r="M23" i="13"/>
  <c r="N23" i="13"/>
  <c r="O23" i="13"/>
  <c r="P23" i="13"/>
  <c r="Q23" i="13"/>
  <c r="R23" i="13"/>
  <c r="S23" i="13"/>
  <c r="T23" i="13"/>
  <c r="U23" i="13"/>
  <c r="V23" i="13"/>
  <c r="W23" i="13"/>
  <c r="X23" i="13"/>
  <c r="Y23" i="13"/>
  <c r="Z23" i="13"/>
  <c r="AA23" i="13"/>
  <c r="AB23" i="13"/>
  <c r="AC23" i="13"/>
  <c r="AD23" i="13"/>
  <c r="AE23" i="13"/>
  <c r="AF23" i="13"/>
  <c r="AG23" i="13"/>
  <c r="AH23" i="13"/>
  <c r="AI23" i="13"/>
  <c r="AJ23" i="13"/>
  <c r="AK23" i="13"/>
  <c r="AL23" i="13"/>
  <c r="AM23" i="13"/>
  <c r="AN23" i="13"/>
  <c r="AO23" i="13"/>
  <c r="AP23" i="13"/>
  <c r="AQ23" i="13"/>
  <c r="AR23" i="13"/>
  <c r="AS23" i="13"/>
  <c r="AT23" i="13"/>
  <c r="AU23" i="13"/>
  <c r="AV23" i="13"/>
  <c r="AW23" i="13"/>
  <c r="AX23" i="13"/>
  <c r="AY23" i="13"/>
  <c r="AZ23" i="13"/>
  <c r="BA23" i="13"/>
  <c r="BB23" i="13"/>
  <c r="BC23" i="13"/>
  <c r="BD23" i="13"/>
  <c r="BE23" i="13"/>
  <c r="BF23" i="13"/>
  <c r="BG23" i="13"/>
  <c r="BH23" i="13"/>
  <c r="BI23" i="13"/>
  <c r="BJ23" i="13"/>
  <c r="BK23" i="13"/>
  <c r="BL23" i="13"/>
  <c r="BM23" i="13"/>
  <c r="BN23" i="13"/>
  <c r="BO23" i="13"/>
  <c r="BP23" i="13"/>
  <c r="BQ23" i="13"/>
  <c r="BR23" i="13"/>
  <c r="BS23" i="13"/>
  <c r="BT23" i="13"/>
  <c r="BU23" i="13"/>
  <c r="BV23" i="13"/>
  <c r="BW23" i="13"/>
  <c r="BX23" i="13"/>
  <c r="BY23" i="13"/>
  <c r="BZ23" i="13"/>
  <c r="CA23" i="13"/>
  <c r="CB23" i="13"/>
  <c r="CC23" i="13"/>
  <c r="CD23" i="13"/>
  <c r="CE23" i="13"/>
  <c r="CF23" i="13"/>
  <c r="CG23" i="13"/>
  <c r="CH23" i="13"/>
  <c r="CI23" i="13"/>
  <c r="CJ23" i="13"/>
  <c r="CK23" i="13"/>
  <c r="CL23" i="13"/>
  <c r="CM23" i="13"/>
  <c r="CN23" i="13"/>
  <c r="CO23" i="13"/>
  <c r="CP23" i="13"/>
  <c r="CQ23" i="13"/>
  <c r="CR23" i="13"/>
  <c r="CS23" i="13"/>
  <c r="CT23" i="13"/>
  <c r="CU23" i="13"/>
  <c r="CV23" i="13"/>
  <c r="CW23" i="13"/>
  <c r="CX23" i="13"/>
  <c r="CY23" i="13"/>
  <c r="CZ23" i="13"/>
  <c r="DA23" i="13"/>
  <c r="DB23" i="13"/>
  <c r="DC23" i="13"/>
  <c r="DD23" i="13"/>
  <c r="DE23" i="13"/>
  <c r="DF23" i="13"/>
  <c r="DG23" i="13"/>
  <c r="DH23" i="13"/>
  <c r="DI23" i="13"/>
  <c r="DJ23" i="13"/>
  <c r="DK23" i="13"/>
  <c r="DL23" i="13"/>
  <c r="DM23" i="13"/>
  <c r="DN23" i="13"/>
  <c r="DO23" i="13"/>
  <c r="DP23" i="13"/>
  <c r="DQ23" i="13"/>
  <c r="DR23" i="13"/>
  <c r="DS23" i="13"/>
  <c r="DT23" i="13"/>
  <c r="DU23" i="13"/>
  <c r="DV23" i="13"/>
  <c r="DW23" i="13"/>
  <c r="DX23" i="13"/>
  <c r="DY23" i="13"/>
  <c r="DZ23" i="13"/>
  <c r="EA23" i="13"/>
  <c r="EB23" i="13"/>
  <c r="EC23" i="13"/>
  <c r="ED23" i="13"/>
  <c r="EE23" i="13"/>
  <c r="EF23" i="13"/>
  <c r="EG23" i="13"/>
  <c r="EH23" i="13"/>
  <c r="EI23" i="13"/>
  <c r="EJ23" i="13"/>
  <c r="EK23" i="13"/>
  <c r="EL23" i="13"/>
  <c r="EM23" i="13"/>
  <c r="EN23" i="13"/>
  <c r="EO23" i="13"/>
  <c r="EP23" i="13"/>
  <c r="EQ23" i="13"/>
  <c r="ER23" i="13"/>
  <c r="ES23" i="13"/>
  <c r="ET23" i="13"/>
  <c r="EU23" i="13"/>
  <c r="EV23" i="13"/>
  <c r="EW23" i="13"/>
  <c r="EX23" i="13"/>
  <c r="EY23" i="13"/>
  <c r="EZ23" i="13"/>
  <c r="FA23" i="13"/>
  <c r="FB23" i="13"/>
  <c r="FC23" i="13"/>
  <c r="FD23" i="13"/>
  <c r="FE23" i="13"/>
  <c r="FF23" i="13"/>
  <c r="FG23" i="13"/>
  <c r="FH23" i="13"/>
  <c r="FI23" i="13"/>
  <c r="FJ23" i="13"/>
  <c r="FK23" i="13"/>
  <c r="FL23" i="13"/>
  <c r="FM23" i="13"/>
  <c r="FN23" i="13"/>
  <c r="FO23" i="13"/>
  <c r="FP23" i="13"/>
  <c r="FQ23" i="13"/>
  <c r="FR23" i="13"/>
  <c r="FS23" i="13"/>
  <c r="FT23" i="13"/>
  <c r="FU23" i="13"/>
  <c r="FV23" i="13"/>
  <c r="FW23" i="13"/>
  <c r="FX23" i="13"/>
  <c r="FY23" i="13"/>
  <c r="FZ23" i="13"/>
  <c r="GA23" i="13"/>
  <c r="GB23" i="13"/>
  <c r="GC23" i="13"/>
  <c r="GD23" i="13"/>
  <c r="GE23" i="13"/>
  <c r="GF23" i="13"/>
  <c r="GG23" i="13"/>
  <c r="GH23" i="13"/>
  <c r="GI23" i="13"/>
  <c r="GJ23" i="13"/>
  <c r="GK23" i="13"/>
  <c r="GL23" i="13"/>
  <c r="GM23" i="13"/>
  <c r="GN23" i="13"/>
  <c r="GO23" i="13"/>
  <c r="GP23" i="13"/>
  <c r="GQ23" i="13"/>
  <c r="GR23" i="13"/>
  <c r="GS23" i="13"/>
  <c r="GT23" i="13"/>
  <c r="GU23" i="13"/>
  <c r="GV23" i="13"/>
  <c r="GW23" i="13"/>
  <c r="GX23" i="13"/>
  <c r="GY23" i="13"/>
  <c r="GZ23" i="13"/>
  <c r="HA23" i="13"/>
  <c r="HB23" i="13"/>
  <c r="HC23" i="13"/>
  <c r="HD23" i="13"/>
  <c r="HE23" i="13"/>
  <c r="HF23" i="13"/>
  <c r="HG23" i="13"/>
  <c r="HH23" i="13"/>
  <c r="HI23" i="13"/>
  <c r="HJ23" i="13"/>
  <c r="HK23" i="13"/>
  <c r="HL23" i="13"/>
  <c r="HM23" i="13"/>
  <c r="HN23" i="13"/>
  <c r="HO23" i="13"/>
  <c r="HP23" i="13"/>
  <c r="HQ23" i="13"/>
  <c r="HR23" i="13"/>
  <c r="HS23" i="13"/>
  <c r="HT23" i="13"/>
  <c r="HU23" i="13"/>
  <c r="HV23" i="13"/>
  <c r="HW23" i="13"/>
  <c r="HX23" i="13"/>
  <c r="HY23" i="13"/>
  <c r="HZ23" i="13"/>
  <c r="IA23" i="13"/>
  <c r="IB23" i="13"/>
  <c r="IC23" i="13"/>
  <c r="ID23" i="13"/>
  <c r="IE23" i="13"/>
  <c r="IF23" i="13"/>
  <c r="IG23" i="13"/>
  <c r="IH23" i="13"/>
  <c r="II23" i="13"/>
  <c r="IJ23" i="13"/>
  <c r="IK23" i="13"/>
  <c r="IL23" i="13"/>
  <c r="IM23" i="13"/>
  <c r="IN23" i="13"/>
  <c r="IO23" i="13"/>
  <c r="IP23" i="13"/>
  <c r="IQ23" i="13"/>
  <c r="IR23" i="13"/>
  <c r="IS23" i="13"/>
  <c r="IT23" i="13"/>
  <c r="IU23" i="13"/>
  <c r="IV23" i="13"/>
  <c r="A22" i="13"/>
  <c r="B22" i="13"/>
  <c r="C22" i="13"/>
  <c r="D22" i="13"/>
  <c r="E22" i="13"/>
  <c r="F22" i="13"/>
  <c r="G22" i="13"/>
  <c r="H22" i="13"/>
  <c r="I22" i="13"/>
  <c r="J22" i="13"/>
  <c r="K22" i="13"/>
  <c r="L22" i="13"/>
  <c r="M22" i="13"/>
  <c r="N22" i="13"/>
  <c r="O22" i="13"/>
  <c r="P22" i="13"/>
  <c r="Q22" i="13"/>
  <c r="R22" i="13"/>
  <c r="S22" i="13"/>
  <c r="T22" i="13"/>
  <c r="U22" i="13"/>
  <c r="V22" i="13"/>
  <c r="W22" i="13"/>
  <c r="X22" i="13"/>
  <c r="Y22" i="13"/>
  <c r="Z22" i="13"/>
  <c r="AA22" i="13"/>
  <c r="AB22" i="13"/>
  <c r="AC22" i="13"/>
  <c r="AD22" i="13"/>
  <c r="AE22" i="13"/>
  <c r="AF22" i="13"/>
  <c r="AG22" i="13"/>
  <c r="AH22" i="13"/>
  <c r="AI22" i="13"/>
  <c r="AJ22" i="13"/>
  <c r="AK22" i="13"/>
  <c r="AL22" i="13"/>
  <c r="AM22" i="13"/>
  <c r="AN22" i="13"/>
  <c r="AO22" i="13"/>
  <c r="AP22" i="13"/>
  <c r="AQ22" i="13"/>
  <c r="AR22" i="13"/>
  <c r="AS22" i="13"/>
  <c r="AT22" i="13"/>
  <c r="AU22" i="13"/>
  <c r="AV22" i="13"/>
  <c r="AW22" i="13"/>
  <c r="AX22" i="13"/>
  <c r="AY22" i="13"/>
  <c r="AZ22" i="13"/>
  <c r="BA22" i="13"/>
  <c r="BB22" i="13"/>
  <c r="BC22" i="13"/>
  <c r="BD22" i="13"/>
  <c r="BE22" i="13"/>
  <c r="BF22" i="13"/>
  <c r="BG22" i="13"/>
  <c r="BH22" i="13"/>
  <c r="BI22" i="13"/>
  <c r="BJ22" i="13"/>
  <c r="BK22" i="13"/>
  <c r="BL22" i="13"/>
  <c r="BM22" i="13"/>
  <c r="BN22" i="13"/>
  <c r="BO22" i="13"/>
  <c r="BP22" i="13"/>
  <c r="BQ22" i="13"/>
  <c r="BR22" i="13"/>
  <c r="BS22" i="13"/>
  <c r="BT22" i="13"/>
  <c r="BU22" i="13"/>
  <c r="BV22" i="13"/>
  <c r="BW22" i="13"/>
  <c r="BX22" i="13"/>
  <c r="BY22" i="13"/>
  <c r="BZ22" i="13"/>
  <c r="CA22" i="13"/>
  <c r="CB22" i="13"/>
  <c r="CC22" i="13"/>
  <c r="CD22" i="13"/>
  <c r="CE22" i="13"/>
  <c r="CF22" i="13"/>
  <c r="CG22" i="13"/>
  <c r="CH22" i="13"/>
  <c r="CI22" i="13"/>
  <c r="CJ22" i="13"/>
  <c r="CK22" i="13"/>
  <c r="CL22" i="13"/>
  <c r="CM22" i="13"/>
  <c r="CN22" i="13"/>
  <c r="CO22" i="13"/>
  <c r="CP22" i="13"/>
  <c r="CQ22" i="13"/>
  <c r="CR22" i="13"/>
  <c r="CS22" i="13"/>
  <c r="CT22" i="13"/>
  <c r="CU22" i="13"/>
  <c r="CV22" i="13"/>
  <c r="CW22" i="13"/>
  <c r="CX22" i="13"/>
  <c r="CY22" i="13"/>
  <c r="CZ22" i="13"/>
  <c r="DA22" i="13"/>
  <c r="DB22" i="13"/>
  <c r="DC22" i="13"/>
  <c r="DD22" i="13"/>
  <c r="DE22" i="13"/>
  <c r="DF22" i="13"/>
  <c r="DG22" i="13"/>
  <c r="DH22" i="13"/>
  <c r="DI22" i="13"/>
  <c r="DJ22" i="13"/>
  <c r="DK22" i="13"/>
  <c r="DL22" i="13"/>
  <c r="DM22" i="13"/>
  <c r="DN22" i="13"/>
  <c r="DO22" i="13"/>
  <c r="DP22" i="13"/>
  <c r="DQ22" i="13"/>
  <c r="DR22" i="13"/>
  <c r="DS22" i="13"/>
  <c r="DT22" i="13"/>
  <c r="DU22" i="13"/>
  <c r="DV22" i="13"/>
  <c r="DW22" i="13"/>
  <c r="DX22" i="13"/>
  <c r="DY22" i="13"/>
  <c r="DZ22" i="13"/>
  <c r="EA22" i="13"/>
  <c r="EB22" i="13"/>
  <c r="EC22" i="13"/>
  <c r="ED22" i="13"/>
  <c r="EE22" i="13"/>
  <c r="EF22" i="13"/>
  <c r="EG22" i="13"/>
  <c r="EH22" i="13"/>
  <c r="EI22" i="13"/>
  <c r="EJ22" i="13"/>
  <c r="EK22" i="13"/>
  <c r="EL22" i="13"/>
  <c r="EM22" i="13"/>
  <c r="EN22" i="13"/>
  <c r="EO22" i="13"/>
  <c r="EP22" i="13"/>
  <c r="EQ22" i="13"/>
  <c r="ER22" i="13"/>
  <c r="ES22" i="13"/>
  <c r="ET22" i="13"/>
  <c r="EU22" i="13"/>
  <c r="EV22" i="13"/>
  <c r="EW22" i="13"/>
  <c r="EX22" i="13"/>
  <c r="EY22" i="13"/>
  <c r="EZ22" i="13"/>
  <c r="FA22" i="13"/>
  <c r="FB22" i="13"/>
  <c r="FC22" i="13"/>
  <c r="FD22" i="13"/>
  <c r="FE22" i="13"/>
  <c r="FF22" i="13"/>
  <c r="FG22" i="13"/>
  <c r="FH22" i="13"/>
  <c r="FI22" i="13"/>
  <c r="FJ22" i="13"/>
  <c r="FK22" i="13"/>
  <c r="FL22" i="13"/>
  <c r="FM22" i="13"/>
  <c r="FN22" i="13"/>
  <c r="FO22" i="13"/>
  <c r="FP22" i="13"/>
  <c r="FQ22" i="13"/>
  <c r="FR22" i="13"/>
  <c r="FS22" i="13"/>
  <c r="FT22" i="13"/>
  <c r="FU22" i="13"/>
  <c r="FV22" i="13"/>
  <c r="FW22" i="13"/>
  <c r="FX22" i="13"/>
  <c r="FY22" i="13"/>
  <c r="FZ22" i="13"/>
  <c r="GA22" i="13"/>
  <c r="GB22" i="13"/>
  <c r="GC22" i="13"/>
  <c r="GD22" i="13"/>
  <c r="GE22" i="13"/>
  <c r="GF22" i="13"/>
  <c r="GG22" i="13"/>
  <c r="GH22" i="13"/>
  <c r="GI22" i="13"/>
  <c r="GJ22" i="13"/>
  <c r="GK22" i="13"/>
  <c r="GL22" i="13"/>
  <c r="GM22" i="13"/>
  <c r="GN22" i="13"/>
  <c r="GO22" i="13"/>
  <c r="GP22" i="13"/>
  <c r="GQ22" i="13"/>
  <c r="GR22" i="13"/>
  <c r="GS22" i="13"/>
  <c r="GT22" i="13"/>
  <c r="GU22" i="13"/>
  <c r="GV22" i="13"/>
  <c r="GW22" i="13"/>
  <c r="GX22" i="13"/>
  <c r="GY22" i="13"/>
  <c r="GZ22" i="13"/>
  <c r="HA22" i="13"/>
  <c r="HB22" i="13"/>
  <c r="HC22" i="13"/>
  <c r="HD22" i="13"/>
  <c r="HE22" i="13"/>
  <c r="HF22" i="13"/>
  <c r="HG22" i="13"/>
  <c r="HH22" i="13"/>
  <c r="HI22" i="13"/>
  <c r="HJ22" i="13"/>
  <c r="HK22" i="13"/>
  <c r="HL22" i="13"/>
  <c r="HM22" i="13"/>
  <c r="HN22" i="13"/>
  <c r="HO22" i="13"/>
  <c r="HP22" i="13"/>
  <c r="HQ22" i="13"/>
  <c r="HR22" i="13"/>
  <c r="HS22" i="13"/>
  <c r="HT22" i="13"/>
  <c r="HU22" i="13"/>
  <c r="HV22" i="13"/>
  <c r="HW22" i="13"/>
  <c r="HX22" i="13"/>
  <c r="HY22" i="13"/>
  <c r="HZ22" i="13"/>
  <c r="IA22" i="13"/>
  <c r="IB22" i="13"/>
  <c r="IC22" i="13"/>
  <c r="ID22" i="13"/>
  <c r="IE22" i="13"/>
  <c r="IF22" i="13"/>
  <c r="IG22" i="13"/>
  <c r="IH22" i="13"/>
  <c r="II22" i="13"/>
  <c r="IJ22" i="13"/>
  <c r="IK22" i="13"/>
  <c r="IL22" i="13"/>
  <c r="IM22" i="13"/>
  <c r="IN22" i="13"/>
  <c r="IO22" i="13"/>
  <c r="IP22" i="13"/>
  <c r="IQ22" i="13"/>
  <c r="IR22" i="13"/>
  <c r="IS22" i="13"/>
  <c r="IT22" i="13"/>
  <c r="IU22" i="13"/>
  <c r="IV22" i="13"/>
  <c r="A21" i="13"/>
  <c r="B21" i="13"/>
  <c r="C21" i="13"/>
  <c r="D21" i="13"/>
  <c r="E21" i="13"/>
  <c r="F21" i="13"/>
  <c r="G21" i="13"/>
  <c r="H21" i="13"/>
  <c r="I21" i="13"/>
  <c r="J21" i="13"/>
  <c r="K21" i="13"/>
  <c r="L21" i="13"/>
  <c r="M21" i="13"/>
  <c r="N21" i="13"/>
  <c r="O21" i="13"/>
  <c r="P21" i="13"/>
  <c r="Q21" i="13"/>
  <c r="R21" i="13"/>
  <c r="S21" i="13"/>
  <c r="T21" i="13"/>
  <c r="U21" i="13"/>
  <c r="V21" i="13"/>
  <c r="W21" i="13"/>
  <c r="X21" i="13"/>
  <c r="Y21" i="13"/>
  <c r="Z21" i="13"/>
  <c r="AA21" i="13"/>
  <c r="AB21" i="13"/>
  <c r="AC21" i="13"/>
  <c r="AD21" i="13"/>
  <c r="AE21" i="13"/>
  <c r="AF21" i="13"/>
  <c r="AG21" i="13"/>
  <c r="AH21" i="13"/>
  <c r="AI21" i="13"/>
  <c r="AJ21" i="13"/>
  <c r="AK21" i="13"/>
  <c r="AL21" i="13"/>
  <c r="AM21" i="13"/>
  <c r="AN21" i="13"/>
  <c r="AO21" i="13"/>
  <c r="AP21" i="13"/>
  <c r="AQ21" i="13"/>
  <c r="AR21" i="13"/>
  <c r="AS21" i="13"/>
  <c r="AT21" i="13"/>
  <c r="AU21" i="13"/>
  <c r="AV21" i="13"/>
  <c r="AW21" i="13"/>
  <c r="AX21" i="13"/>
  <c r="AY21" i="13"/>
  <c r="AZ21" i="13"/>
  <c r="BA21" i="13"/>
  <c r="BB21" i="13"/>
  <c r="BC21" i="13"/>
  <c r="BD21" i="13"/>
  <c r="BE21" i="13"/>
  <c r="BF21" i="13"/>
  <c r="BG21" i="13"/>
  <c r="BH21" i="13"/>
  <c r="BI21" i="13"/>
  <c r="BJ21" i="13"/>
  <c r="BK21" i="13"/>
  <c r="BL21" i="13"/>
  <c r="BM21" i="13"/>
  <c r="BN21" i="13"/>
  <c r="BO21" i="13"/>
  <c r="BP21" i="13"/>
  <c r="BQ21" i="13"/>
  <c r="BR21" i="13"/>
  <c r="BS21" i="13"/>
  <c r="BT21" i="13"/>
  <c r="BU21" i="13"/>
  <c r="BV21" i="13"/>
  <c r="BW21" i="13"/>
  <c r="BX21" i="13"/>
  <c r="BY21" i="13"/>
  <c r="BZ21" i="13"/>
  <c r="CA21" i="13"/>
  <c r="CB21" i="13"/>
  <c r="CC21" i="13"/>
  <c r="CD21" i="13"/>
  <c r="CE21" i="13"/>
  <c r="CF21" i="13"/>
  <c r="CG21" i="13"/>
  <c r="CH21" i="13"/>
  <c r="CI21" i="13"/>
  <c r="CJ21" i="13"/>
  <c r="CK21" i="13"/>
  <c r="CL21" i="13"/>
  <c r="CM21" i="13"/>
  <c r="CN21" i="13"/>
  <c r="CO21" i="13"/>
  <c r="CP21" i="13"/>
  <c r="CQ21" i="13"/>
  <c r="CR21" i="13"/>
  <c r="CS21" i="13"/>
  <c r="CT21" i="13"/>
  <c r="CU21" i="13"/>
  <c r="CV21" i="13"/>
  <c r="CW21" i="13"/>
  <c r="CX21" i="13"/>
  <c r="CY21" i="13"/>
  <c r="CZ21" i="13"/>
  <c r="DA21" i="13"/>
  <c r="DB21" i="13"/>
  <c r="DC21" i="13"/>
  <c r="DD21" i="13"/>
  <c r="DE21" i="13"/>
  <c r="DF21" i="13"/>
  <c r="DG21" i="13"/>
  <c r="DH21" i="13"/>
  <c r="DI21" i="13"/>
  <c r="DJ21" i="13"/>
  <c r="DK21" i="13"/>
  <c r="DL21" i="13"/>
  <c r="DM21" i="13"/>
  <c r="DN21" i="13"/>
  <c r="DO21" i="13"/>
  <c r="DP21" i="13"/>
  <c r="DQ21" i="13"/>
  <c r="DR21" i="13"/>
  <c r="DS21" i="13"/>
  <c r="DT21" i="13"/>
  <c r="DU21" i="13"/>
  <c r="DV21" i="13"/>
  <c r="DW21" i="13"/>
  <c r="DX21" i="13"/>
  <c r="DY21" i="13"/>
  <c r="DZ21" i="13"/>
  <c r="EA21" i="13"/>
  <c r="EB21" i="13"/>
  <c r="EC21" i="13"/>
  <c r="ED21" i="13"/>
  <c r="EE21" i="13"/>
  <c r="EF21" i="13"/>
  <c r="EG21" i="13"/>
  <c r="EH21" i="13"/>
  <c r="EI21" i="13"/>
  <c r="EJ21" i="13"/>
  <c r="EK21" i="13"/>
  <c r="EL21" i="13"/>
  <c r="EM21" i="13"/>
  <c r="EN21" i="13"/>
  <c r="EO21" i="13"/>
  <c r="EP21" i="13"/>
  <c r="EQ21" i="13"/>
  <c r="ER21" i="13"/>
  <c r="ES21" i="13"/>
  <c r="ET21" i="13"/>
  <c r="EU21" i="13"/>
  <c r="EV21" i="13"/>
  <c r="EW21" i="13"/>
  <c r="EX21" i="13"/>
  <c r="EY21" i="13"/>
  <c r="EZ21" i="13"/>
  <c r="FA21" i="13"/>
  <c r="FB21" i="13"/>
  <c r="FC21" i="13"/>
  <c r="FD21" i="13"/>
  <c r="FE21" i="13"/>
  <c r="FF21" i="13"/>
  <c r="FG21" i="13"/>
  <c r="FH21" i="13"/>
  <c r="FI21" i="13"/>
  <c r="FJ21" i="13"/>
  <c r="FK21" i="13"/>
  <c r="FL21" i="13"/>
  <c r="FM21" i="13"/>
  <c r="FN21" i="13"/>
  <c r="FO21" i="13"/>
  <c r="FP21" i="13"/>
  <c r="FQ21" i="13"/>
  <c r="FR21" i="13"/>
  <c r="FS21" i="13"/>
  <c r="FT21" i="13"/>
  <c r="FU21" i="13"/>
  <c r="FV21" i="13"/>
  <c r="FW21" i="13"/>
  <c r="FX21" i="13"/>
  <c r="FY21" i="13"/>
  <c r="FZ21" i="13"/>
  <c r="GA21" i="13"/>
  <c r="GB21" i="13"/>
  <c r="GC21" i="13"/>
  <c r="GD21" i="13"/>
  <c r="GE21" i="13"/>
  <c r="GF21" i="13"/>
  <c r="GG21" i="13"/>
  <c r="GH21" i="13"/>
  <c r="GI21" i="13"/>
  <c r="GJ21" i="13"/>
  <c r="GK21" i="13"/>
  <c r="GL21" i="13"/>
  <c r="GM21" i="13"/>
  <c r="GN21" i="13"/>
  <c r="GO21" i="13"/>
  <c r="GP21" i="13"/>
  <c r="GQ21" i="13"/>
  <c r="GR21" i="13"/>
  <c r="GS21" i="13"/>
  <c r="GT21" i="13"/>
  <c r="GU21" i="13"/>
  <c r="GV21" i="13"/>
  <c r="GW21" i="13"/>
  <c r="GX21" i="13"/>
  <c r="GY21" i="13"/>
  <c r="GZ21" i="13"/>
  <c r="HA21" i="13"/>
  <c r="HB21" i="13"/>
  <c r="HC21" i="13"/>
  <c r="HD21" i="13"/>
  <c r="HE21" i="13"/>
  <c r="HF21" i="13"/>
  <c r="HG21" i="13"/>
  <c r="HH21" i="13"/>
  <c r="HI21" i="13"/>
  <c r="HJ21" i="13"/>
  <c r="HK21" i="13"/>
  <c r="HL21" i="13"/>
  <c r="HM21" i="13"/>
  <c r="HN21" i="13"/>
  <c r="HO21" i="13"/>
  <c r="HP21" i="13"/>
  <c r="HQ21" i="13"/>
  <c r="HR21" i="13"/>
  <c r="HS21" i="13"/>
  <c r="HT21" i="13"/>
  <c r="HU21" i="13"/>
  <c r="HV21" i="13"/>
  <c r="HW21" i="13"/>
  <c r="HX21" i="13"/>
  <c r="HY21" i="13"/>
  <c r="HZ21" i="13"/>
  <c r="IA21" i="13"/>
  <c r="IB21" i="13"/>
  <c r="IC21" i="13"/>
  <c r="ID21" i="13"/>
  <c r="IE21" i="13"/>
  <c r="IF21" i="13"/>
  <c r="IG21" i="13"/>
  <c r="IH21" i="13"/>
  <c r="II21" i="13"/>
  <c r="IJ21" i="13"/>
  <c r="IK21" i="13"/>
  <c r="IL21" i="13"/>
  <c r="IM21" i="13"/>
  <c r="IN21" i="13"/>
  <c r="IO21" i="13"/>
  <c r="IP21" i="13"/>
  <c r="IQ21" i="13"/>
  <c r="IR21" i="13"/>
  <c r="IS21" i="13"/>
  <c r="IT21" i="13"/>
  <c r="IU21" i="13"/>
  <c r="IV21" i="13"/>
  <c r="A20" i="13"/>
  <c r="B20" i="13"/>
  <c r="C20" i="13"/>
  <c r="D20" i="13"/>
  <c r="E20" i="13"/>
  <c r="F20" i="13"/>
  <c r="G20" i="13"/>
  <c r="H20" i="13"/>
  <c r="I20" i="13"/>
  <c r="J20" i="13"/>
  <c r="K20" i="13"/>
  <c r="L20" i="13"/>
  <c r="M20" i="13"/>
  <c r="N20" i="13"/>
  <c r="O20" i="13"/>
  <c r="P20" i="13"/>
  <c r="Q20" i="13"/>
  <c r="R20" i="13"/>
  <c r="S20" i="13"/>
  <c r="T20" i="13"/>
  <c r="U20" i="13"/>
  <c r="V20" i="13"/>
  <c r="W20" i="13"/>
  <c r="X20" i="13"/>
  <c r="Y20" i="13"/>
  <c r="Z20" i="13"/>
  <c r="AA20" i="13"/>
  <c r="AB20" i="13"/>
  <c r="AC20" i="13"/>
  <c r="AD20" i="13"/>
  <c r="AE20" i="13"/>
  <c r="AF20" i="13"/>
  <c r="AG20" i="13"/>
  <c r="AH20" i="13"/>
  <c r="AI20" i="13"/>
  <c r="AJ20" i="13"/>
  <c r="AK20" i="13"/>
  <c r="AL20" i="13"/>
  <c r="AM20" i="13"/>
  <c r="AN20" i="13"/>
  <c r="AO20" i="13"/>
  <c r="AP20" i="13"/>
  <c r="AQ20" i="13"/>
  <c r="AR20" i="13"/>
  <c r="AS20" i="13"/>
  <c r="AT20" i="13"/>
  <c r="AU20" i="13"/>
  <c r="AV20" i="13"/>
  <c r="AW20" i="13"/>
  <c r="AX20" i="13"/>
  <c r="AY20" i="13"/>
  <c r="AZ20" i="13"/>
  <c r="BA20" i="13"/>
  <c r="BB20" i="13"/>
  <c r="BC20" i="13"/>
  <c r="BD20" i="13"/>
  <c r="BE20" i="13"/>
  <c r="BF20" i="13"/>
  <c r="BG20" i="13"/>
  <c r="BH20" i="13"/>
  <c r="BI20" i="13"/>
  <c r="BJ20" i="13"/>
  <c r="BK20" i="13"/>
  <c r="BL20" i="13"/>
  <c r="BM20" i="13"/>
  <c r="BN20" i="13"/>
  <c r="BO20" i="13"/>
  <c r="BP20" i="13"/>
  <c r="BQ20" i="13"/>
  <c r="BR20" i="13"/>
  <c r="BS20" i="13"/>
  <c r="BT20" i="13"/>
  <c r="BU20" i="13"/>
  <c r="BV20" i="13"/>
  <c r="BW20" i="13"/>
  <c r="BX20" i="13"/>
  <c r="BY20" i="13"/>
  <c r="BZ20" i="13"/>
  <c r="CA20" i="13"/>
  <c r="CB20" i="13"/>
  <c r="CC20" i="13"/>
  <c r="CD20" i="13"/>
  <c r="CE20" i="13"/>
  <c r="CF20" i="13"/>
  <c r="CG20" i="13"/>
  <c r="CH20" i="13"/>
  <c r="CI20" i="13"/>
  <c r="CJ20" i="13"/>
  <c r="CK20" i="13"/>
  <c r="CL20" i="13"/>
  <c r="CM20" i="13"/>
  <c r="CN20" i="13"/>
  <c r="CO20" i="13"/>
  <c r="CP20" i="13"/>
  <c r="CQ20" i="13"/>
  <c r="CR20" i="13"/>
  <c r="CS20" i="13"/>
  <c r="CT20" i="13"/>
  <c r="CU20" i="13"/>
  <c r="CV20" i="13"/>
  <c r="CW20" i="13"/>
  <c r="CX20" i="13"/>
  <c r="CY20" i="13"/>
  <c r="CZ20" i="13"/>
  <c r="DA20" i="13"/>
  <c r="DB20" i="13"/>
  <c r="DC20" i="13"/>
  <c r="DD20" i="13"/>
  <c r="DE20" i="13"/>
  <c r="DF20" i="13"/>
  <c r="DG20" i="13"/>
  <c r="DH20" i="13"/>
  <c r="DI20" i="13"/>
  <c r="DJ20" i="13"/>
  <c r="DK20" i="13"/>
  <c r="DL20" i="13"/>
  <c r="DM20" i="13"/>
  <c r="DN20" i="13"/>
  <c r="DO20" i="13"/>
  <c r="DP20" i="13"/>
  <c r="DQ20" i="13"/>
  <c r="DR20" i="13"/>
  <c r="DS20" i="13"/>
  <c r="DT20" i="13"/>
  <c r="DU20" i="13"/>
  <c r="DV20" i="13"/>
  <c r="DW20" i="13"/>
  <c r="DX20" i="13"/>
  <c r="DY20" i="13"/>
  <c r="DZ20" i="13"/>
  <c r="EA20" i="13"/>
  <c r="EB20" i="13"/>
  <c r="EC20" i="13"/>
  <c r="ED20" i="13"/>
  <c r="EE20" i="13"/>
  <c r="EF20" i="13"/>
  <c r="EG20" i="13"/>
  <c r="EH20" i="13"/>
  <c r="EI20" i="13"/>
  <c r="EJ20" i="13"/>
  <c r="EK20" i="13"/>
  <c r="EL20" i="13"/>
  <c r="EM20" i="13"/>
  <c r="EN20" i="13"/>
  <c r="EO20" i="13"/>
  <c r="EP20" i="13"/>
  <c r="EQ20" i="13"/>
  <c r="ER20" i="13"/>
  <c r="ES20" i="13"/>
  <c r="ET20" i="13"/>
  <c r="EU20" i="13"/>
  <c r="EV20" i="13"/>
  <c r="EW20" i="13"/>
  <c r="EX20" i="13"/>
  <c r="EY20" i="13"/>
  <c r="EZ20" i="13"/>
  <c r="FA20" i="13"/>
  <c r="FB20" i="13"/>
  <c r="FC20" i="13"/>
  <c r="FD20" i="13"/>
  <c r="FE20" i="13"/>
  <c r="FF20" i="13"/>
  <c r="FG20" i="13"/>
  <c r="FH20" i="13"/>
  <c r="FI20" i="13"/>
  <c r="FJ20" i="13"/>
  <c r="FK20" i="13"/>
  <c r="FL20" i="13"/>
  <c r="FM20" i="13"/>
  <c r="FN20" i="13"/>
  <c r="FO20" i="13"/>
  <c r="FP20" i="13"/>
  <c r="FQ20" i="13"/>
  <c r="FR20" i="13"/>
  <c r="FS20" i="13"/>
  <c r="FT20" i="13"/>
  <c r="FU20" i="13"/>
  <c r="FV20" i="13"/>
  <c r="FW20" i="13"/>
  <c r="FX20" i="13"/>
  <c r="FY20" i="13"/>
  <c r="FZ20" i="13"/>
  <c r="GA20" i="13"/>
  <c r="GB20" i="13"/>
  <c r="GC20" i="13"/>
  <c r="GD20" i="13"/>
  <c r="GE20" i="13"/>
  <c r="GF20" i="13"/>
  <c r="GG20" i="13"/>
  <c r="GH20" i="13"/>
  <c r="GI20" i="13"/>
  <c r="GJ20" i="13"/>
  <c r="GK20" i="13"/>
  <c r="GL20" i="13"/>
  <c r="GM20" i="13"/>
  <c r="GN20" i="13"/>
  <c r="GO20" i="13"/>
  <c r="GP20" i="13"/>
  <c r="GQ20" i="13"/>
  <c r="GR20" i="13"/>
  <c r="GS20" i="13"/>
  <c r="GT20" i="13"/>
  <c r="GU20" i="13"/>
  <c r="GV20" i="13"/>
  <c r="GW20" i="13"/>
  <c r="GX20" i="13"/>
  <c r="GY20" i="13"/>
  <c r="GZ20" i="13"/>
  <c r="HA20" i="13"/>
  <c r="HB20" i="13"/>
  <c r="HC20" i="13"/>
  <c r="HD20" i="13"/>
  <c r="HE20" i="13"/>
  <c r="HF20" i="13"/>
  <c r="HG20" i="13"/>
  <c r="HH20" i="13"/>
  <c r="HI20" i="13"/>
  <c r="HJ20" i="13"/>
  <c r="HK20" i="13"/>
  <c r="HL20" i="13"/>
  <c r="HM20" i="13"/>
  <c r="HN20" i="13"/>
  <c r="HO20" i="13"/>
  <c r="HP20" i="13"/>
  <c r="HQ20" i="13"/>
  <c r="HR20" i="13"/>
  <c r="HS20" i="13"/>
  <c r="HT20" i="13"/>
  <c r="HU20" i="13"/>
  <c r="HV20" i="13"/>
  <c r="HW20" i="13"/>
  <c r="HX20" i="13"/>
  <c r="HY20" i="13"/>
  <c r="HZ20" i="13"/>
  <c r="IA20" i="13"/>
  <c r="IB20" i="13"/>
  <c r="IC20" i="13"/>
  <c r="ID20" i="13"/>
  <c r="IE20" i="13"/>
  <c r="IF20" i="13"/>
  <c r="IG20" i="13"/>
  <c r="IH20" i="13"/>
  <c r="II20" i="13"/>
  <c r="IJ20" i="13"/>
  <c r="IK20" i="13"/>
  <c r="IL20" i="13"/>
  <c r="IM20" i="13"/>
  <c r="IN20" i="13"/>
  <c r="IO20" i="13"/>
  <c r="IP20" i="13"/>
  <c r="IQ20" i="13"/>
  <c r="IR20" i="13"/>
  <c r="IS20" i="13"/>
  <c r="IT20" i="13"/>
  <c r="IU20" i="13"/>
  <c r="IV20" i="13"/>
  <c r="A19" i="13"/>
  <c r="B19" i="13"/>
  <c r="C19" i="13"/>
  <c r="D19" i="13"/>
  <c r="E19" i="13"/>
  <c r="F19" i="13"/>
  <c r="G19" i="13"/>
  <c r="H19" i="13"/>
  <c r="I19" i="13"/>
  <c r="J19" i="13"/>
  <c r="K19" i="13"/>
  <c r="L19" i="13"/>
  <c r="M19" i="13"/>
  <c r="N19" i="13"/>
  <c r="O19" i="13"/>
  <c r="P19" i="13"/>
  <c r="Q19" i="13"/>
  <c r="R19" i="13"/>
  <c r="S19" i="13"/>
  <c r="T19" i="13"/>
  <c r="U19" i="13"/>
  <c r="V19" i="13"/>
  <c r="W19" i="13"/>
  <c r="X19" i="13"/>
  <c r="Y19" i="13"/>
  <c r="Z19" i="13"/>
  <c r="AA19" i="13"/>
  <c r="AB19" i="13"/>
  <c r="AC19" i="13"/>
  <c r="AD19" i="13"/>
  <c r="AE19" i="13"/>
  <c r="AF19" i="13"/>
  <c r="AG19" i="13"/>
  <c r="AH19" i="13"/>
  <c r="AI19" i="13"/>
  <c r="AJ19" i="13"/>
  <c r="AK19" i="13"/>
  <c r="AL19" i="13"/>
  <c r="AM19" i="13"/>
  <c r="AN19" i="13"/>
  <c r="AO19" i="13"/>
  <c r="AP19" i="13"/>
  <c r="AQ19" i="13"/>
  <c r="AR19" i="13"/>
  <c r="AS19" i="13"/>
  <c r="AT19" i="13"/>
  <c r="AU19" i="13"/>
  <c r="AV19" i="13"/>
  <c r="AW19" i="13"/>
  <c r="AX19" i="13"/>
  <c r="AY19" i="13"/>
  <c r="AZ19" i="13"/>
  <c r="BA19" i="13"/>
  <c r="BB19" i="13"/>
  <c r="BC19" i="13"/>
  <c r="BD19" i="13"/>
  <c r="BE19" i="13"/>
  <c r="BF19" i="13"/>
  <c r="BG19" i="13"/>
  <c r="BH19" i="13"/>
  <c r="BI19" i="13"/>
  <c r="BJ19" i="13"/>
  <c r="BK19" i="13"/>
  <c r="BL19" i="13"/>
  <c r="BM19" i="13"/>
  <c r="BN19" i="13"/>
  <c r="BO19" i="13"/>
  <c r="BP19" i="13"/>
  <c r="BQ19" i="13"/>
  <c r="BR19" i="13"/>
  <c r="BS19" i="13"/>
  <c r="BT19" i="13"/>
  <c r="BU19" i="13"/>
  <c r="BV19" i="13"/>
  <c r="BW19" i="13"/>
  <c r="BX19" i="13"/>
  <c r="BY19" i="13"/>
  <c r="BZ19" i="13"/>
  <c r="CA19" i="13"/>
  <c r="CB19" i="13"/>
  <c r="CC19" i="13"/>
  <c r="CD19" i="13"/>
  <c r="CE19" i="13"/>
  <c r="CF19" i="13"/>
  <c r="CG19" i="13"/>
  <c r="CH19" i="13"/>
  <c r="CI19" i="13"/>
  <c r="CJ19" i="13"/>
  <c r="CK19" i="13"/>
  <c r="CL19" i="13"/>
  <c r="CM19" i="13"/>
  <c r="CN19" i="13"/>
  <c r="CO19" i="13"/>
  <c r="CP19" i="13"/>
  <c r="CQ19" i="13"/>
  <c r="CR19" i="13"/>
  <c r="CS19" i="13"/>
  <c r="CT19" i="13"/>
  <c r="CU19" i="13"/>
  <c r="CV19" i="13"/>
  <c r="CW19" i="13"/>
  <c r="CX19" i="13"/>
  <c r="CY19" i="13"/>
  <c r="CZ19" i="13"/>
  <c r="DA19" i="13"/>
  <c r="DB19" i="13"/>
  <c r="DC19" i="13"/>
  <c r="DD19" i="13"/>
  <c r="DE19" i="13"/>
  <c r="DF19" i="13"/>
  <c r="DG19" i="13"/>
  <c r="DH19" i="13"/>
  <c r="DI19" i="13"/>
  <c r="DJ19" i="13"/>
  <c r="DK19" i="13"/>
  <c r="DL19" i="13"/>
  <c r="DM19" i="13"/>
  <c r="DN19" i="13"/>
  <c r="DO19" i="13"/>
  <c r="DP19" i="13"/>
  <c r="DQ19" i="13"/>
  <c r="DR19" i="13"/>
  <c r="DS19" i="13"/>
  <c r="DT19" i="13"/>
  <c r="DU19" i="13"/>
  <c r="DV19" i="13"/>
  <c r="DW19" i="13"/>
  <c r="DX19" i="13"/>
  <c r="DY19" i="13"/>
  <c r="DZ19" i="13"/>
  <c r="EA19" i="13"/>
  <c r="EB19" i="13"/>
  <c r="EC19" i="13"/>
  <c r="ED19" i="13"/>
  <c r="EE19" i="13"/>
  <c r="EF19" i="13"/>
  <c r="EG19" i="13"/>
  <c r="EH19" i="13"/>
  <c r="EI19" i="13"/>
  <c r="EJ19" i="13"/>
  <c r="EK19" i="13"/>
  <c r="EL19" i="13"/>
  <c r="EM19" i="13"/>
  <c r="EN19" i="13"/>
  <c r="EO19" i="13"/>
  <c r="EP19" i="13"/>
  <c r="EQ19" i="13"/>
  <c r="ER19" i="13"/>
  <c r="ES19" i="13"/>
  <c r="ET19" i="13"/>
  <c r="EU19" i="13"/>
  <c r="EV19" i="13"/>
  <c r="EW19" i="13"/>
  <c r="EX19" i="13"/>
  <c r="EY19" i="13"/>
  <c r="EZ19" i="13"/>
  <c r="FA19" i="13"/>
  <c r="FB19" i="13"/>
  <c r="FC19" i="13"/>
  <c r="FD19" i="13"/>
  <c r="FE19" i="13"/>
  <c r="FF19" i="13"/>
  <c r="FG19" i="13"/>
  <c r="FH19" i="13"/>
  <c r="FI19" i="13"/>
  <c r="FJ19" i="13"/>
  <c r="FK19" i="13"/>
  <c r="FL19" i="13"/>
  <c r="FM19" i="13"/>
  <c r="FN19" i="13"/>
  <c r="FO19" i="13"/>
  <c r="FP19" i="13"/>
  <c r="FQ19" i="13"/>
  <c r="FR19" i="13"/>
  <c r="FS19" i="13"/>
  <c r="FT19" i="13"/>
  <c r="FU19" i="13"/>
  <c r="FV19" i="13"/>
  <c r="FW19" i="13"/>
  <c r="FX19" i="13"/>
  <c r="FY19" i="13"/>
  <c r="FZ19" i="13"/>
  <c r="GA19" i="13"/>
  <c r="GB19" i="13"/>
  <c r="GC19" i="13"/>
  <c r="GD19" i="13"/>
  <c r="GE19" i="13"/>
  <c r="GF19" i="13"/>
  <c r="GG19" i="13"/>
  <c r="GH19" i="13"/>
  <c r="GI19" i="13"/>
  <c r="GJ19" i="13"/>
  <c r="GK19" i="13"/>
  <c r="GL19" i="13"/>
  <c r="GM19" i="13"/>
  <c r="GN19" i="13"/>
  <c r="GO19" i="13"/>
  <c r="GP19" i="13"/>
  <c r="GQ19" i="13"/>
  <c r="GR19" i="13"/>
  <c r="GS19" i="13"/>
  <c r="GT19" i="13"/>
  <c r="GU19" i="13"/>
  <c r="GV19" i="13"/>
  <c r="GW19" i="13"/>
  <c r="GX19" i="13"/>
  <c r="GY19" i="13"/>
  <c r="GZ19" i="13"/>
  <c r="HA19" i="13"/>
  <c r="HB19" i="13"/>
  <c r="HC19" i="13"/>
  <c r="HD19" i="13"/>
  <c r="HE19" i="13"/>
  <c r="HF19" i="13"/>
  <c r="HG19" i="13"/>
  <c r="HH19" i="13"/>
  <c r="HI19" i="13"/>
  <c r="HJ19" i="13"/>
  <c r="HK19" i="13"/>
  <c r="HL19" i="13"/>
  <c r="HM19" i="13"/>
  <c r="HN19" i="13"/>
  <c r="HO19" i="13"/>
  <c r="HP19" i="13"/>
  <c r="HQ19" i="13"/>
  <c r="HR19" i="13"/>
  <c r="HS19" i="13"/>
  <c r="HT19" i="13"/>
  <c r="HU19" i="13"/>
  <c r="HV19" i="13"/>
  <c r="HW19" i="13"/>
  <c r="HX19" i="13"/>
  <c r="HY19" i="13"/>
  <c r="HZ19" i="13"/>
  <c r="IA19" i="13"/>
  <c r="IB19" i="13"/>
  <c r="IC19" i="13"/>
  <c r="ID19" i="13"/>
  <c r="IE19" i="13"/>
  <c r="IF19" i="13"/>
  <c r="IG19" i="13"/>
  <c r="IH19" i="13"/>
  <c r="II19" i="13"/>
  <c r="IJ19" i="13"/>
  <c r="IK19" i="13"/>
  <c r="IL19" i="13"/>
  <c r="IM19" i="13"/>
  <c r="IN19" i="13"/>
  <c r="IO19" i="13"/>
  <c r="IP19" i="13"/>
  <c r="IQ19" i="13"/>
  <c r="IR19" i="13"/>
  <c r="IS19" i="13"/>
  <c r="IT19" i="13"/>
  <c r="IU19" i="13"/>
  <c r="IV19" i="13"/>
  <c r="A18" i="13"/>
  <c r="B18" i="13"/>
  <c r="C18" i="13"/>
  <c r="D18" i="13"/>
  <c r="E18" i="13"/>
  <c r="F18" i="13"/>
  <c r="G18" i="13"/>
  <c r="H18" i="13"/>
  <c r="I18" i="13"/>
  <c r="J18" i="13"/>
  <c r="K18" i="13"/>
  <c r="L18" i="13"/>
  <c r="M18" i="13"/>
  <c r="N18" i="13"/>
  <c r="O18" i="13"/>
  <c r="P18" i="13"/>
  <c r="Q18" i="13"/>
  <c r="R18" i="13"/>
  <c r="S18" i="13"/>
  <c r="T18" i="13"/>
  <c r="U18" i="13"/>
  <c r="V18" i="13"/>
  <c r="W18" i="13"/>
  <c r="X18" i="13"/>
  <c r="Y18" i="13"/>
  <c r="Z18" i="13"/>
  <c r="AA18" i="13"/>
  <c r="AB18" i="13"/>
  <c r="AC18" i="13"/>
  <c r="AD18" i="13"/>
  <c r="AE18" i="13"/>
  <c r="AF18" i="13"/>
  <c r="AG18" i="13"/>
  <c r="AH18" i="13"/>
  <c r="AI18" i="13"/>
  <c r="AJ18" i="13"/>
  <c r="AK18" i="13"/>
  <c r="AL18" i="13"/>
  <c r="AM18" i="13"/>
  <c r="AN18" i="13"/>
  <c r="AO18" i="13"/>
  <c r="AP18" i="13"/>
  <c r="AQ18" i="13"/>
  <c r="AR18" i="13"/>
  <c r="AS18" i="13"/>
  <c r="AT18" i="13"/>
  <c r="AU18" i="13"/>
  <c r="AV18" i="13"/>
  <c r="AW18" i="13"/>
  <c r="AX18" i="13"/>
  <c r="AY18" i="13"/>
  <c r="AZ18" i="13"/>
  <c r="BA18" i="13"/>
  <c r="BB18" i="13"/>
  <c r="BC18" i="13"/>
  <c r="BD18" i="13"/>
  <c r="BE18" i="13"/>
  <c r="BF18" i="13"/>
  <c r="BG18" i="13"/>
  <c r="BH18" i="13"/>
  <c r="BI18" i="13"/>
  <c r="BJ18" i="13"/>
  <c r="BK18" i="13"/>
  <c r="BL18" i="13"/>
  <c r="BM18" i="13"/>
  <c r="BN18" i="13"/>
  <c r="BO18" i="13"/>
  <c r="BP18" i="13"/>
  <c r="BQ18" i="13"/>
  <c r="BR18" i="13"/>
  <c r="BS18" i="13"/>
  <c r="BT18" i="13"/>
  <c r="BU18" i="13"/>
  <c r="BV18" i="13"/>
  <c r="BW18" i="13"/>
  <c r="BX18" i="13"/>
  <c r="BY18" i="13"/>
  <c r="BZ18" i="13"/>
  <c r="CA18" i="13"/>
  <c r="CB18" i="13"/>
  <c r="CC18" i="13"/>
  <c r="CD18" i="13"/>
  <c r="CE18" i="13"/>
  <c r="CF18" i="13"/>
  <c r="CG18" i="13"/>
  <c r="CH18" i="13"/>
  <c r="CI18" i="13"/>
  <c r="CJ18" i="13"/>
  <c r="CK18" i="13"/>
  <c r="CL18" i="13"/>
  <c r="CM18" i="13"/>
  <c r="CN18" i="13"/>
  <c r="CO18" i="13"/>
  <c r="CP18" i="13"/>
  <c r="CQ18" i="13"/>
  <c r="CR18" i="13"/>
  <c r="CS18" i="13"/>
  <c r="CT18" i="13"/>
  <c r="CU18" i="13"/>
  <c r="CV18" i="13"/>
  <c r="CW18" i="13"/>
  <c r="CX18" i="13"/>
  <c r="CY18" i="13"/>
  <c r="CZ18" i="13"/>
  <c r="DA18" i="13"/>
  <c r="DB18" i="13"/>
  <c r="DC18" i="13"/>
  <c r="DD18" i="13"/>
  <c r="DE18" i="13"/>
  <c r="DF18" i="13"/>
  <c r="DG18" i="13"/>
  <c r="DH18" i="13"/>
  <c r="DI18" i="13"/>
  <c r="DJ18" i="13"/>
  <c r="DK18" i="13"/>
  <c r="DL18" i="13"/>
  <c r="DM18" i="13"/>
  <c r="DN18" i="13"/>
  <c r="DO18" i="13"/>
  <c r="DP18" i="13"/>
  <c r="DQ18" i="13"/>
  <c r="DR18" i="13"/>
  <c r="DS18" i="13"/>
  <c r="DT18" i="13"/>
  <c r="DU18" i="13"/>
  <c r="DV18" i="13"/>
  <c r="DW18" i="13"/>
  <c r="DX18" i="13"/>
  <c r="DY18" i="13"/>
  <c r="DZ18" i="13"/>
  <c r="EA18" i="13"/>
  <c r="EB18" i="13"/>
  <c r="EC18" i="13"/>
  <c r="ED18" i="13"/>
  <c r="EE18" i="13"/>
  <c r="EF18" i="13"/>
  <c r="EG18" i="13"/>
  <c r="EH18" i="13"/>
  <c r="EI18" i="13"/>
  <c r="EJ18" i="13"/>
  <c r="EK18" i="13"/>
  <c r="EL18" i="13"/>
  <c r="EM18" i="13"/>
  <c r="EN18" i="13"/>
  <c r="EO18" i="13"/>
  <c r="EP18" i="13"/>
  <c r="EQ18" i="13"/>
  <c r="ER18" i="13"/>
  <c r="ES18" i="13"/>
  <c r="ET18" i="13"/>
  <c r="EU18" i="13"/>
  <c r="EV18" i="13"/>
  <c r="EW18" i="13"/>
  <c r="EX18" i="13"/>
  <c r="EY18" i="13"/>
  <c r="EZ18" i="13"/>
  <c r="FA18" i="13"/>
  <c r="FB18" i="13"/>
  <c r="FC18" i="13"/>
  <c r="FD18" i="13"/>
  <c r="FE18" i="13"/>
  <c r="FF18" i="13"/>
  <c r="FG18" i="13"/>
  <c r="FH18" i="13"/>
  <c r="FI18" i="13"/>
  <c r="FJ18" i="13"/>
  <c r="FK18" i="13"/>
  <c r="FL18" i="13"/>
  <c r="FM18" i="13"/>
  <c r="FN18" i="13"/>
  <c r="FO18" i="13"/>
  <c r="FP18" i="13"/>
  <c r="FQ18" i="13"/>
  <c r="FR18" i="13"/>
  <c r="FS18" i="13"/>
  <c r="FT18" i="13"/>
  <c r="FU18" i="13"/>
  <c r="FV18" i="13"/>
  <c r="FW18" i="13"/>
  <c r="FX18" i="13"/>
  <c r="FY18" i="13"/>
  <c r="FZ18" i="13"/>
  <c r="GA18" i="13"/>
  <c r="GB18" i="13"/>
  <c r="GC18" i="13"/>
  <c r="GD18" i="13"/>
  <c r="GE18" i="13"/>
  <c r="GF18" i="13"/>
  <c r="GG18" i="13"/>
  <c r="GH18" i="13"/>
  <c r="GI18" i="13"/>
  <c r="GJ18" i="13"/>
  <c r="GK18" i="13"/>
  <c r="GL18" i="13"/>
  <c r="GM18" i="13"/>
  <c r="GN18" i="13"/>
  <c r="GO18" i="13"/>
  <c r="GP18" i="13"/>
  <c r="GQ18" i="13"/>
  <c r="GR18" i="13"/>
  <c r="GS18" i="13"/>
  <c r="GT18" i="13"/>
  <c r="GU18" i="13"/>
  <c r="GV18" i="13"/>
  <c r="GW18" i="13"/>
  <c r="GX18" i="13"/>
  <c r="GY18" i="13"/>
  <c r="GZ18" i="13"/>
  <c r="HA18" i="13"/>
  <c r="HB18" i="13"/>
  <c r="HC18" i="13"/>
  <c r="HD18" i="13"/>
  <c r="HE18" i="13"/>
  <c r="HF18" i="13"/>
  <c r="HG18" i="13"/>
  <c r="HH18" i="13"/>
  <c r="HI18" i="13"/>
  <c r="HJ18" i="13"/>
  <c r="HK18" i="13"/>
  <c r="HL18" i="13"/>
  <c r="HM18" i="13"/>
  <c r="HN18" i="13"/>
  <c r="HO18" i="13"/>
  <c r="HP18" i="13"/>
  <c r="HQ18" i="13"/>
  <c r="HR18" i="13"/>
  <c r="HS18" i="13"/>
  <c r="HT18" i="13"/>
  <c r="HU18" i="13"/>
  <c r="HV18" i="13"/>
  <c r="HW18" i="13"/>
  <c r="HX18" i="13"/>
  <c r="HY18" i="13"/>
  <c r="HZ18" i="13"/>
  <c r="IA18" i="13"/>
  <c r="IB18" i="13"/>
  <c r="IC18" i="13"/>
  <c r="ID18" i="13"/>
  <c r="IE18" i="13"/>
  <c r="IF18" i="13"/>
  <c r="IG18" i="13"/>
  <c r="IH18" i="13"/>
  <c r="II18" i="13"/>
  <c r="IJ18" i="13"/>
  <c r="IK18" i="13"/>
  <c r="IL18" i="13"/>
  <c r="IM18" i="13"/>
  <c r="IN18" i="13"/>
  <c r="IO18" i="13"/>
  <c r="IP18" i="13"/>
  <c r="IQ18" i="13"/>
  <c r="IR18" i="13"/>
  <c r="IS18" i="13"/>
  <c r="IT18" i="13"/>
  <c r="IU18" i="13"/>
  <c r="IV18" i="13"/>
  <c r="A17" i="13"/>
  <c r="B17" i="13"/>
  <c r="C17" i="13"/>
  <c r="D17" i="13"/>
  <c r="E17" i="13"/>
  <c r="F17" i="13"/>
  <c r="G17" i="13"/>
  <c r="H17" i="13"/>
  <c r="I17" i="13"/>
  <c r="J17" i="13"/>
  <c r="K17" i="13"/>
  <c r="L17" i="13"/>
  <c r="M17" i="13"/>
  <c r="N17" i="13"/>
  <c r="O17" i="13"/>
  <c r="P17" i="13"/>
  <c r="Q17" i="13"/>
  <c r="R17" i="13"/>
  <c r="S17" i="13"/>
  <c r="T17" i="13"/>
  <c r="U17" i="13"/>
  <c r="V17" i="13"/>
  <c r="W17" i="13"/>
  <c r="X17" i="13"/>
  <c r="Y17" i="13"/>
  <c r="Z17" i="13"/>
  <c r="AA17" i="13"/>
  <c r="AB17" i="13"/>
  <c r="AC17" i="13"/>
  <c r="AD17" i="13"/>
  <c r="AE17" i="13"/>
  <c r="AF17" i="13"/>
  <c r="AG17" i="13"/>
  <c r="AH17" i="13"/>
  <c r="AI17" i="13"/>
  <c r="AJ17" i="13"/>
  <c r="AK17" i="13"/>
  <c r="AL17" i="13"/>
  <c r="AM17" i="13"/>
  <c r="AN17" i="13"/>
  <c r="AO17" i="13"/>
  <c r="AP17" i="13"/>
  <c r="AQ17" i="13"/>
  <c r="AR17" i="13"/>
  <c r="AS17" i="13"/>
  <c r="AT17" i="13"/>
  <c r="AU17" i="13"/>
  <c r="AV17" i="13"/>
  <c r="AW17" i="13"/>
  <c r="AX17" i="13"/>
  <c r="AY17" i="13"/>
  <c r="AZ17" i="13"/>
  <c r="BA17" i="13"/>
  <c r="BB17" i="13"/>
  <c r="BC17" i="13"/>
  <c r="BD17" i="13"/>
  <c r="BE17" i="13"/>
  <c r="BF17" i="13"/>
  <c r="BG17" i="13"/>
  <c r="BH17" i="13"/>
  <c r="BI17" i="13"/>
  <c r="BJ17" i="13"/>
  <c r="BK17" i="13"/>
  <c r="BL17" i="13"/>
  <c r="BM17" i="13"/>
  <c r="BN17" i="13"/>
  <c r="BO17" i="13"/>
  <c r="BP17" i="13"/>
  <c r="BQ17" i="13"/>
  <c r="BR17" i="13"/>
  <c r="BS17" i="13"/>
  <c r="BT17" i="13"/>
  <c r="BU17" i="13"/>
  <c r="BV17" i="13"/>
  <c r="BW17" i="13"/>
  <c r="BX17" i="13"/>
  <c r="BY17" i="13"/>
  <c r="BZ17" i="13"/>
  <c r="CA17" i="13"/>
  <c r="CB17" i="13"/>
  <c r="CC17" i="13"/>
  <c r="CD17" i="13"/>
  <c r="CE17" i="13"/>
  <c r="CF17" i="13"/>
  <c r="CG17" i="13"/>
  <c r="CH17" i="13"/>
  <c r="CI17" i="13"/>
  <c r="CJ17" i="13"/>
  <c r="CK17" i="13"/>
  <c r="CL17" i="13"/>
  <c r="CM17" i="13"/>
  <c r="CN17" i="13"/>
  <c r="CO17" i="13"/>
  <c r="CP17" i="13"/>
  <c r="CQ17" i="13"/>
  <c r="CR17" i="13"/>
  <c r="CS17" i="13"/>
  <c r="CT17" i="13"/>
  <c r="CU17" i="13"/>
  <c r="CV17" i="13"/>
  <c r="CW17" i="13"/>
  <c r="CX17" i="13"/>
  <c r="CY17" i="13"/>
  <c r="CZ17" i="13"/>
  <c r="DA17" i="13"/>
  <c r="DB17" i="13"/>
  <c r="DC17" i="13"/>
  <c r="DD17" i="13"/>
  <c r="DE17" i="13"/>
  <c r="DF17" i="13"/>
  <c r="DG17" i="13"/>
  <c r="DH17" i="13"/>
  <c r="DI17" i="13"/>
  <c r="DJ17" i="13"/>
  <c r="DK17" i="13"/>
  <c r="DL17" i="13"/>
  <c r="DM17" i="13"/>
  <c r="DN17" i="13"/>
  <c r="DO17" i="13"/>
  <c r="DP17" i="13"/>
  <c r="DQ17" i="13"/>
  <c r="DR17" i="13"/>
  <c r="DS17" i="13"/>
  <c r="DT17" i="13"/>
  <c r="DU17" i="13"/>
  <c r="DV17" i="13"/>
  <c r="DW17" i="13"/>
  <c r="DX17" i="13"/>
  <c r="DY17" i="13"/>
  <c r="DZ17" i="13"/>
  <c r="EA17" i="13"/>
  <c r="EB17" i="13"/>
  <c r="EC17" i="13"/>
  <c r="ED17" i="13"/>
  <c r="EE17" i="13"/>
  <c r="EF17" i="13"/>
  <c r="EG17" i="13"/>
  <c r="EH17" i="13"/>
  <c r="EI17" i="13"/>
  <c r="EJ17" i="13"/>
  <c r="EK17" i="13"/>
  <c r="EL17" i="13"/>
  <c r="EM17" i="13"/>
  <c r="EN17" i="13"/>
  <c r="EO17" i="13"/>
  <c r="EP17" i="13"/>
  <c r="EQ17" i="13"/>
  <c r="ER17" i="13"/>
  <c r="ES17" i="13"/>
  <c r="ET17" i="13"/>
  <c r="EU17" i="13"/>
  <c r="EV17" i="13"/>
  <c r="EW17" i="13"/>
  <c r="EX17" i="13"/>
  <c r="EY17" i="13"/>
  <c r="EZ17" i="13"/>
  <c r="FA17" i="13"/>
  <c r="FB17" i="13"/>
  <c r="FC17" i="13"/>
  <c r="FD17" i="13"/>
  <c r="FE17" i="13"/>
  <c r="FF17" i="13"/>
  <c r="FG17" i="13"/>
  <c r="FH17" i="13"/>
  <c r="FI17" i="13"/>
  <c r="FJ17" i="13"/>
  <c r="FK17" i="13"/>
  <c r="FL17" i="13"/>
  <c r="FM17" i="13"/>
  <c r="FN17" i="13"/>
  <c r="FO17" i="13"/>
  <c r="FP17" i="13"/>
  <c r="FQ17" i="13"/>
  <c r="FR17" i="13"/>
  <c r="FS17" i="13"/>
  <c r="FT17" i="13"/>
  <c r="FU17" i="13"/>
  <c r="FV17" i="13"/>
  <c r="FW17" i="13"/>
  <c r="FX17" i="13"/>
  <c r="FY17" i="13"/>
  <c r="FZ17" i="13"/>
  <c r="GA17" i="13"/>
  <c r="GB17" i="13"/>
  <c r="GC17" i="13"/>
  <c r="GD17" i="13"/>
  <c r="GE17" i="13"/>
  <c r="GF17" i="13"/>
  <c r="GG17" i="13"/>
  <c r="GH17" i="13"/>
  <c r="GI17" i="13"/>
  <c r="GJ17" i="13"/>
  <c r="GK17" i="13"/>
  <c r="GL17" i="13"/>
  <c r="GM17" i="13"/>
  <c r="GN17" i="13"/>
  <c r="GO17" i="13"/>
  <c r="GP17" i="13"/>
  <c r="GQ17" i="13"/>
  <c r="GR17" i="13"/>
  <c r="GS17" i="13"/>
  <c r="GT17" i="13"/>
  <c r="GU17" i="13"/>
  <c r="GV17" i="13"/>
  <c r="GW17" i="13"/>
  <c r="GX17" i="13"/>
  <c r="GY17" i="13"/>
  <c r="GZ17" i="13"/>
  <c r="HA17" i="13"/>
  <c r="HB17" i="13"/>
  <c r="HC17" i="13"/>
  <c r="HD17" i="13"/>
  <c r="HE17" i="13"/>
  <c r="HF17" i="13"/>
  <c r="HG17" i="13"/>
  <c r="HH17" i="13"/>
  <c r="HI17" i="13"/>
  <c r="HJ17" i="13"/>
  <c r="HK17" i="13"/>
  <c r="HL17" i="13"/>
  <c r="HM17" i="13"/>
  <c r="HN17" i="13"/>
  <c r="HO17" i="13"/>
  <c r="HP17" i="13"/>
  <c r="HQ17" i="13"/>
  <c r="HR17" i="13"/>
  <c r="HS17" i="13"/>
  <c r="HT17" i="13"/>
  <c r="HU17" i="13"/>
  <c r="HV17" i="13"/>
  <c r="HW17" i="13"/>
  <c r="HX17" i="13"/>
  <c r="HY17" i="13"/>
  <c r="HZ17" i="13"/>
  <c r="IA17" i="13"/>
  <c r="IB17" i="13"/>
  <c r="IC17" i="13"/>
  <c r="ID17" i="13"/>
  <c r="IE17" i="13"/>
  <c r="IF17" i="13"/>
  <c r="IG17" i="13"/>
  <c r="IH17" i="13"/>
  <c r="II17" i="13"/>
  <c r="IJ17" i="13"/>
  <c r="IK17" i="13"/>
  <c r="IL17" i="13"/>
  <c r="IM17" i="13"/>
  <c r="IN17" i="13"/>
  <c r="IO17" i="13"/>
  <c r="IP17" i="13"/>
  <c r="IQ17" i="13"/>
  <c r="IR17" i="13"/>
  <c r="IS17" i="13"/>
  <c r="IT17" i="13"/>
  <c r="IU17" i="13"/>
  <c r="IV17" i="13"/>
  <c r="A16" i="13"/>
  <c r="B16" i="13"/>
  <c r="C16" i="13"/>
  <c r="D16" i="13"/>
  <c r="E16" i="13"/>
  <c r="F16" i="13"/>
  <c r="G16" i="13"/>
  <c r="H16" i="13"/>
  <c r="I16" i="13"/>
  <c r="J16" i="13"/>
  <c r="K16" i="13"/>
  <c r="L16" i="13"/>
  <c r="M16" i="13"/>
  <c r="N16" i="13"/>
  <c r="O16" i="13"/>
  <c r="P16" i="13"/>
  <c r="Q16" i="13"/>
  <c r="R16" i="13"/>
  <c r="S16" i="13"/>
  <c r="T16" i="13"/>
  <c r="U16" i="13"/>
  <c r="V16" i="13"/>
  <c r="W16" i="13"/>
  <c r="X16" i="13"/>
  <c r="Y16" i="13"/>
  <c r="Z16" i="13"/>
  <c r="AA16" i="13"/>
  <c r="AB16" i="13"/>
  <c r="AC16" i="13"/>
  <c r="AD16" i="13"/>
  <c r="AE16" i="13"/>
  <c r="AF16" i="13"/>
  <c r="AG16" i="13"/>
  <c r="AH16" i="13"/>
  <c r="AI16" i="13"/>
  <c r="AJ16" i="13"/>
  <c r="AK16" i="13"/>
  <c r="AL16" i="13"/>
  <c r="AM16" i="13"/>
  <c r="AN16" i="13"/>
  <c r="AO16" i="13"/>
  <c r="AP16" i="13"/>
  <c r="AQ16" i="13"/>
  <c r="AR16" i="13"/>
  <c r="AS16" i="13"/>
  <c r="AT16" i="13"/>
  <c r="AU16" i="13"/>
  <c r="AV16" i="13"/>
  <c r="AW16" i="13"/>
  <c r="AX16" i="13"/>
  <c r="AY16" i="13"/>
  <c r="AZ16" i="13"/>
  <c r="BA16" i="13"/>
  <c r="BB16" i="13"/>
  <c r="BC16" i="13"/>
  <c r="BD16" i="13"/>
  <c r="BE16" i="13"/>
  <c r="BF16" i="13"/>
  <c r="BG16" i="13"/>
  <c r="BH16" i="13"/>
  <c r="BI16" i="13"/>
  <c r="BJ16" i="13"/>
  <c r="BK16" i="13"/>
  <c r="BL16" i="13"/>
  <c r="BM16" i="13"/>
  <c r="BN16" i="13"/>
  <c r="BO16" i="13"/>
  <c r="BP16" i="13"/>
  <c r="BQ16" i="13"/>
  <c r="BR16" i="13"/>
  <c r="BS16" i="13"/>
  <c r="BT16" i="13"/>
  <c r="BU16" i="13"/>
  <c r="BV16" i="13"/>
  <c r="BW16" i="13"/>
  <c r="BX16" i="13"/>
  <c r="BY16" i="13"/>
  <c r="BZ16" i="13"/>
  <c r="CA16" i="13"/>
  <c r="CB16" i="13"/>
  <c r="CC16" i="13"/>
  <c r="CD16" i="13"/>
  <c r="CE16" i="13"/>
  <c r="CF16" i="13"/>
  <c r="CG16" i="13"/>
  <c r="CH16" i="13"/>
  <c r="CI16" i="13"/>
  <c r="CJ16" i="13"/>
  <c r="CK16" i="13"/>
  <c r="CL16" i="13"/>
  <c r="CM16" i="13"/>
  <c r="CN16" i="13"/>
  <c r="CO16" i="13"/>
  <c r="CP16" i="13"/>
  <c r="CQ16" i="13"/>
  <c r="CR16" i="13"/>
  <c r="CS16" i="13"/>
  <c r="CT16" i="13"/>
  <c r="CU16" i="13"/>
  <c r="CV16" i="13"/>
  <c r="CW16" i="13"/>
  <c r="CX16" i="13"/>
  <c r="CY16" i="13"/>
  <c r="CZ16" i="13"/>
  <c r="DA16" i="13"/>
  <c r="DB16" i="13"/>
  <c r="DC16" i="13"/>
  <c r="DD16" i="13"/>
  <c r="DE16" i="13"/>
  <c r="DF16" i="13"/>
  <c r="DG16" i="13"/>
  <c r="DH16" i="13"/>
  <c r="DI16" i="13"/>
  <c r="DJ16" i="13"/>
  <c r="DK16" i="13"/>
  <c r="DL16" i="13"/>
  <c r="DM16" i="13"/>
  <c r="DN16" i="13"/>
  <c r="DO16" i="13"/>
  <c r="DP16" i="13"/>
  <c r="DQ16" i="13"/>
  <c r="DR16" i="13"/>
  <c r="DS16" i="13"/>
  <c r="DT16" i="13"/>
  <c r="DU16" i="13"/>
  <c r="DV16" i="13"/>
  <c r="DW16" i="13"/>
  <c r="DX16" i="13"/>
  <c r="DY16" i="13"/>
  <c r="DZ16" i="13"/>
  <c r="EA16" i="13"/>
  <c r="EB16" i="13"/>
  <c r="EC16" i="13"/>
  <c r="ED16" i="13"/>
  <c r="EE16" i="13"/>
  <c r="EF16" i="13"/>
  <c r="EG16" i="13"/>
  <c r="EH16" i="13"/>
  <c r="EI16" i="13"/>
  <c r="EJ16" i="13"/>
  <c r="EK16" i="13"/>
  <c r="EL16" i="13"/>
  <c r="EM16" i="13"/>
  <c r="EN16" i="13"/>
  <c r="EO16" i="13"/>
  <c r="EP16" i="13"/>
  <c r="EQ16" i="13"/>
  <c r="ER16" i="13"/>
  <c r="ES16" i="13"/>
  <c r="ET16" i="13"/>
  <c r="EU16" i="13"/>
  <c r="EV16" i="13"/>
  <c r="EW16" i="13"/>
  <c r="EX16" i="13"/>
  <c r="EY16" i="13"/>
  <c r="EZ16" i="13"/>
  <c r="FA16" i="13"/>
  <c r="FB16" i="13"/>
  <c r="FC16" i="13"/>
  <c r="FD16" i="13"/>
  <c r="FE16" i="13"/>
  <c r="FF16" i="13"/>
  <c r="FG16" i="13"/>
  <c r="FH16" i="13"/>
  <c r="FI16" i="13"/>
  <c r="FJ16" i="13"/>
  <c r="FK16" i="13"/>
  <c r="FL16" i="13"/>
  <c r="FM16" i="13"/>
  <c r="FN16" i="13"/>
  <c r="FO16" i="13"/>
  <c r="FP16" i="13"/>
  <c r="FQ16" i="13"/>
  <c r="FR16" i="13"/>
  <c r="FS16" i="13"/>
  <c r="FT16" i="13"/>
  <c r="FU16" i="13"/>
  <c r="FV16" i="13"/>
  <c r="FW16" i="13"/>
  <c r="FX16" i="13"/>
  <c r="FY16" i="13"/>
  <c r="FZ16" i="13"/>
  <c r="GA16" i="13"/>
  <c r="GB16" i="13"/>
  <c r="GC16" i="13"/>
  <c r="GD16" i="13"/>
  <c r="GE16" i="13"/>
  <c r="GF16" i="13"/>
  <c r="GG16" i="13"/>
  <c r="GH16" i="13"/>
  <c r="GI16" i="13"/>
  <c r="GJ16" i="13"/>
  <c r="GK16" i="13"/>
  <c r="GL16" i="13"/>
  <c r="GM16" i="13"/>
  <c r="GN16" i="13"/>
  <c r="GO16" i="13"/>
  <c r="GP16" i="13"/>
  <c r="GQ16" i="13"/>
  <c r="GR16" i="13"/>
  <c r="GS16" i="13"/>
  <c r="GT16" i="13"/>
  <c r="GU16" i="13"/>
  <c r="GV16" i="13"/>
  <c r="GW16" i="13"/>
  <c r="GX16" i="13"/>
  <c r="GY16" i="13"/>
  <c r="GZ16" i="13"/>
  <c r="HA16" i="13"/>
  <c r="HB16" i="13"/>
  <c r="HC16" i="13"/>
  <c r="HD16" i="13"/>
  <c r="HE16" i="13"/>
  <c r="HF16" i="13"/>
  <c r="HG16" i="13"/>
  <c r="HH16" i="13"/>
  <c r="HI16" i="13"/>
  <c r="HJ16" i="13"/>
  <c r="HK16" i="13"/>
  <c r="HL16" i="13"/>
  <c r="HM16" i="13"/>
  <c r="HN16" i="13"/>
  <c r="HO16" i="13"/>
  <c r="HP16" i="13"/>
  <c r="HQ16" i="13"/>
  <c r="HR16" i="13"/>
  <c r="HS16" i="13"/>
  <c r="HT16" i="13"/>
  <c r="HU16" i="13"/>
  <c r="HV16" i="13"/>
  <c r="HW16" i="13"/>
  <c r="HX16" i="13"/>
  <c r="HY16" i="13"/>
  <c r="HZ16" i="13"/>
  <c r="IA16" i="13"/>
  <c r="IB16" i="13"/>
  <c r="IC16" i="13"/>
  <c r="ID16" i="13"/>
  <c r="IE16" i="13"/>
  <c r="IF16" i="13"/>
  <c r="IG16" i="13"/>
  <c r="IH16" i="13"/>
  <c r="II16" i="13"/>
  <c r="IJ16" i="13"/>
  <c r="IK16" i="13"/>
  <c r="IL16" i="13"/>
  <c r="IM16" i="13"/>
  <c r="IN16" i="13"/>
  <c r="IO16" i="13"/>
  <c r="IP16" i="13"/>
  <c r="IQ16" i="13"/>
  <c r="IR16" i="13"/>
  <c r="IS16" i="13"/>
  <c r="IT16" i="13"/>
  <c r="IU16" i="13"/>
  <c r="IV16" i="13"/>
  <c r="A15" i="13"/>
  <c r="B15" i="13"/>
  <c r="C15" i="13"/>
  <c r="D15" i="13"/>
  <c r="E15" i="13"/>
  <c r="F15" i="13"/>
  <c r="G15" i="13"/>
  <c r="H15" i="13"/>
  <c r="I15" i="13"/>
  <c r="J15" i="13"/>
  <c r="K15" i="13"/>
  <c r="L15" i="13"/>
  <c r="M15" i="13"/>
  <c r="N15" i="13"/>
  <c r="O15" i="13"/>
  <c r="P15" i="13"/>
  <c r="Q15" i="13"/>
  <c r="R15" i="13"/>
  <c r="S15" i="13"/>
  <c r="T15" i="13"/>
  <c r="U15" i="13"/>
  <c r="V15" i="13"/>
  <c r="W15" i="13"/>
  <c r="X15" i="13"/>
  <c r="Y15" i="13"/>
  <c r="Z15" i="13"/>
  <c r="AA15" i="13"/>
  <c r="AB15" i="13"/>
  <c r="AC15" i="13"/>
  <c r="AD15" i="13"/>
  <c r="AE15" i="13"/>
  <c r="AF15" i="13"/>
  <c r="AG15" i="13"/>
  <c r="AH15" i="13"/>
  <c r="AI15" i="13"/>
  <c r="AJ15" i="13"/>
  <c r="AK15" i="13"/>
  <c r="AL15" i="13"/>
  <c r="AM15" i="13"/>
  <c r="AN15" i="13"/>
  <c r="AO15" i="13"/>
  <c r="AP15" i="13"/>
  <c r="AQ15" i="13"/>
  <c r="AR15" i="13"/>
  <c r="AS15" i="13"/>
  <c r="AT15" i="13"/>
  <c r="AU15" i="13"/>
  <c r="AV15" i="13"/>
  <c r="AW15" i="13"/>
  <c r="AX15" i="13"/>
  <c r="AY15" i="13"/>
  <c r="AZ15" i="13"/>
  <c r="BA15" i="13"/>
  <c r="BB15" i="13"/>
  <c r="BC15" i="13"/>
  <c r="BD15" i="13"/>
  <c r="BE15" i="13"/>
  <c r="BF15" i="13"/>
  <c r="BG15" i="13"/>
  <c r="BH15" i="13"/>
  <c r="BI15" i="13"/>
  <c r="BJ15" i="13"/>
  <c r="BK15" i="13"/>
  <c r="BL15" i="13"/>
  <c r="BM15" i="13"/>
  <c r="BN15" i="13"/>
  <c r="BO15" i="13"/>
  <c r="BP15" i="13"/>
  <c r="BQ15" i="13"/>
  <c r="BR15" i="13"/>
  <c r="BS15" i="13"/>
  <c r="BT15" i="13"/>
  <c r="BU15" i="13"/>
  <c r="BV15" i="13"/>
  <c r="BW15" i="13"/>
  <c r="BX15" i="13"/>
  <c r="BY15" i="13"/>
  <c r="BZ15" i="13"/>
  <c r="CA15" i="13"/>
  <c r="CB15" i="13"/>
  <c r="CC15" i="13"/>
  <c r="CD15" i="13"/>
  <c r="CE15" i="13"/>
  <c r="CF15" i="13"/>
  <c r="CG15" i="13"/>
  <c r="CH15" i="13"/>
  <c r="CI15" i="13"/>
  <c r="CJ15" i="13"/>
  <c r="CK15" i="13"/>
  <c r="CL15" i="13"/>
  <c r="CM15" i="13"/>
  <c r="CN15" i="13"/>
  <c r="CO15" i="13"/>
  <c r="CP15" i="13"/>
  <c r="CQ15" i="13"/>
  <c r="CR15" i="13"/>
  <c r="CS15" i="13"/>
  <c r="CT15" i="13"/>
  <c r="CU15" i="13"/>
  <c r="CV15" i="13"/>
  <c r="CW15" i="13"/>
  <c r="CX15" i="13"/>
  <c r="CY15" i="13"/>
  <c r="CZ15" i="13"/>
  <c r="DA15" i="13"/>
  <c r="DB15" i="13"/>
  <c r="DC15" i="13"/>
  <c r="DD15" i="13"/>
  <c r="DE15" i="13"/>
  <c r="DF15" i="13"/>
  <c r="DG15" i="13"/>
  <c r="DH15" i="13"/>
  <c r="DI15" i="13"/>
  <c r="DJ15" i="13"/>
  <c r="DK15" i="13"/>
  <c r="DL15" i="13"/>
  <c r="DM15" i="13"/>
  <c r="DN15" i="13"/>
  <c r="DO15" i="13"/>
  <c r="DP15" i="13"/>
  <c r="DQ15" i="13"/>
  <c r="DR15" i="13"/>
  <c r="DS15" i="13"/>
  <c r="DT15" i="13"/>
  <c r="DU15" i="13"/>
  <c r="DV15" i="13"/>
  <c r="DW15" i="13"/>
  <c r="DX15" i="13"/>
  <c r="DY15" i="13"/>
  <c r="DZ15" i="13"/>
  <c r="EA15" i="13"/>
  <c r="EB15" i="13"/>
  <c r="EC15" i="13"/>
  <c r="ED15" i="13"/>
  <c r="EE15" i="13"/>
  <c r="EF15" i="13"/>
  <c r="EG15" i="13"/>
  <c r="EH15" i="13"/>
  <c r="EI15" i="13"/>
  <c r="EJ15" i="13"/>
  <c r="EK15" i="13"/>
  <c r="EL15" i="13"/>
  <c r="EM15" i="13"/>
  <c r="EN15" i="13"/>
  <c r="EO15" i="13"/>
  <c r="EP15" i="13"/>
  <c r="EQ15" i="13"/>
  <c r="ER15" i="13"/>
  <c r="ES15" i="13"/>
  <c r="ET15" i="13"/>
  <c r="EU15" i="13"/>
  <c r="EV15" i="13"/>
  <c r="EW15" i="13"/>
  <c r="EX15" i="13"/>
  <c r="EY15" i="13"/>
  <c r="EZ15" i="13"/>
  <c r="FA15" i="13"/>
  <c r="FB15" i="13"/>
  <c r="FC15" i="13"/>
  <c r="FD15" i="13"/>
  <c r="FE15" i="13"/>
  <c r="FF15" i="13"/>
  <c r="FG15" i="13"/>
  <c r="FH15" i="13"/>
  <c r="FI15" i="13"/>
  <c r="FJ15" i="13"/>
  <c r="FK15" i="13"/>
  <c r="FL15" i="13"/>
  <c r="FM15" i="13"/>
  <c r="FN15" i="13"/>
  <c r="FO15" i="13"/>
  <c r="FP15" i="13"/>
  <c r="FQ15" i="13"/>
  <c r="FR15" i="13"/>
  <c r="FS15" i="13"/>
  <c r="FT15" i="13"/>
  <c r="FU15" i="13"/>
  <c r="FV15" i="13"/>
  <c r="FW15" i="13"/>
  <c r="FX15" i="13"/>
  <c r="FY15" i="13"/>
  <c r="FZ15" i="13"/>
  <c r="GA15" i="13"/>
  <c r="GB15" i="13"/>
  <c r="GC15" i="13"/>
  <c r="GD15" i="13"/>
  <c r="GE15" i="13"/>
  <c r="GF15" i="13"/>
  <c r="GG15" i="13"/>
  <c r="GH15" i="13"/>
  <c r="GI15" i="13"/>
  <c r="GJ15" i="13"/>
  <c r="GK15" i="13"/>
  <c r="GL15" i="13"/>
  <c r="GM15" i="13"/>
  <c r="GN15" i="13"/>
  <c r="GO15" i="13"/>
  <c r="GP15" i="13"/>
  <c r="GQ15" i="13"/>
  <c r="GR15" i="13"/>
  <c r="GS15" i="13"/>
  <c r="GT15" i="13"/>
  <c r="GU15" i="13"/>
  <c r="GV15" i="13"/>
  <c r="GW15" i="13"/>
  <c r="GX15" i="13"/>
  <c r="GY15" i="13"/>
  <c r="GZ15" i="13"/>
  <c r="HA15" i="13"/>
  <c r="HB15" i="13"/>
  <c r="HC15" i="13"/>
  <c r="HD15" i="13"/>
  <c r="HE15" i="13"/>
  <c r="HF15" i="13"/>
  <c r="HG15" i="13"/>
  <c r="HH15" i="13"/>
  <c r="HI15" i="13"/>
  <c r="HJ15" i="13"/>
  <c r="HK15" i="13"/>
  <c r="HL15" i="13"/>
  <c r="HM15" i="13"/>
  <c r="HN15" i="13"/>
  <c r="HO15" i="13"/>
  <c r="HP15" i="13"/>
  <c r="HQ15" i="13"/>
  <c r="HR15" i="13"/>
  <c r="HS15" i="13"/>
  <c r="HT15" i="13"/>
  <c r="HU15" i="13"/>
  <c r="HV15" i="13"/>
  <c r="HW15" i="13"/>
  <c r="HX15" i="13"/>
  <c r="HY15" i="13"/>
  <c r="HZ15" i="13"/>
  <c r="IA15" i="13"/>
  <c r="IB15" i="13"/>
  <c r="IC15" i="13"/>
  <c r="ID15" i="13"/>
  <c r="IE15" i="13"/>
  <c r="IF15" i="13"/>
  <c r="IG15" i="13"/>
  <c r="IH15" i="13"/>
  <c r="II15" i="13"/>
  <c r="IJ15" i="13"/>
  <c r="IK15" i="13"/>
  <c r="IL15" i="13"/>
  <c r="IM15" i="13"/>
  <c r="IN15" i="13"/>
  <c r="IO15" i="13"/>
  <c r="IP15" i="13"/>
  <c r="IQ15" i="13"/>
  <c r="IR15" i="13"/>
  <c r="IS15" i="13"/>
  <c r="IT15" i="13"/>
  <c r="IU15" i="13"/>
  <c r="IV15" i="13"/>
  <c r="A14" i="13"/>
  <c r="B14" i="13"/>
  <c r="C14" i="13"/>
  <c r="D14" i="13"/>
  <c r="E14" i="13"/>
  <c r="F14" i="13"/>
  <c r="G14" i="13"/>
  <c r="H14" i="13"/>
  <c r="I14" i="13"/>
  <c r="J14" i="13"/>
  <c r="K14" i="13"/>
  <c r="L14" i="13"/>
  <c r="M14" i="13"/>
  <c r="N14" i="13"/>
  <c r="O14" i="13"/>
  <c r="P14" i="13"/>
  <c r="Q14" i="13"/>
  <c r="R14" i="13"/>
  <c r="S14" i="13"/>
  <c r="T14" i="13"/>
  <c r="U14" i="13"/>
  <c r="V14" i="13"/>
  <c r="W14" i="13"/>
  <c r="X14" i="13"/>
  <c r="Y14" i="13"/>
  <c r="Z14" i="13"/>
  <c r="AA14" i="13"/>
  <c r="AB14" i="13"/>
  <c r="AC14" i="13"/>
  <c r="AD14" i="13"/>
  <c r="AE14" i="13"/>
  <c r="AF14" i="13"/>
  <c r="AG14" i="13"/>
  <c r="AH14" i="13"/>
  <c r="AI14" i="13"/>
  <c r="AJ14" i="13"/>
  <c r="AK14" i="13"/>
  <c r="AL14" i="13"/>
  <c r="AM14" i="13"/>
  <c r="AN14" i="13"/>
  <c r="AO14" i="13"/>
  <c r="AP14" i="13"/>
  <c r="AQ14" i="13"/>
  <c r="AR14" i="13"/>
  <c r="AS14" i="13"/>
  <c r="AT14" i="13"/>
  <c r="AU14" i="13"/>
  <c r="AV14" i="13"/>
  <c r="AW14" i="13"/>
  <c r="AX14" i="13"/>
  <c r="AY14" i="13"/>
  <c r="AZ14" i="13"/>
  <c r="BA14" i="13"/>
  <c r="BB14" i="13"/>
  <c r="BC14" i="13"/>
  <c r="BD14" i="13"/>
  <c r="BE14" i="13"/>
  <c r="BF14" i="13"/>
  <c r="BG14" i="13"/>
  <c r="BH14" i="13"/>
  <c r="BI14" i="13"/>
  <c r="BJ14" i="13"/>
  <c r="BK14" i="13"/>
  <c r="BL14" i="13"/>
  <c r="BM14" i="13"/>
  <c r="BN14" i="13"/>
  <c r="BO14" i="13"/>
  <c r="BP14" i="13"/>
  <c r="BQ14" i="13"/>
  <c r="BR14" i="13"/>
  <c r="BS14" i="13"/>
  <c r="BT14" i="13"/>
  <c r="BU14" i="13"/>
  <c r="BV14" i="13"/>
  <c r="BW14" i="13"/>
  <c r="BX14" i="13"/>
  <c r="BY14" i="13"/>
  <c r="BZ14" i="13"/>
  <c r="CA14" i="13"/>
  <c r="CB14" i="13"/>
  <c r="CC14" i="13"/>
  <c r="CD14" i="13"/>
  <c r="CE14" i="13"/>
  <c r="CF14" i="13"/>
  <c r="CG14" i="13"/>
  <c r="CH14" i="13"/>
  <c r="CI14" i="13"/>
  <c r="CJ14" i="13"/>
  <c r="CK14" i="13"/>
  <c r="CL14" i="13"/>
  <c r="CM14" i="13"/>
  <c r="CN14" i="13"/>
  <c r="CO14" i="13"/>
  <c r="CP14" i="13"/>
  <c r="CQ14" i="13"/>
  <c r="CR14" i="13"/>
  <c r="CS14" i="13"/>
  <c r="CT14" i="13"/>
  <c r="CU14" i="13"/>
  <c r="CV14" i="13"/>
  <c r="CW14" i="13"/>
  <c r="CX14" i="13"/>
  <c r="CY14" i="13"/>
  <c r="CZ14" i="13"/>
  <c r="DA14" i="13"/>
  <c r="DB14" i="13"/>
  <c r="DC14" i="13"/>
  <c r="DD14" i="13"/>
  <c r="DE14" i="13"/>
  <c r="DF14" i="13"/>
  <c r="DG14" i="13"/>
  <c r="DH14" i="13"/>
  <c r="DI14" i="13"/>
  <c r="DJ14" i="13"/>
  <c r="DK14" i="13"/>
  <c r="DL14" i="13"/>
  <c r="DM14" i="13"/>
  <c r="DN14" i="13"/>
  <c r="DO14" i="13"/>
  <c r="DP14" i="13"/>
  <c r="DQ14" i="13"/>
  <c r="DR14" i="13"/>
  <c r="DS14" i="13"/>
  <c r="DT14" i="13"/>
  <c r="DU14" i="13"/>
  <c r="DV14" i="13"/>
  <c r="DW14" i="13"/>
  <c r="DX14" i="13"/>
  <c r="DY14" i="13"/>
  <c r="DZ14" i="13"/>
  <c r="EA14" i="13"/>
  <c r="EB14" i="13"/>
  <c r="EC14" i="13"/>
  <c r="ED14" i="13"/>
  <c r="EE14" i="13"/>
  <c r="EF14" i="13"/>
  <c r="EG14" i="13"/>
  <c r="EH14" i="13"/>
  <c r="EI14" i="13"/>
  <c r="EJ14" i="13"/>
  <c r="EK14" i="13"/>
  <c r="EL14" i="13"/>
  <c r="EM14" i="13"/>
  <c r="EN14" i="13"/>
  <c r="EO14" i="13"/>
  <c r="EP14" i="13"/>
  <c r="EQ14" i="13"/>
  <c r="ER14" i="13"/>
  <c r="ES14" i="13"/>
  <c r="ET14" i="13"/>
  <c r="EU14" i="13"/>
  <c r="EV14" i="13"/>
  <c r="EW14" i="13"/>
  <c r="EX14" i="13"/>
  <c r="EY14" i="13"/>
  <c r="EZ14" i="13"/>
  <c r="FA14" i="13"/>
  <c r="FB14" i="13"/>
  <c r="FC14" i="13"/>
  <c r="FD14" i="13"/>
  <c r="FE14" i="13"/>
  <c r="FF14" i="13"/>
  <c r="FG14" i="13"/>
  <c r="FH14" i="13"/>
  <c r="FI14" i="13"/>
  <c r="FJ14" i="13"/>
  <c r="FK14" i="13"/>
  <c r="FL14" i="13"/>
  <c r="FM14" i="13"/>
  <c r="FN14" i="13"/>
  <c r="FO14" i="13"/>
  <c r="FP14" i="13"/>
  <c r="FQ14" i="13"/>
  <c r="FR14" i="13"/>
  <c r="FS14" i="13"/>
  <c r="FT14" i="13"/>
  <c r="FU14" i="13"/>
  <c r="FV14" i="13"/>
  <c r="FW14" i="13"/>
  <c r="FX14" i="13"/>
  <c r="FY14" i="13"/>
  <c r="FZ14" i="13"/>
  <c r="GA14" i="13"/>
  <c r="GB14" i="13"/>
  <c r="GC14" i="13"/>
  <c r="GD14" i="13"/>
  <c r="GE14" i="13"/>
  <c r="GF14" i="13"/>
  <c r="GG14" i="13"/>
  <c r="GH14" i="13"/>
  <c r="GI14" i="13"/>
  <c r="GJ14" i="13"/>
  <c r="GK14" i="13"/>
  <c r="GL14" i="13"/>
  <c r="GM14" i="13"/>
  <c r="GN14" i="13"/>
  <c r="GO14" i="13"/>
  <c r="GP14" i="13"/>
  <c r="GQ14" i="13"/>
  <c r="GR14" i="13"/>
  <c r="GS14" i="13"/>
  <c r="GT14" i="13"/>
  <c r="GU14" i="13"/>
  <c r="GV14" i="13"/>
  <c r="GW14" i="13"/>
  <c r="GX14" i="13"/>
  <c r="GY14" i="13"/>
  <c r="GZ14" i="13"/>
  <c r="HA14" i="13"/>
  <c r="HB14" i="13"/>
  <c r="HC14" i="13"/>
  <c r="HD14" i="13"/>
  <c r="HE14" i="13"/>
  <c r="HF14" i="13"/>
  <c r="HG14" i="13"/>
  <c r="HH14" i="13"/>
  <c r="HI14" i="13"/>
  <c r="HJ14" i="13"/>
  <c r="HK14" i="13"/>
  <c r="HL14" i="13"/>
  <c r="HM14" i="13"/>
  <c r="HN14" i="13"/>
  <c r="HO14" i="13"/>
  <c r="HP14" i="13"/>
  <c r="HQ14" i="13"/>
  <c r="HR14" i="13"/>
  <c r="HS14" i="13"/>
  <c r="HT14" i="13"/>
  <c r="HU14" i="13"/>
  <c r="HV14" i="13"/>
  <c r="HW14" i="13"/>
  <c r="HX14" i="13"/>
  <c r="HY14" i="13"/>
  <c r="HZ14" i="13"/>
  <c r="IA14" i="13"/>
  <c r="IB14" i="13"/>
  <c r="IC14" i="13"/>
  <c r="ID14" i="13"/>
  <c r="IE14" i="13"/>
  <c r="IF14" i="13"/>
  <c r="IG14" i="13"/>
  <c r="IH14" i="13"/>
  <c r="II14" i="13"/>
  <c r="IJ14" i="13"/>
  <c r="IK14" i="13"/>
  <c r="IL14" i="13"/>
  <c r="IM14" i="13"/>
  <c r="IN14" i="13"/>
  <c r="IO14" i="13"/>
  <c r="IP14" i="13"/>
  <c r="IQ14" i="13"/>
  <c r="IR14" i="13"/>
  <c r="IS14" i="13"/>
  <c r="IT14" i="13"/>
  <c r="IU14" i="13"/>
  <c r="IV14" i="13"/>
  <c r="A13" i="13"/>
  <c r="B13" i="13"/>
  <c r="C13" i="13"/>
  <c r="D13" i="13"/>
  <c r="E13" i="13"/>
  <c r="F13" i="13"/>
  <c r="G13" i="13"/>
  <c r="H13" i="13"/>
  <c r="I13" i="13"/>
  <c r="J13" i="13"/>
  <c r="K13" i="13"/>
  <c r="L13" i="13"/>
  <c r="M13" i="13"/>
  <c r="N13" i="13"/>
  <c r="O13" i="13"/>
  <c r="P13" i="13"/>
  <c r="Q13" i="13"/>
  <c r="R13" i="13"/>
  <c r="S13" i="13"/>
  <c r="T13" i="13"/>
  <c r="U13" i="13"/>
  <c r="V13" i="13"/>
  <c r="W13" i="13"/>
  <c r="X13" i="13"/>
  <c r="Y13" i="13"/>
  <c r="Z13" i="13"/>
  <c r="AA13" i="13"/>
  <c r="AB13" i="13"/>
  <c r="AC13" i="13"/>
  <c r="AD13" i="13"/>
  <c r="AE13" i="13"/>
  <c r="AF13" i="13"/>
  <c r="AG13" i="13"/>
  <c r="AH13" i="13"/>
  <c r="AI13" i="13"/>
  <c r="AJ13" i="13"/>
  <c r="AK13" i="13"/>
  <c r="AL13" i="13"/>
  <c r="AM13" i="13"/>
  <c r="AN13" i="13"/>
  <c r="AO13" i="13"/>
  <c r="AP13" i="13"/>
  <c r="AQ13" i="13"/>
  <c r="AR13" i="13"/>
  <c r="AS13" i="13"/>
  <c r="AT13" i="13"/>
  <c r="AU13" i="13"/>
  <c r="AV13" i="13"/>
  <c r="AW13" i="13"/>
  <c r="AX13" i="13"/>
  <c r="AY13" i="13"/>
  <c r="AZ13" i="13"/>
  <c r="BA13" i="13"/>
  <c r="BB13" i="13"/>
  <c r="BC13" i="13"/>
  <c r="BD13" i="13"/>
  <c r="BE13" i="13"/>
  <c r="BF13" i="13"/>
  <c r="BG13" i="13"/>
  <c r="BH13" i="13"/>
  <c r="BI13" i="13"/>
  <c r="BJ13" i="13"/>
  <c r="BK13" i="13"/>
  <c r="BL13" i="13"/>
  <c r="BM13" i="13"/>
  <c r="BN13" i="13"/>
  <c r="BO13" i="13"/>
  <c r="BP13" i="13"/>
  <c r="BQ13" i="13"/>
  <c r="BR13" i="13"/>
  <c r="BS13" i="13"/>
  <c r="BT13" i="13"/>
  <c r="BU13" i="13"/>
  <c r="BV13" i="13"/>
  <c r="BW13" i="13"/>
  <c r="BX13" i="13"/>
  <c r="BY13" i="13"/>
  <c r="BZ13" i="13"/>
  <c r="CA13" i="13"/>
  <c r="CB13" i="13"/>
  <c r="CC13" i="13"/>
  <c r="CD13" i="13"/>
  <c r="CE13" i="13"/>
  <c r="CF13" i="13"/>
  <c r="CG13" i="13"/>
  <c r="CH13" i="13"/>
  <c r="CI13" i="13"/>
  <c r="CJ13" i="13"/>
  <c r="CK13" i="13"/>
  <c r="CL13" i="13"/>
  <c r="CM13" i="13"/>
  <c r="CN13" i="13"/>
  <c r="CO13" i="13"/>
  <c r="CP13" i="13"/>
  <c r="CQ13" i="13"/>
  <c r="CR13" i="13"/>
  <c r="CS13" i="13"/>
  <c r="CT13" i="13"/>
  <c r="CU13" i="13"/>
  <c r="CV13" i="13"/>
  <c r="CW13" i="13"/>
  <c r="CX13" i="13"/>
  <c r="CY13" i="13"/>
  <c r="CZ13" i="13"/>
  <c r="DA13" i="13"/>
  <c r="DB13" i="13"/>
  <c r="DC13" i="13"/>
  <c r="DD13" i="13"/>
  <c r="DE13" i="13"/>
  <c r="DF13" i="13"/>
  <c r="DG13" i="13"/>
  <c r="DH13" i="13"/>
  <c r="DI13" i="13"/>
  <c r="DJ13" i="13"/>
  <c r="DK13" i="13"/>
  <c r="DL13" i="13"/>
  <c r="DM13" i="13"/>
  <c r="DN13" i="13"/>
  <c r="DO13" i="13"/>
  <c r="DP13" i="13"/>
  <c r="DQ13" i="13"/>
  <c r="DR13" i="13"/>
  <c r="DS13" i="13"/>
  <c r="DT13" i="13"/>
  <c r="DU13" i="13"/>
  <c r="DV13" i="13"/>
  <c r="DW13" i="13"/>
  <c r="DX13" i="13"/>
  <c r="DY13" i="13"/>
  <c r="DZ13" i="13"/>
  <c r="EA13" i="13"/>
  <c r="EB13" i="13"/>
  <c r="EC13" i="13"/>
  <c r="ED13" i="13"/>
  <c r="EE13" i="13"/>
  <c r="EF13" i="13"/>
  <c r="EG13" i="13"/>
  <c r="EH13" i="13"/>
  <c r="EI13" i="13"/>
  <c r="EJ13" i="13"/>
  <c r="EK13" i="13"/>
  <c r="EL13" i="13"/>
  <c r="EM13" i="13"/>
  <c r="EN13" i="13"/>
  <c r="EO13" i="13"/>
  <c r="EP13" i="13"/>
  <c r="EQ13" i="13"/>
  <c r="ER13" i="13"/>
  <c r="ES13" i="13"/>
  <c r="ET13" i="13"/>
  <c r="EU13" i="13"/>
  <c r="EV13" i="13"/>
  <c r="EW13" i="13"/>
  <c r="EX13" i="13"/>
  <c r="EY13" i="13"/>
  <c r="EZ13" i="13"/>
  <c r="FA13" i="13"/>
  <c r="FB13" i="13"/>
  <c r="FC13" i="13"/>
  <c r="FD13" i="13"/>
  <c r="FE13" i="13"/>
  <c r="FF13" i="13"/>
  <c r="FG13" i="13"/>
  <c r="FH13" i="13"/>
  <c r="FI13" i="13"/>
  <c r="FJ13" i="13"/>
  <c r="FK13" i="13"/>
  <c r="FL13" i="13"/>
  <c r="FM13" i="13"/>
  <c r="FN13" i="13"/>
  <c r="FO13" i="13"/>
  <c r="FP13" i="13"/>
  <c r="FQ13" i="13"/>
  <c r="FR13" i="13"/>
  <c r="FS13" i="13"/>
  <c r="FT13" i="13"/>
  <c r="FU13" i="13"/>
  <c r="FV13" i="13"/>
  <c r="FW13" i="13"/>
  <c r="FX13" i="13"/>
  <c r="FY13" i="13"/>
  <c r="FZ13" i="13"/>
  <c r="GA13" i="13"/>
  <c r="GB13" i="13"/>
  <c r="GC13" i="13"/>
  <c r="GD13" i="13"/>
  <c r="GE13" i="13"/>
  <c r="GF13" i="13"/>
  <c r="GG13" i="13"/>
  <c r="GH13" i="13"/>
  <c r="GI13" i="13"/>
  <c r="GJ13" i="13"/>
  <c r="GK13" i="13"/>
  <c r="GL13" i="13"/>
  <c r="GM13" i="13"/>
  <c r="GN13" i="13"/>
  <c r="GO13" i="13"/>
  <c r="GP13" i="13"/>
  <c r="GQ13" i="13"/>
  <c r="GR13" i="13"/>
  <c r="GS13" i="13"/>
  <c r="GT13" i="13"/>
  <c r="GU13" i="13"/>
  <c r="GV13" i="13"/>
  <c r="GW13" i="13"/>
  <c r="GX13" i="13"/>
  <c r="GY13" i="13"/>
  <c r="GZ13" i="13"/>
  <c r="HA13" i="13"/>
  <c r="HB13" i="13"/>
  <c r="HC13" i="13"/>
  <c r="HD13" i="13"/>
  <c r="HE13" i="13"/>
  <c r="HF13" i="13"/>
  <c r="HG13" i="13"/>
  <c r="HH13" i="13"/>
  <c r="HI13" i="13"/>
  <c r="HJ13" i="13"/>
  <c r="HK13" i="13"/>
  <c r="HL13" i="13"/>
  <c r="HM13" i="13"/>
  <c r="HN13" i="13"/>
  <c r="HO13" i="13"/>
  <c r="HP13" i="13"/>
  <c r="HQ13" i="13"/>
  <c r="HR13" i="13"/>
  <c r="HS13" i="13"/>
  <c r="HT13" i="13"/>
  <c r="HU13" i="13"/>
  <c r="HV13" i="13"/>
  <c r="HW13" i="13"/>
  <c r="HX13" i="13"/>
  <c r="HY13" i="13"/>
  <c r="HZ13" i="13"/>
  <c r="IA13" i="13"/>
  <c r="IB13" i="13"/>
  <c r="IC13" i="13"/>
  <c r="ID13" i="13"/>
  <c r="IE13" i="13"/>
  <c r="IF13" i="13"/>
  <c r="IG13" i="13"/>
  <c r="IH13" i="13"/>
  <c r="II13" i="13"/>
  <c r="IJ13" i="13"/>
  <c r="IK13" i="13"/>
  <c r="IL13" i="13"/>
  <c r="IM13" i="13"/>
  <c r="IN13" i="13"/>
  <c r="IO13" i="13"/>
  <c r="IP13" i="13"/>
  <c r="IQ13" i="13"/>
  <c r="IR13" i="13"/>
  <c r="IS13" i="13"/>
  <c r="IT13" i="13"/>
  <c r="IU13" i="13"/>
  <c r="IV13" i="13"/>
  <c r="A12" i="13"/>
  <c r="B12" i="13"/>
  <c r="C12" i="13"/>
  <c r="D12" i="13"/>
  <c r="E12" i="13"/>
  <c r="F12" i="13"/>
  <c r="G12" i="13"/>
  <c r="H12" i="13"/>
  <c r="I12" i="13"/>
  <c r="J12" i="13"/>
  <c r="K12" i="13"/>
  <c r="L12" i="13"/>
  <c r="M12" i="13"/>
  <c r="N12" i="13"/>
  <c r="O12" i="13"/>
  <c r="P12" i="13"/>
  <c r="Q12" i="13"/>
  <c r="R12" i="13"/>
  <c r="S12" i="13"/>
  <c r="T12" i="13"/>
  <c r="U12" i="13"/>
  <c r="V12" i="13"/>
  <c r="W12" i="13"/>
  <c r="X12" i="13"/>
  <c r="Y12" i="13"/>
  <c r="Z12" i="13"/>
  <c r="AA12" i="13"/>
  <c r="AB12" i="13"/>
  <c r="AC12" i="13"/>
  <c r="AD12" i="13"/>
  <c r="AE12" i="13"/>
  <c r="AF12" i="13"/>
  <c r="AG12" i="13"/>
  <c r="AH12" i="13"/>
  <c r="AI12" i="13"/>
  <c r="AJ12" i="13"/>
  <c r="AK12" i="13"/>
  <c r="AL12" i="13"/>
  <c r="AM12" i="13"/>
  <c r="AN12" i="13"/>
  <c r="AO12" i="13"/>
  <c r="AP12" i="13"/>
  <c r="AQ12" i="13"/>
  <c r="AR12" i="13"/>
  <c r="AS12" i="13"/>
  <c r="AT12" i="13"/>
  <c r="AU12" i="13"/>
  <c r="AV12" i="13"/>
  <c r="AW12" i="13"/>
  <c r="AX12" i="13"/>
  <c r="AY12" i="13"/>
  <c r="AZ12" i="13"/>
  <c r="BA12" i="13"/>
  <c r="BB12" i="13"/>
  <c r="BC12" i="13"/>
  <c r="BD12" i="13"/>
  <c r="BE12" i="13"/>
  <c r="BF12" i="13"/>
  <c r="BG12" i="13"/>
  <c r="BH12" i="13"/>
  <c r="BI12" i="13"/>
  <c r="BJ12" i="13"/>
  <c r="BK12" i="13"/>
  <c r="BL12" i="13"/>
  <c r="BM12" i="13"/>
  <c r="BN12" i="13"/>
  <c r="BO12" i="13"/>
  <c r="BP12" i="13"/>
  <c r="BQ12" i="13"/>
  <c r="BR12" i="13"/>
  <c r="BS12" i="13"/>
  <c r="BT12" i="13"/>
  <c r="BU12" i="13"/>
  <c r="BV12" i="13"/>
  <c r="BW12" i="13"/>
  <c r="BX12" i="13"/>
  <c r="BY12" i="13"/>
  <c r="BZ12" i="13"/>
  <c r="CA12" i="13"/>
  <c r="CB12" i="13"/>
  <c r="CC12" i="13"/>
  <c r="CD12" i="13"/>
  <c r="CE12" i="13"/>
  <c r="CF12" i="13"/>
  <c r="CG12" i="13"/>
  <c r="CH12" i="13"/>
  <c r="CI12" i="13"/>
  <c r="CJ12" i="13"/>
  <c r="CK12" i="13"/>
  <c r="CL12" i="13"/>
  <c r="CM12" i="13"/>
  <c r="CN12" i="13"/>
  <c r="CO12" i="13"/>
  <c r="CP12" i="13"/>
  <c r="CQ12" i="13"/>
  <c r="CR12" i="13"/>
  <c r="CS12" i="13"/>
  <c r="CT12" i="13"/>
  <c r="CU12" i="13"/>
  <c r="CV12" i="13"/>
  <c r="CW12" i="13"/>
  <c r="CX12" i="13"/>
  <c r="CY12" i="13"/>
  <c r="CZ12" i="13"/>
  <c r="DA12" i="13"/>
  <c r="DB12" i="13"/>
  <c r="DC12" i="13"/>
  <c r="DD12" i="13"/>
  <c r="DE12" i="13"/>
  <c r="DF12" i="13"/>
  <c r="DG12" i="13"/>
  <c r="DH12" i="13"/>
  <c r="DI12" i="13"/>
  <c r="DJ12" i="13"/>
  <c r="DK12" i="13"/>
  <c r="DL12" i="13"/>
  <c r="DM12" i="13"/>
  <c r="DN12" i="13"/>
  <c r="DO12" i="13"/>
  <c r="DP12" i="13"/>
  <c r="DQ12" i="13"/>
  <c r="DR12" i="13"/>
  <c r="DS12" i="13"/>
  <c r="DT12" i="13"/>
  <c r="DU12" i="13"/>
  <c r="DV12" i="13"/>
  <c r="DW12" i="13"/>
  <c r="DX12" i="13"/>
  <c r="DY12" i="13"/>
  <c r="DZ12" i="13"/>
  <c r="EA12" i="13"/>
  <c r="EB12" i="13"/>
  <c r="EC12" i="13"/>
  <c r="ED12" i="13"/>
  <c r="EE12" i="13"/>
  <c r="EF12" i="13"/>
  <c r="EG12" i="13"/>
  <c r="EH12" i="13"/>
  <c r="EI12" i="13"/>
  <c r="EJ12" i="13"/>
  <c r="EK12" i="13"/>
  <c r="EL12" i="13"/>
  <c r="EM12" i="13"/>
  <c r="EN12" i="13"/>
  <c r="EO12" i="13"/>
  <c r="EP12" i="13"/>
  <c r="EQ12" i="13"/>
  <c r="ER12" i="13"/>
  <c r="ES12" i="13"/>
  <c r="ET12" i="13"/>
  <c r="EU12" i="13"/>
  <c r="EV12" i="13"/>
  <c r="EW12" i="13"/>
  <c r="EX12" i="13"/>
  <c r="EY12" i="13"/>
  <c r="EZ12" i="13"/>
  <c r="FA12" i="13"/>
  <c r="FB12" i="13"/>
  <c r="FC12" i="13"/>
  <c r="FD12" i="13"/>
  <c r="FE12" i="13"/>
  <c r="FF12" i="13"/>
  <c r="FG12" i="13"/>
  <c r="FH12" i="13"/>
  <c r="FI12" i="13"/>
  <c r="FJ12" i="13"/>
  <c r="FK12" i="13"/>
  <c r="FL12" i="13"/>
  <c r="FM12" i="13"/>
  <c r="FN12" i="13"/>
  <c r="FO12" i="13"/>
  <c r="FP12" i="13"/>
  <c r="FQ12" i="13"/>
  <c r="FR12" i="13"/>
  <c r="FS12" i="13"/>
  <c r="FT12" i="13"/>
  <c r="FU12" i="13"/>
  <c r="FV12" i="13"/>
  <c r="FW12" i="13"/>
  <c r="FX12" i="13"/>
  <c r="FY12" i="13"/>
  <c r="FZ12" i="13"/>
  <c r="GA12" i="13"/>
  <c r="GB12" i="13"/>
  <c r="GC12" i="13"/>
  <c r="GD12" i="13"/>
  <c r="GE12" i="13"/>
  <c r="GF12" i="13"/>
  <c r="GG12" i="13"/>
  <c r="GH12" i="13"/>
  <c r="GI12" i="13"/>
  <c r="GJ12" i="13"/>
  <c r="GK12" i="13"/>
  <c r="GL12" i="13"/>
  <c r="GM12" i="13"/>
  <c r="GN12" i="13"/>
  <c r="GO12" i="13"/>
  <c r="GP12" i="13"/>
  <c r="GQ12" i="13"/>
  <c r="GR12" i="13"/>
  <c r="GS12" i="13"/>
  <c r="GT12" i="13"/>
  <c r="GU12" i="13"/>
  <c r="GV12" i="13"/>
  <c r="GW12" i="13"/>
  <c r="GX12" i="13"/>
  <c r="GY12" i="13"/>
  <c r="GZ12" i="13"/>
  <c r="HA12" i="13"/>
  <c r="HB12" i="13"/>
  <c r="HC12" i="13"/>
  <c r="HD12" i="13"/>
  <c r="HE12" i="13"/>
  <c r="HF12" i="13"/>
  <c r="HG12" i="13"/>
  <c r="HH12" i="13"/>
  <c r="HI12" i="13"/>
  <c r="HJ12" i="13"/>
  <c r="HK12" i="13"/>
  <c r="HL12" i="13"/>
  <c r="HM12" i="13"/>
  <c r="HN12" i="13"/>
  <c r="HO12" i="13"/>
  <c r="HP12" i="13"/>
  <c r="HQ12" i="13"/>
  <c r="HR12" i="13"/>
  <c r="HS12" i="13"/>
  <c r="HT12" i="13"/>
  <c r="HU12" i="13"/>
  <c r="HV12" i="13"/>
  <c r="HW12" i="13"/>
  <c r="HX12" i="13"/>
  <c r="HY12" i="13"/>
  <c r="HZ12" i="13"/>
  <c r="IA12" i="13"/>
  <c r="IB12" i="13"/>
  <c r="IC12" i="13"/>
  <c r="ID12" i="13"/>
  <c r="IE12" i="13"/>
  <c r="IF12" i="13"/>
  <c r="IG12" i="13"/>
  <c r="IH12" i="13"/>
  <c r="II12" i="13"/>
  <c r="IJ12" i="13"/>
  <c r="IK12" i="13"/>
  <c r="IL12" i="13"/>
  <c r="IM12" i="13"/>
  <c r="IN12" i="13"/>
  <c r="IO12" i="13"/>
  <c r="IP12" i="13"/>
  <c r="IQ12" i="13"/>
  <c r="IR12" i="13"/>
  <c r="IS12" i="13"/>
  <c r="IT12" i="13"/>
  <c r="IU12" i="13"/>
  <c r="IV12" i="13"/>
  <c r="A11" i="13"/>
  <c r="B11" i="13"/>
  <c r="C11" i="13"/>
  <c r="D11" i="13"/>
  <c r="E11" i="13"/>
  <c r="F11" i="13"/>
  <c r="G11" i="13"/>
  <c r="H11" i="13"/>
  <c r="I11" i="13"/>
  <c r="J11" i="13"/>
  <c r="K11" i="13"/>
  <c r="L11" i="13"/>
  <c r="M11" i="13"/>
  <c r="N11" i="13"/>
  <c r="O11" i="13"/>
  <c r="P11" i="13"/>
  <c r="Q11" i="13"/>
  <c r="R11" i="13"/>
  <c r="S11" i="13"/>
  <c r="T11" i="13"/>
  <c r="U11" i="13"/>
  <c r="V11" i="13"/>
  <c r="W11" i="13"/>
  <c r="X11" i="13"/>
  <c r="Y11" i="13"/>
  <c r="Z11" i="13"/>
  <c r="AA11" i="13"/>
  <c r="AB11" i="13"/>
  <c r="AC11" i="13"/>
  <c r="AD11" i="13"/>
  <c r="AE11" i="13"/>
  <c r="AF11" i="13"/>
  <c r="AG11" i="13"/>
  <c r="AH11" i="13"/>
  <c r="AI11" i="13"/>
  <c r="AJ11" i="13"/>
  <c r="AK11" i="13"/>
  <c r="AL11" i="13"/>
  <c r="AM11" i="13"/>
  <c r="AN11" i="13"/>
  <c r="AO11" i="13"/>
  <c r="AP11" i="13"/>
  <c r="AQ11" i="13"/>
  <c r="AR11" i="13"/>
  <c r="AS11" i="13"/>
  <c r="AT11" i="13"/>
  <c r="AU11" i="13"/>
  <c r="AV11" i="13"/>
  <c r="AW11" i="13"/>
  <c r="AX11" i="13"/>
  <c r="AY11" i="13"/>
  <c r="AZ11" i="13"/>
  <c r="BA11" i="13"/>
  <c r="BB11" i="13"/>
  <c r="BC11" i="13"/>
  <c r="BD11" i="13"/>
  <c r="BE11" i="13"/>
  <c r="BF11" i="13"/>
  <c r="BG11" i="13"/>
  <c r="BH11" i="13"/>
  <c r="BI11" i="13"/>
  <c r="BJ11" i="13"/>
  <c r="BK11" i="13"/>
  <c r="BL11" i="13"/>
  <c r="BM11" i="13"/>
  <c r="BN11" i="13"/>
  <c r="BO11" i="13"/>
  <c r="BP11" i="13"/>
  <c r="BQ11" i="13"/>
  <c r="BR11" i="13"/>
  <c r="BS11" i="13"/>
  <c r="BT11" i="13"/>
  <c r="BU11" i="13"/>
  <c r="BV11" i="13"/>
  <c r="BW11" i="13"/>
  <c r="BX11" i="13"/>
  <c r="BY11" i="13"/>
  <c r="BZ11" i="13"/>
  <c r="CA11" i="13"/>
  <c r="CB11" i="13"/>
  <c r="CC11" i="13"/>
  <c r="CD11" i="13"/>
  <c r="CE11" i="13"/>
  <c r="CF11" i="13"/>
  <c r="CG11" i="13"/>
  <c r="CH11" i="13"/>
  <c r="CI11" i="13"/>
  <c r="CJ11" i="13"/>
  <c r="CK11" i="13"/>
  <c r="CL11" i="13"/>
  <c r="CM11" i="13"/>
  <c r="CN11" i="13"/>
  <c r="CO11" i="13"/>
  <c r="CP11" i="13"/>
  <c r="CQ11" i="13"/>
  <c r="CR11" i="13"/>
  <c r="CS11" i="13"/>
  <c r="CT11" i="13"/>
  <c r="CU11" i="13"/>
  <c r="CV11" i="13"/>
  <c r="CW11" i="13"/>
  <c r="CX11" i="13"/>
  <c r="CY11" i="13"/>
  <c r="CZ11" i="13"/>
  <c r="DA11" i="13"/>
  <c r="DB11" i="13"/>
  <c r="DC11" i="13"/>
  <c r="DD11" i="13"/>
  <c r="DE11" i="13"/>
  <c r="DF11" i="13"/>
  <c r="DG11" i="13"/>
  <c r="DH11" i="13"/>
  <c r="DI11" i="13"/>
  <c r="DJ11" i="13"/>
  <c r="DK11" i="13"/>
  <c r="DL11" i="13"/>
  <c r="DM11" i="13"/>
  <c r="DN11" i="13"/>
  <c r="DO11" i="13"/>
  <c r="DP11" i="13"/>
  <c r="DQ11" i="13"/>
  <c r="DR11" i="13"/>
  <c r="DS11" i="13"/>
  <c r="DT11" i="13"/>
  <c r="DU11" i="13"/>
  <c r="DV11" i="13"/>
  <c r="DW11" i="13"/>
  <c r="DX11" i="13"/>
  <c r="DY11" i="13"/>
  <c r="DZ11" i="13"/>
  <c r="EA11" i="13"/>
  <c r="EB11" i="13"/>
  <c r="EC11" i="13"/>
  <c r="ED11" i="13"/>
  <c r="EE11" i="13"/>
  <c r="EF11" i="13"/>
  <c r="EG11" i="13"/>
  <c r="EH11" i="13"/>
  <c r="EI11" i="13"/>
  <c r="EJ11" i="13"/>
  <c r="EK11" i="13"/>
  <c r="EL11" i="13"/>
  <c r="EM11" i="13"/>
  <c r="EN11" i="13"/>
  <c r="EO11" i="13"/>
  <c r="EP11" i="13"/>
  <c r="EQ11" i="13"/>
  <c r="ER11" i="13"/>
  <c r="ES11" i="13"/>
  <c r="ET11" i="13"/>
  <c r="EU11" i="13"/>
  <c r="EV11" i="13"/>
  <c r="EW11" i="13"/>
  <c r="EX11" i="13"/>
  <c r="EY11" i="13"/>
  <c r="EZ11" i="13"/>
  <c r="FA11" i="13"/>
  <c r="FB11" i="13"/>
  <c r="FC11" i="13"/>
  <c r="FD11" i="13"/>
  <c r="FE11" i="13"/>
  <c r="FF11" i="13"/>
  <c r="FG11" i="13"/>
  <c r="FH11" i="13"/>
  <c r="FI11" i="13"/>
  <c r="FJ11" i="13"/>
  <c r="FK11" i="13"/>
  <c r="FL11" i="13"/>
  <c r="FM11" i="13"/>
  <c r="FN11" i="13"/>
  <c r="FO11" i="13"/>
  <c r="FP11" i="13"/>
  <c r="FQ11" i="13"/>
  <c r="FR11" i="13"/>
  <c r="FS11" i="13"/>
  <c r="FT11" i="13"/>
  <c r="FU11" i="13"/>
  <c r="FV11" i="13"/>
  <c r="FW11" i="13"/>
  <c r="FX11" i="13"/>
  <c r="FY11" i="13"/>
  <c r="FZ11" i="13"/>
  <c r="GA11" i="13"/>
  <c r="GB11" i="13"/>
  <c r="GC11" i="13"/>
  <c r="GD11" i="13"/>
  <c r="GE11" i="13"/>
  <c r="GF11" i="13"/>
  <c r="GG11" i="13"/>
  <c r="GH11" i="13"/>
  <c r="GI11" i="13"/>
  <c r="GJ11" i="13"/>
  <c r="GK11" i="13"/>
  <c r="GL11" i="13"/>
  <c r="GM11" i="13"/>
  <c r="GN11" i="13"/>
  <c r="GO11" i="13"/>
  <c r="GP11" i="13"/>
  <c r="GQ11" i="13"/>
  <c r="GR11" i="13"/>
  <c r="GS11" i="13"/>
  <c r="GT11" i="13"/>
  <c r="GU11" i="13"/>
  <c r="GV11" i="13"/>
  <c r="GW11" i="13"/>
  <c r="GX11" i="13"/>
  <c r="GY11" i="13"/>
  <c r="GZ11" i="13"/>
  <c r="HA11" i="13"/>
  <c r="HB11" i="13"/>
  <c r="HC11" i="13"/>
  <c r="HD11" i="13"/>
  <c r="HE11" i="13"/>
  <c r="HF11" i="13"/>
  <c r="HG11" i="13"/>
  <c r="HH11" i="13"/>
  <c r="HI11" i="13"/>
  <c r="HJ11" i="13"/>
  <c r="HK11" i="13"/>
  <c r="HL11" i="13"/>
  <c r="HM11" i="13"/>
  <c r="HN11" i="13"/>
  <c r="HO11" i="13"/>
  <c r="HP11" i="13"/>
  <c r="HQ11" i="13"/>
  <c r="HR11" i="13"/>
  <c r="HS11" i="13"/>
  <c r="HT11" i="13"/>
  <c r="HU11" i="13"/>
  <c r="HV11" i="13"/>
  <c r="HW11" i="13"/>
  <c r="HX11" i="13"/>
  <c r="HY11" i="13"/>
  <c r="HZ11" i="13"/>
  <c r="IA11" i="13"/>
  <c r="IB11" i="13"/>
  <c r="IC11" i="13"/>
  <c r="ID11" i="13"/>
  <c r="IE11" i="13"/>
  <c r="IF11" i="13"/>
  <c r="IG11" i="13"/>
  <c r="IH11" i="13"/>
  <c r="II11" i="13"/>
  <c r="IJ11" i="13"/>
  <c r="IK11" i="13"/>
  <c r="IL11" i="13"/>
  <c r="IM11" i="13"/>
  <c r="IN11" i="13"/>
  <c r="IO11" i="13"/>
  <c r="IP11" i="13"/>
  <c r="IQ11" i="13"/>
  <c r="IR11" i="13"/>
  <c r="IS11" i="13"/>
  <c r="IT11" i="13"/>
  <c r="IU11" i="13"/>
  <c r="IV11" i="13"/>
  <c r="A10" i="13"/>
  <c r="B10" i="13"/>
  <c r="C10" i="13"/>
  <c r="D10" i="13"/>
  <c r="E10" i="13"/>
  <c r="F10" i="13"/>
  <c r="G10" i="13"/>
  <c r="H10" i="13"/>
  <c r="I10" i="13"/>
  <c r="J10" i="13"/>
  <c r="K10" i="13"/>
  <c r="L10" i="13"/>
  <c r="M10" i="13"/>
  <c r="N10" i="13"/>
  <c r="O10" i="13"/>
  <c r="P10" i="13"/>
  <c r="Q10" i="13"/>
  <c r="R10" i="13"/>
  <c r="S10" i="13"/>
  <c r="T10" i="13"/>
  <c r="U10" i="13"/>
  <c r="V10" i="13"/>
  <c r="W10" i="13"/>
  <c r="X10" i="13"/>
  <c r="Y10" i="13"/>
  <c r="Z10" i="13"/>
  <c r="AA10" i="13"/>
  <c r="AB10" i="13"/>
  <c r="AC10" i="13"/>
  <c r="AD10" i="13"/>
  <c r="AE10" i="13"/>
  <c r="AF10" i="13"/>
  <c r="AG10" i="13"/>
  <c r="AH10" i="13"/>
  <c r="AI10" i="13"/>
  <c r="AJ10" i="13"/>
  <c r="AK10" i="13"/>
  <c r="AL10" i="13"/>
  <c r="AM10" i="13"/>
  <c r="AN10" i="13"/>
  <c r="AO10" i="13"/>
  <c r="AP10" i="13"/>
  <c r="AQ10" i="13"/>
  <c r="AR10" i="13"/>
  <c r="AS10" i="13"/>
  <c r="AT10" i="13"/>
  <c r="AU10" i="13"/>
  <c r="AV10" i="13"/>
  <c r="AW10" i="13"/>
  <c r="AX10" i="13"/>
  <c r="AY10" i="13"/>
  <c r="AZ10" i="13"/>
  <c r="BA10" i="13"/>
  <c r="BB10" i="13"/>
  <c r="BC10" i="13"/>
  <c r="BD10" i="13"/>
  <c r="BE10" i="13"/>
  <c r="BF10" i="13"/>
  <c r="BG10" i="13"/>
  <c r="BH10" i="13"/>
  <c r="BI10" i="13"/>
  <c r="BJ10" i="13"/>
  <c r="BK10" i="13"/>
  <c r="BL10" i="13"/>
  <c r="BM10" i="13"/>
  <c r="BN10" i="13"/>
  <c r="BO10" i="13"/>
  <c r="BP10" i="13"/>
  <c r="BQ10" i="13"/>
  <c r="BR10" i="13"/>
  <c r="BS10" i="13"/>
  <c r="BT10" i="13"/>
  <c r="BU10" i="13"/>
  <c r="BV10" i="13"/>
  <c r="BW10" i="13"/>
  <c r="BX10" i="13"/>
  <c r="BY10" i="13"/>
  <c r="BZ10" i="13"/>
  <c r="CA10" i="13"/>
  <c r="CB10" i="13"/>
  <c r="CC10" i="13"/>
  <c r="CD10" i="13"/>
  <c r="CE10" i="13"/>
  <c r="CF10" i="13"/>
  <c r="CG10" i="13"/>
  <c r="CH10" i="13"/>
  <c r="CI10" i="13"/>
  <c r="CJ10" i="13"/>
  <c r="CK10" i="13"/>
  <c r="CL10" i="13"/>
  <c r="CM10" i="13"/>
  <c r="CN10" i="13"/>
  <c r="CO10" i="13"/>
  <c r="CP10" i="13"/>
  <c r="CQ10" i="13"/>
  <c r="CR10" i="13"/>
  <c r="CS10" i="13"/>
  <c r="CT10" i="13"/>
  <c r="CU10" i="13"/>
  <c r="CV10" i="13"/>
  <c r="CW10" i="13"/>
  <c r="CX10" i="13"/>
  <c r="CY10" i="13"/>
  <c r="CZ10" i="13"/>
  <c r="DA10" i="13"/>
  <c r="DB10" i="13"/>
  <c r="DC10" i="13"/>
  <c r="DD10" i="13"/>
  <c r="DE10" i="13"/>
  <c r="DF10" i="13"/>
  <c r="DG10" i="13"/>
  <c r="DH10" i="13"/>
  <c r="DI10" i="13"/>
  <c r="DJ10" i="13"/>
  <c r="DK10" i="13"/>
  <c r="DL10" i="13"/>
  <c r="DM10" i="13"/>
  <c r="DN10" i="13"/>
  <c r="DO10" i="13"/>
  <c r="DP10" i="13"/>
  <c r="DQ10" i="13"/>
  <c r="DR10" i="13"/>
  <c r="DS10" i="13"/>
  <c r="DT10" i="13"/>
  <c r="DU10" i="13"/>
  <c r="DV10" i="13"/>
  <c r="DW10" i="13"/>
  <c r="DX10" i="13"/>
  <c r="DY10" i="13"/>
  <c r="DZ10" i="13"/>
  <c r="EA10" i="13"/>
  <c r="EB10" i="13"/>
  <c r="EC10" i="13"/>
  <c r="ED10" i="13"/>
  <c r="EE10" i="13"/>
  <c r="EF10" i="13"/>
  <c r="EG10" i="13"/>
  <c r="EH10" i="13"/>
  <c r="EI10" i="13"/>
  <c r="EJ10" i="13"/>
  <c r="EK10" i="13"/>
  <c r="EL10" i="13"/>
  <c r="EM10" i="13"/>
  <c r="EN10" i="13"/>
  <c r="EO10" i="13"/>
  <c r="EP10" i="13"/>
  <c r="EQ10" i="13"/>
  <c r="ER10" i="13"/>
  <c r="ES10" i="13"/>
  <c r="ET10" i="13"/>
  <c r="EU10" i="13"/>
  <c r="EV10" i="13"/>
  <c r="EW10" i="13"/>
  <c r="EX10" i="13"/>
  <c r="EY10" i="13"/>
  <c r="EZ10" i="13"/>
  <c r="FA10" i="13"/>
  <c r="FB10" i="13"/>
  <c r="FC10" i="13"/>
  <c r="FD10" i="13"/>
  <c r="FE10" i="13"/>
  <c r="FF10" i="13"/>
  <c r="FG10" i="13"/>
  <c r="FH10" i="13"/>
  <c r="FI10" i="13"/>
  <c r="FJ10" i="13"/>
  <c r="FK10" i="13"/>
  <c r="FL10" i="13"/>
  <c r="FM10" i="13"/>
  <c r="FN10" i="13"/>
  <c r="FO10" i="13"/>
  <c r="FP10" i="13"/>
  <c r="FQ10" i="13"/>
  <c r="FR10" i="13"/>
  <c r="FS10" i="13"/>
  <c r="FT10" i="13"/>
  <c r="FU10" i="13"/>
  <c r="FV10" i="13"/>
  <c r="FW10" i="13"/>
  <c r="FX10" i="13"/>
  <c r="FY10" i="13"/>
  <c r="FZ10" i="13"/>
  <c r="GA10" i="13"/>
  <c r="GB10" i="13"/>
  <c r="GC10" i="13"/>
  <c r="GD10" i="13"/>
  <c r="GE10" i="13"/>
  <c r="GF10" i="13"/>
  <c r="GG10" i="13"/>
  <c r="GH10" i="13"/>
  <c r="GI10" i="13"/>
  <c r="GJ10" i="13"/>
  <c r="GK10" i="13"/>
  <c r="GL10" i="13"/>
  <c r="GM10" i="13"/>
  <c r="GN10" i="13"/>
  <c r="GO10" i="13"/>
  <c r="GP10" i="13"/>
  <c r="GQ10" i="13"/>
  <c r="GR10" i="13"/>
  <c r="GS10" i="13"/>
  <c r="GT10" i="13"/>
  <c r="GU10" i="13"/>
  <c r="GV10" i="13"/>
  <c r="GW10" i="13"/>
  <c r="GX10" i="13"/>
  <c r="GY10" i="13"/>
  <c r="GZ10" i="13"/>
  <c r="HA10" i="13"/>
  <c r="HB10" i="13"/>
  <c r="HC10" i="13"/>
  <c r="HD10" i="13"/>
  <c r="HE10" i="13"/>
  <c r="HF10" i="13"/>
  <c r="HG10" i="13"/>
  <c r="HH10" i="13"/>
  <c r="HI10" i="13"/>
  <c r="HJ10" i="13"/>
  <c r="HK10" i="13"/>
  <c r="HL10" i="13"/>
  <c r="HM10" i="13"/>
  <c r="HN10" i="13"/>
  <c r="HO10" i="13"/>
  <c r="HP10" i="13"/>
  <c r="HQ10" i="13"/>
  <c r="HR10" i="13"/>
  <c r="HS10" i="13"/>
  <c r="HT10" i="13"/>
  <c r="HU10" i="13"/>
  <c r="HV10" i="13"/>
  <c r="HW10" i="13"/>
  <c r="HX10" i="13"/>
  <c r="HY10" i="13"/>
  <c r="HZ10" i="13"/>
  <c r="IA10" i="13"/>
  <c r="IB10" i="13"/>
  <c r="IC10" i="13"/>
  <c r="ID10" i="13"/>
  <c r="IE10" i="13"/>
  <c r="IF10" i="13"/>
  <c r="IG10" i="13"/>
  <c r="IH10" i="13"/>
  <c r="II10" i="13"/>
  <c r="IJ10" i="13"/>
  <c r="IK10" i="13"/>
  <c r="IL10" i="13"/>
  <c r="IM10" i="13"/>
  <c r="IN10" i="13"/>
  <c r="IO10" i="13"/>
  <c r="IP10" i="13"/>
  <c r="IQ10" i="13"/>
  <c r="IR10" i="13"/>
  <c r="IS10" i="13"/>
  <c r="IT10" i="13"/>
  <c r="IU10" i="13"/>
  <c r="IV10" i="13"/>
  <c r="A9" i="13"/>
  <c r="B9" i="13"/>
  <c r="C9" i="13"/>
  <c r="D9" i="13"/>
  <c r="E9" i="13"/>
  <c r="F9" i="13"/>
  <c r="G9" i="13"/>
  <c r="H9" i="13"/>
  <c r="I9" i="13"/>
  <c r="J9" i="13"/>
  <c r="K9" i="13"/>
  <c r="L9" i="13"/>
  <c r="M9" i="13"/>
  <c r="N9" i="13"/>
  <c r="O9" i="13"/>
  <c r="P9" i="13"/>
  <c r="Q9" i="13"/>
  <c r="R9" i="13"/>
  <c r="S9" i="13"/>
  <c r="T9" i="13"/>
  <c r="U9" i="13"/>
  <c r="V9" i="13"/>
  <c r="W9" i="13"/>
  <c r="X9" i="13"/>
  <c r="Y9" i="13"/>
  <c r="Z9" i="13"/>
  <c r="AA9" i="13"/>
  <c r="AB9" i="13"/>
  <c r="AC9" i="13"/>
  <c r="AD9" i="13"/>
  <c r="AE9" i="13"/>
  <c r="AF9" i="13"/>
  <c r="AG9" i="13"/>
  <c r="AH9" i="13"/>
  <c r="AI9" i="13"/>
  <c r="AJ9" i="13"/>
  <c r="AK9" i="13"/>
  <c r="AL9" i="13"/>
  <c r="AM9" i="13"/>
  <c r="AN9" i="13"/>
  <c r="AO9" i="13"/>
  <c r="AP9" i="13"/>
  <c r="AQ9" i="13"/>
  <c r="AR9" i="13"/>
  <c r="AS9" i="13"/>
  <c r="AT9" i="13"/>
  <c r="AU9" i="13"/>
  <c r="AV9" i="13"/>
  <c r="AW9" i="13"/>
  <c r="AX9" i="13"/>
  <c r="AY9" i="13"/>
  <c r="AZ9" i="13"/>
  <c r="BA9" i="13"/>
  <c r="BB9" i="13"/>
  <c r="BC9" i="13"/>
  <c r="BD9" i="13"/>
  <c r="BE9" i="13"/>
  <c r="BF9" i="13"/>
  <c r="BG9" i="13"/>
  <c r="BH9" i="13"/>
  <c r="BI9" i="13"/>
  <c r="BJ9" i="13"/>
  <c r="BK9" i="13"/>
  <c r="BL9" i="13"/>
  <c r="BM9" i="13"/>
  <c r="BN9" i="13"/>
  <c r="BO9" i="13"/>
  <c r="BP9" i="13"/>
  <c r="BQ9" i="13"/>
  <c r="BR9" i="13"/>
  <c r="BS9" i="13"/>
  <c r="BT9" i="13"/>
  <c r="BU9" i="13"/>
  <c r="BV9" i="13"/>
  <c r="BW9" i="13"/>
  <c r="BX9" i="13"/>
  <c r="BY9" i="13"/>
  <c r="BZ9" i="13"/>
  <c r="CA9" i="13"/>
  <c r="CB9" i="13"/>
  <c r="CC9" i="13"/>
  <c r="CD9" i="13"/>
  <c r="CE9" i="13"/>
  <c r="CF9" i="13"/>
  <c r="CG9" i="13"/>
  <c r="CH9" i="13"/>
  <c r="CI9" i="13"/>
  <c r="CJ9" i="13"/>
  <c r="CK9" i="13"/>
  <c r="CL9" i="13"/>
  <c r="CM9" i="13"/>
  <c r="CN9" i="13"/>
  <c r="CO9" i="13"/>
  <c r="CP9" i="13"/>
  <c r="CQ9" i="13"/>
  <c r="CR9" i="13"/>
  <c r="CS9" i="13"/>
  <c r="CT9" i="13"/>
  <c r="CU9" i="13"/>
  <c r="CV9" i="13"/>
  <c r="CW9" i="13"/>
  <c r="CX9" i="13"/>
  <c r="CY9" i="13"/>
  <c r="CZ9" i="13"/>
  <c r="DA9" i="13"/>
  <c r="DB9" i="13"/>
  <c r="DC9" i="13"/>
  <c r="DD9" i="13"/>
  <c r="DE9" i="13"/>
  <c r="DF9" i="13"/>
  <c r="DG9" i="13"/>
  <c r="DH9" i="13"/>
  <c r="DI9" i="13"/>
  <c r="DJ9" i="13"/>
  <c r="DK9" i="13"/>
  <c r="DL9" i="13"/>
  <c r="DM9" i="13"/>
  <c r="DN9" i="13"/>
  <c r="DO9" i="13"/>
  <c r="DP9" i="13"/>
  <c r="DQ9" i="13"/>
  <c r="DR9" i="13"/>
  <c r="DS9" i="13"/>
  <c r="DT9" i="13"/>
  <c r="DU9" i="13"/>
  <c r="DV9" i="13"/>
  <c r="DW9" i="13"/>
  <c r="DX9" i="13"/>
  <c r="DY9" i="13"/>
  <c r="DZ9" i="13"/>
  <c r="EA9" i="13"/>
  <c r="EB9" i="13"/>
  <c r="EC9" i="13"/>
  <c r="ED9" i="13"/>
  <c r="EE9" i="13"/>
  <c r="EF9" i="13"/>
  <c r="EG9" i="13"/>
  <c r="EH9" i="13"/>
  <c r="EI9" i="13"/>
  <c r="EJ9" i="13"/>
  <c r="EK9" i="13"/>
  <c r="EL9" i="13"/>
  <c r="EM9" i="13"/>
  <c r="EN9" i="13"/>
  <c r="EO9" i="13"/>
  <c r="EP9" i="13"/>
  <c r="EQ9" i="13"/>
  <c r="ER9" i="13"/>
  <c r="ES9" i="13"/>
  <c r="ET9" i="13"/>
  <c r="EU9" i="13"/>
  <c r="EV9" i="13"/>
  <c r="EW9" i="13"/>
  <c r="EX9" i="13"/>
  <c r="EY9" i="13"/>
  <c r="EZ9" i="13"/>
  <c r="FA9" i="13"/>
  <c r="FB9" i="13"/>
  <c r="FC9" i="13"/>
  <c r="FD9" i="13"/>
  <c r="FE9" i="13"/>
  <c r="FF9" i="13"/>
  <c r="FG9" i="13"/>
  <c r="FH9" i="13"/>
  <c r="FI9" i="13"/>
  <c r="FJ9" i="13"/>
  <c r="FK9" i="13"/>
  <c r="FL9" i="13"/>
  <c r="FM9" i="13"/>
  <c r="FN9" i="13"/>
  <c r="FO9" i="13"/>
  <c r="FP9" i="13"/>
  <c r="FQ9" i="13"/>
  <c r="FR9" i="13"/>
  <c r="FS9" i="13"/>
  <c r="FT9" i="13"/>
  <c r="FU9" i="13"/>
  <c r="FV9" i="13"/>
  <c r="FW9" i="13"/>
  <c r="FX9" i="13"/>
  <c r="FY9" i="13"/>
  <c r="FZ9" i="13"/>
  <c r="GA9" i="13"/>
  <c r="GB9" i="13"/>
  <c r="GC9" i="13"/>
  <c r="GD9" i="13"/>
  <c r="GE9" i="13"/>
  <c r="GF9" i="13"/>
  <c r="GG9" i="13"/>
  <c r="GH9" i="13"/>
  <c r="GI9" i="13"/>
  <c r="GJ9" i="13"/>
  <c r="GK9" i="13"/>
  <c r="GL9" i="13"/>
  <c r="GM9" i="13"/>
  <c r="GN9" i="13"/>
  <c r="GO9" i="13"/>
  <c r="GP9" i="13"/>
  <c r="GQ9" i="13"/>
  <c r="GR9" i="13"/>
  <c r="GS9" i="13"/>
  <c r="GT9" i="13"/>
  <c r="GU9" i="13"/>
  <c r="GV9" i="13"/>
  <c r="GW9" i="13"/>
  <c r="GX9" i="13"/>
  <c r="GY9" i="13"/>
  <c r="GZ9" i="13"/>
  <c r="HA9" i="13"/>
  <c r="HB9" i="13"/>
  <c r="HC9" i="13"/>
  <c r="HD9" i="13"/>
  <c r="HE9" i="13"/>
  <c r="HF9" i="13"/>
  <c r="HG9" i="13"/>
  <c r="HH9" i="13"/>
  <c r="HI9" i="13"/>
  <c r="HJ9" i="13"/>
  <c r="HK9" i="13"/>
  <c r="HL9" i="13"/>
  <c r="HM9" i="13"/>
  <c r="HN9" i="13"/>
  <c r="HO9" i="13"/>
  <c r="HP9" i="13"/>
  <c r="HQ9" i="13"/>
  <c r="HR9" i="13"/>
  <c r="HS9" i="13"/>
  <c r="HT9" i="13"/>
  <c r="HU9" i="13"/>
  <c r="HV9" i="13"/>
  <c r="HW9" i="13"/>
  <c r="HX9" i="13"/>
  <c r="HY9" i="13"/>
  <c r="HZ9" i="13"/>
  <c r="IA9" i="13"/>
  <c r="IB9" i="13"/>
  <c r="IC9" i="13"/>
  <c r="ID9" i="13"/>
  <c r="IE9" i="13"/>
  <c r="IF9" i="13"/>
  <c r="IG9" i="13"/>
  <c r="IH9" i="13"/>
  <c r="II9" i="13"/>
  <c r="IJ9" i="13"/>
  <c r="IK9" i="13"/>
  <c r="IL9" i="13"/>
  <c r="IM9" i="13"/>
  <c r="IN9" i="13"/>
  <c r="IO9" i="13"/>
  <c r="IP9" i="13"/>
  <c r="IQ9" i="13"/>
  <c r="IR9" i="13"/>
  <c r="IS9" i="13"/>
  <c r="IT9" i="13"/>
  <c r="IU9" i="13"/>
  <c r="IV9" i="13"/>
  <c r="A8" i="13"/>
  <c r="B8" i="13"/>
  <c r="C8" i="13"/>
  <c r="D8" i="13"/>
  <c r="E8" i="13"/>
  <c r="F8" i="13"/>
  <c r="G8" i="13"/>
  <c r="H8" i="13"/>
  <c r="I8" i="13"/>
  <c r="J8" i="13"/>
  <c r="K8" i="13"/>
  <c r="L8" i="13"/>
  <c r="M8" i="13"/>
  <c r="N8" i="13"/>
  <c r="O8" i="13"/>
  <c r="P8" i="13"/>
  <c r="Q8" i="13"/>
  <c r="R8" i="13"/>
  <c r="S8" i="13"/>
  <c r="T8" i="13"/>
  <c r="U8" i="13"/>
  <c r="V8" i="13"/>
  <c r="W8" i="13"/>
  <c r="X8" i="13"/>
  <c r="Y8" i="13"/>
  <c r="Z8" i="13"/>
  <c r="AA8" i="13"/>
  <c r="AB8" i="13"/>
  <c r="AC8" i="13"/>
  <c r="AD8" i="13"/>
  <c r="AE8" i="13"/>
  <c r="AF8" i="13"/>
  <c r="AG8" i="13"/>
  <c r="AH8" i="13"/>
  <c r="AI8" i="13"/>
  <c r="AJ8" i="13"/>
  <c r="AK8" i="13"/>
  <c r="AL8" i="13"/>
  <c r="AM8" i="13"/>
  <c r="AN8" i="13"/>
  <c r="AO8" i="13"/>
  <c r="AP8" i="13"/>
  <c r="AQ8" i="13"/>
  <c r="AR8" i="13"/>
  <c r="AS8" i="13"/>
  <c r="AT8" i="13"/>
  <c r="AU8" i="13"/>
  <c r="AV8" i="13"/>
  <c r="AW8" i="13"/>
  <c r="AX8" i="13"/>
  <c r="AY8" i="13"/>
  <c r="AZ8" i="13"/>
  <c r="BA8" i="13"/>
  <c r="BB8" i="13"/>
  <c r="BC8" i="13"/>
  <c r="BD8" i="13"/>
  <c r="BE8" i="13"/>
  <c r="BF8" i="13"/>
  <c r="BG8" i="13"/>
  <c r="BH8" i="13"/>
  <c r="BI8" i="13"/>
  <c r="BJ8" i="13"/>
  <c r="BK8" i="13"/>
  <c r="BL8" i="13"/>
  <c r="BM8" i="13"/>
  <c r="BN8" i="13"/>
  <c r="BO8" i="13"/>
  <c r="BP8" i="13"/>
  <c r="BQ8" i="13"/>
  <c r="BR8" i="13"/>
  <c r="BS8" i="13"/>
  <c r="BT8" i="13"/>
  <c r="BU8" i="13"/>
  <c r="BV8" i="13"/>
  <c r="BW8" i="13"/>
  <c r="BX8" i="13"/>
  <c r="BY8" i="13"/>
  <c r="BZ8" i="13"/>
  <c r="CA8" i="13"/>
  <c r="CB8" i="13"/>
  <c r="CC8" i="13"/>
  <c r="CD8" i="13"/>
  <c r="CE8" i="13"/>
  <c r="CF8" i="13"/>
  <c r="CG8" i="13"/>
  <c r="CH8" i="13"/>
  <c r="CI8" i="13"/>
  <c r="CJ8" i="13"/>
  <c r="CK8" i="13"/>
  <c r="CL8" i="13"/>
  <c r="CM8" i="13"/>
  <c r="CN8" i="13"/>
  <c r="CO8" i="13"/>
  <c r="CP8" i="13"/>
  <c r="CQ8" i="13"/>
  <c r="CR8" i="13"/>
  <c r="CS8" i="13"/>
  <c r="CT8" i="13"/>
  <c r="CU8" i="13"/>
  <c r="CV8" i="13"/>
  <c r="CW8" i="13"/>
  <c r="CX8" i="13"/>
  <c r="CY8" i="13"/>
  <c r="CZ8" i="13"/>
  <c r="DA8" i="13"/>
  <c r="DB8" i="13"/>
  <c r="DC8" i="13"/>
  <c r="DD8" i="13"/>
  <c r="DE8" i="13"/>
  <c r="DF8" i="13"/>
  <c r="DG8" i="13"/>
  <c r="DH8" i="13"/>
  <c r="DI8" i="13"/>
  <c r="DJ8" i="13"/>
  <c r="DK8" i="13"/>
  <c r="DL8" i="13"/>
  <c r="DM8" i="13"/>
  <c r="DN8" i="13"/>
  <c r="DO8" i="13"/>
  <c r="DP8" i="13"/>
  <c r="DQ8" i="13"/>
  <c r="DR8" i="13"/>
  <c r="DS8" i="13"/>
  <c r="DT8" i="13"/>
  <c r="DU8" i="13"/>
  <c r="DV8" i="13"/>
  <c r="DW8" i="13"/>
  <c r="DX8" i="13"/>
  <c r="DY8" i="13"/>
  <c r="DZ8" i="13"/>
  <c r="EA8" i="13"/>
  <c r="EB8" i="13"/>
  <c r="EC8" i="13"/>
  <c r="ED8" i="13"/>
  <c r="EE8" i="13"/>
  <c r="EF8" i="13"/>
  <c r="EG8" i="13"/>
  <c r="EH8" i="13"/>
  <c r="EI8" i="13"/>
  <c r="EJ8" i="13"/>
  <c r="EK8" i="13"/>
  <c r="EL8" i="13"/>
  <c r="EM8" i="13"/>
  <c r="EN8" i="13"/>
  <c r="EO8" i="13"/>
  <c r="EP8" i="13"/>
  <c r="EQ8" i="13"/>
  <c r="ER8" i="13"/>
  <c r="ES8" i="13"/>
  <c r="ET8" i="13"/>
  <c r="EU8" i="13"/>
  <c r="EV8" i="13"/>
  <c r="EW8" i="13"/>
  <c r="EX8" i="13"/>
  <c r="EY8" i="13"/>
  <c r="EZ8" i="13"/>
  <c r="FA8" i="13"/>
  <c r="FB8" i="13"/>
  <c r="FC8" i="13"/>
  <c r="FD8" i="13"/>
  <c r="FE8" i="13"/>
  <c r="FF8" i="13"/>
  <c r="FG8" i="13"/>
  <c r="FH8" i="13"/>
  <c r="FI8" i="13"/>
  <c r="FJ8" i="13"/>
  <c r="FK8" i="13"/>
  <c r="FL8" i="13"/>
  <c r="FM8" i="13"/>
  <c r="FN8" i="13"/>
  <c r="FO8" i="13"/>
  <c r="FP8" i="13"/>
  <c r="FQ8" i="13"/>
  <c r="FR8" i="13"/>
  <c r="FS8" i="13"/>
  <c r="FT8" i="13"/>
  <c r="FU8" i="13"/>
  <c r="FV8" i="13"/>
  <c r="FW8" i="13"/>
  <c r="FX8" i="13"/>
  <c r="FY8" i="13"/>
  <c r="FZ8" i="13"/>
  <c r="GA8" i="13"/>
  <c r="GB8" i="13"/>
  <c r="GC8" i="13"/>
  <c r="GD8" i="13"/>
  <c r="GE8" i="13"/>
  <c r="GF8" i="13"/>
  <c r="GG8" i="13"/>
  <c r="GH8" i="13"/>
  <c r="GI8" i="13"/>
  <c r="GJ8" i="13"/>
  <c r="GK8" i="13"/>
  <c r="GL8" i="13"/>
  <c r="GM8" i="13"/>
  <c r="GN8" i="13"/>
  <c r="GO8" i="13"/>
  <c r="GP8" i="13"/>
  <c r="GQ8" i="13"/>
  <c r="GR8" i="13"/>
  <c r="GS8" i="13"/>
  <c r="GT8" i="13"/>
  <c r="GU8" i="13"/>
  <c r="GV8" i="13"/>
  <c r="GW8" i="13"/>
  <c r="GX8" i="13"/>
  <c r="GY8" i="13"/>
  <c r="GZ8" i="13"/>
  <c r="HA8" i="13"/>
  <c r="HB8" i="13"/>
  <c r="HC8" i="13"/>
  <c r="HD8" i="13"/>
  <c r="HE8" i="13"/>
  <c r="HF8" i="13"/>
  <c r="HG8" i="13"/>
  <c r="HH8" i="13"/>
  <c r="HI8" i="13"/>
  <c r="HJ8" i="13"/>
  <c r="HK8" i="13"/>
  <c r="HL8" i="13"/>
  <c r="HM8" i="13"/>
  <c r="HN8" i="13"/>
  <c r="HO8" i="13"/>
  <c r="HP8" i="13"/>
  <c r="HQ8" i="13"/>
  <c r="HR8" i="13"/>
  <c r="HS8" i="13"/>
  <c r="HT8" i="13"/>
  <c r="HU8" i="13"/>
  <c r="HV8" i="13"/>
  <c r="HW8" i="13"/>
  <c r="HX8" i="13"/>
  <c r="HY8" i="13"/>
  <c r="HZ8" i="13"/>
  <c r="IA8" i="13"/>
  <c r="IB8" i="13"/>
  <c r="IC8" i="13"/>
  <c r="ID8" i="13"/>
  <c r="IE8" i="13"/>
  <c r="IF8" i="13"/>
  <c r="IG8" i="13"/>
  <c r="IH8" i="13"/>
  <c r="II8" i="13"/>
  <c r="IJ8" i="13"/>
  <c r="IK8" i="13"/>
  <c r="IL8" i="13"/>
  <c r="IM8" i="13"/>
  <c r="IN8" i="13"/>
  <c r="IO8" i="13"/>
  <c r="IP8" i="13"/>
  <c r="IQ8" i="13"/>
  <c r="IR8" i="13"/>
  <c r="IS8" i="13"/>
  <c r="IT8" i="13"/>
  <c r="IU8" i="13"/>
  <c r="IV8" i="13"/>
  <c r="A7" i="13"/>
  <c r="B7" i="13"/>
  <c r="C7" i="13"/>
  <c r="D7" i="13"/>
  <c r="E7" i="13"/>
  <c r="F7" i="13"/>
  <c r="G7" i="13"/>
  <c r="H7" i="13"/>
  <c r="I7" i="13"/>
  <c r="J7" i="13"/>
  <c r="K7" i="13"/>
  <c r="L7" i="13"/>
  <c r="M7" i="13"/>
  <c r="N7" i="13"/>
  <c r="O7" i="13"/>
  <c r="P7" i="13"/>
  <c r="Q7" i="13"/>
  <c r="R7" i="13"/>
  <c r="S7" i="13"/>
  <c r="T7" i="13"/>
  <c r="U7" i="13"/>
  <c r="V7" i="13"/>
  <c r="W7" i="13"/>
  <c r="X7" i="13"/>
  <c r="Y7" i="13"/>
  <c r="Z7" i="13"/>
  <c r="AA7" i="13"/>
  <c r="AB7" i="13"/>
  <c r="AC7" i="13"/>
  <c r="AD7" i="13"/>
  <c r="AE7" i="13"/>
  <c r="AF7" i="13"/>
  <c r="AG7" i="13"/>
  <c r="AH7" i="13"/>
  <c r="AI7" i="13"/>
  <c r="AJ7" i="13"/>
  <c r="AK7" i="13"/>
  <c r="AL7" i="13"/>
  <c r="AM7" i="13"/>
  <c r="AN7" i="13"/>
  <c r="AO7" i="13"/>
  <c r="AP7" i="13"/>
  <c r="AQ7" i="13"/>
  <c r="AR7" i="13"/>
  <c r="AS7" i="13"/>
  <c r="AT7" i="13"/>
  <c r="AU7" i="13"/>
  <c r="AV7" i="13"/>
  <c r="AW7" i="13"/>
  <c r="AX7" i="13"/>
  <c r="AY7" i="13"/>
  <c r="AZ7" i="13"/>
  <c r="BA7" i="13"/>
  <c r="BB7" i="13"/>
  <c r="BC7" i="13"/>
  <c r="BD7" i="13"/>
  <c r="BE7" i="13"/>
  <c r="BF7" i="13"/>
  <c r="BG7" i="13"/>
  <c r="BH7" i="13"/>
  <c r="BI7" i="13"/>
  <c r="BJ7" i="13"/>
  <c r="BK7" i="13"/>
  <c r="BL7" i="13"/>
  <c r="BM7" i="13"/>
  <c r="BN7" i="13"/>
  <c r="BO7" i="13"/>
  <c r="BP7" i="13"/>
  <c r="BQ7" i="13"/>
  <c r="BR7" i="13"/>
  <c r="BS7" i="13"/>
  <c r="BT7" i="13"/>
  <c r="BU7" i="13"/>
  <c r="BV7" i="13"/>
  <c r="BW7" i="13"/>
  <c r="BX7" i="13"/>
  <c r="BY7" i="13"/>
  <c r="BZ7" i="13"/>
  <c r="CA7" i="13"/>
  <c r="CB7" i="13"/>
  <c r="CC7" i="13"/>
  <c r="CD7" i="13"/>
  <c r="CE7" i="13"/>
  <c r="CF7" i="13"/>
  <c r="CG7" i="13"/>
  <c r="CH7" i="13"/>
  <c r="CI7" i="13"/>
  <c r="CJ7" i="13"/>
  <c r="CK7" i="13"/>
  <c r="CL7" i="13"/>
  <c r="CM7" i="13"/>
  <c r="CN7" i="13"/>
  <c r="CO7" i="13"/>
  <c r="CP7" i="13"/>
  <c r="CQ7" i="13"/>
  <c r="CR7" i="13"/>
  <c r="CS7" i="13"/>
  <c r="CT7" i="13"/>
  <c r="CU7" i="13"/>
  <c r="CV7" i="13"/>
  <c r="CW7" i="13"/>
  <c r="CX7" i="13"/>
  <c r="CY7" i="13"/>
  <c r="CZ7" i="13"/>
  <c r="DA7" i="13"/>
  <c r="DB7" i="13"/>
  <c r="DC7" i="13"/>
  <c r="DD7" i="13"/>
  <c r="DE7" i="13"/>
  <c r="DF7" i="13"/>
  <c r="DG7" i="13"/>
  <c r="DH7" i="13"/>
  <c r="DI7" i="13"/>
  <c r="DJ7" i="13"/>
  <c r="DK7" i="13"/>
  <c r="DL7" i="13"/>
  <c r="DM7" i="13"/>
  <c r="DN7" i="13"/>
  <c r="DO7" i="13"/>
  <c r="DP7" i="13"/>
  <c r="DQ7" i="13"/>
  <c r="DR7" i="13"/>
  <c r="DS7" i="13"/>
  <c r="DT7" i="13"/>
  <c r="DU7" i="13"/>
  <c r="DV7" i="13"/>
  <c r="DW7" i="13"/>
  <c r="DX7" i="13"/>
  <c r="DY7" i="13"/>
  <c r="DZ7" i="13"/>
  <c r="EA7" i="13"/>
  <c r="EB7" i="13"/>
  <c r="EC7" i="13"/>
  <c r="ED7" i="13"/>
  <c r="EE7" i="13"/>
  <c r="EF7" i="13"/>
  <c r="EG7" i="13"/>
  <c r="EH7" i="13"/>
  <c r="EI7" i="13"/>
  <c r="EJ7" i="13"/>
  <c r="EK7" i="13"/>
  <c r="EL7" i="13"/>
  <c r="EM7" i="13"/>
  <c r="EN7" i="13"/>
  <c r="EO7" i="13"/>
  <c r="EP7" i="13"/>
  <c r="EQ7" i="13"/>
  <c r="ER7" i="13"/>
  <c r="ES7" i="13"/>
  <c r="ET7" i="13"/>
  <c r="EU7" i="13"/>
  <c r="EV7" i="13"/>
  <c r="EW7" i="13"/>
  <c r="EX7" i="13"/>
  <c r="EY7" i="13"/>
  <c r="EZ7" i="13"/>
  <c r="FA7" i="13"/>
  <c r="FB7" i="13"/>
  <c r="FC7" i="13"/>
  <c r="FD7" i="13"/>
  <c r="FE7" i="13"/>
  <c r="FF7" i="13"/>
  <c r="FG7" i="13"/>
  <c r="FH7" i="13"/>
  <c r="FI7" i="13"/>
  <c r="FJ7" i="13"/>
  <c r="FK7" i="13"/>
  <c r="FL7" i="13"/>
  <c r="FM7" i="13"/>
  <c r="FN7" i="13"/>
  <c r="FO7" i="13"/>
  <c r="FP7" i="13"/>
  <c r="FQ7" i="13"/>
  <c r="FR7" i="13"/>
  <c r="FS7" i="13"/>
  <c r="FT7" i="13"/>
  <c r="FU7" i="13"/>
  <c r="FV7" i="13"/>
  <c r="FW7" i="13"/>
  <c r="FX7" i="13"/>
  <c r="FY7" i="13"/>
  <c r="FZ7" i="13"/>
  <c r="GA7" i="13"/>
  <c r="GB7" i="13"/>
  <c r="GC7" i="13"/>
  <c r="GD7" i="13"/>
  <c r="GE7" i="13"/>
  <c r="GF7" i="13"/>
  <c r="GG7" i="13"/>
  <c r="GH7" i="13"/>
  <c r="GI7" i="13"/>
  <c r="GJ7" i="13"/>
  <c r="GK7" i="13"/>
  <c r="GL7" i="13"/>
  <c r="GM7" i="13"/>
  <c r="GN7" i="13"/>
  <c r="GO7" i="13"/>
  <c r="GP7" i="13"/>
  <c r="GQ7" i="13"/>
  <c r="GR7" i="13"/>
  <c r="GS7" i="13"/>
  <c r="GT7" i="13"/>
  <c r="GU7" i="13"/>
  <c r="GV7" i="13"/>
  <c r="GW7" i="13"/>
  <c r="GX7" i="13"/>
  <c r="GY7" i="13"/>
  <c r="GZ7" i="13"/>
  <c r="HA7" i="13"/>
  <c r="HB7" i="13"/>
  <c r="HC7" i="13"/>
  <c r="HD7" i="13"/>
  <c r="HE7" i="13"/>
  <c r="HF7" i="13"/>
  <c r="HG7" i="13"/>
  <c r="HH7" i="13"/>
  <c r="HI7" i="13"/>
  <c r="HJ7" i="13"/>
  <c r="HK7" i="13"/>
  <c r="HL7" i="13"/>
  <c r="HM7" i="13"/>
  <c r="HN7" i="13"/>
  <c r="HO7" i="13"/>
  <c r="HP7" i="13"/>
  <c r="HQ7" i="13"/>
  <c r="HR7" i="13"/>
  <c r="HS7" i="13"/>
  <c r="HT7" i="13"/>
  <c r="HU7" i="13"/>
  <c r="HV7" i="13"/>
  <c r="HW7" i="13"/>
  <c r="HX7" i="13"/>
  <c r="HY7" i="13"/>
  <c r="HZ7" i="13"/>
  <c r="IA7" i="13"/>
  <c r="IB7" i="13"/>
  <c r="IC7" i="13"/>
  <c r="ID7" i="13"/>
  <c r="IE7" i="13"/>
  <c r="IF7" i="13"/>
  <c r="IG7" i="13"/>
  <c r="IH7" i="13"/>
  <c r="II7" i="13"/>
  <c r="IJ7" i="13"/>
  <c r="IK7" i="13"/>
  <c r="IL7" i="13"/>
  <c r="IM7" i="13"/>
  <c r="IN7" i="13"/>
  <c r="IO7" i="13"/>
  <c r="IP7" i="13"/>
  <c r="IQ7" i="13"/>
  <c r="IR7" i="13"/>
  <c r="IS7" i="13"/>
  <c r="IT7" i="13"/>
  <c r="IU7" i="13"/>
  <c r="IV7" i="13"/>
  <c r="A6" i="13"/>
  <c r="B6" i="13"/>
  <c r="C6" i="13"/>
  <c r="D6" i="13"/>
  <c r="E6" i="13"/>
  <c r="F6" i="13"/>
  <c r="G6" i="13"/>
  <c r="H6" i="13"/>
  <c r="I6" i="13"/>
  <c r="J6" i="13"/>
  <c r="K6" i="13"/>
  <c r="L6" i="13"/>
  <c r="M6" i="13"/>
  <c r="N6" i="13"/>
  <c r="O6" i="13"/>
  <c r="P6" i="13"/>
  <c r="Q6" i="13"/>
  <c r="R6" i="13"/>
  <c r="S6" i="13"/>
  <c r="T6" i="13"/>
  <c r="U6" i="13"/>
  <c r="V6" i="13"/>
  <c r="W6" i="13"/>
  <c r="X6" i="13"/>
  <c r="Y6" i="13"/>
  <c r="Z6" i="13"/>
  <c r="AA6" i="13"/>
  <c r="AB6" i="13"/>
  <c r="AC6" i="13"/>
  <c r="AD6" i="13"/>
  <c r="AE6" i="13"/>
  <c r="AF6" i="13"/>
  <c r="AG6" i="13"/>
  <c r="AH6" i="13"/>
  <c r="AI6" i="13"/>
  <c r="AJ6" i="13"/>
  <c r="AK6" i="13"/>
  <c r="AL6" i="13"/>
  <c r="AM6" i="13"/>
  <c r="AN6" i="13"/>
  <c r="AO6" i="13"/>
  <c r="AP6" i="13"/>
  <c r="AQ6" i="13"/>
  <c r="AR6" i="13"/>
  <c r="AS6" i="13"/>
  <c r="AT6" i="13"/>
  <c r="AU6" i="13"/>
  <c r="AV6" i="13"/>
  <c r="AW6" i="13"/>
  <c r="AX6" i="13"/>
  <c r="AY6" i="13"/>
  <c r="AZ6" i="13"/>
  <c r="BA6" i="13"/>
  <c r="BB6" i="13"/>
  <c r="BC6" i="13"/>
  <c r="BD6" i="13"/>
  <c r="BE6" i="13"/>
  <c r="BF6" i="13"/>
  <c r="BG6" i="13"/>
  <c r="BH6" i="13"/>
  <c r="BI6" i="13"/>
  <c r="BJ6" i="13"/>
  <c r="BK6" i="13"/>
  <c r="BL6" i="13"/>
  <c r="BM6" i="13"/>
  <c r="BN6" i="13"/>
  <c r="BO6" i="13"/>
  <c r="BP6" i="13"/>
  <c r="BQ6" i="13"/>
  <c r="BR6" i="13"/>
  <c r="BS6" i="13"/>
  <c r="BT6" i="13"/>
  <c r="BU6" i="13"/>
  <c r="BV6" i="13"/>
  <c r="BW6" i="13"/>
  <c r="BX6" i="13"/>
  <c r="BY6" i="13"/>
  <c r="BZ6" i="13"/>
  <c r="CA6" i="13"/>
  <c r="CB6" i="13"/>
  <c r="CC6" i="13"/>
  <c r="CD6" i="13"/>
  <c r="CE6" i="13"/>
  <c r="CF6" i="13"/>
  <c r="CG6" i="13"/>
  <c r="CH6" i="13"/>
  <c r="CI6" i="13"/>
  <c r="CJ6" i="13"/>
  <c r="CK6" i="13"/>
  <c r="CL6" i="13"/>
  <c r="CM6" i="13"/>
  <c r="CN6" i="13"/>
  <c r="CO6" i="13"/>
  <c r="CP6" i="13"/>
  <c r="CQ6" i="13"/>
  <c r="CR6" i="13"/>
  <c r="CS6" i="13"/>
  <c r="CT6" i="13"/>
  <c r="CU6" i="13"/>
  <c r="CV6" i="13"/>
  <c r="CW6" i="13"/>
  <c r="CX6" i="13"/>
  <c r="CY6" i="13"/>
  <c r="CZ6" i="13"/>
  <c r="DA6" i="13"/>
  <c r="DB6" i="13"/>
  <c r="DC6" i="13"/>
  <c r="DD6" i="13"/>
  <c r="DE6" i="13"/>
  <c r="DF6" i="13"/>
  <c r="DG6" i="13"/>
  <c r="DH6" i="13"/>
  <c r="DI6" i="13"/>
  <c r="DJ6" i="13"/>
  <c r="DK6" i="13"/>
  <c r="DL6" i="13"/>
  <c r="DM6" i="13"/>
  <c r="DN6" i="13"/>
  <c r="DO6" i="13"/>
  <c r="DP6" i="13"/>
  <c r="DQ6" i="13"/>
  <c r="DR6" i="13"/>
  <c r="DS6" i="13"/>
  <c r="DT6" i="13"/>
  <c r="DU6" i="13"/>
  <c r="DV6" i="13"/>
  <c r="DW6" i="13"/>
  <c r="DX6" i="13"/>
  <c r="DY6" i="13"/>
  <c r="DZ6" i="13"/>
  <c r="EA6" i="13"/>
  <c r="EB6" i="13"/>
  <c r="EC6" i="13"/>
  <c r="ED6" i="13"/>
  <c r="EE6" i="13"/>
  <c r="EF6" i="13"/>
  <c r="EG6" i="13"/>
  <c r="EH6" i="13"/>
  <c r="EI6" i="13"/>
  <c r="EJ6" i="13"/>
  <c r="EK6" i="13"/>
  <c r="EL6" i="13"/>
  <c r="EM6" i="13"/>
  <c r="EN6" i="13"/>
  <c r="EO6" i="13"/>
  <c r="EP6" i="13"/>
  <c r="EQ6" i="13"/>
  <c r="ER6" i="13"/>
  <c r="ES6" i="13"/>
  <c r="ET6" i="13"/>
  <c r="EU6" i="13"/>
  <c r="EV6" i="13"/>
  <c r="EW6" i="13"/>
  <c r="EX6" i="13"/>
  <c r="EY6" i="13"/>
  <c r="EZ6" i="13"/>
  <c r="FA6" i="13"/>
  <c r="FB6" i="13"/>
  <c r="FC6" i="13"/>
  <c r="FD6" i="13"/>
  <c r="FE6" i="13"/>
  <c r="FF6" i="13"/>
  <c r="FG6" i="13"/>
  <c r="FH6" i="13"/>
  <c r="FI6" i="13"/>
  <c r="FJ6" i="13"/>
  <c r="FK6" i="13"/>
  <c r="FL6" i="13"/>
  <c r="FM6" i="13"/>
  <c r="FN6" i="13"/>
  <c r="FO6" i="13"/>
  <c r="FP6" i="13"/>
  <c r="FQ6" i="13"/>
  <c r="FR6" i="13"/>
  <c r="FS6" i="13"/>
  <c r="FT6" i="13"/>
  <c r="FU6" i="13"/>
  <c r="FV6" i="13"/>
  <c r="FW6" i="13"/>
  <c r="FX6" i="13"/>
  <c r="FY6" i="13"/>
  <c r="FZ6" i="13"/>
  <c r="GA6" i="13"/>
  <c r="GB6" i="13"/>
  <c r="GC6" i="13"/>
  <c r="GD6" i="13"/>
  <c r="GE6" i="13"/>
  <c r="GF6" i="13"/>
  <c r="GG6" i="13"/>
  <c r="GH6" i="13"/>
  <c r="GI6" i="13"/>
  <c r="GJ6" i="13"/>
  <c r="GK6" i="13"/>
  <c r="GL6" i="13"/>
  <c r="GM6" i="13"/>
  <c r="GN6" i="13"/>
  <c r="GO6" i="13"/>
  <c r="GP6" i="13"/>
  <c r="GQ6" i="13"/>
  <c r="GR6" i="13"/>
  <c r="GS6" i="13"/>
  <c r="GT6" i="13"/>
  <c r="GU6" i="13"/>
  <c r="GV6" i="13"/>
  <c r="GW6" i="13"/>
  <c r="GX6" i="13"/>
  <c r="GY6" i="13"/>
  <c r="GZ6" i="13"/>
  <c r="HA6" i="13"/>
  <c r="HB6" i="13"/>
  <c r="HC6" i="13"/>
  <c r="HD6" i="13"/>
  <c r="HE6" i="13"/>
  <c r="HF6" i="13"/>
  <c r="HG6" i="13"/>
  <c r="HH6" i="13"/>
  <c r="HI6" i="13"/>
  <c r="HJ6" i="13"/>
  <c r="HK6" i="13"/>
  <c r="HL6" i="13"/>
  <c r="HM6" i="13"/>
  <c r="HN6" i="13"/>
  <c r="HO6" i="13"/>
  <c r="HP6" i="13"/>
  <c r="HQ6" i="13"/>
  <c r="HR6" i="13"/>
  <c r="HS6" i="13"/>
  <c r="HT6" i="13"/>
  <c r="HU6" i="13"/>
  <c r="HV6" i="13"/>
  <c r="HW6" i="13"/>
  <c r="HX6" i="13"/>
  <c r="HY6" i="13"/>
  <c r="HZ6" i="13"/>
  <c r="IA6" i="13"/>
  <c r="IB6" i="13"/>
  <c r="IC6" i="13"/>
  <c r="ID6" i="13"/>
  <c r="IE6" i="13"/>
  <c r="IF6" i="13"/>
  <c r="IG6" i="13"/>
  <c r="IH6" i="13"/>
  <c r="II6" i="13"/>
  <c r="IJ6" i="13"/>
  <c r="IK6" i="13"/>
  <c r="IL6" i="13"/>
  <c r="IM6" i="13"/>
  <c r="IN6" i="13"/>
  <c r="IO6" i="13"/>
  <c r="IP6" i="13"/>
  <c r="IQ6" i="13"/>
  <c r="IR6" i="13"/>
  <c r="IS6" i="13"/>
  <c r="IT6" i="13"/>
  <c r="IU6" i="13"/>
  <c r="IV6" i="13"/>
  <c r="A5" i="13"/>
  <c r="B5" i="13"/>
  <c r="C5" i="13"/>
  <c r="D5" i="13"/>
  <c r="E5" i="13"/>
  <c r="F5" i="13"/>
  <c r="G5" i="13"/>
  <c r="H5" i="13"/>
  <c r="I5" i="13"/>
  <c r="J5" i="13"/>
  <c r="K5" i="13"/>
  <c r="L5" i="13"/>
  <c r="M5" i="13"/>
  <c r="N5" i="13"/>
  <c r="O5" i="13"/>
  <c r="P5" i="13"/>
  <c r="Q5" i="13"/>
  <c r="R5" i="13"/>
  <c r="S5" i="13"/>
  <c r="T5" i="13"/>
  <c r="U5" i="13"/>
  <c r="V5" i="13"/>
  <c r="W5" i="13"/>
  <c r="X5" i="13"/>
  <c r="Y5" i="13"/>
  <c r="Z5" i="13"/>
  <c r="AA5" i="13"/>
  <c r="AB5" i="13"/>
  <c r="AC5" i="13"/>
  <c r="AD5" i="13"/>
  <c r="AE5" i="13"/>
  <c r="AF5" i="13"/>
  <c r="AG5" i="13"/>
  <c r="AH5" i="13"/>
  <c r="AI5" i="13"/>
  <c r="AJ5" i="13"/>
  <c r="AK5" i="13"/>
  <c r="AL5" i="13"/>
  <c r="AM5" i="13"/>
  <c r="AN5" i="13"/>
  <c r="AO5" i="13"/>
  <c r="AP5" i="13"/>
  <c r="AQ5" i="13"/>
  <c r="AR5" i="13"/>
  <c r="AS5" i="13"/>
  <c r="AT5" i="13"/>
  <c r="AU5" i="13"/>
  <c r="AV5" i="13"/>
  <c r="AW5" i="13"/>
  <c r="AX5" i="13"/>
  <c r="AY5" i="13"/>
  <c r="AZ5" i="13"/>
  <c r="BA5" i="13"/>
  <c r="BB5" i="13"/>
  <c r="BC5" i="13"/>
  <c r="BD5" i="13"/>
  <c r="BE5" i="13"/>
  <c r="BF5" i="13"/>
  <c r="BG5" i="13"/>
  <c r="BH5" i="13"/>
  <c r="BI5" i="13"/>
  <c r="BJ5" i="13"/>
  <c r="BK5" i="13"/>
  <c r="BL5" i="13"/>
  <c r="BM5" i="13"/>
  <c r="BN5" i="13"/>
  <c r="BO5" i="13"/>
  <c r="BP5" i="13"/>
  <c r="BQ5" i="13"/>
  <c r="BR5" i="13"/>
  <c r="BS5" i="13"/>
  <c r="BT5" i="13"/>
  <c r="BU5" i="13"/>
  <c r="BV5" i="13"/>
  <c r="BW5" i="13"/>
  <c r="BX5" i="13"/>
  <c r="BY5" i="13"/>
  <c r="BZ5" i="13"/>
  <c r="CA5" i="13"/>
  <c r="CB5" i="13"/>
  <c r="CC5" i="13"/>
  <c r="CD5" i="13"/>
  <c r="CE5" i="13"/>
  <c r="CF5" i="13"/>
  <c r="CG5" i="13"/>
  <c r="CH5" i="13"/>
  <c r="CI5" i="13"/>
  <c r="CJ5" i="13"/>
  <c r="CK5" i="13"/>
  <c r="CL5" i="13"/>
  <c r="CM5" i="13"/>
  <c r="CN5" i="13"/>
  <c r="CO5" i="13"/>
  <c r="CP5" i="13"/>
  <c r="CQ5" i="13"/>
  <c r="CR5" i="13"/>
  <c r="CS5" i="13"/>
  <c r="CT5" i="13"/>
  <c r="CU5" i="13"/>
  <c r="CV5" i="13"/>
  <c r="CW5" i="13"/>
  <c r="CX5" i="13"/>
  <c r="CY5" i="13"/>
  <c r="CZ5" i="13"/>
  <c r="DA5" i="13"/>
  <c r="DB5" i="13"/>
  <c r="DC5" i="13"/>
  <c r="DD5" i="13"/>
  <c r="DE5" i="13"/>
  <c r="DF5" i="13"/>
  <c r="DG5" i="13"/>
  <c r="DH5" i="13"/>
  <c r="DI5" i="13"/>
  <c r="DJ5" i="13"/>
  <c r="DK5" i="13"/>
  <c r="DL5" i="13"/>
  <c r="DM5" i="13"/>
  <c r="DN5" i="13"/>
  <c r="DO5" i="13"/>
  <c r="DP5" i="13"/>
  <c r="DQ5" i="13"/>
  <c r="DR5" i="13"/>
  <c r="DS5" i="13"/>
  <c r="DT5" i="13"/>
  <c r="DU5" i="13"/>
  <c r="DV5" i="13"/>
  <c r="DW5" i="13"/>
  <c r="DX5" i="13"/>
  <c r="DY5" i="13"/>
  <c r="DZ5" i="13"/>
  <c r="EA5" i="13"/>
  <c r="EB5" i="13"/>
  <c r="EC5" i="13"/>
  <c r="ED5" i="13"/>
  <c r="EE5" i="13"/>
  <c r="EF5" i="13"/>
  <c r="EG5" i="13"/>
  <c r="EH5" i="13"/>
  <c r="EI5" i="13"/>
  <c r="EJ5" i="13"/>
  <c r="EK5" i="13"/>
  <c r="EL5" i="13"/>
  <c r="EM5" i="13"/>
  <c r="EN5" i="13"/>
  <c r="EO5" i="13"/>
  <c r="EP5" i="13"/>
  <c r="EQ5" i="13"/>
  <c r="ER5" i="13"/>
  <c r="ES5" i="13"/>
  <c r="ET5" i="13"/>
  <c r="EU5" i="13"/>
  <c r="EV5" i="13"/>
  <c r="EW5" i="13"/>
  <c r="EX5" i="13"/>
  <c r="EY5" i="13"/>
  <c r="EZ5" i="13"/>
  <c r="FA5" i="13"/>
  <c r="FB5" i="13"/>
  <c r="FC5" i="13"/>
  <c r="FD5" i="13"/>
  <c r="FE5" i="13"/>
  <c r="FF5" i="13"/>
  <c r="FG5" i="13"/>
  <c r="FH5" i="13"/>
  <c r="FI5" i="13"/>
  <c r="FJ5" i="13"/>
  <c r="FK5" i="13"/>
  <c r="FL5" i="13"/>
  <c r="FM5" i="13"/>
  <c r="FN5" i="13"/>
  <c r="FO5" i="13"/>
  <c r="FP5" i="13"/>
  <c r="FQ5" i="13"/>
  <c r="FR5" i="13"/>
  <c r="FS5" i="13"/>
  <c r="FT5" i="13"/>
  <c r="FU5" i="13"/>
  <c r="FV5" i="13"/>
  <c r="FW5" i="13"/>
  <c r="FX5" i="13"/>
  <c r="FY5" i="13"/>
  <c r="FZ5" i="13"/>
  <c r="GA5" i="13"/>
  <c r="GB5" i="13"/>
  <c r="GC5" i="13"/>
  <c r="GD5" i="13"/>
  <c r="GE5" i="13"/>
  <c r="GF5" i="13"/>
  <c r="GG5" i="13"/>
  <c r="GH5" i="13"/>
  <c r="GI5" i="13"/>
  <c r="GJ5" i="13"/>
  <c r="GK5" i="13"/>
  <c r="GL5" i="13"/>
  <c r="GM5" i="13"/>
  <c r="GN5" i="13"/>
  <c r="GO5" i="13"/>
  <c r="GP5" i="13"/>
  <c r="GQ5" i="13"/>
  <c r="GR5" i="13"/>
  <c r="GS5" i="13"/>
  <c r="GT5" i="13"/>
  <c r="GU5" i="13"/>
  <c r="GV5" i="13"/>
  <c r="GW5" i="13"/>
  <c r="GX5" i="13"/>
  <c r="GY5" i="13"/>
  <c r="GZ5" i="13"/>
  <c r="HA5" i="13"/>
  <c r="HB5" i="13"/>
  <c r="HC5" i="13"/>
  <c r="HD5" i="13"/>
  <c r="HE5" i="13"/>
  <c r="HF5" i="13"/>
  <c r="HG5" i="13"/>
  <c r="HH5" i="13"/>
  <c r="HI5" i="13"/>
  <c r="HJ5" i="13"/>
  <c r="HK5" i="13"/>
  <c r="HL5" i="13"/>
  <c r="HM5" i="13"/>
  <c r="HN5" i="13"/>
  <c r="HO5" i="13"/>
  <c r="HP5" i="13"/>
  <c r="HQ5" i="13"/>
  <c r="HR5" i="13"/>
  <c r="HS5" i="13"/>
  <c r="HT5" i="13"/>
  <c r="HU5" i="13"/>
  <c r="HV5" i="13"/>
  <c r="HW5" i="13"/>
  <c r="HX5" i="13"/>
  <c r="HY5" i="13"/>
  <c r="HZ5" i="13"/>
  <c r="IA5" i="13"/>
  <c r="IB5" i="13"/>
  <c r="IC5" i="13"/>
  <c r="ID5" i="13"/>
  <c r="IE5" i="13"/>
  <c r="IF5" i="13"/>
  <c r="IG5" i="13"/>
  <c r="IH5" i="13"/>
  <c r="II5" i="13"/>
  <c r="IJ5" i="13"/>
  <c r="IK5" i="13"/>
  <c r="IL5" i="13"/>
  <c r="IM5" i="13"/>
  <c r="IN5" i="13"/>
  <c r="IO5" i="13"/>
  <c r="IP5" i="13"/>
  <c r="IQ5" i="13"/>
  <c r="IR5" i="13"/>
  <c r="IS5" i="13"/>
  <c r="IT5" i="13"/>
  <c r="IU5" i="13"/>
  <c r="IV5" i="13"/>
  <c r="A4" i="13"/>
  <c r="B4" i="13"/>
  <c r="C4" i="13"/>
  <c r="D4" i="13"/>
  <c r="E4" i="13"/>
  <c r="F4" i="13"/>
  <c r="G4" i="13"/>
  <c r="H4" i="13"/>
  <c r="I4" i="13"/>
  <c r="J4" i="13"/>
  <c r="K4" i="13"/>
  <c r="L4" i="13"/>
  <c r="M4" i="13"/>
  <c r="N4" i="13"/>
  <c r="O4" i="13"/>
  <c r="P4" i="13"/>
  <c r="Q4" i="13"/>
  <c r="R4" i="13"/>
  <c r="S4" i="13"/>
  <c r="T4" i="13"/>
  <c r="U4" i="13"/>
  <c r="V4" i="13"/>
  <c r="W4" i="13"/>
  <c r="X4" i="13"/>
  <c r="Y4" i="13"/>
  <c r="Z4" i="13"/>
  <c r="AA4" i="13"/>
  <c r="AB4" i="13"/>
  <c r="AC4" i="13"/>
  <c r="AD4" i="13"/>
  <c r="AE4" i="13"/>
  <c r="AF4" i="13"/>
  <c r="AG4" i="13"/>
  <c r="AH4" i="13"/>
  <c r="AI4" i="13"/>
  <c r="AJ4" i="13"/>
  <c r="AK4" i="13"/>
  <c r="AL4" i="13"/>
  <c r="AM4" i="13"/>
  <c r="AN4" i="13"/>
  <c r="AO4" i="13"/>
  <c r="AP4" i="13"/>
  <c r="AQ4" i="13"/>
  <c r="AR4" i="13"/>
  <c r="AS4" i="13"/>
  <c r="AT4" i="13"/>
  <c r="AU4" i="13"/>
  <c r="AV4" i="13"/>
  <c r="AW4" i="13"/>
  <c r="AX4" i="13"/>
  <c r="AY4" i="13"/>
  <c r="AZ4" i="13"/>
  <c r="BA4" i="13"/>
  <c r="BB4" i="13"/>
  <c r="BC4" i="13"/>
  <c r="BD4" i="13"/>
  <c r="BE4" i="13"/>
  <c r="BF4" i="13"/>
  <c r="BG4" i="13"/>
  <c r="BH4" i="13"/>
  <c r="BI4" i="13"/>
  <c r="BJ4" i="13"/>
  <c r="BK4" i="13"/>
  <c r="BL4" i="13"/>
  <c r="BM4" i="13"/>
  <c r="BN4" i="13"/>
  <c r="BO4" i="13"/>
  <c r="BP4" i="13"/>
  <c r="BQ4" i="13"/>
  <c r="BR4" i="13"/>
  <c r="BS4" i="13"/>
  <c r="BT4" i="13"/>
  <c r="BU4" i="13"/>
  <c r="BV4" i="13"/>
  <c r="BW4" i="13"/>
  <c r="BX4" i="13"/>
  <c r="BY4" i="13"/>
  <c r="BZ4" i="13"/>
  <c r="CA4" i="13"/>
  <c r="CB4" i="13"/>
  <c r="CC4" i="13"/>
  <c r="CD4" i="13"/>
  <c r="CE4" i="13"/>
  <c r="CF4" i="13"/>
  <c r="CG4" i="13"/>
  <c r="CH4" i="13"/>
  <c r="CI4" i="13"/>
  <c r="CJ4" i="13"/>
  <c r="CK4" i="13"/>
  <c r="CL4" i="13"/>
  <c r="CM4" i="13"/>
  <c r="CN4" i="13"/>
  <c r="CO4" i="13"/>
  <c r="CP4" i="13"/>
  <c r="CQ4" i="13"/>
  <c r="CR4" i="13"/>
  <c r="CS4" i="13"/>
  <c r="CT4" i="13"/>
  <c r="CU4" i="13"/>
  <c r="CV4" i="13"/>
  <c r="CW4" i="13"/>
  <c r="CX4" i="13"/>
  <c r="CY4" i="13"/>
  <c r="CZ4" i="13"/>
  <c r="DA4" i="13"/>
  <c r="DB4" i="13"/>
  <c r="DC4" i="13"/>
  <c r="DD4" i="13"/>
  <c r="DE4" i="13"/>
  <c r="DF4" i="13"/>
  <c r="DG4" i="13"/>
  <c r="DH4" i="13"/>
  <c r="DI4" i="13"/>
  <c r="DJ4" i="13"/>
  <c r="DK4" i="13"/>
  <c r="DL4" i="13"/>
  <c r="DM4" i="13"/>
  <c r="DN4" i="13"/>
  <c r="DO4" i="13"/>
  <c r="DP4" i="13"/>
  <c r="DQ4" i="13"/>
  <c r="DR4" i="13"/>
  <c r="DS4" i="13"/>
  <c r="DT4" i="13"/>
  <c r="DU4" i="13"/>
  <c r="DV4" i="13"/>
  <c r="DW4" i="13"/>
  <c r="DX4" i="13"/>
  <c r="DY4" i="13"/>
  <c r="DZ4" i="13"/>
  <c r="EA4" i="13"/>
  <c r="EB4" i="13"/>
  <c r="EC4" i="13"/>
  <c r="ED4" i="13"/>
  <c r="EE4" i="13"/>
  <c r="EF4" i="13"/>
  <c r="EG4" i="13"/>
  <c r="EH4" i="13"/>
  <c r="EI4" i="13"/>
  <c r="EJ4" i="13"/>
  <c r="EK4" i="13"/>
  <c r="EL4" i="13"/>
  <c r="EM4" i="13"/>
  <c r="EN4" i="13"/>
  <c r="EO4" i="13"/>
  <c r="EP4" i="13"/>
  <c r="EQ4" i="13"/>
  <c r="ER4" i="13"/>
  <c r="ES4" i="13"/>
  <c r="ET4" i="13"/>
  <c r="EU4" i="13"/>
  <c r="EV4" i="13"/>
  <c r="EW4" i="13"/>
  <c r="EX4" i="13"/>
  <c r="EY4" i="13"/>
  <c r="EZ4" i="13"/>
  <c r="FA4" i="13"/>
  <c r="FB4" i="13"/>
  <c r="FC4" i="13"/>
  <c r="FD4" i="13"/>
  <c r="FE4" i="13"/>
  <c r="FF4" i="13"/>
  <c r="FG4" i="13"/>
  <c r="FH4" i="13"/>
  <c r="FI4" i="13"/>
  <c r="FJ4" i="13"/>
  <c r="FK4" i="13"/>
  <c r="FL4" i="13"/>
  <c r="FM4" i="13"/>
  <c r="FN4" i="13"/>
  <c r="FO4" i="13"/>
  <c r="FP4" i="13"/>
  <c r="FQ4" i="13"/>
  <c r="FR4" i="13"/>
  <c r="FS4" i="13"/>
  <c r="FT4" i="13"/>
  <c r="FU4" i="13"/>
  <c r="FV4" i="13"/>
  <c r="FW4" i="13"/>
  <c r="FX4" i="13"/>
  <c r="FY4" i="13"/>
  <c r="FZ4" i="13"/>
  <c r="GA4" i="13"/>
  <c r="GB4" i="13"/>
  <c r="GC4" i="13"/>
  <c r="GD4" i="13"/>
  <c r="GE4" i="13"/>
  <c r="GF4" i="13"/>
  <c r="GG4" i="13"/>
  <c r="GH4" i="13"/>
  <c r="GI4" i="13"/>
  <c r="GJ4" i="13"/>
  <c r="GK4" i="13"/>
  <c r="GL4" i="13"/>
  <c r="GM4" i="13"/>
  <c r="GN4" i="13"/>
  <c r="GO4" i="13"/>
  <c r="GP4" i="13"/>
  <c r="GQ4" i="13"/>
  <c r="GR4" i="13"/>
  <c r="GS4" i="13"/>
  <c r="GT4" i="13"/>
  <c r="GU4" i="13"/>
  <c r="GV4" i="13"/>
  <c r="GW4" i="13"/>
  <c r="GX4" i="13"/>
  <c r="GY4" i="13"/>
  <c r="GZ4" i="13"/>
  <c r="HA4" i="13"/>
  <c r="HB4" i="13"/>
  <c r="HC4" i="13"/>
  <c r="HD4" i="13"/>
  <c r="HE4" i="13"/>
  <c r="HF4" i="13"/>
  <c r="HG4" i="13"/>
  <c r="HH4" i="13"/>
  <c r="HI4" i="13"/>
  <c r="HJ4" i="13"/>
  <c r="HK4" i="13"/>
  <c r="HL4" i="13"/>
  <c r="HM4" i="13"/>
  <c r="HN4" i="13"/>
  <c r="HO4" i="13"/>
  <c r="HP4" i="13"/>
  <c r="HQ4" i="13"/>
  <c r="HR4" i="13"/>
  <c r="HS4" i="13"/>
  <c r="HT4" i="13"/>
  <c r="HU4" i="13"/>
  <c r="HV4" i="13"/>
  <c r="HW4" i="13"/>
  <c r="HX4" i="13"/>
  <c r="HY4" i="13"/>
  <c r="HZ4" i="13"/>
  <c r="IA4" i="13"/>
  <c r="IB4" i="13"/>
  <c r="IC4" i="13"/>
  <c r="ID4" i="13"/>
  <c r="IE4" i="13"/>
  <c r="IF4" i="13"/>
  <c r="IG4" i="13"/>
  <c r="IH4" i="13"/>
  <c r="II4" i="13"/>
  <c r="IJ4" i="13"/>
  <c r="IK4" i="13"/>
  <c r="IL4" i="13"/>
  <c r="IM4" i="13"/>
  <c r="IN4" i="13"/>
  <c r="IO4" i="13"/>
  <c r="IP4" i="13"/>
  <c r="IQ4" i="13"/>
  <c r="IR4" i="13"/>
  <c r="IS4" i="13"/>
  <c r="IT4" i="13"/>
  <c r="IU4" i="13"/>
  <c r="IV4" i="13"/>
  <c r="A3" i="13"/>
  <c r="B3" i="13"/>
  <c r="C3" i="13"/>
  <c r="D3" i="13"/>
  <c r="E3" i="13"/>
  <c r="F3" i="13"/>
  <c r="G3" i="13"/>
  <c r="H3" i="13"/>
  <c r="I3" i="13"/>
  <c r="J3" i="13"/>
  <c r="K3" i="13"/>
  <c r="L3" i="13"/>
  <c r="M3" i="13"/>
  <c r="N3" i="13"/>
  <c r="O3" i="13"/>
  <c r="P3" i="13"/>
  <c r="Q3" i="13"/>
  <c r="R3" i="13"/>
  <c r="S3" i="13"/>
  <c r="T3" i="13"/>
  <c r="U3" i="13"/>
  <c r="V3" i="13"/>
  <c r="W3" i="13"/>
  <c r="X3" i="13"/>
  <c r="Y3" i="13"/>
  <c r="Z3" i="13"/>
  <c r="AA3" i="13"/>
  <c r="AB3" i="13"/>
  <c r="AC3" i="13"/>
  <c r="AD3" i="13"/>
  <c r="AE3" i="13"/>
  <c r="AF3" i="13"/>
  <c r="AG3" i="13"/>
  <c r="AH3" i="13"/>
  <c r="AI3" i="13"/>
  <c r="AJ3" i="13"/>
  <c r="AK3" i="13"/>
  <c r="AL3" i="13"/>
  <c r="AM3" i="13"/>
  <c r="AN3" i="13"/>
  <c r="AO3" i="13"/>
  <c r="AP3" i="13"/>
  <c r="AQ3" i="13"/>
  <c r="AR3" i="13"/>
  <c r="AS3" i="13"/>
  <c r="AT3" i="13"/>
  <c r="AU3" i="13"/>
  <c r="AV3" i="13"/>
  <c r="AW3" i="13"/>
  <c r="AX3" i="13"/>
  <c r="AY3" i="13"/>
  <c r="AZ3" i="13"/>
  <c r="BA3" i="13"/>
  <c r="BB3" i="13"/>
  <c r="BC3" i="13"/>
  <c r="BD3" i="13"/>
  <c r="BE3" i="13"/>
  <c r="BF3" i="13"/>
  <c r="BG3" i="13"/>
  <c r="BH3" i="13"/>
  <c r="BI3" i="13"/>
  <c r="BJ3" i="13"/>
  <c r="BK3" i="13"/>
  <c r="BL3" i="13"/>
  <c r="BM3" i="13"/>
  <c r="BN3" i="13"/>
  <c r="BO3" i="13"/>
  <c r="BP3" i="13"/>
  <c r="BQ3" i="13"/>
  <c r="BR3" i="13"/>
  <c r="BS3" i="13"/>
  <c r="BT3" i="13"/>
  <c r="BU3" i="13"/>
  <c r="BV3" i="13"/>
  <c r="BW3" i="13"/>
  <c r="BX3" i="13"/>
  <c r="BY3" i="13"/>
  <c r="BZ3" i="13"/>
  <c r="CA3" i="13"/>
  <c r="CB3" i="13"/>
  <c r="CC3" i="13"/>
  <c r="CD3" i="13"/>
  <c r="CE3" i="13"/>
  <c r="CF3" i="13"/>
  <c r="CG3" i="13"/>
  <c r="CH3" i="13"/>
  <c r="CI3" i="13"/>
  <c r="CJ3" i="13"/>
  <c r="CK3" i="13"/>
  <c r="CL3" i="13"/>
  <c r="CM3" i="13"/>
  <c r="CN3" i="13"/>
  <c r="CO3" i="13"/>
  <c r="CP3" i="13"/>
  <c r="CQ3" i="13"/>
  <c r="CR3" i="13"/>
  <c r="CS3" i="13"/>
  <c r="CT3" i="13"/>
  <c r="CU3" i="13"/>
  <c r="CV3" i="13"/>
  <c r="CW3" i="13"/>
  <c r="CX3" i="13"/>
  <c r="CY3" i="13"/>
  <c r="CZ3" i="13"/>
  <c r="DA3" i="13"/>
  <c r="DB3" i="13"/>
  <c r="DC3" i="13"/>
  <c r="DD3" i="13"/>
  <c r="DE3" i="13"/>
  <c r="DF3" i="13"/>
  <c r="DG3" i="13"/>
  <c r="DH3" i="13"/>
  <c r="DI3" i="13"/>
  <c r="DJ3" i="13"/>
  <c r="DK3" i="13"/>
  <c r="DL3" i="13"/>
  <c r="DM3" i="13"/>
  <c r="DN3" i="13"/>
  <c r="DO3" i="13"/>
  <c r="DP3" i="13"/>
  <c r="DQ3" i="13"/>
  <c r="DR3" i="13"/>
  <c r="DS3" i="13"/>
  <c r="DT3" i="13"/>
  <c r="DU3" i="13"/>
  <c r="DV3" i="13"/>
  <c r="DW3" i="13"/>
  <c r="DX3" i="13"/>
  <c r="DY3" i="13"/>
  <c r="DZ3" i="13"/>
  <c r="EA3" i="13"/>
  <c r="EB3" i="13"/>
  <c r="EC3" i="13"/>
  <c r="ED3" i="13"/>
  <c r="EE3" i="13"/>
  <c r="EF3" i="13"/>
  <c r="EG3" i="13"/>
  <c r="EH3" i="13"/>
  <c r="EI3" i="13"/>
  <c r="EJ3" i="13"/>
  <c r="EK3" i="13"/>
  <c r="EL3" i="13"/>
  <c r="EM3" i="13"/>
  <c r="EN3" i="13"/>
  <c r="EO3" i="13"/>
  <c r="EP3" i="13"/>
  <c r="EQ3" i="13"/>
  <c r="ER3" i="13"/>
  <c r="ES3" i="13"/>
  <c r="ET3" i="13"/>
  <c r="EU3" i="13"/>
  <c r="EV3" i="13"/>
  <c r="EW3" i="13"/>
  <c r="EX3" i="13"/>
  <c r="EY3" i="13"/>
  <c r="EZ3" i="13"/>
  <c r="FA3" i="13"/>
  <c r="FB3" i="13"/>
  <c r="FC3" i="13"/>
  <c r="FD3" i="13"/>
  <c r="FE3" i="13"/>
  <c r="FF3" i="13"/>
  <c r="FG3" i="13"/>
  <c r="FH3" i="13"/>
  <c r="FI3" i="13"/>
  <c r="FJ3" i="13"/>
  <c r="FK3" i="13"/>
  <c r="FL3" i="13"/>
  <c r="FM3" i="13"/>
  <c r="FN3" i="13"/>
  <c r="FO3" i="13"/>
  <c r="FP3" i="13"/>
  <c r="FQ3" i="13"/>
  <c r="FR3" i="13"/>
  <c r="FS3" i="13"/>
  <c r="FT3" i="13"/>
  <c r="FU3" i="13"/>
  <c r="FV3" i="13"/>
  <c r="FW3" i="13"/>
  <c r="FX3" i="13"/>
  <c r="FY3" i="13"/>
  <c r="FZ3" i="13"/>
  <c r="GA3" i="13"/>
  <c r="GB3" i="13"/>
  <c r="GC3" i="13"/>
  <c r="GD3" i="13"/>
  <c r="GE3" i="13"/>
  <c r="GF3" i="13"/>
  <c r="GG3" i="13"/>
  <c r="GH3" i="13"/>
  <c r="GI3" i="13"/>
  <c r="GJ3" i="13"/>
  <c r="GK3" i="13"/>
  <c r="GL3" i="13"/>
  <c r="GM3" i="13"/>
  <c r="GN3" i="13"/>
  <c r="GO3" i="13"/>
  <c r="GP3" i="13"/>
  <c r="GQ3" i="13"/>
  <c r="GR3" i="13"/>
  <c r="GS3" i="13"/>
  <c r="GT3" i="13"/>
  <c r="GU3" i="13"/>
  <c r="GV3" i="13"/>
  <c r="GW3" i="13"/>
  <c r="GX3" i="13"/>
  <c r="GY3" i="13"/>
  <c r="GZ3" i="13"/>
  <c r="HA3" i="13"/>
  <c r="HB3" i="13"/>
  <c r="HC3" i="13"/>
  <c r="HD3" i="13"/>
  <c r="HE3" i="13"/>
  <c r="HF3" i="13"/>
  <c r="HG3" i="13"/>
  <c r="HH3" i="13"/>
  <c r="HI3" i="13"/>
  <c r="HJ3" i="13"/>
  <c r="HK3" i="13"/>
  <c r="HL3" i="13"/>
  <c r="HM3" i="13"/>
  <c r="HN3" i="13"/>
  <c r="HO3" i="13"/>
  <c r="HP3" i="13"/>
  <c r="HQ3" i="13"/>
  <c r="HR3" i="13"/>
  <c r="HS3" i="13"/>
  <c r="HT3" i="13"/>
  <c r="HU3" i="13"/>
  <c r="HV3" i="13"/>
  <c r="HW3" i="13"/>
  <c r="HX3" i="13"/>
  <c r="HY3" i="13"/>
  <c r="HZ3" i="13"/>
  <c r="IA3" i="13"/>
  <c r="IB3" i="13"/>
  <c r="IC3" i="13"/>
  <c r="ID3" i="13"/>
  <c r="IE3" i="13"/>
  <c r="IF3" i="13"/>
  <c r="IG3" i="13"/>
  <c r="IH3" i="13"/>
  <c r="II3" i="13"/>
  <c r="IJ3" i="13"/>
  <c r="IK3" i="13"/>
  <c r="IL3" i="13"/>
  <c r="IM3" i="13"/>
  <c r="IN3" i="13"/>
  <c r="IO3" i="13"/>
  <c r="IP3" i="13"/>
  <c r="IQ3" i="13"/>
  <c r="IR3" i="13"/>
  <c r="IS3" i="13"/>
  <c r="IT3" i="13"/>
  <c r="IU3" i="13"/>
  <c r="IV3" i="13"/>
  <c r="A2" i="13"/>
  <c r="B2" i="13"/>
  <c r="C2" i="13"/>
  <c r="D2" i="13"/>
  <c r="E2" i="13"/>
  <c r="F2" i="13"/>
  <c r="G2" i="13"/>
  <c r="H2" i="13"/>
  <c r="I2" i="13"/>
  <c r="J2" i="13"/>
  <c r="K2" i="13"/>
  <c r="L2" i="13"/>
  <c r="M2" i="13"/>
  <c r="N2" i="13"/>
  <c r="O2" i="13"/>
  <c r="P2" i="13"/>
  <c r="Q2" i="13"/>
  <c r="R2" i="13"/>
  <c r="S2" i="13"/>
  <c r="T2" i="13"/>
  <c r="U2" i="13"/>
  <c r="V2" i="13"/>
  <c r="W2" i="13"/>
  <c r="X2" i="13"/>
  <c r="Y2" i="13"/>
  <c r="Z2" i="13"/>
  <c r="AA2" i="13"/>
  <c r="AB2" i="13"/>
  <c r="AC2" i="13"/>
  <c r="AD2" i="13"/>
  <c r="AE2" i="13"/>
  <c r="AF2" i="13"/>
  <c r="AG2" i="13"/>
  <c r="AH2" i="13"/>
  <c r="AI2" i="13"/>
  <c r="AJ2" i="13"/>
  <c r="AK2" i="13"/>
  <c r="AL2" i="13"/>
  <c r="AM2" i="13"/>
  <c r="AN2" i="13"/>
  <c r="AO2" i="13"/>
  <c r="AP2" i="13"/>
  <c r="AQ2" i="13"/>
  <c r="AR2" i="13"/>
  <c r="AS2" i="13"/>
  <c r="AT2" i="13"/>
  <c r="AU2" i="13"/>
  <c r="AV2" i="13"/>
  <c r="AW2" i="13"/>
  <c r="AX2" i="13"/>
  <c r="AY2" i="13"/>
  <c r="AZ2" i="13"/>
  <c r="BA2" i="13"/>
  <c r="BB2" i="13"/>
  <c r="BC2" i="13"/>
  <c r="BD2" i="13"/>
  <c r="BE2" i="13"/>
  <c r="BF2" i="13"/>
  <c r="BG2" i="13"/>
  <c r="BH2" i="13"/>
  <c r="BI2" i="13"/>
  <c r="BJ2" i="13"/>
  <c r="BK2" i="13"/>
  <c r="BL2" i="13"/>
  <c r="BM2" i="13"/>
  <c r="BN2" i="13"/>
  <c r="BO2" i="13"/>
  <c r="BP2" i="13"/>
  <c r="BQ2" i="13"/>
  <c r="BR2" i="13"/>
  <c r="BS2" i="13"/>
  <c r="BT2" i="13"/>
  <c r="BU2" i="13"/>
  <c r="BV2" i="13"/>
  <c r="BW2" i="13"/>
  <c r="BX2" i="13"/>
  <c r="BY2" i="13"/>
  <c r="BZ2" i="13"/>
  <c r="CA2" i="13"/>
  <c r="CB2" i="13"/>
  <c r="CC2" i="13"/>
  <c r="CD2" i="13"/>
  <c r="CE2" i="13"/>
  <c r="CF2" i="13"/>
  <c r="CG2" i="13"/>
  <c r="CH2" i="13"/>
  <c r="CI2" i="13"/>
  <c r="CJ2" i="13"/>
  <c r="CK2" i="13"/>
  <c r="CL2" i="13"/>
  <c r="CM2" i="13"/>
  <c r="CN2" i="13"/>
  <c r="CO2" i="13"/>
  <c r="CP2" i="13"/>
  <c r="CQ2" i="13"/>
  <c r="CR2" i="13"/>
  <c r="CS2" i="13"/>
  <c r="CT2" i="13"/>
  <c r="CU2" i="13"/>
  <c r="CV2" i="13"/>
  <c r="CW2" i="13"/>
  <c r="CX2" i="13"/>
  <c r="CY2" i="13"/>
  <c r="CZ2" i="13"/>
  <c r="DA2" i="13"/>
  <c r="DB2" i="13"/>
  <c r="DC2" i="13"/>
  <c r="DD2" i="13"/>
  <c r="DE2" i="13"/>
  <c r="DF2" i="13"/>
  <c r="DG2" i="13"/>
  <c r="DH2" i="13"/>
  <c r="DI2" i="13"/>
  <c r="DJ2" i="13"/>
  <c r="DK2" i="13"/>
  <c r="DL2" i="13"/>
  <c r="DM2" i="13"/>
  <c r="DN2" i="13"/>
  <c r="DO2" i="13"/>
  <c r="DP2" i="13"/>
  <c r="DQ2" i="13"/>
  <c r="DR2" i="13"/>
  <c r="DS2" i="13"/>
  <c r="DT2" i="13"/>
  <c r="DU2" i="13"/>
  <c r="DV2" i="13"/>
  <c r="DW2" i="13"/>
  <c r="DX2" i="13"/>
  <c r="DY2" i="13"/>
  <c r="DZ2" i="13"/>
  <c r="EA2" i="13"/>
  <c r="EB2" i="13"/>
  <c r="EC2" i="13"/>
  <c r="ED2" i="13"/>
  <c r="EE2" i="13"/>
  <c r="EF2" i="13"/>
  <c r="EG2" i="13"/>
  <c r="EH2" i="13"/>
  <c r="EI2" i="13"/>
  <c r="EJ2" i="13"/>
  <c r="EK2" i="13"/>
  <c r="EL2" i="13"/>
  <c r="EM2" i="13"/>
  <c r="EN2" i="13"/>
  <c r="EO2" i="13"/>
  <c r="EP2" i="13"/>
  <c r="EQ2" i="13"/>
  <c r="ER2" i="13"/>
  <c r="ES2" i="13"/>
  <c r="ET2" i="13"/>
  <c r="EU2" i="13"/>
  <c r="EV2" i="13"/>
  <c r="EW2" i="13"/>
  <c r="EX2" i="13"/>
  <c r="EY2" i="13"/>
  <c r="EZ2" i="13"/>
  <c r="FA2" i="13"/>
  <c r="FB2" i="13"/>
  <c r="FC2" i="13"/>
  <c r="FD2" i="13"/>
  <c r="FE2" i="13"/>
  <c r="FF2" i="13"/>
  <c r="FG2" i="13"/>
  <c r="FH2" i="13"/>
  <c r="FI2" i="13"/>
  <c r="FJ2" i="13"/>
  <c r="FK2" i="13"/>
  <c r="FL2" i="13"/>
  <c r="FM2" i="13"/>
  <c r="FN2" i="13"/>
  <c r="FO2" i="13"/>
  <c r="FP2" i="13"/>
  <c r="FQ2" i="13"/>
  <c r="FR2" i="13"/>
  <c r="FS2" i="13"/>
  <c r="FT2" i="13"/>
  <c r="FU2" i="13"/>
  <c r="FV2" i="13"/>
  <c r="FW2" i="13"/>
  <c r="FX2" i="13"/>
  <c r="FY2" i="13"/>
  <c r="FZ2" i="13"/>
  <c r="GA2" i="13"/>
  <c r="GB2" i="13"/>
  <c r="GC2" i="13"/>
  <c r="GD2" i="13"/>
  <c r="GE2" i="13"/>
  <c r="GF2" i="13"/>
  <c r="GG2" i="13"/>
  <c r="GH2" i="13"/>
  <c r="GI2" i="13"/>
  <c r="GJ2" i="13"/>
  <c r="GK2" i="13"/>
  <c r="GL2" i="13"/>
  <c r="GM2" i="13"/>
  <c r="GN2" i="13"/>
  <c r="GO2" i="13"/>
  <c r="GP2" i="13"/>
  <c r="GQ2" i="13"/>
  <c r="GR2" i="13"/>
  <c r="GS2" i="13"/>
  <c r="GT2" i="13"/>
  <c r="GU2" i="13"/>
  <c r="GV2" i="13"/>
  <c r="GW2" i="13"/>
  <c r="GX2" i="13"/>
  <c r="GY2" i="13"/>
  <c r="GZ2" i="13"/>
  <c r="HA2" i="13"/>
  <c r="HB2" i="13"/>
  <c r="HC2" i="13"/>
  <c r="HD2" i="13"/>
  <c r="HE2" i="13"/>
  <c r="HF2" i="13"/>
  <c r="HG2" i="13"/>
  <c r="HH2" i="13"/>
  <c r="HI2" i="13"/>
  <c r="HJ2" i="13"/>
  <c r="HK2" i="13"/>
  <c r="HL2" i="13"/>
  <c r="HM2" i="13"/>
  <c r="HN2" i="13"/>
  <c r="HO2" i="13"/>
  <c r="HP2" i="13"/>
  <c r="HQ2" i="13"/>
  <c r="HR2" i="13"/>
  <c r="HS2" i="13"/>
  <c r="HT2" i="13"/>
  <c r="HU2" i="13"/>
  <c r="HV2" i="13"/>
  <c r="HW2" i="13"/>
  <c r="HX2" i="13"/>
  <c r="HY2" i="13"/>
  <c r="HZ2" i="13"/>
  <c r="IA2" i="13"/>
  <c r="IB2" i="13"/>
  <c r="IC2" i="13"/>
  <c r="ID2" i="13"/>
  <c r="IE2" i="13"/>
  <c r="IF2" i="13"/>
  <c r="IG2" i="13"/>
  <c r="IH2" i="13"/>
  <c r="II2" i="13"/>
  <c r="IJ2" i="13"/>
  <c r="IK2" i="13"/>
  <c r="IL2" i="13"/>
  <c r="IM2" i="13"/>
  <c r="IN2" i="13"/>
  <c r="IO2" i="13"/>
  <c r="IP2" i="13"/>
  <c r="IQ2" i="13"/>
  <c r="IR2" i="13"/>
  <c r="IS2" i="13"/>
  <c r="IT2" i="13"/>
  <c r="IU2" i="13"/>
  <c r="IV2" i="13"/>
  <c r="IK35" i="13" l="1"/>
  <c r="II35" i="13"/>
  <c r="IC35" i="13"/>
  <c r="IA35" i="13"/>
  <c r="IH35" i="13"/>
  <c r="ID35" i="13"/>
  <c r="HZ35" i="13"/>
  <c r="E9" i="10"/>
  <c r="E10" i="10"/>
  <c r="E11" i="10"/>
  <c r="E12" i="10"/>
  <c r="E13" i="10"/>
  <c r="E14" i="10"/>
  <c r="E15" i="10"/>
  <c r="E16" i="10"/>
  <c r="E17" i="10"/>
  <c r="E18" i="10"/>
  <c r="E19" i="10"/>
  <c r="E20" i="10"/>
  <c r="E21" i="10"/>
  <c r="E22" i="10"/>
  <c r="E23" i="10"/>
  <c r="E24" i="10"/>
  <c r="E25" i="10"/>
  <c r="E26" i="10"/>
  <c r="E27" i="10"/>
  <c r="E28" i="10"/>
  <c r="E29" i="10"/>
  <c r="E30" i="10"/>
  <c r="E31" i="10"/>
  <c r="E32" i="10"/>
  <c r="E33" i="10"/>
  <c r="E34" i="10"/>
  <c r="E35" i="10"/>
  <c r="E36" i="10"/>
  <c r="E37" i="10"/>
  <c r="E38" i="10"/>
  <c r="E39" i="10"/>
  <c r="E40" i="10"/>
  <c r="E41" i="10"/>
  <c r="E42" i="10"/>
  <c r="E43" i="10"/>
  <c r="E44" i="10"/>
  <c r="E45" i="10"/>
  <c r="E46" i="10"/>
  <c r="E47" i="10"/>
  <c r="E48" i="10"/>
  <c r="E49" i="10"/>
  <c r="E50" i="10"/>
  <c r="E51" i="10"/>
  <c r="E52" i="10"/>
  <c r="E53" i="10"/>
  <c r="E54" i="10"/>
  <c r="E55" i="10"/>
  <c r="E56" i="10"/>
  <c r="E57" i="10"/>
  <c r="E58" i="10"/>
  <c r="E59" i="10"/>
  <c r="E8" i="10"/>
  <c r="D10" i="8"/>
  <c r="D11" i="8"/>
  <c r="D12" i="8"/>
  <c r="D13" i="8"/>
  <c r="D14" i="8"/>
  <c r="D15" i="8"/>
  <c r="D16" i="8"/>
  <c r="D17" i="8"/>
  <c r="D18" i="8"/>
  <c r="D19" i="8"/>
  <c r="D20" i="8"/>
  <c r="D21" i="8"/>
  <c r="D22" i="8"/>
  <c r="D23" i="8"/>
  <c r="D24" i="8"/>
  <c r="D25" i="8"/>
  <c r="D26" i="8"/>
  <c r="D27" i="8"/>
  <c r="D28" i="8"/>
  <c r="D29" i="8"/>
  <c r="D30" i="8"/>
  <c r="D31" i="8"/>
  <c r="D32" i="8"/>
  <c r="D33" i="8"/>
  <c r="D34" i="8"/>
  <c r="D35" i="8"/>
  <c r="D36" i="8"/>
  <c r="D37" i="8"/>
  <c r="D38" i="8"/>
  <c r="D9" i="8"/>
  <c r="I19" i="10"/>
  <c r="I20" i="10"/>
  <c r="I21" i="10" s="1"/>
  <c r="I22" i="10" s="1"/>
  <c r="I23" i="10" s="1"/>
  <c r="I24" i="10" s="1"/>
  <c r="I25" i="10" s="1"/>
  <c r="I26" i="10" s="1"/>
  <c r="I27" i="10" s="1"/>
  <c r="I28" i="10" s="1"/>
  <c r="I29" i="10" s="1"/>
  <c r="I30" i="10" s="1"/>
  <c r="I31" i="10" s="1"/>
  <c r="I32" i="10" s="1"/>
  <c r="I33" i="10" s="1"/>
  <c r="I34" i="10" s="1"/>
  <c r="I35" i="10" s="1"/>
  <c r="I36" i="10" s="1"/>
  <c r="I37" i="10" s="1"/>
  <c r="I38" i="10" s="1"/>
  <c r="I39" i="10" s="1"/>
  <c r="I40" i="10" s="1"/>
  <c r="I41" i="10" s="1"/>
  <c r="I42" i="10" s="1"/>
  <c r="I43" i="10" s="1"/>
  <c r="I44" i="10" s="1"/>
  <c r="I45" i="10" s="1"/>
  <c r="I46" i="10" s="1"/>
  <c r="I47" i="10" s="1"/>
  <c r="I48" i="10" s="1"/>
  <c r="I49" i="10" s="1"/>
  <c r="I50" i="10" s="1"/>
  <c r="I51" i="10" s="1"/>
  <c r="I52" i="10" s="1"/>
  <c r="I53" i="10" s="1"/>
  <c r="I54" i="10" s="1"/>
  <c r="I55" i="10" s="1"/>
  <c r="I56" i="10" s="1"/>
  <c r="I57" i="10" s="1"/>
  <c r="I58" i="10" s="1"/>
  <c r="I59" i="10" s="1"/>
  <c r="I60" i="10" s="1"/>
  <c r="I61" i="10" s="1"/>
  <c r="I62" i="10" s="1"/>
  <c r="I63" i="10" s="1"/>
  <c r="I64" i="10" s="1"/>
  <c r="I65" i="10" s="1"/>
  <c r="I66" i="10" s="1"/>
  <c r="I67" i="10" s="1"/>
  <c r="I68" i="10" s="1"/>
  <c r="F33" i="1"/>
  <c r="D9" i="7"/>
  <c r="F9" i="7" s="1"/>
  <c r="D10" i="7"/>
  <c r="D11" i="7"/>
  <c r="K9" i="7"/>
  <c r="M9" i="7" s="1"/>
  <c r="M44" i="13" s="1"/>
  <c r="K10" i="7"/>
  <c r="K11" i="7"/>
  <c r="D16" i="7"/>
  <c r="F16" i="7" s="1"/>
  <c r="D17" i="7"/>
  <c r="D18" i="7"/>
  <c r="K16" i="7"/>
  <c r="M16" i="7" s="1"/>
  <c r="K17" i="7"/>
  <c r="K18" i="7"/>
  <c r="D23" i="7"/>
  <c r="F23" i="7" s="1"/>
  <c r="D24" i="7"/>
  <c r="D25" i="7"/>
  <c r="K23" i="7"/>
  <c r="M23" i="7" s="1"/>
  <c r="K24" i="7"/>
  <c r="K25" i="7"/>
  <c r="D30" i="7"/>
  <c r="F30" i="7" s="1"/>
  <c r="D31" i="7"/>
  <c r="D32" i="7"/>
  <c r="K30" i="7"/>
  <c r="M30" i="7" s="1"/>
  <c r="K31" i="7"/>
  <c r="K32" i="7"/>
  <c r="D11" i="6"/>
  <c r="K11" i="6"/>
  <c r="D12" i="6"/>
  <c r="K12" i="6"/>
  <c r="K10" i="6"/>
  <c r="D10" i="6"/>
  <c r="L15" i="6" l="1"/>
  <c r="E15" i="6"/>
  <c r="G37" i="8"/>
  <c r="F36" i="10"/>
  <c r="F40" i="10"/>
  <c r="F42" i="10"/>
  <c r="F39" i="10"/>
  <c r="G15" i="8"/>
  <c r="F14" i="10"/>
  <c r="G31" i="8"/>
  <c r="F30" i="10"/>
  <c r="F52" i="10"/>
  <c r="F29" i="10"/>
  <c r="G30" i="8"/>
  <c r="F50" i="10"/>
  <c r="F28" i="10"/>
  <c r="G29" i="8"/>
  <c r="F41" i="10"/>
  <c r="F23" i="10"/>
  <c r="G24" i="8"/>
  <c r="F19" i="10"/>
  <c r="G20" i="8"/>
  <c r="F22" i="10"/>
  <c r="G23" i="8"/>
  <c r="F56" i="10"/>
  <c r="F53" i="10"/>
  <c r="F45" i="10"/>
  <c r="G22" i="8"/>
  <c r="F21" i="10"/>
  <c r="G32" i="8"/>
  <c r="F31" i="10"/>
  <c r="G10" i="8"/>
  <c r="F9" i="10"/>
  <c r="F37" i="10"/>
  <c r="G38" i="8"/>
  <c r="G27" i="8"/>
  <c r="F26" i="10"/>
  <c r="G9" i="8"/>
  <c r="F8" i="10"/>
  <c r="F34" i="10"/>
  <c r="G35" i="8"/>
  <c r="G17" i="8"/>
  <c r="F16" i="10"/>
  <c r="F35" i="10"/>
  <c r="G36" i="8"/>
  <c r="F38" i="10"/>
  <c r="F46" i="10"/>
  <c r="F57" i="10"/>
  <c r="F59" i="10"/>
  <c r="F58" i="10"/>
  <c r="F55" i="10"/>
  <c r="G33" i="8"/>
  <c r="F32" i="10"/>
  <c r="G28" i="8"/>
  <c r="F27" i="10"/>
  <c r="G11" i="8"/>
  <c r="F10" i="10"/>
  <c r="F51" i="10"/>
  <c r="G21" i="8"/>
  <c r="F20" i="10"/>
  <c r="F48" i="10"/>
  <c r="G26" i="8"/>
  <c r="F25" i="10"/>
  <c r="G12" i="8"/>
  <c r="F11" i="10"/>
  <c r="G34" i="8"/>
  <c r="F33" i="10"/>
  <c r="G16" i="8"/>
  <c r="F15" i="10"/>
  <c r="F54" i="10"/>
  <c r="G19" i="8"/>
  <c r="F18" i="10"/>
  <c r="G14" i="8"/>
  <c r="F13" i="10"/>
  <c r="G18" i="8"/>
  <c r="F17" i="10"/>
  <c r="G25" i="8"/>
  <c r="F24" i="10"/>
  <c r="F49" i="10"/>
  <c r="F44" i="10"/>
  <c r="G13" i="8"/>
  <c r="F12" i="10"/>
  <c r="F43" i="10"/>
  <c r="F47" i="10"/>
  <c r="G18" i="6" l="1"/>
  <c r="G22" i="6"/>
</calcChain>
</file>

<file path=xl/sharedStrings.xml><?xml version="1.0" encoding="utf-8"?>
<sst xmlns="http://schemas.openxmlformats.org/spreadsheetml/2006/main" count="2485" uniqueCount="352">
  <si>
    <t>"Right Rack"</t>
  </si>
  <si>
    <t>"Left Rack"</t>
  </si>
  <si>
    <t>Top</t>
  </si>
  <si>
    <t>Middle</t>
  </si>
  <si>
    <t>Bottom</t>
  </si>
  <si>
    <t>B</t>
  </si>
  <si>
    <t>[M]</t>
  </si>
  <si>
    <t>[B]</t>
  </si>
  <si>
    <t>U</t>
  </si>
  <si>
    <t>Options</t>
  </si>
  <si>
    <t>Tube Placement</t>
  </si>
  <si>
    <t>R</t>
  </si>
  <si>
    <t>R+U</t>
  </si>
  <si>
    <t>W</t>
  </si>
  <si>
    <t>A</t>
  </si>
  <si>
    <t>C</t>
  </si>
  <si>
    <t>D</t>
  </si>
  <si>
    <t>E</t>
  </si>
  <si>
    <t>F</t>
  </si>
  <si>
    <t>Team #</t>
  </si>
  <si>
    <t>Match #</t>
  </si>
  <si>
    <t>Autonomous Starting Position</t>
  </si>
  <si>
    <t>W+U</t>
  </si>
  <si>
    <t>B+U</t>
  </si>
  <si>
    <t>Minibot Delivery / Endgame</t>
  </si>
  <si>
    <t>1st</t>
  </si>
  <si>
    <t>2nd</t>
  </si>
  <si>
    <t>3rd</t>
  </si>
  <si>
    <t>4th</t>
  </si>
  <si>
    <t>No Attempt</t>
  </si>
  <si>
    <t>Did Not Make It</t>
  </si>
  <si>
    <t>Played Defense</t>
  </si>
  <si>
    <t>Robot Scoring Contribution</t>
  </si>
  <si>
    <t>Mark Tube Placement for This Robot Only</t>
  </si>
  <si>
    <t>What did the Robot/Minibot Do in the Endgame?</t>
  </si>
  <si>
    <t>FRC 2011 - LogoMotion</t>
  </si>
  <si>
    <t>Aluminum Falcons Scouting System [AFSS]</t>
  </si>
  <si>
    <t>Autonomous</t>
  </si>
  <si>
    <t>Tele-Operated</t>
  </si>
  <si>
    <t>Minibot</t>
  </si>
  <si>
    <t>Total</t>
  </si>
  <si>
    <t>This Section Populates Itself</t>
  </si>
  <si>
    <t>This Section is Reasonably Scout Subjective</t>
  </si>
  <si>
    <t>Speed of Robot [1-5]</t>
  </si>
  <si>
    <t>Defensive/Offensive</t>
  </si>
  <si>
    <t>Robot/Human Player Attributes</t>
  </si>
  <si>
    <t>Pick-Up From Ground</t>
  </si>
  <si>
    <t>Pick-Up From Human Player</t>
  </si>
  <si>
    <t>Minibot Fill-Ins</t>
  </si>
  <si>
    <t>Speed Choices</t>
  </si>
  <si>
    <t>Mostly Defensive</t>
  </si>
  <si>
    <t>Mostly Offensive</t>
  </si>
  <si>
    <t>Equal Mix</t>
  </si>
  <si>
    <t>Yes/No</t>
  </si>
  <si>
    <t>Yes</t>
  </si>
  <si>
    <t>No</t>
  </si>
  <si>
    <t>Threw Tubes</t>
  </si>
  <si>
    <t>Pushed Tubes Through Wall</t>
  </si>
  <si>
    <t>H</t>
  </si>
  <si>
    <t>Recived Penalties</t>
  </si>
  <si>
    <t>Points Scored</t>
  </si>
  <si>
    <t>Points</t>
  </si>
  <si>
    <t>Autonomous Tubes</t>
  </si>
  <si>
    <t>Tele-Operated Tubes</t>
  </si>
  <si>
    <t>Speed</t>
  </si>
  <si>
    <t>Penalties</t>
  </si>
  <si>
    <t>Pick-Up</t>
  </si>
  <si>
    <t>Tube Entering</t>
  </si>
  <si>
    <t>Single Team Contribution Analysis</t>
  </si>
  <si>
    <t>Starting</t>
  </si>
  <si>
    <t>Average</t>
  </si>
  <si>
    <t>Competition Analysis</t>
  </si>
  <si>
    <t>Autonomous Totals</t>
  </si>
  <si>
    <t>Tele-Operated Totals</t>
  </si>
  <si>
    <t>Tries</t>
  </si>
  <si>
    <t>Logos</t>
  </si>
  <si>
    <t>Use Pull-down menu To Select Position</t>
  </si>
  <si>
    <t>Left</t>
  </si>
  <si>
    <t>Right</t>
  </si>
  <si>
    <t>Starting Position</t>
  </si>
  <si>
    <t>top U</t>
  </si>
  <si>
    <t>mid U</t>
  </si>
  <si>
    <t>bot U</t>
  </si>
  <si>
    <t>top L</t>
  </si>
  <si>
    <t>mid L</t>
  </si>
  <si>
    <t>bot L</t>
  </si>
  <si>
    <t>combo</t>
  </si>
  <si>
    <t>Date</t>
  </si>
  <si>
    <t>Database</t>
  </si>
  <si>
    <t>Individual Team Data</t>
  </si>
  <si>
    <t>Match Prediction Analysis</t>
  </si>
  <si>
    <t xml:space="preserve">Red Alliance </t>
  </si>
  <si>
    <t>vs.</t>
  </si>
  <si>
    <t>Blue Alliance</t>
  </si>
  <si>
    <t>Input Team Numbers For The Red Alliance Below</t>
  </si>
  <si>
    <t>Input Team Numbers For The Blue Alliance Below</t>
  </si>
  <si>
    <t>Teams</t>
  </si>
  <si>
    <t>Average Alliance Contribution [AAC]</t>
  </si>
  <si>
    <t>Position</t>
  </si>
  <si>
    <t>AAC and Scoring Potential Will Be Automatically Calculated</t>
  </si>
  <si>
    <t>Red Scoring Potential</t>
  </si>
  <si>
    <t>Blue Scoring Potential</t>
  </si>
  <si>
    <t>Predicted Match Winner</t>
  </si>
  <si>
    <t>Point Differencial</t>
  </si>
  <si>
    <t>Type in the team number above</t>
  </si>
  <si>
    <t>Enter Team and Match Information</t>
  </si>
  <si>
    <t>Final Alliances</t>
  </si>
  <si>
    <t>#1</t>
  </si>
  <si>
    <t>#8</t>
  </si>
  <si>
    <t>AAC</t>
  </si>
  <si>
    <t>Total Potential</t>
  </si>
  <si>
    <t>Pick</t>
  </si>
  <si>
    <t>#2</t>
  </si>
  <si>
    <t>#7</t>
  </si>
  <si>
    <t>#3</t>
  </si>
  <si>
    <t>#6</t>
  </si>
  <si>
    <t>#4</t>
  </si>
  <si>
    <t>#5</t>
  </si>
  <si>
    <t>Qualification Rankings</t>
  </si>
  <si>
    <t>AFSS Rankings</t>
  </si>
  <si>
    <t>Pick List Determination</t>
  </si>
  <si>
    <t>Average Alliance Contribution</t>
  </si>
  <si>
    <t>Rank</t>
  </si>
  <si>
    <t>Group</t>
  </si>
  <si>
    <t>Associated #</t>
  </si>
  <si>
    <t>Rating [0 - 5]</t>
  </si>
  <si>
    <t>Scary</t>
  </si>
  <si>
    <t>Great</t>
  </si>
  <si>
    <t>Good</t>
  </si>
  <si>
    <t>Decent</t>
  </si>
  <si>
    <t>Bad</t>
  </si>
  <si>
    <t>Avoid</t>
  </si>
  <si>
    <t>Ratings</t>
  </si>
  <si>
    <t>x</t>
  </si>
  <si>
    <t>Ranking and AFSS Rankings</t>
  </si>
  <si>
    <t>Comments</t>
  </si>
  <si>
    <t>Qual Rank</t>
  </si>
  <si>
    <t>Welcome to the Aluminum Falcons Scouting System [AFSS] for the 2011 FIRST Robotics Competition</t>
  </si>
  <si>
    <t>Table of Contents &amp; Basic Instructions</t>
  </si>
  <si>
    <t>Tabs</t>
  </si>
  <si>
    <t>Usage</t>
  </si>
  <si>
    <t>Printable Sheets</t>
  </si>
  <si>
    <t xml:space="preserve">Print Out The Sheet Contained On This Tab, With Best Fit Landscape Setting, Two Sheets Per Page, For Each Robot For Every Qualification Match. </t>
  </si>
  <si>
    <t>Hint:  Number Of Sheets = Qualification Matches x 6</t>
  </si>
  <si>
    <t>Scout Data Input Sheet</t>
  </si>
  <si>
    <t>Assign A Single "Input Person" To Take the Filled Out Printed Sheets And Input The Individual Robot Data</t>
  </si>
  <si>
    <t>Team Template</t>
  </si>
  <si>
    <t>Under The "Individual Team Data" Box, Use The Dropdown Menu Or Directly Input The Team Number Which You Are Interested In To See All Of Their Match Data</t>
  </si>
  <si>
    <t>Data Analysis</t>
  </si>
  <si>
    <t>Final Alliance Potential</t>
  </si>
  <si>
    <t>Manually Input The Alliance Members For Each Of The Top Eight Alliances, Their Individual Potential Will Automatically Be Calculated For You</t>
  </si>
  <si>
    <t>Data</t>
  </si>
  <si>
    <t>This Is The Database For The Complete Scouting System</t>
  </si>
  <si>
    <t>DISCLAIMER</t>
  </si>
  <si>
    <t>Use This Scouting System At Your Own Risk. We Provide No Guarantee As To The Accuracy Of The System, But Hope That It Will Be Helpful To Our Team As Well As Yours In The Organization and Analysis Of Scouting Data. If You Find Any Glitches, Errors, Or Have Any Improvement Ideas, Please Contact One Of The Authors.</t>
  </si>
  <si>
    <t>Justin W. Foss</t>
  </si>
  <si>
    <t>Jun Kudo</t>
  </si>
  <si>
    <t>fossjw@gmail.com</t>
  </si>
  <si>
    <t>Please Print Clearly And Neatly, This Data Will Be Inputted Into Excel</t>
  </si>
  <si>
    <t>Input Match Data</t>
  </si>
  <si>
    <t>Enter Specific Team Name &amp; Specific Match Number Above</t>
  </si>
  <si>
    <t>Outside Left</t>
  </si>
  <si>
    <t>Outside Right</t>
  </si>
  <si>
    <t>Circle The Robot Starting Position For Autonomous</t>
  </si>
  <si>
    <t>[T]</t>
  </si>
  <si>
    <t>Mark Tube Placement By This Robot Only</t>
  </si>
  <si>
    <t>Hostbot</t>
  </si>
  <si>
    <t>Offense</t>
  </si>
  <si>
    <t>Defense</t>
  </si>
  <si>
    <t>Circle What The Robot Achieved In The Endgame</t>
  </si>
  <si>
    <t>1   /   2   /   3   /   4   /   5</t>
  </si>
  <si>
    <t xml:space="preserve">Offensive / Equal / Defensive </t>
  </si>
  <si>
    <t>Y       /       N</t>
  </si>
  <si>
    <t>Received Penalties</t>
  </si>
  <si>
    <t>Please Circle Your Observations Above</t>
  </si>
  <si>
    <t>Pick List</t>
  </si>
  <si>
    <t xml:space="preserve">Qualification And AFSS </t>
  </si>
  <si>
    <t>This Sheet Is Designed To Help You In Alliance Selection. Under "Qualification Rankings" Manually Input The Top 30 Teams. The "AFSS Rankings" Will Rank The Top 30 Teams Based On Average Alliance Contribution Automatically.</t>
  </si>
  <si>
    <t>junkudo18@gmail.com</t>
  </si>
  <si>
    <t>This Sheet Provides The Ability To Rank Every Team Based On Your Chosen Criteria. Use The Dropdown Menus To Select Your Criteria</t>
  </si>
  <si>
    <t>Manually Input The Alliance Members For Each Alliance (Red &amp; Blue). The System Will Automatically Predict Match Outcome Based On Average Alliance Contribution</t>
  </si>
  <si>
    <t>This Tab Allows Your Team To Sort Through And Rank Based On All Criteria; Use Various Groups, And Ratings Through Dropdown Menus.</t>
  </si>
  <si>
    <t>Use To Sort ALL Teams Using The Criteria Below</t>
  </si>
  <si>
    <t>Hint: When Sorting For Groups and Ratings Sort By Rating First, Then By Group</t>
  </si>
  <si>
    <t>Manually Input From FIRST Data</t>
  </si>
  <si>
    <t>Development</t>
  </si>
  <si>
    <t>Developed In:</t>
  </si>
  <si>
    <t>Developers:</t>
  </si>
  <si>
    <t>Please Provide Brief Comments On Robot Design &amp; Performance</t>
  </si>
  <si>
    <t>Ground</t>
  </si>
  <si>
    <t>Thrown</t>
  </si>
  <si>
    <t>3/25/2011 11:08</t>
  </si>
  <si>
    <t/>
  </si>
  <si>
    <t>3/25/2011 11:06</t>
  </si>
  <si>
    <t>3/25/2011 11:09</t>
  </si>
  <si>
    <t>3/25/2011 11:17</t>
  </si>
  <si>
    <t>3/25/2011 11:16</t>
  </si>
  <si>
    <t>3/25/2011 11:15</t>
  </si>
  <si>
    <t>3/25/2011 11:14</t>
  </si>
  <si>
    <t>3/25/2011 11:28</t>
  </si>
  <si>
    <t>3/25/2011 11:27</t>
  </si>
  <si>
    <t>3/25/2011 11:37</t>
  </si>
  <si>
    <t>3/25/2011 11:36</t>
  </si>
  <si>
    <t>Human and Ground</t>
  </si>
  <si>
    <t>Pushed and Thrown</t>
  </si>
  <si>
    <t>3/25/2011 11:45</t>
  </si>
  <si>
    <t>Human</t>
  </si>
  <si>
    <t>3/25/2011 11:43</t>
  </si>
  <si>
    <t>3/25/2011 11:56</t>
  </si>
  <si>
    <t>3/25/2011 11:55</t>
  </si>
  <si>
    <t>3/25/2011 12:09</t>
  </si>
  <si>
    <t>3/25/2011 12:08</t>
  </si>
  <si>
    <t>3/25/2011 12:07</t>
  </si>
  <si>
    <t>3/25/2011 12:04</t>
  </si>
  <si>
    <t>3/25/2011 12:00</t>
  </si>
  <si>
    <t>3/25/2011 12:14</t>
  </si>
  <si>
    <t>3/25/2011 12:15</t>
  </si>
  <si>
    <t>3/25/2011 12:13</t>
  </si>
  <si>
    <t>3/25/2011 12:12</t>
  </si>
  <si>
    <t>3/25/2011 12:11</t>
  </si>
  <si>
    <t>3/25/2011 12:24</t>
  </si>
  <si>
    <t>3/25/2011 12:20</t>
  </si>
  <si>
    <t>3/25/2011 12:30</t>
  </si>
  <si>
    <t>3/25/2011 12:28</t>
  </si>
  <si>
    <t>3/25/2011 12:33</t>
  </si>
  <si>
    <t>3/25/2011 12:34</t>
  </si>
  <si>
    <t>3/25/2011 12:35</t>
  </si>
  <si>
    <t>3/25/2011 12:36</t>
  </si>
  <si>
    <t>3/25/2011 12:42</t>
  </si>
  <si>
    <t>3/25/2011 12:43</t>
  </si>
  <si>
    <t>3/25/2011 12:45</t>
  </si>
  <si>
    <t>3/25/2011 14:08</t>
  </si>
  <si>
    <t>3/25/2011 12:51</t>
  </si>
  <si>
    <t>3/25/2011 12:50</t>
  </si>
  <si>
    <t>3/25/2011 12:49</t>
  </si>
  <si>
    <t>3/25/2011 12:56</t>
  </si>
  <si>
    <t>3/25/2011 12:58</t>
  </si>
  <si>
    <t>3/25/2011 13:09</t>
  </si>
  <si>
    <t>3/25/2011 13:08</t>
  </si>
  <si>
    <t>3/25/2011 14:12</t>
  </si>
  <si>
    <t>3/25/2011 14:10</t>
  </si>
  <si>
    <t>3/25/2011 14:07</t>
  </si>
  <si>
    <t>3/25/2011 14:06</t>
  </si>
  <si>
    <t>3/25/2011 14:17</t>
  </si>
  <si>
    <t>3/25/2011 14:16</t>
  </si>
  <si>
    <t>3/25/2011 14:15</t>
  </si>
  <si>
    <t>3/25/2011 14:26</t>
  </si>
  <si>
    <t>3/25/2011 14:25</t>
  </si>
  <si>
    <t>3/25/2011 14:32</t>
  </si>
  <si>
    <t>3/25/2011 14:40</t>
  </si>
  <si>
    <t>3/25/2011 14:39</t>
  </si>
  <si>
    <t>3/25/2011 14:38</t>
  </si>
  <si>
    <t>3/25/2011 14:46</t>
  </si>
  <si>
    <t>3/25/2011 14:47</t>
  </si>
  <si>
    <t>3/25/2011 15:00</t>
  </si>
  <si>
    <t>3/25/2011 14:54</t>
  </si>
  <si>
    <t>3/25/2011 14:53</t>
  </si>
  <si>
    <t>3/25/2011 14:52</t>
  </si>
  <si>
    <t>3/25/2011 14:58</t>
  </si>
  <si>
    <t>3/25/2011 14:59</t>
  </si>
  <si>
    <t>3/25/2011 15:02</t>
  </si>
  <si>
    <t>3/25/2011 15:01</t>
  </si>
  <si>
    <t>3/25/2011 15:11</t>
  </si>
  <si>
    <t>3/25/2011 15:07</t>
  </si>
  <si>
    <t>3/25/2011 15:14</t>
  </si>
  <si>
    <t>3/25/2011 15:16</t>
  </si>
  <si>
    <t>3/25/2011 15:15</t>
  </si>
  <si>
    <t>3/25/2011 15:13</t>
  </si>
  <si>
    <t>3/25/2011 15:27</t>
  </si>
  <si>
    <t>3/25/2011 15:23</t>
  </si>
  <si>
    <t>3/25/2011 15:22</t>
  </si>
  <si>
    <t>3/25/2011 15:21</t>
  </si>
  <si>
    <t>3/25/2011 15:20</t>
  </si>
  <si>
    <t>3/25/2011 15:29</t>
  </si>
  <si>
    <t>3/25/2011 15:30</t>
  </si>
  <si>
    <t>3/25/2011 15:37</t>
  </si>
  <si>
    <t>3/25/2011 15:38</t>
  </si>
  <si>
    <t>3/25/2011 15:39</t>
  </si>
  <si>
    <t>3/25/2011 15:44</t>
  </si>
  <si>
    <t>3/25/2011 15:45</t>
  </si>
  <si>
    <t>3/25/2011 15:52</t>
  </si>
  <si>
    <t>3/25/2011 15:53</t>
  </si>
  <si>
    <t>3/25/2011 15:54</t>
  </si>
  <si>
    <t>3/25/2011 16:06</t>
  </si>
  <si>
    <t>3/25/2011 16:05</t>
  </si>
  <si>
    <t>3/25/2011 16:03</t>
  </si>
  <si>
    <t>3/25/2011 16:10</t>
  </si>
  <si>
    <t>3/25/2011 16:11</t>
  </si>
  <si>
    <t>3/25/2011 16:12</t>
  </si>
  <si>
    <t>3/25/2011 16:19</t>
  </si>
  <si>
    <t>3/25/2011 16:27</t>
  </si>
  <si>
    <t>3/25/2011 16:30</t>
  </si>
  <si>
    <t>3/25/2011 16:37</t>
  </si>
  <si>
    <t>3/25/2011 16:33</t>
  </si>
  <si>
    <t>3/25/2011 16:46</t>
  </si>
  <si>
    <t>3/25/2011 16:47</t>
  </si>
  <si>
    <t>3/25/2011 16:53</t>
  </si>
  <si>
    <t>3/25/2011 17:00</t>
  </si>
  <si>
    <t>3/25/2011 16:54</t>
  </si>
  <si>
    <t>3/25/2011 17:06</t>
  </si>
  <si>
    <t>3/25/2011 17:07</t>
  </si>
  <si>
    <t>3/25/2011 17:17</t>
  </si>
  <si>
    <t>3/25/2011 17:16</t>
  </si>
  <si>
    <t>3/25/2011 17:19</t>
  </si>
  <si>
    <t>3/25/2011 17:22</t>
  </si>
  <si>
    <t>3/25/2011 17:23</t>
  </si>
  <si>
    <t>3/25/2011 17:30</t>
  </si>
  <si>
    <t>3/25/2011 17:33</t>
  </si>
  <si>
    <t>3/25/2011 17:29</t>
  </si>
  <si>
    <t>3/25/2011 17:37</t>
  </si>
  <si>
    <t>3/25/2011 17:36</t>
  </si>
  <si>
    <t>3/25/2011 17:42</t>
  </si>
  <si>
    <t>3/25/2011 17:43</t>
  </si>
  <si>
    <t>3/25/2011 17:49</t>
  </si>
  <si>
    <t>3/25/2011 17:57</t>
  </si>
  <si>
    <t>3/25/2011 17:50</t>
  </si>
  <si>
    <t>3/25/2011 17:59</t>
  </si>
  <si>
    <t>3/25/2011 17:58</t>
  </si>
  <si>
    <t>3/25/2011 18:05</t>
  </si>
  <si>
    <t>3/25/2011 18:04</t>
  </si>
  <si>
    <t>3/25/2011 18:13</t>
  </si>
  <si>
    <t>3/25/2011 18:12</t>
  </si>
  <si>
    <t>3/25/2011 18:18</t>
  </si>
  <si>
    <t>3/25/2011 18:23</t>
  </si>
  <si>
    <t>3/25/2011 18:20</t>
  </si>
  <si>
    <t>3/25/2011 18:19</t>
  </si>
  <si>
    <t>3/25/2011 18:35</t>
  </si>
  <si>
    <t>3/25/2011 18:38</t>
  </si>
  <si>
    <t>3/25/2011 18:36</t>
  </si>
  <si>
    <t>3/25/2011 18:43</t>
  </si>
  <si>
    <t>3/25/2011 18:45</t>
  </si>
  <si>
    <t>3/25/2011 19:04</t>
  </si>
  <si>
    <t>3/25/2011 19:01</t>
  </si>
  <si>
    <t>3/25/2011 18:59</t>
  </si>
  <si>
    <t>3/25/2011 19:10</t>
  </si>
  <si>
    <t>3/25/2011 19:11</t>
  </si>
  <si>
    <t>3/25/2011 19:12</t>
  </si>
  <si>
    <t>3/25/2011 19:19</t>
  </si>
  <si>
    <t>3/25/2011 19:18</t>
  </si>
  <si>
    <t>3/25/2011 19:15</t>
  </si>
  <si>
    <t>3/25/2011 19:24</t>
  </si>
  <si>
    <t>3/25/2011 19:25</t>
  </si>
  <si>
    <t>3/26/2011 10:09</t>
  </si>
  <si>
    <t>3/26/2011 10:11</t>
  </si>
  <si>
    <t>3/26/2011 10:08</t>
  </si>
  <si>
    <t>3/26/2011 10:10</t>
  </si>
  <si>
    <t>3/26/2011 10:17</t>
  </si>
  <si>
    <t>3/26/2011 10:16</t>
  </si>
  <si>
    <t>3/26/2011 10:15</t>
  </si>
  <si>
    <t>AAAAAGd0/+g=</t>
  </si>
  <si>
    <t>AAAAAGd0/+k=</t>
  </si>
  <si>
    <t>AAAAAGd0/+o=</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</si>
</sst>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33" x14ac:knownFonts="1">
    <font>
      <sz val="10"/>
      <name val="Arial"/>
    </font>
    <font>
      <sz val="11"/>
      <color theme="1"/>
      <name val="Calibri"/>
      <family val="2"/>
      <scheme val="minor"/>
    </font>
    <font>
      <sz val="10"/>
      <name val="Arial"/>
      <family val="2"/>
    </font>
    <font>
      <b/>
      <sz val="10"/>
      <name val="Arial"/>
      <family val="2"/>
    </font>
    <font>
      <b/>
      <i/>
      <sz val="10"/>
      <name val="Arial"/>
      <family val="2"/>
    </font>
    <font>
      <sz val="8"/>
      <name val="Arial"/>
      <family val="2"/>
    </font>
    <font>
      <b/>
      <sz val="8"/>
      <name val="Arial"/>
      <family val="2"/>
    </font>
    <font>
      <sz val="7"/>
      <name val="Arial"/>
      <family val="2"/>
    </font>
    <font>
      <b/>
      <sz val="10"/>
      <color indexed="9"/>
      <name val="Arial"/>
      <family val="2"/>
    </font>
    <font>
      <b/>
      <i/>
      <sz val="11"/>
      <color indexed="9"/>
      <name val="Arial"/>
      <family val="2"/>
    </font>
    <font>
      <b/>
      <i/>
      <sz val="10"/>
      <color indexed="9"/>
      <name val="Arial"/>
      <family val="2"/>
    </font>
    <font>
      <b/>
      <i/>
      <sz val="11"/>
      <name val="Arial"/>
      <family val="2"/>
    </font>
    <font>
      <i/>
      <sz val="10"/>
      <name val="Arial"/>
      <family val="2"/>
    </font>
    <font>
      <b/>
      <sz val="8"/>
      <name val="Arial"/>
      <family val="2"/>
    </font>
    <font>
      <sz val="7"/>
      <name val="Arial"/>
      <family val="2"/>
    </font>
    <font>
      <sz val="10"/>
      <name val="Arial"/>
      <family val="2"/>
    </font>
    <font>
      <b/>
      <sz val="16"/>
      <name val="Arial"/>
      <family val="2"/>
    </font>
    <font>
      <sz val="10"/>
      <name val="Arial"/>
      <family val="2"/>
    </font>
    <font>
      <sz val="10"/>
      <name val="Arial"/>
      <family val="2"/>
    </font>
    <font>
      <b/>
      <sz val="16"/>
      <name val="Arial"/>
      <family val="2"/>
    </font>
    <font>
      <b/>
      <i/>
      <sz val="14"/>
      <name val="Arial"/>
      <family val="2"/>
    </font>
    <font>
      <b/>
      <sz val="12"/>
      <name val="Arial"/>
      <family val="2"/>
    </font>
    <font>
      <b/>
      <sz val="8"/>
      <color indexed="9"/>
      <name val="Arial"/>
      <family val="2"/>
    </font>
    <font>
      <b/>
      <sz val="11"/>
      <name val="Arial"/>
      <family val="2"/>
    </font>
    <font>
      <b/>
      <sz val="7"/>
      <name val="Arial"/>
      <family val="2"/>
    </font>
    <font>
      <b/>
      <sz val="12"/>
      <color indexed="9"/>
      <name val="Arial"/>
      <family val="2"/>
    </font>
    <font>
      <b/>
      <sz val="10"/>
      <name val="Arial"/>
      <family val="2"/>
    </font>
    <font>
      <u/>
      <sz val="10"/>
      <color indexed="12"/>
      <name val="Arial"/>
      <family val="2"/>
    </font>
    <font>
      <sz val="10"/>
      <color indexed="9"/>
      <name val="Arial"/>
      <family val="2"/>
    </font>
    <font>
      <u/>
      <sz val="8"/>
      <color indexed="12"/>
      <name val="Arial"/>
      <family val="2"/>
    </font>
    <font>
      <b/>
      <sz val="8"/>
      <color indexed="9"/>
      <name val="Arial"/>
      <family val="2"/>
    </font>
    <font>
      <sz val="11"/>
      <color theme="1"/>
      <name val="Calibri"/>
      <family val="2"/>
      <scheme val="minor"/>
    </font>
    <font>
      <sz val="10"/>
      <color rgb="FF000000"/>
      <name val="Arial"/>
      <family val="2"/>
    </font>
  </fonts>
  <fills count="7">
    <fill>
      <patternFill patternType="none"/>
    </fill>
    <fill>
      <patternFill patternType="gray125"/>
    </fill>
    <fill>
      <patternFill patternType="solid">
        <fgColor indexed="10"/>
        <bgColor indexed="64"/>
      </patternFill>
    </fill>
    <fill>
      <patternFill patternType="solid">
        <fgColor indexed="9"/>
        <bgColor indexed="64"/>
      </patternFill>
    </fill>
    <fill>
      <patternFill patternType="solid">
        <fgColor indexed="12"/>
        <bgColor indexed="64"/>
      </patternFill>
    </fill>
    <fill>
      <patternFill patternType="solid">
        <fgColor indexed="51"/>
        <bgColor indexed="64"/>
      </patternFill>
    </fill>
    <fill>
      <patternFill patternType="solid">
        <fgColor indexed="22"/>
        <bgColor indexed="64"/>
      </patternFill>
    </fill>
  </fills>
  <borders count="35">
    <border>
      <left/>
      <right/>
      <top/>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diagonalUp="1">
      <left style="medium">
        <color indexed="64"/>
      </left>
      <right style="medium">
        <color indexed="64"/>
      </right>
      <top style="medium">
        <color indexed="64"/>
      </top>
      <bottom style="medium">
        <color indexed="64"/>
      </bottom>
      <diagonal style="dotted">
        <color indexed="64"/>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s>
  <cellStyleXfs count="3">
    <xf numFmtId="0" fontId="0" fillId="0" borderId="0"/>
    <xf numFmtId="0" fontId="27" fillId="0" borderId="0" applyNumberFormat="0" applyFill="0" applyBorder="0" applyAlignment="0" applyProtection="0">
      <alignment vertical="top"/>
      <protection locked="0"/>
    </xf>
    <xf numFmtId="0" fontId="31" fillId="0" borderId="0"/>
  </cellStyleXfs>
  <cellXfs count="361">
    <xf numFmtId="0" fontId="0" fillId="0" borderId="0" xfId="0"/>
    <xf numFmtId="0" fontId="0" fillId="0" borderId="1" xfId="0" applyBorder="1"/>
    <xf numFmtId="0" fontId="0" fillId="0" borderId="2" xfId="0" applyBorder="1"/>
    <xf numFmtId="0" fontId="0" fillId="0" borderId="3" xfId="0" applyBorder="1"/>
    <xf numFmtId="0" fontId="0" fillId="0" borderId="0" xfId="0" applyBorder="1"/>
    <xf numFmtId="0" fontId="3" fillId="0" borderId="4" xfId="0" applyFont="1" applyBorder="1" applyAlignment="1">
      <alignment horizontal="center" vertical="center"/>
    </xf>
    <xf numFmtId="0" fontId="6" fillId="0" borderId="0" xfId="0" applyFont="1" applyBorder="1" applyAlignment="1">
      <alignment horizontal="center" vertical="center"/>
    </xf>
    <xf numFmtId="0" fontId="10" fillId="2" borderId="5" xfId="0" applyFont="1" applyFill="1" applyBorder="1" applyAlignment="1">
      <alignment horizontal="center"/>
    </xf>
    <xf numFmtId="0" fontId="9" fillId="2" borderId="5" xfId="0" applyFont="1" applyFill="1" applyBorder="1" applyAlignment="1">
      <alignment horizontal="center" vertical="center"/>
    </xf>
    <xf numFmtId="0" fontId="4" fillId="3" borderId="5" xfId="0" applyFont="1" applyFill="1" applyBorder="1" applyAlignment="1">
      <alignment horizontal="center"/>
    </xf>
    <xf numFmtId="0" fontId="11" fillId="3" borderId="5" xfId="0" applyFont="1" applyFill="1" applyBorder="1" applyAlignment="1">
      <alignment horizontal="center" vertical="center"/>
    </xf>
    <xf numFmtId="0" fontId="10" fillId="4" borderId="5" xfId="0" applyFont="1" applyFill="1" applyBorder="1" applyAlignment="1">
      <alignment horizontal="center"/>
    </xf>
    <xf numFmtId="0" fontId="9" fillId="4" borderId="5" xfId="0" applyFont="1" applyFill="1" applyBorder="1" applyAlignment="1">
      <alignment horizontal="center" vertical="center"/>
    </xf>
    <xf numFmtId="0" fontId="4" fillId="0" borderId="0" xfId="0" applyFont="1" applyBorder="1"/>
    <xf numFmtId="0" fontId="12" fillId="0" borderId="2" xfId="0" applyFont="1" applyBorder="1"/>
    <xf numFmtId="0" fontId="3" fillId="0" borderId="6" xfId="0" applyFont="1" applyBorder="1" applyAlignment="1">
      <alignment horizontal="center" vertical="center"/>
    </xf>
    <xf numFmtId="0" fontId="4" fillId="5" borderId="7" xfId="0" applyFont="1" applyFill="1" applyBorder="1" applyAlignment="1">
      <alignment horizontal="center"/>
    </xf>
    <xf numFmtId="0" fontId="3" fillId="0" borderId="8" xfId="0" applyFont="1" applyBorder="1" applyAlignment="1">
      <alignment horizontal="center" vertical="center"/>
    </xf>
    <xf numFmtId="0" fontId="6" fillId="0" borderId="0" xfId="0" applyFont="1" applyFill="1" applyBorder="1" applyAlignment="1">
      <alignment horizontal="center" vertical="center"/>
    </xf>
    <xf numFmtId="0" fontId="6" fillId="0" borderId="5" xfId="0" applyFont="1" applyBorder="1" applyAlignment="1">
      <alignment horizontal="center" vertical="center"/>
    </xf>
    <xf numFmtId="0" fontId="6" fillId="0" borderId="0" xfId="0" applyFont="1" applyBorder="1" applyAlignment="1">
      <alignment horizontal="center" vertical="center" wrapText="1"/>
    </xf>
    <xf numFmtId="22" fontId="6" fillId="0" borderId="0" xfId="0" applyNumberFormat="1" applyFont="1" applyBorder="1" applyAlignment="1">
      <alignment horizontal="center" vertical="center"/>
    </xf>
    <xf numFmtId="0" fontId="0" fillId="0" borderId="0" xfId="0" applyFill="1" applyBorder="1" applyAlignment="1">
      <alignment horizontal="center"/>
    </xf>
    <xf numFmtId="0" fontId="6" fillId="0" borderId="7" xfId="0" applyFont="1" applyBorder="1" applyAlignment="1">
      <alignment horizontal="center" vertical="center"/>
    </xf>
    <xf numFmtId="0" fontId="0" fillId="3" borderId="0" xfId="0" applyFill="1" applyBorder="1" applyAlignment="1"/>
    <xf numFmtId="0" fontId="0" fillId="3" borderId="0" xfId="0" applyFill="1"/>
    <xf numFmtId="0" fontId="0" fillId="3" borderId="0" xfId="0" applyFill="1" applyBorder="1"/>
    <xf numFmtId="0" fontId="8" fillId="3" borderId="0" xfId="0" applyFont="1" applyFill="1" applyBorder="1" applyAlignment="1">
      <alignment horizontal="center"/>
    </xf>
    <xf numFmtId="0" fontId="0" fillId="3" borderId="1" xfId="0" applyFill="1" applyBorder="1" applyAlignment="1"/>
    <xf numFmtId="0" fontId="0" fillId="3" borderId="2" xfId="0" applyFill="1" applyBorder="1" applyAlignment="1"/>
    <xf numFmtId="0" fontId="0" fillId="3" borderId="9" xfId="0" applyFill="1" applyBorder="1" applyAlignment="1"/>
    <xf numFmtId="0" fontId="0" fillId="3" borderId="3" xfId="0" applyFill="1" applyBorder="1" applyAlignment="1"/>
    <xf numFmtId="0" fontId="0" fillId="3" borderId="10" xfId="0" applyFill="1" applyBorder="1" applyAlignment="1"/>
    <xf numFmtId="0" fontId="0" fillId="3" borderId="3" xfId="0" applyFill="1" applyBorder="1"/>
    <xf numFmtId="0" fontId="0" fillId="3" borderId="10" xfId="0" applyFill="1" applyBorder="1"/>
    <xf numFmtId="0" fontId="0" fillId="3" borderId="11" xfId="0" applyFill="1" applyBorder="1"/>
    <xf numFmtId="0" fontId="0" fillId="3" borderId="12" xfId="0" applyFill="1" applyBorder="1"/>
    <xf numFmtId="0" fontId="0" fillId="3" borderId="13" xfId="0" applyFill="1" applyBorder="1"/>
    <xf numFmtId="0" fontId="6" fillId="3" borderId="0" xfId="0" applyFont="1" applyFill="1" applyBorder="1"/>
    <xf numFmtId="0" fontId="3" fillId="3" borderId="0" xfId="0" applyFont="1" applyFill="1" applyBorder="1" applyAlignment="1">
      <alignment horizontal="center" vertical="center"/>
    </xf>
    <xf numFmtId="0" fontId="5" fillId="3" borderId="9" xfId="0" applyFont="1" applyFill="1" applyBorder="1" applyAlignment="1">
      <alignment horizontal="center" vertical="center"/>
    </xf>
    <xf numFmtId="0" fontId="5" fillId="3" borderId="13" xfId="0" applyFont="1" applyFill="1" applyBorder="1" applyAlignment="1">
      <alignment horizontal="center" vertical="center"/>
    </xf>
    <xf numFmtId="0" fontId="0" fillId="3" borderId="0" xfId="0" applyFill="1" applyAlignment="1"/>
    <xf numFmtId="0" fontId="0" fillId="3" borderId="0" xfId="0" applyFill="1" applyAlignment="1">
      <alignment horizontal="center"/>
    </xf>
    <xf numFmtId="0" fontId="0" fillId="3" borderId="0" xfId="0" applyFill="1" applyBorder="1" applyAlignment="1">
      <alignment horizontal="center"/>
    </xf>
    <xf numFmtId="0" fontId="0" fillId="3" borderId="1" xfId="0" applyFill="1" applyBorder="1"/>
    <xf numFmtId="0" fontId="0" fillId="3" borderId="2" xfId="0" applyFill="1" applyBorder="1"/>
    <xf numFmtId="0" fontId="12" fillId="3" borderId="2" xfId="0" applyFont="1" applyFill="1" applyBorder="1"/>
    <xf numFmtId="0" fontId="24" fillId="0" borderId="7" xfId="0" applyFont="1" applyBorder="1" applyAlignment="1">
      <alignment horizontal="center"/>
    </xf>
    <xf numFmtId="0" fontId="6" fillId="3" borderId="0" xfId="0" applyFont="1" applyFill="1" applyBorder="1" applyAlignment="1">
      <alignment horizontal="center" vertical="center"/>
    </xf>
    <xf numFmtId="0" fontId="4" fillId="3" borderId="0" xfId="0" applyFont="1" applyFill="1" applyBorder="1"/>
    <xf numFmtId="0" fontId="3" fillId="0" borderId="14" xfId="0" applyFont="1" applyBorder="1" applyAlignment="1">
      <alignment horizontal="center" vertical="center"/>
    </xf>
    <xf numFmtId="0" fontId="3" fillId="3" borderId="0" xfId="0" applyFont="1" applyFill="1" applyAlignment="1">
      <alignment horizontal="center"/>
    </xf>
    <xf numFmtId="0" fontId="3" fillId="3" borderId="6" xfId="0" applyFont="1" applyFill="1" applyBorder="1" applyAlignment="1">
      <alignment horizontal="center" vertical="center"/>
    </xf>
    <xf numFmtId="0" fontId="17" fillId="3" borderId="0" xfId="0" applyFont="1" applyFill="1"/>
    <xf numFmtId="0" fontId="17" fillId="3" borderId="0" xfId="0" applyFont="1" applyFill="1" applyAlignment="1">
      <alignment horizontal="center"/>
    </xf>
    <xf numFmtId="0" fontId="6" fillId="3" borderId="4" xfId="0" applyFont="1" applyFill="1" applyBorder="1" applyAlignment="1">
      <alignment horizontal="center" vertical="center"/>
    </xf>
    <xf numFmtId="0" fontId="3" fillId="3" borderId="4" xfId="0" applyFont="1" applyFill="1" applyBorder="1" applyAlignment="1">
      <alignment horizontal="center" vertical="center"/>
    </xf>
    <xf numFmtId="0" fontId="3" fillId="3" borderId="8" xfId="0" applyFont="1" applyFill="1" applyBorder="1" applyAlignment="1">
      <alignment horizontal="center" vertical="center"/>
    </xf>
    <xf numFmtId="22" fontId="0" fillId="3" borderId="0" xfId="0" applyNumberFormat="1" applyFill="1"/>
    <xf numFmtId="0" fontId="3" fillId="3" borderId="0" xfId="0" applyFont="1" applyFill="1"/>
    <xf numFmtId="0" fontId="2" fillId="3" borderId="0" xfId="0" applyFont="1" applyFill="1"/>
    <xf numFmtId="0" fontId="7" fillId="3" borderId="7" xfId="0" applyFont="1" applyFill="1" applyBorder="1" applyAlignment="1"/>
    <xf numFmtId="0" fontId="14" fillId="3" borderId="0" xfId="0" applyFont="1" applyFill="1" applyAlignment="1"/>
    <xf numFmtId="0" fontId="15" fillId="3" borderId="0" xfId="0" applyFont="1" applyFill="1" applyAlignment="1">
      <alignment horizontal="center"/>
    </xf>
    <xf numFmtId="0" fontId="15" fillId="3" borderId="0" xfId="0" applyFont="1" applyFill="1"/>
    <xf numFmtId="0" fontId="16" fillId="3" borderId="0" xfId="0" applyFont="1" applyFill="1" applyBorder="1" applyAlignment="1">
      <alignment horizontal="center" vertical="center"/>
    </xf>
    <xf numFmtId="0" fontId="17" fillId="3" borderId="0" xfId="0" applyFont="1" applyFill="1" applyBorder="1"/>
    <xf numFmtId="0" fontId="18" fillId="3" borderId="0" xfId="0" applyFont="1" applyFill="1" applyBorder="1"/>
    <xf numFmtId="0" fontId="6" fillId="3" borderId="5" xfId="0" applyFont="1" applyFill="1" applyBorder="1" applyAlignment="1">
      <alignment horizontal="center" vertical="center"/>
    </xf>
    <xf numFmtId="0" fontId="21" fillId="3" borderId="5" xfId="0" applyFont="1" applyFill="1" applyBorder="1" applyAlignment="1" applyProtection="1">
      <alignment horizontal="center" vertical="center"/>
      <protection locked="0"/>
    </xf>
    <xf numFmtId="0" fontId="5" fillId="3" borderId="0" xfId="0" applyFont="1" applyFill="1" applyBorder="1" applyAlignment="1"/>
    <xf numFmtId="0" fontId="8" fillId="3" borderId="0" xfId="0" applyFont="1" applyFill="1" applyBorder="1" applyAlignment="1"/>
    <xf numFmtId="0" fontId="13" fillId="3" borderId="0" xfId="0" applyFont="1" applyFill="1" applyAlignment="1">
      <alignment horizontal="center" vertical="center"/>
    </xf>
    <xf numFmtId="0" fontId="6" fillId="3" borderId="0" xfId="0" applyFont="1" applyFill="1" applyAlignment="1">
      <alignment horizontal="center"/>
    </xf>
    <xf numFmtId="0" fontId="6" fillId="3" borderId="4" xfId="0" applyFont="1" applyFill="1" applyBorder="1" applyAlignment="1">
      <alignment horizontal="center"/>
    </xf>
    <xf numFmtId="0" fontId="6" fillId="3" borderId="5" xfId="0" applyFont="1" applyFill="1" applyBorder="1" applyAlignment="1">
      <alignment horizontal="center"/>
    </xf>
    <xf numFmtId="0" fontId="3" fillId="3" borderId="0" xfId="0" applyFont="1" applyFill="1" applyBorder="1" applyAlignment="1"/>
    <xf numFmtId="0" fontId="3" fillId="3" borderId="0" xfId="0" applyFont="1" applyFill="1" applyBorder="1" applyAlignment="1">
      <alignment vertical="center"/>
    </xf>
    <xf numFmtId="0" fontId="6" fillId="3" borderId="0" xfId="0" applyFont="1" applyFill="1" applyBorder="1" applyAlignment="1">
      <alignment vertical="center"/>
    </xf>
    <xf numFmtId="0" fontId="6" fillId="3" borderId="0" xfId="0" applyFont="1" applyFill="1" applyBorder="1" applyAlignment="1">
      <alignment vertical="center" wrapText="1"/>
    </xf>
    <xf numFmtId="0" fontId="22" fillId="3" borderId="14" xfId="0" applyFont="1" applyFill="1" applyBorder="1" applyAlignment="1">
      <alignment horizontal="center" vertical="center"/>
    </xf>
    <xf numFmtId="0" fontId="6" fillId="3" borderId="14" xfId="0" applyFont="1" applyFill="1" applyBorder="1" applyAlignment="1">
      <alignment horizontal="center" vertical="center"/>
    </xf>
    <xf numFmtId="0" fontId="0" fillId="0" borderId="0" xfId="0" applyFill="1"/>
    <xf numFmtId="0" fontId="0" fillId="0" borderId="11" xfId="0" applyFill="1" applyBorder="1" applyAlignment="1">
      <alignment horizontal="center"/>
    </xf>
    <xf numFmtId="0" fontId="0" fillId="0" borderId="12" xfId="0" applyFill="1" applyBorder="1" applyAlignment="1">
      <alignment horizontal="center"/>
    </xf>
    <xf numFmtId="0" fontId="0" fillId="0" borderId="13" xfId="0" applyFill="1" applyBorder="1" applyAlignment="1">
      <alignment horizontal="center"/>
    </xf>
    <xf numFmtId="0" fontId="0" fillId="3" borderId="0" xfId="0" applyFill="1" applyAlignment="1">
      <alignment horizontal="center" vertical="center"/>
    </xf>
    <xf numFmtId="0" fontId="28" fillId="3" borderId="0" xfId="0" applyFont="1" applyFill="1"/>
    <xf numFmtId="0" fontId="6" fillId="3" borderId="14" xfId="0" applyFont="1" applyFill="1" applyBorder="1" applyAlignment="1">
      <alignment horizontal="center"/>
    </xf>
    <xf numFmtId="2" fontId="6" fillId="3" borderId="5" xfId="0" applyNumberFormat="1" applyFont="1" applyFill="1" applyBorder="1" applyAlignment="1">
      <alignment horizontal="center" vertical="center"/>
    </xf>
    <xf numFmtId="0" fontId="22" fillId="3" borderId="5" xfId="0" applyFont="1" applyFill="1" applyBorder="1" applyAlignment="1">
      <alignment horizontal="center" vertical="center"/>
    </xf>
    <xf numFmtId="0" fontId="18" fillId="3" borderId="0" xfId="0" applyFont="1" applyFill="1"/>
    <xf numFmtId="0" fontId="19" fillId="3" borderId="0" xfId="0" applyFont="1" applyFill="1" applyBorder="1" applyAlignment="1">
      <alignment vertical="center"/>
    </xf>
    <xf numFmtId="0" fontId="0" fillId="3" borderId="0" xfId="0" applyFill="1" applyBorder="1" applyAlignment="1">
      <alignment horizontal="center" vertical="center"/>
    </xf>
    <xf numFmtId="0" fontId="6" fillId="3" borderId="0" xfId="0" applyFont="1" applyFill="1" applyAlignment="1">
      <alignment horizontal="center" vertical="center"/>
    </xf>
    <xf numFmtId="0" fontId="6" fillId="3" borderId="0" xfId="0" applyFont="1" applyFill="1" applyBorder="1" applyAlignment="1"/>
    <xf numFmtId="0" fontId="0" fillId="0" borderId="3" xfId="0" applyFill="1" applyBorder="1" applyAlignment="1">
      <alignment horizontal="center"/>
    </xf>
    <xf numFmtId="0" fontId="0" fillId="0" borderId="10" xfId="0" applyFill="1" applyBorder="1" applyAlignment="1">
      <alignment horizontal="center"/>
    </xf>
    <xf numFmtId="0" fontId="0" fillId="0" borderId="1" xfId="0" applyFill="1" applyBorder="1" applyAlignment="1">
      <alignment horizontal="center"/>
    </xf>
    <xf numFmtId="0" fontId="0" fillId="0" borderId="2" xfId="0" applyFill="1" applyBorder="1" applyAlignment="1">
      <alignment horizontal="center"/>
    </xf>
    <xf numFmtId="0" fontId="0" fillId="0" borderId="9" xfId="0" applyFill="1" applyBorder="1" applyAlignment="1">
      <alignment horizontal="center"/>
    </xf>
    <xf numFmtId="0" fontId="0" fillId="3" borderId="0" xfId="0" applyNumberFormat="1" applyFill="1"/>
    <xf numFmtId="0" fontId="8" fillId="3" borderId="0" xfId="0" applyNumberFormat="1" applyFont="1" applyFill="1" applyBorder="1" applyAlignment="1"/>
    <xf numFmtId="0" fontId="0" fillId="3" borderId="0" xfId="0" applyNumberFormat="1" applyFill="1" applyBorder="1"/>
    <xf numFmtId="0" fontId="3" fillId="3" borderId="0" xfId="0" applyNumberFormat="1" applyFont="1" applyFill="1" applyBorder="1" applyAlignment="1">
      <alignment vertical="center"/>
    </xf>
    <xf numFmtId="0" fontId="6" fillId="3" borderId="0" xfId="0" applyNumberFormat="1" applyFont="1" applyFill="1" applyBorder="1" applyAlignment="1">
      <alignment horizontal="center" vertical="center"/>
    </xf>
    <xf numFmtId="0" fontId="0" fillId="3" borderId="0" xfId="0" applyNumberFormat="1" applyFill="1" applyBorder="1" applyAlignment="1">
      <alignment horizontal="center" vertical="center"/>
    </xf>
    <xf numFmtId="0" fontId="0" fillId="3" borderId="0" xfId="0" applyNumberFormat="1" applyFill="1" applyBorder="1" applyAlignment="1"/>
    <xf numFmtId="0" fontId="6" fillId="3" borderId="7" xfId="0" applyFont="1" applyFill="1" applyBorder="1" applyAlignment="1">
      <alignment vertical="center"/>
    </xf>
    <xf numFmtId="0" fontId="6" fillId="3" borderId="2" xfId="0" applyFont="1" applyFill="1" applyBorder="1" applyAlignment="1">
      <alignment vertical="center"/>
    </xf>
    <xf numFmtId="0" fontId="5" fillId="3" borderId="12" xfId="0" applyFont="1" applyFill="1" applyBorder="1" applyAlignment="1">
      <alignment vertical="center"/>
    </xf>
    <xf numFmtId="0" fontId="6" fillId="3" borderId="15" xfId="0" applyFont="1" applyFill="1" applyBorder="1" applyAlignment="1" applyProtection="1">
      <alignment horizontal="center" vertical="center"/>
    </xf>
    <xf numFmtId="0" fontId="13" fillId="3" borderId="5" xfId="0" applyFont="1" applyFill="1" applyBorder="1" applyAlignment="1" applyProtection="1">
      <alignment horizontal="center" vertical="center"/>
      <protection locked="0"/>
    </xf>
    <xf numFmtId="0" fontId="30" fillId="3" borderId="5" xfId="0" applyFont="1" applyFill="1" applyBorder="1" applyAlignment="1" applyProtection="1">
      <alignment horizontal="center" vertical="center"/>
      <protection locked="0"/>
    </xf>
    <xf numFmtId="0" fontId="6" fillId="0" borderId="0" xfId="0" applyFont="1" applyFill="1" applyBorder="1" applyAlignment="1" applyProtection="1">
      <alignment horizontal="center" vertical="center"/>
      <protection locked="0"/>
    </xf>
    <xf numFmtId="164" fontId="6" fillId="0" borderId="0" xfId="0" applyNumberFormat="1" applyFont="1" applyFill="1" applyBorder="1" applyAlignment="1" applyProtection="1">
      <alignment horizontal="center" vertical="center"/>
      <protection locked="0"/>
    </xf>
    <xf numFmtId="0" fontId="6" fillId="0" borderId="0" xfId="0" applyFont="1" applyFill="1" applyBorder="1" applyAlignment="1" applyProtection="1">
      <alignment horizontal="center"/>
      <protection locked="0"/>
    </xf>
    <xf numFmtId="0" fontId="6" fillId="0" borderId="12" xfId="0" applyFont="1" applyFill="1" applyBorder="1" applyAlignment="1" applyProtection="1">
      <alignment horizontal="center"/>
      <protection locked="0"/>
    </xf>
    <xf numFmtId="0" fontId="4" fillId="3" borderId="7" xfId="0" applyFont="1" applyFill="1" applyBorder="1" applyAlignment="1">
      <alignment horizontal="center"/>
    </xf>
    <xf numFmtId="0" fontId="6" fillId="0" borderId="3" xfId="0" applyFont="1" applyFill="1" applyBorder="1" applyAlignment="1" applyProtection="1">
      <alignment horizontal="center" vertical="center"/>
      <protection locked="0"/>
    </xf>
    <xf numFmtId="0" fontId="6" fillId="0" borderId="10" xfId="0" applyFont="1" applyFill="1" applyBorder="1" applyAlignment="1" applyProtection="1">
      <alignment horizontal="center"/>
      <protection locked="0"/>
    </xf>
    <xf numFmtId="0" fontId="6" fillId="0" borderId="3" xfId="0" applyFont="1" applyFill="1" applyBorder="1" applyAlignment="1" applyProtection="1">
      <alignment horizontal="center"/>
      <protection locked="0"/>
    </xf>
    <xf numFmtId="0" fontId="6" fillId="0" borderId="11" xfId="0" applyFont="1" applyFill="1" applyBorder="1" applyAlignment="1" applyProtection="1">
      <alignment horizontal="center"/>
      <protection locked="0"/>
    </xf>
    <xf numFmtId="0" fontId="6" fillId="0" borderId="13" xfId="0" applyFont="1" applyFill="1" applyBorder="1" applyAlignment="1" applyProtection="1">
      <alignment horizontal="center"/>
      <protection locked="0"/>
    </xf>
    <xf numFmtId="0" fontId="0" fillId="3" borderId="0" xfId="0" applyFill="1" applyAlignment="1" applyProtection="1">
      <alignment horizontal="center"/>
      <protection locked="0"/>
    </xf>
    <xf numFmtId="0" fontId="0" fillId="3" borderId="0" xfId="0" applyFill="1" applyBorder="1" applyAlignment="1" applyProtection="1">
      <alignment horizontal="center"/>
      <protection locked="0"/>
    </xf>
    <xf numFmtId="0" fontId="0" fillId="0" borderId="0" xfId="0" applyFill="1" applyAlignment="1" applyProtection="1">
      <alignment horizontal="center"/>
      <protection locked="0"/>
    </xf>
    <xf numFmtId="0" fontId="0" fillId="0" borderId="0" xfId="0" applyFill="1" applyBorder="1" applyAlignment="1" applyProtection="1">
      <alignment horizontal="center"/>
      <protection locked="0"/>
    </xf>
    <xf numFmtId="0" fontId="0" fillId="0" borderId="0" xfId="0" applyFill="1" applyProtection="1">
      <protection locked="0"/>
    </xf>
    <xf numFmtId="0" fontId="0" fillId="0" borderId="3" xfId="0" applyFill="1" applyBorder="1" applyAlignment="1" applyProtection="1">
      <alignment horizontal="center"/>
      <protection locked="0"/>
    </xf>
    <xf numFmtId="0" fontId="0" fillId="0" borderId="10" xfId="0" applyFill="1" applyBorder="1" applyAlignment="1" applyProtection="1">
      <alignment horizontal="center"/>
      <protection locked="0"/>
    </xf>
    <xf numFmtId="0" fontId="0" fillId="0" borderId="11" xfId="0" applyFill="1" applyBorder="1" applyAlignment="1" applyProtection="1">
      <alignment horizontal="center"/>
      <protection locked="0"/>
    </xf>
    <xf numFmtId="0" fontId="0" fillId="0" borderId="12" xfId="0" applyFill="1" applyBorder="1" applyAlignment="1" applyProtection="1">
      <alignment horizontal="center"/>
      <protection locked="0"/>
    </xf>
    <xf numFmtId="0" fontId="0" fillId="0" borderId="13" xfId="0" applyFill="1" applyBorder="1" applyAlignment="1" applyProtection="1">
      <alignment horizontal="center"/>
      <protection locked="0"/>
    </xf>
    <xf numFmtId="0" fontId="6" fillId="3" borderId="0" xfId="0" applyFont="1" applyFill="1" applyBorder="1" applyAlignment="1" applyProtection="1">
      <alignment horizontal="left" vertical="center"/>
      <protection locked="0"/>
    </xf>
    <xf numFmtId="0" fontId="6" fillId="3" borderId="10" xfId="0" applyFont="1" applyFill="1" applyBorder="1" applyAlignment="1" applyProtection="1">
      <alignment vertical="center" wrapText="1"/>
      <protection locked="0"/>
    </xf>
    <xf numFmtId="0" fontId="6" fillId="3" borderId="10" xfId="0" applyFont="1" applyFill="1" applyBorder="1" applyAlignment="1" applyProtection="1">
      <alignment vertical="center" wrapText="1"/>
    </xf>
    <xf numFmtId="0" fontId="0" fillId="3" borderId="0" xfId="0" applyFill="1" applyProtection="1">
      <protection locked="0"/>
    </xf>
    <xf numFmtId="0" fontId="13" fillId="0" borderId="7" xfId="0" applyFont="1" applyFill="1" applyBorder="1" applyAlignment="1" applyProtection="1">
      <alignment horizontal="center" vertical="center"/>
      <protection locked="0"/>
    </xf>
    <xf numFmtId="0" fontId="13" fillId="0" borderId="1" xfId="0" applyFont="1" applyFill="1" applyBorder="1" applyAlignment="1" applyProtection="1">
      <alignment horizontal="center" vertical="center"/>
      <protection locked="0"/>
    </xf>
    <xf numFmtId="0" fontId="6" fillId="0" borderId="1" xfId="0" applyFont="1" applyFill="1" applyBorder="1" applyAlignment="1" applyProtection="1">
      <alignment horizontal="center"/>
      <protection locked="0"/>
    </xf>
    <xf numFmtId="0" fontId="6" fillId="0" borderId="9" xfId="0" applyFont="1" applyFill="1" applyBorder="1" applyAlignment="1" applyProtection="1">
      <alignment horizontal="center"/>
      <protection locked="0"/>
    </xf>
    <xf numFmtId="0" fontId="13" fillId="0" borderId="9" xfId="0" applyFont="1" applyFill="1" applyBorder="1" applyAlignment="1" applyProtection="1">
      <alignment horizontal="center" vertical="center"/>
      <protection locked="0"/>
    </xf>
    <xf numFmtId="0" fontId="28" fillId="0" borderId="3" xfId="0" applyFont="1" applyFill="1" applyBorder="1" applyAlignment="1" applyProtection="1">
      <alignment horizontal="center"/>
      <protection locked="0"/>
    </xf>
    <xf numFmtId="0" fontId="31" fillId="0" borderId="0" xfId="2"/>
    <xf numFmtId="0" fontId="1" fillId="0" borderId="0" xfId="2" applyFont="1"/>
    <xf numFmtId="0" fontId="27" fillId="0" borderId="0" xfId="1" applyAlignment="1" applyProtection="1"/>
    <xf numFmtId="0" fontId="6" fillId="0" borderId="0" xfId="0" applyFont="1" applyBorder="1" applyAlignment="1">
      <alignment horizontal="center" vertical="center"/>
    </xf>
    <xf numFmtId="0" fontId="8" fillId="2" borderId="16" xfId="0" applyFont="1" applyFill="1" applyBorder="1" applyAlignment="1">
      <alignment horizontal="center"/>
    </xf>
    <xf numFmtId="0" fontId="8" fillId="2" borderId="17" xfId="0" applyFont="1" applyFill="1" applyBorder="1" applyAlignment="1">
      <alignment horizontal="center"/>
    </xf>
    <xf numFmtId="0" fontId="8" fillId="2" borderId="18" xfId="0" applyFont="1" applyFill="1" applyBorder="1" applyAlignment="1">
      <alignment horizontal="center"/>
    </xf>
    <xf numFmtId="0" fontId="3" fillId="6" borderId="16" xfId="0" applyFont="1" applyFill="1" applyBorder="1" applyAlignment="1">
      <alignment horizontal="center"/>
    </xf>
    <xf numFmtId="0" fontId="3" fillId="6" borderId="17" xfId="0" applyFont="1" applyFill="1" applyBorder="1" applyAlignment="1">
      <alignment horizontal="center"/>
    </xf>
    <xf numFmtId="0" fontId="3" fillId="6" borderId="18" xfId="0" applyFont="1" applyFill="1" applyBorder="1" applyAlignment="1">
      <alignment horizontal="center"/>
    </xf>
    <xf numFmtId="0" fontId="4" fillId="3" borderId="16" xfId="0" applyFont="1" applyFill="1" applyBorder="1" applyAlignment="1">
      <alignment horizontal="center" vertical="center"/>
    </xf>
    <xf numFmtId="0" fontId="4" fillId="3" borderId="17" xfId="0" applyFont="1" applyFill="1" applyBorder="1" applyAlignment="1">
      <alignment horizontal="center" vertical="center"/>
    </xf>
    <xf numFmtId="0" fontId="4" fillId="3" borderId="18" xfId="0" applyFont="1" applyFill="1" applyBorder="1" applyAlignment="1">
      <alignment horizontal="center" vertical="center"/>
    </xf>
    <xf numFmtId="0" fontId="6" fillId="3" borderId="16" xfId="0" applyFont="1" applyFill="1" applyBorder="1" applyAlignment="1">
      <alignment horizontal="center" vertical="center" wrapText="1"/>
    </xf>
    <xf numFmtId="0" fontId="6" fillId="3" borderId="17"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3" fillId="6" borderId="16" xfId="0" applyFont="1" applyFill="1" applyBorder="1" applyAlignment="1">
      <alignment horizontal="center" vertical="center"/>
    </xf>
    <xf numFmtId="0" fontId="3" fillId="6" borderId="17" xfId="0" applyFont="1" applyFill="1" applyBorder="1" applyAlignment="1">
      <alignment horizontal="center" vertical="center"/>
    </xf>
    <xf numFmtId="0" fontId="3" fillId="6" borderId="18" xfId="0" applyFont="1" applyFill="1" applyBorder="1" applyAlignment="1">
      <alignment horizontal="center" vertical="center"/>
    </xf>
    <xf numFmtId="0" fontId="6" fillId="3" borderId="1" xfId="0" applyFont="1" applyFill="1" applyBorder="1" applyAlignment="1">
      <alignment horizontal="center" vertical="center" wrapText="1"/>
    </xf>
    <xf numFmtId="0" fontId="6" fillId="3" borderId="2" xfId="0" applyFont="1" applyFill="1" applyBorder="1" applyAlignment="1">
      <alignment horizontal="center" vertical="center" wrapText="1"/>
    </xf>
    <xf numFmtId="0" fontId="6" fillId="3" borderId="9" xfId="0" applyFont="1" applyFill="1" applyBorder="1" applyAlignment="1">
      <alignment horizontal="center" vertical="center" wrapText="1"/>
    </xf>
    <xf numFmtId="0" fontId="6" fillId="3" borderId="11" xfId="0" applyFont="1" applyFill="1" applyBorder="1" applyAlignment="1">
      <alignment horizontal="center" vertical="center" wrapText="1"/>
    </xf>
    <xf numFmtId="0" fontId="6" fillId="3" borderId="12" xfId="0" applyFont="1" applyFill="1" applyBorder="1" applyAlignment="1">
      <alignment horizontal="center" vertical="center" wrapText="1"/>
    </xf>
    <xf numFmtId="0" fontId="6" fillId="3" borderId="13" xfId="0" applyFont="1" applyFill="1" applyBorder="1" applyAlignment="1">
      <alignment horizontal="center" vertical="center" wrapText="1"/>
    </xf>
    <xf numFmtId="0" fontId="6" fillId="6" borderId="1" xfId="0" applyFont="1" applyFill="1" applyBorder="1" applyAlignment="1">
      <alignment horizontal="center" vertical="center"/>
    </xf>
    <xf numFmtId="0" fontId="6" fillId="6" borderId="2" xfId="0" applyFont="1" applyFill="1" applyBorder="1" applyAlignment="1">
      <alignment horizontal="center" vertical="center"/>
    </xf>
    <xf numFmtId="0" fontId="6" fillId="6" borderId="9" xfId="0" applyFont="1" applyFill="1" applyBorder="1" applyAlignment="1">
      <alignment horizontal="center" vertical="center"/>
    </xf>
    <xf numFmtId="0" fontId="4" fillId="0" borderId="16" xfId="0" applyFont="1" applyFill="1" applyBorder="1" applyAlignment="1">
      <alignment horizontal="center" vertical="center"/>
    </xf>
    <xf numFmtId="0" fontId="4" fillId="0" borderId="17" xfId="0" applyFont="1" applyFill="1" applyBorder="1" applyAlignment="1">
      <alignment horizontal="center" vertical="center"/>
    </xf>
    <xf numFmtId="0" fontId="4" fillId="0" borderId="18" xfId="0" applyFont="1" applyFill="1" applyBorder="1" applyAlignment="1">
      <alignment horizontal="center" vertical="center"/>
    </xf>
    <xf numFmtId="0" fontId="6" fillId="0" borderId="16" xfId="0" applyFont="1" applyFill="1" applyBorder="1" applyAlignment="1">
      <alignment horizontal="center" vertical="center" wrapText="1"/>
    </xf>
    <xf numFmtId="0" fontId="6" fillId="0" borderId="17" xfId="0" applyFont="1" applyFill="1" applyBorder="1" applyAlignment="1">
      <alignment horizontal="center" vertical="center" wrapText="1"/>
    </xf>
    <xf numFmtId="0" fontId="6" fillId="0" borderId="18" xfId="0" applyFont="1" applyFill="1" applyBorder="1" applyAlignment="1">
      <alignment horizontal="center" vertical="center" wrapText="1"/>
    </xf>
    <xf numFmtId="0" fontId="13" fillId="3" borderId="2" xfId="0" applyFont="1" applyFill="1" applyBorder="1" applyAlignment="1">
      <alignment horizontal="center" vertical="center"/>
    </xf>
    <xf numFmtId="0" fontId="13" fillId="3" borderId="12" xfId="0" applyFont="1" applyFill="1" applyBorder="1" applyAlignment="1">
      <alignment horizontal="center" vertical="center"/>
    </xf>
    <xf numFmtId="0" fontId="13" fillId="3" borderId="1" xfId="0" applyFont="1" applyFill="1" applyBorder="1" applyAlignment="1">
      <alignment horizontal="center" vertical="center"/>
    </xf>
    <xf numFmtId="0" fontId="13" fillId="3" borderId="11" xfId="0" applyFont="1" applyFill="1" applyBorder="1" applyAlignment="1">
      <alignment horizontal="center" vertical="center"/>
    </xf>
    <xf numFmtId="0" fontId="6" fillId="3" borderId="2" xfId="0" applyFont="1" applyFill="1" applyBorder="1" applyAlignment="1">
      <alignment horizontal="center" vertical="center"/>
    </xf>
    <xf numFmtId="0" fontId="29" fillId="3" borderId="12" xfId="1" applyFont="1" applyFill="1" applyBorder="1" applyAlignment="1" applyProtection="1">
      <alignment horizontal="center" vertical="center"/>
    </xf>
    <xf numFmtId="0" fontId="4" fillId="0" borderId="30" xfId="0" applyFont="1" applyBorder="1" applyAlignment="1">
      <alignment horizontal="center" vertical="center"/>
    </xf>
    <xf numFmtId="0" fontId="3" fillId="6" borderId="1" xfId="0" applyFont="1" applyFill="1" applyBorder="1" applyAlignment="1">
      <alignment horizontal="center"/>
    </xf>
    <xf numFmtId="0" fontId="3" fillId="6" borderId="2" xfId="0" applyFont="1" applyFill="1" applyBorder="1" applyAlignment="1">
      <alignment horizontal="center"/>
    </xf>
    <xf numFmtId="0" fontId="3" fillId="6" borderId="9" xfId="0" applyFont="1" applyFill="1" applyBorder="1" applyAlignment="1">
      <alignment horizontal="center"/>
    </xf>
    <xf numFmtId="0" fontId="6" fillId="0" borderId="27" xfId="0" applyFont="1" applyBorder="1" applyAlignment="1">
      <alignment horizontal="center" vertical="center"/>
    </xf>
    <xf numFmtId="0" fontId="6" fillId="0" borderId="6" xfId="0" applyFont="1" applyBorder="1" applyAlignment="1">
      <alignment horizontal="center" vertical="center"/>
    </xf>
    <xf numFmtId="0" fontId="3" fillId="0" borderId="28" xfId="0" applyFont="1" applyBorder="1" applyAlignment="1">
      <alignment horizontal="center" vertical="center"/>
    </xf>
    <xf numFmtId="0" fontId="3" fillId="0" borderId="29" xfId="0" applyFont="1" applyBorder="1" applyAlignment="1">
      <alignment horizontal="center" vertical="center"/>
    </xf>
    <xf numFmtId="0" fontId="6" fillId="0" borderId="16" xfId="0" applyFont="1" applyBorder="1" applyAlignment="1">
      <alignment horizontal="center" vertical="center"/>
    </xf>
    <xf numFmtId="0" fontId="6" fillId="0" borderId="17" xfId="0" applyFont="1" applyBorder="1" applyAlignment="1">
      <alignment horizontal="center" vertical="center"/>
    </xf>
    <xf numFmtId="0" fontId="6" fillId="0" borderId="18" xfId="0" applyFont="1" applyBorder="1" applyAlignment="1">
      <alignment horizontal="center" vertical="center"/>
    </xf>
    <xf numFmtId="0" fontId="3" fillId="0" borderId="5" xfId="0" applyFont="1" applyFill="1" applyBorder="1" applyAlignment="1">
      <alignment horizontal="center" vertical="center"/>
    </xf>
    <xf numFmtId="0" fontId="3" fillId="0" borderId="5" xfId="0" applyFont="1" applyFill="1" applyBorder="1" applyAlignment="1">
      <alignment horizontal="center"/>
    </xf>
    <xf numFmtId="0" fontId="6" fillId="0" borderId="3" xfId="0" applyFont="1" applyBorder="1" applyAlignment="1">
      <alignment horizontal="center" vertical="center"/>
    </xf>
    <xf numFmtId="0" fontId="6" fillId="0" borderId="0" xfId="0" applyFont="1" applyBorder="1" applyAlignment="1">
      <alignment horizontal="center" vertical="center"/>
    </xf>
    <xf numFmtId="0" fontId="13" fillId="0" borderId="11" xfId="0" applyFont="1" applyBorder="1" applyAlignment="1">
      <alignment horizontal="center" vertical="center"/>
    </xf>
    <xf numFmtId="0" fontId="13" fillId="0" borderId="12" xfId="0" applyFont="1" applyBorder="1" applyAlignment="1">
      <alignment horizontal="center" vertical="center"/>
    </xf>
    <xf numFmtId="0" fontId="13" fillId="0" borderId="13" xfId="0" applyFont="1" applyBorder="1" applyAlignment="1">
      <alignment horizontal="center" vertical="center"/>
    </xf>
    <xf numFmtId="0" fontId="6" fillId="0" borderId="22" xfId="0" applyFont="1" applyBorder="1" applyAlignment="1">
      <alignment horizontal="center" vertical="center"/>
    </xf>
    <xf numFmtId="0" fontId="6" fillId="0" borderId="4" xfId="0" applyFont="1" applyBorder="1" applyAlignment="1">
      <alignment horizontal="center" vertical="center"/>
    </xf>
    <xf numFmtId="0" fontId="3" fillId="0" borderId="23" xfId="0" applyFont="1" applyBorder="1" applyAlignment="1">
      <alignment horizontal="center" vertical="center"/>
    </xf>
    <xf numFmtId="0" fontId="3" fillId="0" borderId="24" xfId="0" applyFont="1" applyBorder="1" applyAlignment="1">
      <alignment horizontal="center" vertical="center"/>
    </xf>
    <xf numFmtId="0" fontId="3" fillId="0" borderId="5" xfId="0" applyFont="1" applyBorder="1" applyAlignment="1">
      <alignment horizontal="center" vertical="center"/>
    </xf>
    <xf numFmtId="0" fontId="3" fillId="0" borderId="14" xfId="0" applyFont="1" applyBorder="1" applyAlignment="1">
      <alignment horizontal="center" vertical="center"/>
    </xf>
    <xf numFmtId="0" fontId="6" fillId="0" borderId="11" xfId="0" applyFont="1" applyBorder="1" applyAlignment="1">
      <alignment horizontal="center" vertical="center"/>
    </xf>
    <xf numFmtId="0" fontId="6" fillId="0" borderId="12" xfId="0" applyFont="1" applyBorder="1" applyAlignment="1">
      <alignment horizontal="center" vertical="center"/>
    </xf>
    <xf numFmtId="0" fontId="6" fillId="0" borderId="13" xfId="0" applyFont="1" applyBorder="1" applyAlignment="1">
      <alignment horizontal="center" vertical="center"/>
    </xf>
    <xf numFmtId="0" fontId="6" fillId="0" borderId="19" xfId="0" applyFont="1" applyBorder="1" applyAlignment="1">
      <alignment horizontal="center" vertical="center"/>
    </xf>
    <xf numFmtId="0" fontId="6" fillId="0" borderId="8" xfId="0" applyFont="1" applyBorder="1" applyAlignment="1">
      <alignment horizontal="center" vertical="center"/>
    </xf>
    <xf numFmtId="0" fontId="3" fillId="0" borderId="20" xfId="0" applyFont="1" applyBorder="1" applyAlignment="1">
      <alignment horizontal="center" vertical="center"/>
    </xf>
    <xf numFmtId="0" fontId="3" fillId="0" borderId="21" xfId="0" applyFont="1" applyBorder="1" applyAlignment="1">
      <alignment horizontal="center" vertical="center"/>
    </xf>
    <xf numFmtId="0" fontId="6" fillId="0" borderId="25" xfId="0" applyFont="1" applyBorder="1" applyAlignment="1">
      <alignment horizontal="center" vertical="center"/>
    </xf>
    <xf numFmtId="0" fontId="6" fillId="0" borderId="23" xfId="0" applyFont="1" applyBorder="1" applyAlignment="1">
      <alignment horizontal="center" vertical="center"/>
    </xf>
    <xf numFmtId="0" fontId="6" fillId="0" borderId="26" xfId="0" applyFont="1" applyBorder="1" applyAlignment="1">
      <alignment horizontal="center" vertical="center"/>
    </xf>
    <xf numFmtId="0" fontId="4" fillId="3" borderId="30" xfId="0" applyFont="1" applyFill="1" applyBorder="1" applyAlignment="1">
      <alignment horizontal="center" vertical="center"/>
    </xf>
    <xf numFmtId="0" fontId="6" fillId="3" borderId="3" xfId="0" applyFont="1" applyFill="1" applyBorder="1" applyAlignment="1">
      <alignment horizontal="center" vertical="center"/>
    </xf>
    <xf numFmtId="0" fontId="6" fillId="3" borderId="0" xfId="0" applyFont="1" applyFill="1" applyBorder="1" applyAlignment="1">
      <alignment horizontal="center" vertical="center"/>
    </xf>
    <xf numFmtId="0" fontId="4" fillId="0" borderId="2" xfId="0" applyFont="1" applyBorder="1" applyAlignment="1">
      <alignment horizontal="center"/>
    </xf>
    <xf numFmtId="0" fontId="3" fillId="0" borderId="16" xfId="0" applyFont="1" applyBorder="1" applyAlignment="1">
      <alignment horizontal="center" vertical="center"/>
    </xf>
    <xf numFmtId="0" fontId="3" fillId="0" borderId="18" xfId="0" applyFont="1" applyBorder="1" applyAlignment="1">
      <alignment horizontal="center" vertical="center"/>
    </xf>
    <xf numFmtId="0" fontId="3" fillId="0" borderId="12" xfId="0" applyFont="1" applyBorder="1" applyAlignment="1">
      <alignment horizontal="center" vertical="center"/>
    </xf>
    <xf numFmtId="0" fontId="3" fillId="0" borderId="13" xfId="0" applyFont="1" applyBorder="1" applyAlignment="1">
      <alignment horizontal="center" vertical="center"/>
    </xf>
    <xf numFmtId="0" fontId="6" fillId="0" borderId="16" xfId="0" applyFont="1" applyFill="1" applyBorder="1" applyAlignment="1">
      <alignment horizontal="center"/>
    </xf>
    <xf numFmtId="0" fontId="6" fillId="0" borderId="17" xfId="0" applyFont="1" applyFill="1" applyBorder="1" applyAlignment="1">
      <alignment horizontal="center"/>
    </xf>
    <xf numFmtId="0" fontId="6" fillId="0" borderId="18" xfId="0" applyFont="1" applyFill="1" applyBorder="1" applyAlignment="1">
      <alignment horizontal="center"/>
    </xf>
    <xf numFmtId="0" fontId="4" fillId="3" borderId="2" xfId="0" applyFont="1" applyFill="1" applyBorder="1" applyAlignment="1">
      <alignment horizontal="center"/>
    </xf>
    <xf numFmtId="0" fontId="6" fillId="0" borderId="1" xfId="0" applyFont="1" applyFill="1" applyBorder="1" applyAlignment="1">
      <alignment horizontal="center" vertical="center"/>
    </xf>
    <xf numFmtId="0" fontId="6" fillId="0" borderId="2" xfId="0" applyFont="1" applyFill="1" applyBorder="1" applyAlignment="1">
      <alignment horizontal="center" vertical="center"/>
    </xf>
    <xf numFmtId="0" fontId="6" fillId="0" borderId="9" xfId="0" applyFont="1" applyFill="1" applyBorder="1" applyAlignment="1">
      <alignment horizontal="center" vertical="center"/>
    </xf>
    <xf numFmtId="0" fontId="6" fillId="0" borderId="11" xfId="0" applyFont="1" applyFill="1" applyBorder="1" applyAlignment="1">
      <alignment horizontal="center" vertical="center"/>
    </xf>
    <xf numFmtId="0" fontId="6" fillId="0" borderId="12" xfId="0" applyFont="1" applyFill="1" applyBorder="1" applyAlignment="1">
      <alignment horizontal="center" vertical="center"/>
    </xf>
    <xf numFmtId="0" fontId="6" fillId="0" borderId="13" xfId="0" applyFont="1" applyFill="1" applyBorder="1" applyAlignment="1">
      <alignment horizontal="center" vertical="center"/>
    </xf>
    <xf numFmtId="0" fontId="6" fillId="3" borderId="16" xfId="0" applyFont="1" applyFill="1" applyBorder="1" applyAlignment="1">
      <alignment horizontal="center"/>
    </xf>
    <xf numFmtId="0" fontId="6" fillId="3" borderId="17" xfId="0" applyFont="1" applyFill="1" applyBorder="1" applyAlignment="1">
      <alignment horizontal="center"/>
    </xf>
    <xf numFmtId="0" fontId="6" fillId="3" borderId="18" xfId="0" applyFont="1" applyFill="1" applyBorder="1" applyAlignment="1">
      <alignment horizontal="center"/>
    </xf>
    <xf numFmtId="0" fontId="3" fillId="3" borderId="23" xfId="0" applyFont="1" applyFill="1" applyBorder="1" applyAlignment="1" applyProtection="1">
      <alignment horizontal="center" vertical="center"/>
      <protection locked="0"/>
    </xf>
    <xf numFmtId="0" fontId="3" fillId="3" borderId="24" xfId="0" applyFont="1" applyFill="1" applyBorder="1" applyAlignment="1" applyProtection="1">
      <alignment horizontal="center" vertical="center"/>
      <protection locked="0"/>
    </xf>
    <xf numFmtId="0" fontId="6" fillId="3" borderId="22" xfId="0" applyFont="1" applyFill="1" applyBorder="1" applyAlignment="1">
      <alignment horizontal="center" vertical="center"/>
    </xf>
    <xf numFmtId="0" fontId="6" fillId="3" borderId="4" xfId="0" applyFont="1" applyFill="1" applyBorder="1" applyAlignment="1">
      <alignment horizontal="center" vertical="center"/>
    </xf>
    <xf numFmtId="0" fontId="13" fillId="3" borderId="13" xfId="0" applyFont="1" applyFill="1" applyBorder="1" applyAlignment="1">
      <alignment horizontal="center" vertical="center"/>
    </xf>
    <xf numFmtId="0" fontId="3" fillId="3" borderId="4" xfId="0" applyFont="1" applyFill="1" applyBorder="1" applyAlignment="1" applyProtection="1">
      <alignment horizontal="center" vertical="center"/>
    </xf>
    <xf numFmtId="0" fontId="3" fillId="3" borderId="32" xfId="0" applyFont="1" applyFill="1" applyBorder="1" applyAlignment="1" applyProtection="1">
      <alignment horizontal="center" vertical="center"/>
    </xf>
    <xf numFmtId="0" fontId="3" fillId="3" borderId="6" xfId="0" applyFont="1" applyFill="1" applyBorder="1" applyAlignment="1" applyProtection="1">
      <alignment horizontal="center" vertical="center"/>
    </xf>
    <xf numFmtId="0" fontId="3" fillId="3" borderId="33" xfId="0" applyFont="1" applyFill="1" applyBorder="1" applyAlignment="1" applyProtection="1">
      <alignment horizontal="center" vertical="center"/>
    </xf>
    <xf numFmtId="0" fontId="3" fillId="3" borderId="8" xfId="0" applyFont="1" applyFill="1" applyBorder="1" applyAlignment="1" applyProtection="1">
      <alignment horizontal="center" vertical="center"/>
    </xf>
    <xf numFmtId="0" fontId="3" fillId="3" borderId="34" xfId="0" applyFont="1" applyFill="1" applyBorder="1" applyAlignment="1" applyProtection="1">
      <alignment horizontal="center" vertical="center"/>
    </xf>
    <xf numFmtId="0" fontId="6" fillId="3" borderId="27" xfId="0" applyFont="1" applyFill="1" applyBorder="1" applyAlignment="1">
      <alignment horizontal="center" vertical="center"/>
    </xf>
    <xf numFmtId="0" fontId="6" fillId="3" borderId="6" xfId="0" applyFont="1" applyFill="1" applyBorder="1" applyAlignment="1">
      <alignment horizontal="center" vertical="center"/>
    </xf>
    <xf numFmtId="0" fontId="3" fillId="3" borderId="20" xfId="0" applyFont="1" applyFill="1" applyBorder="1" applyAlignment="1" applyProtection="1">
      <alignment horizontal="center" vertical="center"/>
      <protection locked="0"/>
    </xf>
    <xf numFmtId="0" fontId="3" fillId="3" borderId="21" xfId="0" applyFont="1" applyFill="1" applyBorder="1" applyAlignment="1" applyProtection="1">
      <alignment horizontal="center" vertical="center"/>
      <protection locked="0"/>
    </xf>
    <xf numFmtId="0" fontId="3" fillId="3" borderId="31" xfId="0" applyFont="1" applyFill="1" applyBorder="1" applyAlignment="1" applyProtection="1">
      <alignment horizontal="center" vertical="center"/>
      <protection locked="0"/>
    </xf>
    <xf numFmtId="0" fontId="6" fillId="3" borderId="25" xfId="0" applyFont="1" applyFill="1" applyBorder="1" applyAlignment="1">
      <alignment horizontal="center" vertical="center"/>
    </xf>
    <xf numFmtId="0" fontId="6" fillId="3" borderId="23" xfId="0" applyFont="1" applyFill="1" applyBorder="1" applyAlignment="1">
      <alignment horizontal="center" vertical="center"/>
    </xf>
    <xf numFmtId="0" fontId="6" fillId="3" borderId="26" xfId="0" applyFont="1" applyFill="1" applyBorder="1" applyAlignment="1">
      <alignment horizontal="center" vertical="center"/>
    </xf>
    <xf numFmtId="0" fontId="6" fillId="3" borderId="19" xfId="0" applyFont="1" applyFill="1" applyBorder="1" applyAlignment="1">
      <alignment horizontal="center" vertical="center"/>
    </xf>
    <xf numFmtId="0" fontId="6" fillId="3" borderId="8" xfId="0" applyFont="1" applyFill="1" applyBorder="1" applyAlignment="1">
      <alignment horizontal="center" vertical="center"/>
    </xf>
    <xf numFmtId="0" fontId="3" fillId="3" borderId="28" xfId="0" applyFont="1" applyFill="1" applyBorder="1" applyAlignment="1" applyProtection="1">
      <alignment horizontal="center" vertical="center"/>
      <protection locked="0"/>
    </xf>
    <xf numFmtId="0" fontId="3" fillId="3" borderId="29" xfId="0" applyFont="1" applyFill="1" applyBorder="1" applyAlignment="1" applyProtection="1">
      <alignment horizontal="center" vertical="center"/>
      <protection locked="0"/>
    </xf>
    <xf numFmtId="0" fontId="4" fillId="3" borderId="5" xfId="0" applyFont="1" applyFill="1" applyBorder="1" applyAlignment="1" applyProtection="1">
      <alignment horizontal="center" vertical="center"/>
      <protection locked="0"/>
    </xf>
    <xf numFmtId="0" fontId="6" fillId="3" borderId="16" xfId="0" applyFont="1" applyFill="1" applyBorder="1" applyAlignment="1">
      <alignment horizontal="center" vertical="center"/>
    </xf>
    <xf numFmtId="0" fontId="6" fillId="3" borderId="17" xfId="0" applyFont="1" applyFill="1" applyBorder="1" applyAlignment="1">
      <alignment horizontal="center" vertical="center"/>
    </xf>
    <xf numFmtId="0" fontId="6" fillId="3" borderId="18" xfId="0" applyFont="1" applyFill="1" applyBorder="1" applyAlignment="1">
      <alignment horizontal="center" vertical="center"/>
    </xf>
    <xf numFmtId="0" fontId="3" fillId="3" borderId="16" xfId="0" applyFont="1" applyFill="1" applyBorder="1" applyAlignment="1" applyProtection="1">
      <alignment horizontal="center" vertical="center"/>
      <protection locked="0"/>
    </xf>
    <xf numFmtId="0" fontId="3" fillId="3" borderId="17" xfId="0" applyFont="1" applyFill="1" applyBorder="1" applyAlignment="1" applyProtection="1">
      <alignment horizontal="center" vertical="center"/>
      <protection locked="0"/>
    </xf>
    <xf numFmtId="0" fontId="3" fillId="3" borderId="18" xfId="0" applyFont="1" applyFill="1" applyBorder="1" applyAlignment="1" applyProtection="1">
      <alignment horizontal="center" vertical="center"/>
      <protection locked="0"/>
    </xf>
    <xf numFmtId="0" fontId="3" fillId="3" borderId="16" xfId="0" applyFont="1" applyFill="1" applyBorder="1" applyAlignment="1">
      <alignment horizontal="center" vertical="center"/>
    </xf>
    <xf numFmtId="0" fontId="3" fillId="3" borderId="18" xfId="0" applyFont="1" applyFill="1" applyBorder="1" applyAlignment="1">
      <alignment horizontal="center" vertical="center"/>
    </xf>
    <xf numFmtId="0" fontId="3" fillId="3" borderId="12" xfId="0" applyFont="1" applyFill="1" applyBorder="1" applyAlignment="1" applyProtection="1">
      <alignment horizontal="center" vertical="center"/>
      <protection locked="0"/>
    </xf>
    <xf numFmtId="0" fontId="3" fillId="3" borderId="13" xfId="0" applyFont="1" applyFill="1" applyBorder="1" applyAlignment="1" applyProtection="1">
      <alignment horizontal="center" vertical="center"/>
      <protection locked="0"/>
    </xf>
    <xf numFmtId="0" fontId="6" fillId="3" borderId="11"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13" xfId="0" applyFont="1" applyFill="1" applyBorder="1" applyAlignment="1">
      <alignment horizontal="center" vertical="center"/>
    </xf>
    <xf numFmtId="0" fontId="3" fillId="3" borderId="1"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9" xfId="0" applyFont="1" applyFill="1" applyBorder="1" applyAlignment="1" applyProtection="1">
      <alignment horizontal="center" vertical="center"/>
      <protection locked="0"/>
    </xf>
    <xf numFmtId="0" fontId="3" fillId="3" borderId="11" xfId="0" applyFont="1" applyFill="1" applyBorder="1" applyAlignment="1" applyProtection="1">
      <alignment horizontal="center" vertical="center"/>
      <protection locked="0"/>
    </xf>
    <xf numFmtId="0" fontId="6" fillId="3" borderId="7" xfId="0" applyFont="1" applyFill="1" applyBorder="1" applyAlignment="1">
      <alignment horizontal="center" vertical="center"/>
    </xf>
    <xf numFmtId="0" fontId="6" fillId="3" borderId="14" xfId="0" applyFont="1" applyFill="1" applyBorder="1" applyAlignment="1">
      <alignment horizontal="center" vertical="center"/>
    </xf>
    <xf numFmtId="0" fontId="6" fillId="3" borderId="7" xfId="0" applyFont="1" applyFill="1" applyBorder="1" applyAlignment="1">
      <alignment horizontal="center" vertical="center" wrapText="1"/>
    </xf>
    <xf numFmtId="0" fontId="6" fillId="3" borderId="14" xfId="0" applyFont="1" applyFill="1" applyBorder="1" applyAlignment="1">
      <alignment horizontal="center" vertical="center" wrapText="1"/>
    </xf>
    <xf numFmtId="0" fontId="3" fillId="6" borderId="1" xfId="0" applyFont="1" applyFill="1" applyBorder="1" applyAlignment="1">
      <alignment horizontal="center" vertical="center"/>
    </xf>
    <xf numFmtId="0" fontId="3" fillId="6" borderId="2" xfId="0" applyFont="1" applyFill="1" applyBorder="1" applyAlignment="1">
      <alignment horizontal="center" vertical="center"/>
    </xf>
    <xf numFmtId="0" fontId="3" fillId="6" borderId="9" xfId="0" applyFont="1" applyFill="1" applyBorder="1" applyAlignment="1">
      <alignment horizontal="center" vertical="center"/>
    </xf>
    <xf numFmtId="0" fontId="0" fillId="3" borderId="17" xfId="0" applyFill="1" applyBorder="1"/>
    <xf numFmtId="0" fontId="0" fillId="3" borderId="18" xfId="0" applyFill="1" applyBorder="1"/>
    <xf numFmtId="0" fontId="19" fillId="3" borderId="16" xfId="0" applyFont="1" applyFill="1" applyBorder="1" applyAlignment="1" applyProtection="1">
      <alignment horizontal="center" vertical="center"/>
      <protection locked="0"/>
    </xf>
    <xf numFmtId="0" fontId="19" fillId="3" borderId="17" xfId="0" applyFont="1" applyFill="1" applyBorder="1" applyAlignment="1" applyProtection="1">
      <alignment horizontal="center" vertical="center"/>
      <protection locked="0"/>
    </xf>
    <xf numFmtId="0" fontId="19" fillId="3" borderId="18" xfId="0" applyFont="1" applyFill="1" applyBorder="1" applyAlignment="1" applyProtection="1">
      <alignment horizontal="center" vertical="center"/>
      <protection locked="0"/>
    </xf>
    <xf numFmtId="0" fontId="6" fillId="3" borderId="11" xfId="0" applyFont="1" applyFill="1" applyBorder="1" applyAlignment="1" applyProtection="1">
      <alignment horizontal="center" vertical="center"/>
    </xf>
    <xf numFmtId="0" fontId="6" fillId="3" borderId="13" xfId="0" applyFont="1" applyFill="1" applyBorder="1" applyAlignment="1" applyProtection="1">
      <alignment horizontal="center" vertical="center"/>
    </xf>
    <xf numFmtId="0" fontId="6" fillId="3" borderId="12" xfId="0" applyFont="1" applyFill="1" applyBorder="1" applyAlignment="1" applyProtection="1">
      <alignment horizontal="center" vertical="center"/>
    </xf>
    <xf numFmtId="0" fontId="8" fillId="2" borderId="16" xfId="0" applyFont="1" applyFill="1" applyBorder="1" applyAlignment="1">
      <alignment horizontal="center" vertical="center"/>
    </xf>
    <xf numFmtId="0" fontId="8" fillId="2" borderId="17" xfId="0" applyFont="1" applyFill="1" applyBorder="1" applyAlignment="1">
      <alignment horizontal="center" vertical="center"/>
    </xf>
    <xf numFmtId="0" fontId="8" fillId="2" borderId="18" xfId="0" applyFont="1" applyFill="1" applyBorder="1" applyAlignment="1">
      <alignment horizontal="center" vertical="center"/>
    </xf>
    <xf numFmtId="0" fontId="6" fillId="3" borderId="5" xfId="0" applyFont="1" applyFill="1" applyBorder="1" applyAlignment="1">
      <alignment horizontal="center" vertical="center"/>
    </xf>
    <xf numFmtId="0" fontId="8" fillId="4" borderId="16" xfId="0" applyFont="1" applyFill="1" applyBorder="1" applyAlignment="1">
      <alignment horizontal="center" vertical="center"/>
    </xf>
    <xf numFmtId="0" fontId="8" fillId="4" borderId="17" xfId="0" applyFont="1" applyFill="1" applyBorder="1" applyAlignment="1">
      <alignment horizontal="center" vertical="center"/>
    </xf>
    <xf numFmtId="0" fontId="8" fillId="4" borderId="18" xfId="0" applyFont="1" applyFill="1" applyBorder="1" applyAlignment="1">
      <alignment horizontal="center" vertical="center"/>
    </xf>
    <xf numFmtId="2" fontId="6" fillId="3" borderId="16" xfId="0" applyNumberFormat="1" applyFont="1" applyFill="1" applyBorder="1" applyAlignment="1">
      <alignment horizontal="center" vertical="center"/>
    </xf>
    <xf numFmtId="2" fontId="6" fillId="3" borderId="17" xfId="0" applyNumberFormat="1" applyFont="1" applyFill="1" applyBorder="1" applyAlignment="1">
      <alignment horizontal="center" vertical="center"/>
    </xf>
    <xf numFmtId="2" fontId="6" fillId="3" borderId="18" xfId="0" applyNumberFormat="1" applyFont="1" applyFill="1" applyBorder="1" applyAlignment="1">
      <alignment horizontal="center" vertical="center"/>
    </xf>
    <xf numFmtId="164" fontId="6" fillId="3" borderId="16" xfId="0" applyNumberFormat="1" applyFont="1" applyFill="1" applyBorder="1" applyAlignment="1">
      <alignment horizontal="center" vertical="center"/>
    </xf>
    <xf numFmtId="164" fontId="6" fillId="3" borderId="17" xfId="0" applyNumberFormat="1" applyFont="1" applyFill="1" applyBorder="1" applyAlignment="1">
      <alignment horizontal="center" vertical="center"/>
    </xf>
    <xf numFmtId="164" fontId="6" fillId="3" borderId="18" xfId="0" applyNumberFormat="1" applyFont="1" applyFill="1" applyBorder="1" applyAlignment="1">
      <alignment horizontal="center" vertical="center"/>
    </xf>
    <xf numFmtId="2" fontId="23" fillId="3" borderId="16" xfId="0" applyNumberFormat="1" applyFont="1" applyFill="1" applyBorder="1" applyAlignment="1">
      <alignment horizontal="center" vertical="center"/>
    </xf>
    <xf numFmtId="2" fontId="23" fillId="3" borderId="17" xfId="0" applyNumberFormat="1" applyFont="1" applyFill="1" applyBorder="1" applyAlignment="1">
      <alignment horizontal="center" vertical="center"/>
    </xf>
    <xf numFmtId="2" fontId="23" fillId="3" borderId="18" xfId="0" applyNumberFormat="1" applyFont="1" applyFill="1" applyBorder="1" applyAlignment="1">
      <alignment horizontal="center" vertical="center"/>
    </xf>
    <xf numFmtId="0" fontId="20" fillId="3" borderId="0" xfId="0" applyFont="1" applyFill="1" applyBorder="1" applyAlignment="1">
      <alignment horizontal="center" vertical="center"/>
    </xf>
    <xf numFmtId="0" fontId="22" fillId="2" borderId="16" xfId="0" applyFont="1" applyFill="1" applyBorder="1" applyAlignment="1">
      <alignment horizontal="center" vertical="center"/>
    </xf>
    <xf numFmtId="0" fontId="22" fillId="2" borderId="17" xfId="0" applyFont="1" applyFill="1" applyBorder="1" applyAlignment="1">
      <alignment horizontal="center" vertical="center"/>
    </xf>
    <xf numFmtId="0" fontId="22" fillId="2" borderId="18" xfId="0" applyFont="1" applyFill="1" applyBorder="1" applyAlignment="1">
      <alignment horizontal="center" vertical="center"/>
    </xf>
    <xf numFmtId="0" fontId="22" fillId="4" borderId="16" xfId="0" applyFont="1" applyFill="1" applyBorder="1" applyAlignment="1">
      <alignment horizontal="center" vertical="center"/>
    </xf>
    <xf numFmtId="0" fontId="22" fillId="4" borderId="17" xfId="0" applyFont="1" applyFill="1" applyBorder="1" applyAlignment="1">
      <alignment horizontal="center" vertical="center"/>
    </xf>
    <xf numFmtId="0" fontId="22" fillId="4" borderId="18" xfId="0" applyFont="1" applyFill="1" applyBorder="1" applyAlignment="1">
      <alignment horizontal="center" vertical="center"/>
    </xf>
    <xf numFmtId="0" fontId="6" fillId="6" borderId="16" xfId="0" applyFont="1" applyFill="1" applyBorder="1" applyAlignment="1">
      <alignment horizontal="center" vertical="center"/>
    </xf>
    <xf numFmtId="0" fontId="6" fillId="6" borderId="17" xfId="0" applyFont="1" applyFill="1" applyBorder="1" applyAlignment="1">
      <alignment horizontal="center" vertical="center"/>
    </xf>
    <xf numFmtId="0" fontId="6" fillId="6" borderId="18" xfId="0" applyFont="1" applyFill="1" applyBorder="1" applyAlignment="1">
      <alignment horizontal="center" vertical="center"/>
    </xf>
    <xf numFmtId="0" fontId="19" fillId="3" borderId="1" xfId="0" applyFont="1" applyFill="1" applyBorder="1" applyAlignment="1">
      <alignment horizontal="center" vertical="center"/>
    </xf>
    <xf numFmtId="0" fontId="19" fillId="3" borderId="2" xfId="0" applyFont="1" applyFill="1" applyBorder="1" applyAlignment="1">
      <alignment horizontal="center" vertical="center"/>
    </xf>
    <xf numFmtId="0" fontId="19" fillId="3" borderId="9" xfId="0" applyFont="1" applyFill="1" applyBorder="1" applyAlignment="1">
      <alignment horizontal="center" vertical="center"/>
    </xf>
    <xf numFmtId="0" fontId="19" fillId="3" borderId="3" xfId="0" applyFont="1" applyFill="1" applyBorder="1" applyAlignment="1">
      <alignment horizontal="center" vertical="center"/>
    </xf>
    <xf numFmtId="0" fontId="19" fillId="3" borderId="0" xfId="0" applyFont="1" applyFill="1" applyBorder="1" applyAlignment="1">
      <alignment horizontal="center" vertical="center"/>
    </xf>
    <xf numFmtId="0" fontId="19" fillId="3" borderId="10" xfId="0" applyFont="1" applyFill="1" applyBorder="1" applyAlignment="1">
      <alignment horizontal="center" vertical="center"/>
    </xf>
    <xf numFmtId="0" fontId="19" fillId="3" borderId="11" xfId="0" applyFont="1" applyFill="1" applyBorder="1" applyAlignment="1">
      <alignment horizontal="center" vertical="center"/>
    </xf>
    <xf numFmtId="0" fontId="19" fillId="3" borderId="12" xfId="0" applyFont="1" applyFill="1" applyBorder="1" applyAlignment="1">
      <alignment horizontal="center" vertical="center"/>
    </xf>
    <xf numFmtId="0" fontId="19" fillId="3" borderId="13" xfId="0" applyFont="1" applyFill="1" applyBorder="1" applyAlignment="1">
      <alignment horizontal="center" vertical="center"/>
    </xf>
    <xf numFmtId="0" fontId="3" fillId="6" borderId="5" xfId="0" applyFont="1" applyFill="1" applyBorder="1" applyAlignment="1">
      <alignment horizontal="center" vertical="center"/>
    </xf>
    <xf numFmtId="0" fontId="6" fillId="3" borderId="1" xfId="0" applyFont="1" applyFill="1" applyBorder="1" applyAlignment="1">
      <alignment horizontal="center" vertical="center"/>
    </xf>
    <xf numFmtId="0" fontId="6" fillId="3" borderId="9" xfId="0" applyFont="1" applyFill="1" applyBorder="1" applyAlignment="1">
      <alignment horizontal="center" vertical="center"/>
    </xf>
    <xf numFmtId="164" fontId="6" fillId="3" borderId="1" xfId="0" applyNumberFormat="1" applyFont="1" applyFill="1" applyBorder="1" applyAlignment="1">
      <alignment horizontal="center" vertical="center"/>
    </xf>
    <xf numFmtId="164" fontId="6" fillId="3" borderId="9" xfId="0" applyNumberFormat="1" applyFont="1" applyFill="1" applyBorder="1" applyAlignment="1">
      <alignment horizontal="center" vertical="center"/>
    </xf>
    <xf numFmtId="164" fontId="6" fillId="3" borderId="3" xfId="0" applyNumberFormat="1" applyFont="1" applyFill="1" applyBorder="1" applyAlignment="1">
      <alignment horizontal="center" vertical="center"/>
    </xf>
    <xf numFmtId="164" fontId="6" fillId="3" borderId="10" xfId="0" applyNumberFormat="1" applyFont="1" applyFill="1" applyBorder="1" applyAlignment="1">
      <alignment horizontal="center" vertical="center"/>
    </xf>
    <xf numFmtId="164" fontId="6" fillId="3" borderId="11" xfId="0" applyNumberFormat="1" applyFont="1" applyFill="1" applyBorder="1" applyAlignment="1">
      <alignment horizontal="center" vertical="center"/>
    </xf>
    <xf numFmtId="164" fontId="6" fillId="3" borderId="13" xfId="0" applyNumberFormat="1" applyFont="1" applyFill="1" applyBorder="1" applyAlignment="1">
      <alignment horizontal="center" vertical="center"/>
    </xf>
    <xf numFmtId="0" fontId="25" fillId="4" borderId="16" xfId="0" applyFont="1" applyFill="1" applyBorder="1" applyAlignment="1">
      <alignment horizontal="center"/>
    </xf>
    <xf numFmtId="0" fontId="25" fillId="4" borderId="17" xfId="0" applyFont="1" applyFill="1" applyBorder="1" applyAlignment="1">
      <alignment horizontal="center"/>
    </xf>
    <xf numFmtId="0" fontId="25" fillId="4" borderId="18" xfId="0" applyFont="1" applyFill="1" applyBorder="1" applyAlignment="1">
      <alignment horizontal="center"/>
    </xf>
    <xf numFmtId="0" fontId="25" fillId="2" borderId="16" xfId="0" applyFont="1" applyFill="1" applyBorder="1" applyAlignment="1">
      <alignment horizontal="center"/>
    </xf>
    <xf numFmtId="0" fontId="25" fillId="2" borderId="17" xfId="0" applyFont="1" applyFill="1" applyBorder="1" applyAlignment="1">
      <alignment horizontal="center"/>
    </xf>
    <xf numFmtId="0" fontId="25" fillId="2" borderId="18" xfId="0" applyFont="1" applyFill="1" applyBorder="1" applyAlignment="1">
      <alignment horizontal="center"/>
    </xf>
    <xf numFmtId="0" fontId="13" fillId="3" borderId="9" xfId="0" applyFont="1" applyFill="1" applyBorder="1" applyAlignment="1">
      <alignment horizontal="center" vertical="center"/>
    </xf>
    <xf numFmtId="0" fontId="26" fillId="6" borderId="16" xfId="0" applyFont="1" applyFill="1" applyBorder="1" applyAlignment="1">
      <alignment horizontal="center" vertical="center"/>
    </xf>
    <xf numFmtId="0" fontId="26" fillId="6" borderId="17" xfId="0" applyFont="1" applyFill="1" applyBorder="1" applyAlignment="1">
      <alignment horizontal="center" vertical="center"/>
    </xf>
    <xf numFmtId="0" fontId="26" fillId="6" borderId="18" xfId="0" applyFont="1" applyFill="1" applyBorder="1" applyAlignment="1">
      <alignment horizontal="center" vertical="center"/>
    </xf>
    <xf numFmtId="0" fontId="6" fillId="0" borderId="7" xfId="0" applyFont="1" applyBorder="1" applyAlignment="1">
      <alignment horizontal="center" vertical="center"/>
    </xf>
    <xf numFmtId="0" fontId="6" fillId="0" borderId="14" xfId="0" applyFont="1" applyBorder="1" applyAlignment="1">
      <alignment horizontal="center" vertical="center"/>
    </xf>
    <xf numFmtId="0" fontId="6" fillId="0" borderId="16" xfId="0" applyFont="1" applyFill="1" applyBorder="1" applyAlignment="1">
      <alignment horizontal="center" vertical="center"/>
    </xf>
    <xf numFmtId="0" fontId="6" fillId="0" borderId="17" xfId="0" applyFont="1" applyFill="1" applyBorder="1" applyAlignment="1">
      <alignment horizontal="center" vertical="center"/>
    </xf>
    <xf numFmtId="0" fontId="6" fillId="0" borderId="18" xfId="0" applyFont="1" applyFill="1" applyBorder="1" applyAlignment="1">
      <alignment horizontal="center" vertical="center"/>
    </xf>
    <xf numFmtId="0" fontId="0" fillId="0" borderId="17" xfId="0" applyBorder="1"/>
    <xf numFmtId="0" fontId="0" fillId="0" borderId="18" xfId="0" applyBorder="1"/>
    <xf numFmtId="0" fontId="6" fillId="0" borderId="7" xfId="0" applyFont="1" applyFill="1" applyBorder="1" applyAlignment="1">
      <alignment horizontal="center" vertical="center"/>
    </xf>
    <xf numFmtId="0" fontId="6" fillId="0" borderId="14" xfId="0" applyFont="1" applyFill="1" applyBorder="1" applyAlignment="1">
      <alignment horizontal="center" vertical="center"/>
    </xf>
    <xf numFmtId="0" fontId="6" fillId="0" borderId="7" xfId="0" applyFont="1" applyBorder="1" applyAlignment="1">
      <alignment horizontal="center" vertical="center" wrapText="1"/>
    </xf>
    <xf numFmtId="0" fontId="6" fillId="0" borderId="14" xfId="0" applyFont="1" applyBorder="1" applyAlignment="1">
      <alignment horizontal="center" vertical="center" wrapText="1"/>
    </xf>
  </cellXfs>
  <cellStyles count="3">
    <cellStyle name="Hyperlink" xfId="1" builtinId="8"/>
    <cellStyle name="Normal" xfId="0" builtinId="0"/>
    <cellStyle name="Normal 2" xfId="2"/>
  </cellStyles>
  <dxfs count="18">
    <dxf>
      <fill>
        <patternFill>
          <bgColor indexed="45"/>
        </patternFill>
      </fill>
    </dxf>
    <dxf>
      <fill>
        <patternFill>
          <bgColor indexed="43"/>
        </patternFill>
      </fill>
    </dxf>
    <dxf>
      <fill>
        <patternFill>
          <bgColor indexed="42"/>
        </patternFill>
      </fill>
    </dxf>
    <dxf>
      <font>
        <b/>
        <i val="0"/>
        <condense val="0"/>
        <extend val="0"/>
        <color indexed="9"/>
      </font>
      <fill>
        <patternFill>
          <bgColor indexed="20"/>
        </patternFill>
      </fill>
    </dxf>
    <dxf>
      <font>
        <b/>
        <i val="0"/>
        <condense val="0"/>
        <extend val="0"/>
        <color indexed="9"/>
      </font>
      <fill>
        <patternFill>
          <bgColor indexed="10"/>
        </patternFill>
      </fill>
    </dxf>
    <dxf>
      <font>
        <b/>
        <i val="0"/>
        <condense val="0"/>
        <extend val="0"/>
        <color indexed="9"/>
      </font>
      <fill>
        <patternFill>
          <bgColor indexed="39"/>
        </patternFill>
      </fill>
    </dxf>
    <dxf>
      <font>
        <b/>
        <i/>
        <condense val="0"/>
        <extend val="0"/>
        <color indexed="9"/>
      </font>
      <fill>
        <patternFill>
          <bgColor indexed="39"/>
        </patternFill>
      </fill>
    </dxf>
    <dxf>
      <font>
        <b/>
        <i/>
        <condense val="0"/>
        <extend val="0"/>
        <color auto="1"/>
      </font>
      <fill>
        <patternFill>
          <bgColor indexed="51"/>
        </patternFill>
      </fill>
    </dxf>
    <dxf>
      <font>
        <b/>
        <i/>
        <condense val="0"/>
        <extend val="0"/>
        <color indexed="9"/>
      </font>
      <fill>
        <patternFill>
          <bgColor indexed="10"/>
        </patternFill>
      </fill>
    </dxf>
    <dxf>
      <font>
        <b/>
        <i/>
        <condense val="0"/>
        <extend val="0"/>
        <color indexed="9"/>
      </font>
      <fill>
        <patternFill>
          <bgColor indexed="39"/>
        </patternFill>
      </fill>
    </dxf>
    <dxf>
      <font>
        <b/>
        <i/>
        <condense val="0"/>
        <extend val="0"/>
        <color auto="1"/>
      </font>
      <fill>
        <patternFill>
          <bgColor indexed="22"/>
        </patternFill>
      </fill>
    </dxf>
    <dxf>
      <font>
        <b/>
        <i/>
        <condense val="0"/>
        <extend val="0"/>
        <color indexed="9"/>
      </font>
      <fill>
        <patternFill>
          <bgColor indexed="10"/>
        </patternFill>
      </fill>
    </dxf>
    <dxf>
      <font>
        <b/>
        <i/>
        <condense val="0"/>
        <extend val="0"/>
        <color indexed="9"/>
      </font>
      <fill>
        <patternFill>
          <bgColor indexed="39"/>
        </patternFill>
      </fill>
    </dxf>
    <dxf>
      <font>
        <b/>
        <i/>
        <condense val="0"/>
        <extend val="0"/>
        <color auto="1"/>
      </font>
      <fill>
        <patternFill>
          <bgColor indexed="51"/>
        </patternFill>
      </fill>
    </dxf>
    <dxf>
      <font>
        <b/>
        <i/>
        <condense val="0"/>
        <extend val="0"/>
        <color indexed="9"/>
      </font>
      <fill>
        <patternFill>
          <bgColor indexed="10"/>
        </patternFill>
      </fill>
    </dxf>
    <dxf>
      <font>
        <b/>
        <i/>
        <condense val="0"/>
        <extend val="0"/>
        <color indexed="9"/>
      </font>
      <fill>
        <patternFill>
          <bgColor indexed="39"/>
        </patternFill>
      </fill>
    </dxf>
    <dxf>
      <font>
        <b/>
        <i/>
        <condense val="0"/>
        <extend val="0"/>
        <color auto="1"/>
      </font>
      <fill>
        <patternFill>
          <bgColor indexed="22"/>
        </patternFill>
      </fill>
    </dxf>
    <dxf>
      <font>
        <b/>
        <i/>
        <condense val="0"/>
        <extend val="0"/>
        <color indexed="9"/>
      </font>
      <fill>
        <patternFill>
          <bgColor indexed="1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79828586211415"/>
          <c:y val="6.4935339452023524E-2"/>
          <c:w val="0.68119342342655109"/>
          <c:h val="0.72294677923252859"/>
        </c:manualLayout>
      </c:layout>
      <c:scatterChart>
        <c:scatterStyle val="lineMarker"/>
        <c:varyColors val="0"/>
        <c:ser>
          <c:idx val="0"/>
          <c:order val="0"/>
          <c:tx>
            <c:v>Tubes</c:v>
          </c:tx>
          <c:spPr>
            <a:ln w="38100">
              <a:solidFill>
                <a:srgbClr val="000080"/>
              </a:solidFill>
              <a:prstDash val="solid"/>
            </a:ln>
          </c:spPr>
          <c:marker>
            <c:symbol val="circle"/>
            <c:size val="8"/>
            <c:spPr>
              <a:solidFill>
                <a:srgbClr val="000080"/>
              </a:solidFill>
              <a:ln>
                <a:solidFill>
                  <a:srgbClr val="000080"/>
                </a:solidFill>
                <a:prstDash val="solid"/>
              </a:ln>
            </c:spPr>
          </c:marker>
          <c:yVal>
            <c:numRef>
              <c:f>'Team Template'!$H$11:$H$16</c:f>
              <c:numCache>
                <c:formatCode>General</c:formatCode>
                <c:ptCount val="6"/>
                <c:pt idx="0">
                  <c:v>0</c:v>
                </c:pt>
                <c:pt idx="1">
                  <c:v>0</c:v>
                </c:pt>
                <c:pt idx="2">
                  <c:v>0</c:v>
                </c:pt>
                <c:pt idx="3">
                  <c:v>0</c:v>
                </c:pt>
                <c:pt idx="4">
                  <c:v>0</c:v>
                </c:pt>
                <c:pt idx="5">
                  <c:v>0</c:v>
                </c:pt>
              </c:numCache>
            </c:numRef>
          </c:yVal>
          <c:smooth val="0"/>
        </c:ser>
        <c:ser>
          <c:idx val="1"/>
          <c:order val="1"/>
          <c:tx>
            <c:v>UberTubes</c:v>
          </c:tx>
          <c:spPr>
            <a:ln w="38100">
              <a:solidFill>
                <a:srgbClr val="FFCC00"/>
              </a:solidFill>
              <a:prstDash val="solid"/>
            </a:ln>
          </c:spPr>
          <c:marker>
            <c:symbol val="circle"/>
            <c:size val="8"/>
            <c:spPr>
              <a:solidFill>
                <a:srgbClr val="FFCC00"/>
              </a:solidFill>
              <a:ln>
                <a:solidFill>
                  <a:srgbClr val="FFCC00"/>
                </a:solidFill>
                <a:prstDash val="solid"/>
              </a:ln>
            </c:spPr>
          </c:marker>
          <c:yVal>
            <c:numRef>
              <c:f>'Team Template'!$S$11:$S$16</c:f>
              <c:numCache>
                <c:formatCode>General</c:formatCode>
                <c:ptCount val="6"/>
              </c:numCache>
            </c:numRef>
          </c:yVal>
          <c:smooth val="0"/>
        </c:ser>
        <c:dLbls>
          <c:showLegendKey val="0"/>
          <c:showVal val="0"/>
          <c:showCatName val="0"/>
          <c:showSerName val="0"/>
          <c:showPercent val="0"/>
          <c:showBubbleSize val="0"/>
        </c:dLbls>
        <c:axId val="172434176"/>
        <c:axId val="172436480"/>
      </c:scatterChart>
      <c:valAx>
        <c:axId val="172434176"/>
        <c:scaling>
          <c:orientation val="minMax"/>
        </c:scaling>
        <c:delete val="0"/>
        <c:axPos val="b"/>
        <c:title>
          <c:tx>
            <c:rich>
              <a:bodyPr/>
              <a:lstStyle/>
              <a:p>
                <a:pPr>
                  <a:defRPr sz="800" b="1" i="0" u="none" strike="noStrike" baseline="0">
                    <a:solidFill>
                      <a:srgbClr val="000000"/>
                    </a:solidFill>
                    <a:latin typeface="Arial"/>
                    <a:ea typeface="Arial"/>
                    <a:cs typeface="Arial"/>
                  </a:defRPr>
                </a:pPr>
                <a:r>
                  <a:rPr lang="en-US"/>
                  <a:t>Matches Played</a:t>
                </a:r>
              </a:p>
            </c:rich>
          </c:tx>
          <c:layout>
            <c:manualLayout>
              <c:xMode val="edge"/>
              <c:yMode val="edge"/>
              <c:x val="0.34403717883888363"/>
              <c:y val="0.87013350603901785"/>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550" b="0" i="0" u="none" strike="noStrike" baseline="0">
                <a:solidFill>
                  <a:srgbClr val="000000"/>
                </a:solidFill>
                <a:latin typeface="Arial"/>
                <a:ea typeface="Arial"/>
                <a:cs typeface="Arial"/>
              </a:defRPr>
            </a:pPr>
            <a:endParaRPr lang="en-US"/>
          </a:p>
        </c:txPr>
        <c:crossAx val="172436480"/>
        <c:crosses val="autoZero"/>
        <c:crossBetween val="midCat"/>
        <c:minorUnit val="1"/>
      </c:valAx>
      <c:valAx>
        <c:axId val="172436480"/>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Tubes Scored Per Match</a:t>
                </a:r>
              </a:p>
            </c:rich>
          </c:tx>
          <c:layout>
            <c:manualLayout>
              <c:xMode val="edge"/>
              <c:yMode val="edge"/>
              <c:x val="2.2935779816513763E-2"/>
              <c:y val="0.1255415800297690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550" b="0" i="0" u="none" strike="noStrike" baseline="0">
                <a:solidFill>
                  <a:srgbClr val="000000"/>
                </a:solidFill>
                <a:latin typeface="Arial"/>
                <a:ea typeface="Arial"/>
                <a:cs typeface="Arial"/>
              </a:defRPr>
            </a:pPr>
            <a:endParaRPr lang="en-US"/>
          </a:p>
        </c:txPr>
        <c:crossAx val="172434176"/>
        <c:crosses val="autoZero"/>
        <c:crossBetween val="midCat"/>
      </c:valAx>
      <c:spPr>
        <a:noFill/>
        <a:ln w="25400">
          <a:noFill/>
        </a:ln>
      </c:spPr>
    </c:plotArea>
    <c:legend>
      <c:legendPos val="r"/>
      <c:layout>
        <c:manualLayout>
          <c:xMode val="edge"/>
          <c:yMode val="edge"/>
          <c:x val="0.78899178887042787"/>
          <c:y val="0.37229573576030273"/>
          <c:w val="0.20183510318090969"/>
          <c:h val="0.22510913408551203"/>
        </c:manualLayout>
      </c:layout>
      <c:overlay val="0"/>
      <c:spPr>
        <a:solidFill>
          <a:srgbClr val="FFFFFF"/>
        </a:solidFill>
        <a:ln w="3175">
          <a:solidFill>
            <a:srgbClr val="000000"/>
          </a:solidFill>
          <a:prstDash val="solid"/>
        </a:ln>
      </c:spPr>
      <c:txPr>
        <a:bodyPr/>
        <a:lstStyle/>
        <a:p>
          <a:pPr>
            <a:defRPr sz="640" b="1" i="0" u="none" strike="noStrike" baseline="0">
              <a:solidFill>
                <a:srgbClr val="000000"/>
              </a:solidFill>
              <a:latin typeface="Arial"/>
              <a:ea typeface="Arial"/>
              <a:cs typeface="Arial"/>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5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verticalDpi="0"/>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829493087557604"/>
          <c:y val="9.5238497862967827E-2"/>
          <c:w val="0.85253456221198154"/>
          <c:h val="0.66666948504077483"/>
        </c:manualLayout>
      </c:layout>
      <c:scatterChart>
        <c:scatterStyle val="lineMarker"/>
        <c:varyColors val="0"/>
        <c:ser>
          <c:idx val="1"/>
          <c:order val="0"/>
          <c:spPr>
            <a:ln w="38100">
              <a:solidFill>
                <a:srgbClr val="FF0000"/>
              </a:solidFill>
              <a:prstDash val="solid"/>
            </a:ln>
          </c:spPr>
          <c:marker>
            <c:symbol val="circle"/>
            <c:size val="7"/>
            <c:spPr>
              <a:solidFill>
                <a:srgbClr val="FF0000"/>
              </a:solidFill>
              <a:ln>
                <a:solidFill>
                  <a:srgbClr val="FF0000"/>
                </a:solidFill>
                <a:prstDash val="solid"/>
              </a:ln>
            </c:spPr>
          </c:marker>
          <c:yVal>
            <c:numRef>
              <c:f>'Team Template'!$M$11:$M$16</c:f>
              <c:numCache>
                <c:formatCode>General</c:formatCode>
                <c:ptCount val="6"/>
                <c:pt idx="0">
                  <c:v>1</c:v>
                </c:pt>
                <c:pt idx="1">
                  <c:v>1</c:v>
                </c:pt>
                <c:pt idx="2">
                  <c:v>0</c:v>
                </c:pt>
                <c:pt idx="3">
                  <c:v>0</c:v>
                </c:pt>
                <c:pt idx="4">
                  <c:v>1</c:v>
                </c:pt>
                <c:pt idx="5">
                  <c:v>2</c:v>
                </c:pt>
              </c:numCache>
            </c:numRef>
          </c:yVal>
          <c:smooth val="0"/>
        </c:ser>
        <c:dLbls>
          <c:showLegendKey val="0"/>
          <c:showVal val="0"/>
          <c:showCatName val="0"/>
          <c:showSerName val="0"/>
          <c:showPercent val="0"/>
          <c:showBubbleSize val="0"/>
        </c:dLbls>
        <c:axId val="172469248"/>
        <c:axId val="172488192"/>
      </c:scatterChart>
      <c:valAx>
        <c:axId val="172469248"/>
        <c:scaling>
          <c:orientation val="minMax"/>
        </c:scaling>
        <c:delete val="0"/>
        <c:axPos val="b"/>
        <c:title>
          <c:tx>
            <c:rich>
              <a:bodyPr/>
              <a:lstStyle/>
              <a:p>
                <a:pPr>
                  <a:defRPr sz="800" b="1" i="0" u="none" strike="noStrike" baseline="0">
                    <a:solidFill>
                      <a:srgbClr val="000000"/>
                    </a:solidFill>
                    <a:latin typeface="Arial"/>
                    <a:ea typeface="Arial"/>
                    <a:cs typeface="Arial"/>
                  </a:defRPr>
                </a:pPr>
                <a:r>
                  <a:rPr lang="en-US"/>
                  <a:t>Matches Played</a:t>
                </a:r>
              </a:p>
            </c:rich>
          </c:tx>
          <c:layout>
            <c:manualLayout>
              <c:xMode val="edge"/>
              <c:yMode val="edge"/>
              <c:x val="0.43087557603686638"/>
              <c:y val="0.84415948006499186"/>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550" b="0" i="0" u="none" strike="noStrike" baseline="0">
                <a:solidFill>
                  <a:srgbClr val="000000"/>
                </a:solidFill>
                <a:latin typeface="Arial"/>
                <a:ea typeface="Arial"/>
                <a:cs typeface="Arial"/>
              </a:defRPr>
            </a:pPr>
            <a:endParaRPr lang="en-US"/>
          </a:p>
        </c:txPr>
        <c:crossAx val="172488192"/>
        <c:crosses val="autoZero"/>
        <c:crossBetween val="midCat"/>
        <c:minorUnit val="1"/>
      </c:valAx>
      <c:valAx>
        <c:axId val="172488192"/>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Minibot</a:t>
                </a:r>
              </a:p>
            </c:rich>
          </c:tx>
          <c:layout>
            <c:manualLayout>
              <c:xMode val="edge"/>
              <c:yMode val="edge"/>
              <c:x val="3.6866359447004608E-2"/>
              <c:y val="0.333334696799263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550" b="0" i="0" u="none" strike="noStrike" baseline="0">
                <a:solidFill>
                  <a:srgbClr val="000000"/>
                </a:solidFill>
                <a:latin typeface="Arial"/>
                <a:ea typeface="Arial"/>
                <a:cs typeface="Arial"/>
              </a:defRPr>
            </a:pPr>
            <a:endParaRPr lang="en-US"/>
          </a:p>
        </c:txPr>
        <c:crossAx val="172469248"/>
        <c:crosses val="autoZero"/>
        <c:crossBetween val="midCat"/>
        <c:minorUnit val="1"/>
      </c:valAx>
      <c:spPr>
        <a:noFill/>
        <a:ln w="25400">
          <a:noFill/>
        </a:ln>
      </c:spPr>
    </c:plotArea>
    <c:plotVisOnly val="0"/>
    <c:dispBlanksAs val="gap"/>
    <c:showDLblsOverMax val="0"/>
  </c:chart>
  <c:spPr>
    <a:solidFill>
      <a:srgbClr val="FFFFFF"/>
    </a:solidFill>
    <a:ln w="3175">
      <a:solidFill>
        <a:srgbClr val="000000"/>
      </a:solidFill>
      <a:prstDash val="solid"/>
    </a:ln>
  </c:spPr>
  <c:txPr>
    <a:bodyPr/>
    <a:lstStyle/>
    <a:p>
      <a:pPr>
        <a:defRPr sz="5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userShapes r:id="rId1"/>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4</xdr:col>
      <xdr:colOff>581025</xdr:colOff>
      <xdr:row>5</xdr:row>
      <xdr:rowOff>19050</xdr:rowOff>
    </xdr:from>
    <xdr:to>
      <xdr:col>8</xdr:col>
      <xdr:colOff>47625</xdr:colOff>
      <xdr:row>9</xdr:row>
      <xdr:rowOff>133350</xdr:rowOff>
    </xdr:to>
    <xdr:pic>
      <xdr:nvPicPr>
        <xdr:cNvPr id="9219" name="Picture 1" descr="Logomotion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90825" y="742950"/>
          <a:ext cx="1905000" cy="762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0</xdr:colOff>
      <xdr:row>32</xdr:row>
      <xdr:rowOff>19050</xdr:rowOff>
    </xdr:from>
    <xdr:to>
      <xdr:col>11</xdr:col>
      <xdr:colOff>371475</xdr:colOff>
      <xdr:row>33</xdr:row>
      <xdr:rowOff>123825</xdr:rowOff>
    </xdr:to>
    <xdr:pic>
      <xdr:nvPicPr>
        <xdr:cNvPr id="9220" name="Picture 2" descr="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67400" y="7219950"/>
          <a:ext cx="981075"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104775</xdr:colOff>
          <xdr:row>44</xdr:row>
          <xdr:rowOff>95250</xdr:rowOff>
        </xdr:from>
        <xdr:to>
          <xdr:col>8</xdr:col>
          <xdr:colOff>0</xdr:colOff>
          <xdr:row>53</xdr:row>
          <xdr:rowOff>19050</xdr:rowOff>
        </xdr:to>
        <xdr:sp macro="" textlink="">
          <xdr:nvSpPr>
            <xdr:cNvPr id="1032" name="Button 8" hidden="1">
              <a:extLst>
                <a:ext uri="{63B3BB69-23CF-44E3-9099-C40C66FF867C}">
                  <a14:compatExt spid="_x0000_s10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Entry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6</xdr:row>
      <xdr:rowOff>19050</xdr:rowOff>
    </xdr:from>
    <xdr:to>
      <xdr:col>10</xdr:col>
      <xdr:colOff>457200</xdr:colOff>
      <xdr:row>6</xdr:row>
      <xdr:rowOff>2219325</xdr:rowOff>
    </xdr:to>
    <xdr:graphicFrame macro="">
      <xdr:nvGraphicFramePr>
        <xdr:cNvPr id="3111" name="Tube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76200</xdr:colOff>
      <xdr:row>6</xdr:row>
      <xdr:rowOff>19050</xdr:rowOff>
    </xdr:from>
    <xdr:to>
      <xdr:col>16</xdr:col>
      <xdr:colOff>428625</xdr:colOff>
      <xdr:row>6</xdr:row>
      <xdr:rowOff>2219325</xdr:rowOff>
    </xdr:to>
    <xdr:graphicFrame macro="">
      <xdr:nvGraphicFramePr>
        <xdr:cNvPr id="3112" name="Minibot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0.01223</cdr:x>
      <cdr:y>0.02309</cdr:y>
    </cdr:from>
    <cdr:to>
      <cdr:x>0.01223</cdr:x>
      <cdr:y>0.02309</cdr:y>
    </cdr:to>
    <cdr:sp macro="" textlink="">
      <cdr:nvSpPr>
        <cdr:cNvPr id="2" name="DVCHARTID" hidden="1"/>
        <cdr:cNvSpPr txBox="1"/>
      </cdr:nvSpPr>
      <cdr:spPr>
        <a:xfrm xmlns:a="http://schemas.openxmlformats.org/drawingml/2006/main">
          <a:off x="50800" y="50800"/>
          <a:ext cx="0" cy="0"/>
        </a:xfrm>
        <a:prstGeom xmlns:a="http://schemas.openxmlformats.org/drawingml/2006/main" prst="rect">
          <a:avLst/>
        </a:prstGeom>
      </cdr:spPr>
      <cdr:txBody>
        <a:bodyPr xmlns:a="http://schemas.openxmlformats.org/drawingml/2006/main" vertOverflow="clip" vert="vert" rtlCol="0" anchor="ctr"/>
        <a:lstStyle xmlns:a="http://schemas.openxmlformats.org/drawingml/2006/main"/>
        <a:p xmlns:a="http://schemas.openxmlformats.org/drawingml/2006/main">
          <a:pPr algn="r"/>
          <a:r>
            <a:rPr lang="en-US" sz="1100"/>
            <a:t>VX78TA9SCZhMwzYsWwS7Fs</a:t>
          </a:r>
        </a:p>
      </cdr:txBody>
    </cdr:sp>
  </cdr:relSizeAnchor>
</c:userShapes>
</file>

<file path=xl/drawings/drawing5.xml><?xml version="1.0" encoding="utf-8"?>
<c:userShapes xmlns:c="http://schemas.openxmlformats.org/drawingml/2006/chart">
  <cdr:relSizeAnchor xmlns:cdr="http://schemas.openxmlformats.org/drawingml/2006/chartDrawing">
    <cdr:from>
      <cdr:x>0.01229</cdr:x>
      <cdr:y>0.02309</cdr:y>
    </cdr:from>
    <cdr:to>
      <cdr:x>0.01229</cdr:x>
      <cdr:y>0.02309</cdr:y>
    </cdr:to>
    <cdr:sp macro="" textlink="">
      <cdr:nvSpPr>
        <cdr:cNvPr id="2" name="DVCHARTID" hidden="1"/>
        <cdr:cNvSpPr txBox="1"/>
      </cdr:nvSpPr>
      <cdr:spPr>
        <a:xfrm xmlns:a="http://schemas.openxmlformats.org/drawingml/2006/main">
          <a:off x="50800" y="50800"/>
          <a:ext cx="0" cy="0"/>
        </a:xfrm>
        <a:prstGeom xmlns:a="http://schemas.openxmlformats.org/drawingml/2006/main" prst="rect">
          <a:avLst/>
        </a:prstGeom>
      </cdr:spPr>
      <cdr:txBody>
        <a:bodyPr xmlns:a="http://schemas.openxmlformats.org/drawingml/2006/main" vertOverflow="clip" vert="vert" rtlCol="0" anchor="ctr"/>
        <a:lstStyle xmlns:a="http://schemas.openxmlformats.org/drawingml/2006/main"/>
        <a:p xmlns:a="http://schemas.openxmlformats.org/drawingml/2006/main">
          <a:pPr algn="r"/>
          <a:r>
            <a:rPr lang="en-US" sz="1100"/>
            <a:t>RRzGoXBsljJ8YWbWFyFdmi</a:t>
          </a:r>
        </a:p>
      </cdr:txBody>
    </cdr:sp>
  </cdr:relSizeAnchor>
</c:userShapes>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809625</xdr:colOff>
          <xdr:row>345</xdr:row>
          <xdr:rowOff>114300</xdr:rowOff>
        </xdr:from>
        <xdr:to>
          <xdr:col>16</xdr:col>
          <xdr:colOff>914400</xdr:colOff>
          <xdr:row>348</xdr:row>
          <xdr:rowOff>133350</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Button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485775</xdr:colOff>
          <xdr:row>232</xdr:row>
          <xdr:rowOff>38100</xdr:rowOff>
        </xdr:from>
        <xdr:to>
          <xdr:col>8</xdr:col>
          <xdr:colOff>581025</xdr:colOff>
          <xdr:row>233</xdr:row>
          <xdr:rowOff>38100</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Button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209550</xdr:colOff>
          <xdr:row>0</xdr:row>
          <xdr:rowOff>66675</xdr:rowOff>
        </xdr:from>
        <xdr:to>
          <xdr:col>26</xdr:col>
          <xdr:colOff>228600</xdr:colOff>
          <xdr:row>2</xdr:row>
          <xdr:rowOff>133350</xdr:rowOff>
        </xdr:to>
        <xdr:sp macro="" textlink="">
          <xdr:nvSpPr>
            <xdr:cNvPr id="2052" name="Button 4" hidden="1">
              <a:extLst>
                <a:ext uri="{63B3BB69-23CF-44E3-9099-C40C66FF867C}">
                  <a14:compatExt spid="_x0000_s20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323850</xdr:colOff>
          <xdr:row>0</xdr:row>
          <xdr:rowOff>76200</xdr:rowOff>
        </xdr:from>
        <xdr:to>
          <xdr:col>28</xdr:col>
          <xdr:colOff>257175</xdr:colOff>
          <xdr:row>2</xdr:row>
          <xdr:rowOff>133350</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Entry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fossjw@gmail.com" TargetMode="External"/><Relationship Id="rId1" Type="http://schemas.openxmlformats.org/officeDocument/2006/relationships/hyperlink" Target="mailto:junkudo18@gmail.com" TargetMode="External"/><Relationship Id="rId5" Type="http://schemas.openxmlformats.org/officeDocument/2006/relationships/drawing" Target="../drawings/drawing1.xml"/><Relationship Id="rId4" Type="http://schemas.openxmlformats.org/officeDocument/2006/relationships/customProperty" Target="../customProperty1.bin"/></Relationships>
</file>

<file path=xl/worksheets/_rels/sheet2.xml.rels><?xml version="1.0" encoding="UTF-8" standalone="yes"?>
<Relationships xmlns="http://schemas.openxmlformats.org/package/2006/relationships"><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customProperty" Target="../customProperty3.bin"/><Relationship Id="rId1" Type="http://schemas.openxmlformats.org/officeDocument/2006/relationships/printerSettings" Target="../printerSettings/printerSettings3.bin"/><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customProperty" Target="../customProperty4.bin"/><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customProperty" Target="../customProperty6.bin"/><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ustomProperty" Target="../customProperty7.bin"/><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9.xml.rels><?xml version="1.0" encoding="UTF-8" standalone="yes"?>
<Relationships xmlns="http://schemas.openxmlformats.org/package/2006/relationships"><Relationship Id="rId2" Type="http://schemas.openxmlformats.org/officeDocument/2006/relationships/customProperty" Target="../customProperty9.bin"/><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drawing" Target="../drawings/drawing6.xml"/><Relationship Id="rId7" Type="http://schemas.openxmlformats.org/officeDocument/2006/relationships/ctrlProp" Target="../ctrlProps/ctrlProp4.xml"/><Relationship Id="rId2" Type="http://schemas.openxmlformats.org/officeDocument/2006/relationships/customProperty" Target="../customProperty10.bin"/><Relationship Id="rId1" Type="http://schemas.openxmlformats.org/officeDocument/2006/relationships/printerSettings" Target="../printerSettings/printerSettings9.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11.xml.rels><?xml version="1.0" encoding="UTF-8" standalone="yes"?>
<Relationships xmlns="http://schemas.openxmlformats.org/package/2006/relationships"><Relationship Id="rId1" Type="http://schemas.openxmlformats.org/officeDocument/2006/relationships/customProperty" Target="../customProperty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N51"/>
  <sheetViews>
    <sheetView workbookViewId="0"/>
  </sheetViews>
  <sheetFormatPr defaultRowHeight="12.75" x14ac:dyDescent="0.2"/>
  <cols>
    <col min="1" max="1" width="5.7109375" style="25" customWidth="1"/>
  </cols>
  <sheetData>
    <row r="1" spans="1:14" s="25" customFormat="1" ht="15" customHeight="1" thickBot="1" x14ac:dyDescent="0.25"/>
    <row r="2" spans="1:14" s="25" customFormat="1" ht="13.5" thickBot="1" x14ac:dyDescent="0.25">
      <c r="B2" s="149" t="s">
        <v>36</v>
      </c>
      <c r="C2" s="150"/>
      <c r="D2" s="150"/>
      <c r="E2" s="150"/>
      <c r="F2" s="150"/>
      <c r="G2" s="150"/>
      <c r="H2" s="150"/>
      <c r="I2" s="150"/>
      <c r="J2" s="150"/>
      <c r="K2" s="150"/>
      <c r="L2" s="151"/>
    </row>
    <row r="3" spans="1:14" s="26" customFormat="1" ht="7.5" customHeight="1" thickBot="1" x14ac:dyDescent="0.25">
      <c r="B3" s="27"/>
      <c r="C3" s="27"/>
      <c r="D3" s="27"/>
      <c r="E3" s="27"/>
      <c r="F3" s="27"/>
      <c r="G3" s="27"/>
      <c r="H3" s="27"/>
      <c r="I3" s="27"/>
      <c r="J3" s="27"/>
      <c r="K3" s="27"/>
      <c r="L3" s="27"/>
    </row>
    <row r="4" spans="1:14" s="25" customFormat="1" ht="13.5" thickBot="1" x14ac:dyDescent="0.25">
      <c r="A4" s="26"/>
      <c r="B4" s="152" t="s">
        <v>137</v>
      </c>
      <c r="C4" s="153"/>
      <c r="D4" s="153"/>
      <c r="E4" s="153"/>
      <c r="F4" s="153"/>
      <c r="G4" s="153"/>
      <c r="H4" s="153"/>
      <c r="I4" s="153"/>
      <c r="J4" s="153"/>
      <c r="K4" s="153"/>
      <c r="L4" s="154"/>
      <c r="M4" s="26"/>
      <c r="N4" s="26"/>
    </row>
    <row r="5" spans="1:14" s="25" customFormat="1" ht="7.5" customHeight="1" thickBot="1" x14ac:dyDescent="0.25">
      <c r="A5" s="26"/>
      <c r="B5" s="24"/>
      <c r="C5" s="24"/>
      <c r="D5" s="24"/>
      <c r="E5" s="24"/>
      <c r="F5" s="24"/>
      <c r="G5" s="24"/>
      <c r="H5" s="24"/>
      <c r="I5" s="24"/>
      <c r="J5" s="24"/>
      <c r="K5" s="24"/>
      <c r="L5" s="24"/>
      <c r="M5" s="26"/>
      <c r="N5" s="26"/>
    </row>
    <row r="6" spans="1:14" s="25" customFormat="1" x14ac:dyDescent="0.2">
      <c r="A6" s="26"/>
      <c r="B6" s="24"/>
      <c r="C6" s="24"/>
      <c r="D6" s="24"/>
      <c r="E6" s="28"/>
      <c r="F6" s="29"/>
      <c r="G6" s="29"/>
      <c r="H6" s="29"/>
      <c r="I6" s="30"/>
      <c r="J6" s="24"/>
      <c r="K6" s="24"/>
      <c r="L6" s="24"/>
      <c r="M6" s="26"/>
      <c r="N6" s="26"/>
    </row>
    <row r="7" spans="1:14" s="25" customFormat="1" x14ac:dyDescent="0.2">
      <c r="A7" s="26"/>
      <c r="B7" s="24"/>
      <c r="C7" s="24"/>
      <c r="D7" s="24"/>
      <c r="E7" s="31"/>
      <c r="F7" s="24"/>
      <c r="G7" s="24"/>
      <c r="H7" s="24"/>
      <c r="I7" s="32"/>
      <c r="J7" s="24"/>
      <c r="K7" s="24"/>
      <c r="L7" s="24"/>
      <c r="M7" s="26"/>
      <c r="N7" s="26"/>
    </row>
    <row r="8" spans="1:14" s="25" customFormat="1" x14ac:dyDescent="0.2">
      <c r="A8" s="26"/>
      <c r="B8" s="24"/>
      <c r="C8" s="24"/>
      <c r="D8" s="24"/>
      <c r="E8" s="31"/>
      <c r="F8" s="24"/>
      <c r="G8" s="24"/>
      <c r="H8" s="24"/>
      <c r="I8" s="32"/>
      <c r="J8" s="24"/>
      <c r="K8" s="24"/>
      <c r="L8" s="24"/>
      <c r="M8" s="26"/>
      <c r="N8" s="26"/>
    </row>
    <row r="9" spans="1:14" s="25" customFormat="1" x14ac:dyDescent="0.2">
      <c r="A9" s="26"/>
      <c r="B9" s="26"/>
      <c r="C9" s="26"/>
      <c r="D9" s="26"/>
      <c r="E9" s="33"/>
      <c r="F9" s="26"/>
      <c r="G9" s="26"/>
      <c r="H9" s="26"/>
      <c r="I9" s="34"/>
      <c r="J9" s="26"/>
      <c r="K9" s="26"/>
      <c r="L9" s="26"/>
      <c r="M9" s="26"/>
      <c r="N9" s="26"/>
    </row>
    <row r="10" spans="1:14" s="25" customFormat="1" ht="13.5" thickBot="1" x14ac:dyDescent="0.25">
      <c r="A10" s="26"/>
      <c r="B10" s="26"/>
      <c r="C10" s="26"/>
      <c r="D10" s="26"/>
      <c r="E10" s="35"/>
      <c r="F10" s="36"/>
      <c r="G10" s="36"/>
      <c r="H10" s="36"/>
      <c r="I10" s="37"/>
      <c r="J10" s="26"/>
      <c r="K10" s="26"/>
      <c r="L10" s="26"/>
      <c r="M10" s="26"/>
      <c r="N10" s="26"/>
    </row>
    <row r="11" spans="1:14" s="25" customFormat="1" ht="7.5" customHeight="1" thickBot="1" x14ac:dyDescent="0.25">
      <c r="A11" s="26"/>
      <c r="B11" s="26"/>
      <c r="C11" s="26"/>
      <c r="D11" s="26"/>
      <c r="E11" s="26"/>
      <c r="F11" s="26"/>
      <c r="G11" s="26"/>
      <c r="H11" s="26"/>
      <c r="I11" s="26"/>
      <c r="J11" s="26"/>
      <c r="K11" s="26"/>
      <c r="L11" s="26"/>
      <c r="M11" s="26"/>
      <c r="N11" s="26"/>
    </row>
    <row r="12" spans="1:14" s="25" customFormat="1" ht="13.5" thickBot="1" x14ac:dyDescent="0.25">
      <c r="A12" s="26"/>
      <c r="B12" s="152" t="s">
        <v>138</v>
      </c>
      <c r="C12" s="153"/>
      <c r="D12" s="153"/>
      <c r="E12" s="153"/>
      <c r="F12" s="153"/>
      <c r="G12" s="153"/>
      <c r="H12" s="153"/>
      <c r="I12" s="153"/>
      <c r="J12" s="153"/>
      <c r="K12" s="153"/>
      <c r="L12" s="154"/>
      <c r="M12" s="26"/>
      <c r="N12" s="26"/>
    </row>
    <row r="13" spans="1:14" s="25" customFormat="1" ht="7.5" customHeight="1" thickBot="1" x14ac:dyDescent="0.25">
      <c r="A13" s="26"/>
      <c r="B13" s="38"/>
      <c r="C13" s="38"/>
      <c r="D13" s="26"/>
      <c r="E13" s="26"/>
      <c r="F13" s="26"/>
      <c r="G13" s="26"/>
      <c r="H13" s="26"/>
      <c r="I13" s="26"/>
      <c r="J13" s="26"/>
      <c r="K13" s="26"/>
      <c r="L13" s="26"/>
      <c r="M13" s="26"/>
      <c r="N13" s="26"/>
    </row>
    <row r="14" spans="1:14" s="25" customFormat="1" ht="12.75" customHeight="1" thickBot="1" x14ac:dyDescent="0.25">
      <c r="A14" s="26"/>
      <c r="B14" s="161" t="s">
        <v>139</v>
      </c>
      <c r="C14" s="162"/>
      <c r="D14" s="163"/>
      <c r="E14" s="161" t="s">
        <v>140</v>
      </c>
      <c r="F14" s="162"/>
      <c r="G14" s="162"/>
      <c r="H14" s="162"/>
      <c r="I14" s="162"/>
      <c r="J14" s="162"/>
      <c r="K14" s="162"/>
      <c r="L14" s="163"/>
      <c r="M14" s="26"/>
      <c r="N14" s="26"/>
    </row>
    <row r="15" spans="1:14" s="26" customFormat="1" ht="7.5" customHeight="1" thickBot="1" x14ac:dyDescent="0.25">
      <c r="B15" s="39"/>
      <c r="C15" s="39"/>
      <c r="D15" s="39"/>
      <c r="E15" s="39"/>
      <c r="F15" s="39"/>
      <c r="G15" s="39"/>
      <c r="H15" s="39"/>
      <c r="I15" s="39"/>
      <c r="J15" s="39"/>
      <c r="K15" s="39"/>
      <c r="L15" s="39"/>
    </row>
    <row r="16" spans="1:14" s="25" customFormat="1" ht="30" customHeight="1" thickBot="1" x14ac:dyDescent="0.25">
      <c r="A16" s="26"/>
      <c r="B16" s="155" t="s">
        <v>141</v>
      </c>
      <c r="C16" s="156"/>
      <c r="D16" s="157"/>
      <c r="E16" s="164" t="s">
        <v>142</v>
      </c>
      <c r="F16" s="165"/>
      <c r="G16" s="165"/>
      <c r="H16" s="165"/>
      <c r="I16" s="165"/>
      <c r="J16" s="165"/>
      <c r="K16" s="165"/>
      <c r="L16" s="166"/>
      <c r="M16" s="26"/>
      <c r="N16" s="26"/>
    </row>
    <row r="17" spans="1:14" s="25" customFormat="1" ht="13.5" thickBot="1" x14ac:dyDescent="0.25">
      <c r="A17" s="26"/>
      <c r="B17" s="155"/>
      <c r="C17" s="156"/>
      <c r="D17" s="157"/>
      <c r="E17" s="167" t="s">
        <v>143</v>
      </c>
      <c r="F17" s="168"/>
      <c r="G17" s="168"/>
      <c r="H17" s="168"/>
      <c r="I17" s="168"/>
      <c r="J17" s="168"/>
      <c r="K17" s="168"/>
      <c r="L17" s="169"/>
      <c r="M17" s="26"/>
      <c r="N17" s="26"/>
    </row>
    <row r="18" spans="1:14" s="25" customFormat="1" ht="30" customHeight="1" thickBot="1" x14ac:dyDescent="0.25">
      <c r="A18" s="26"/>
      <c r="B18" s="155" t="s">
        <v>144</v>
      </c>
      <c r="C18" s="156"/>
      <c r="D18" s="157"/>
      <c r="E18" s="164" t="s">
        <v>145</v>
      </c>
      <c r="F18" s="165"/>
      <c r="G18" s="165"/>
      <c r="H18" s="165"/>
      <c r="I18" s="165"/>
      <c r="J18" s="165"/>
      <c r="K18" s="165"/>
      <c r="L18" s="166"/>
      <c r="M18" s="26"/>
      <c r="N18" s="26"/>
    </row>
    <row r="19" spans="1:14" s="25" customFormat="1" ht="30" customHeight="1" thickBot="1" x14ac:dyDescent="0.25">
      <c r="A19" s="26"/>
      <c r="B19" s="155" t="s">
        <v>146</v>
      </c>
      <c r="C19" s="156"/>
      <c r="D19" s="157"/>
      <c r="E19" s="164" t="s">
        <v>147</v>
      </c>
      <c r="F19" s="165"/>
      <c r="G19" s="165"/>
      <c r="H19" s="165"/>
      <c r="I19" s="165"/>
      <c r="J19" s="165"/>
      <c r="K19" s="165"/>
      <c r="L19" s="166"/>
      <c r="M19" s="26"/>
      <c r="N19" s="26"/>
    </row>
    <row r="20" spans="1:14" s="25" customFormat="1" ht="30" customHeight="1" thickBot="1" x14ac:dyDescent="0.25">
      <c r="A20" s="26"/>
      <c r="B20" s="155" t="s">
        <v>148</v>
      </c>
      <c r="C20" s="156"/>
      <c r="D20" s="157"/>
      <c r="E20" s="164" t="s">
        <v>179</v>
      </c>
      <c r="F20" s="165"/>
      <c r="G20" s="165"/>
      <c r="H20" s="165"/>
      <c r="I20" s="165"/>
      <c r="J20" s="165"/>
      <c r="K20" s="165"/>
      <c r="L20" s="166"/>
      <c r="M20" s="26"/>
      <c r="N20" s="26"/>
    </row>
    <row r="21" spans="1:14" s="25" customFormat="1" ht="30" customHeight="1" thickBot="1" x14ac:dyDescent="0.25">
      <c r="B21" s="155" t="s">
        <v>90</v>
      </c>
      <c r="C21" s="156"/>
      <c r="D21" s="157"/>
      <c r="E21" s="164" t="s">
        <v>180</v>
      </c>
      <c r="F21" s="165"/>
      <c r="G21" s="165"/>
      <c r="H21" s="165"/>
      <c r="I21" s="165"/>
      <c r="J21" s="165"/>
      <c r="K21" s="165"/>
      <c r="L21" s="166"/>
    </row>
    <row r="22" spans="1:14" s="25" customFormat="1" ht="30" customHeight="1" thickBot="1" x14ac:dyDescent="0.25">
      <c r="B22" s="155" t="s">
        <v>176</v>
      </c>
      <c r="C22" s="156"/>
      <c r="D22" s="157"/>
      <c r="E22" s="164" t="s">
        <v>177</v>
      </c>
      <c r="F22" s="165"/>
      <c r="G22" s="165"/>
      <c r="H22" s="165"/>
      <c r="I22" s="165"/>
      <c r="J22" s="165"/>
      <c r="K22" s="165"/>
      <c r="L22" s="166"/>
    </row>
    <row r="23" spans="1:14" s="25" customFormat="1" ht="30" customHeight="1" thickBot="1" x14ac:dyDescent="0.25">
      <c r="B23" s="155"/>
      <c r="C23" s="156"/>
      <c r="D23" s="157"/>
      <c r="E23" s="167"/>
      <c r="F23" s="168"/>
      <c r="G23" s="168"/>
      <c r="H23" s="168"/>
      <c r="I23" s="168"/>
      <c r="J23" s="168"/>
      <c r="K23" s="168"/>
      <c r="L23" s="169"/>
    </row>
    <row r="24" spans="1:14" s="25" customFormat="1" ht="30" customHeight="1" thickBot="1" x14ac:dyDescent="0.25">
      <c r="B24" s="155" t="s">
        <v>149</v>
      </c>
      <c r="C24" s="156"/>
      <c r="D24" s="157"/>
      <c r="E24" s="164" t="s">
        <v>150</v>
      </c>
      <c r="F24" s="165"/>
      <c r="G24" s="165"/>
      <c r="H24" s="165"/>
      <c r="I24" s="165"/>
      <c r="J24" s="165"/>
      <c r="K24" s="165"/>
      <c r="L24" s="166"/>
    </row>
    <row r="25" spans="1:14" s="25" customFormat="1" ht="30" customHeight="1" thickBot="1" x14ac:dyDescent="0.25">
      <c r="B25" s="155" t="s">
        <v>175</v>
      </c>
      <c r="C25" s="156"/>
      <c r="D25" s="157"/>
      <c r="E25" s="158" t="s">
        <v>181</v>
      </c>
      <c r="F25" s="159"/>
      <c r="G25" s="159"/>
      <c r="H25" s="159"/>
      <c r="I25" s="159"/>
      <c r="J25" s="159"/>
      <c r="K25" s="159"/>
      <c r="L25" s="160"/>
    </row>
    <row r="26" spans="1:14" s="25" customFormat="1" ht="30" customHeight="1" thickBot="1" x14ac:dyDescent="0.25">
      <c r="B26" s="173" t="s">
        <v>151</v>
      </c>
      <c r="C26" s="174"/>
      <c r="D26" s="175"/>
      <c r="E26" s="176" t="s">
        <v>152</v>
      </c>
      <c r="F26" s="177"/>
      <c r="G26" s="177"/>
      <c r="H26" s="177"/>
      <c r="I26" s="177"/>
      <c r="J26" s="177"/>
      <c r="K26" s="177"/>
      <c r="L26" s="178"/>
    </row>
    <row r="27" spans="1:14" s="24" customFormat="1" ht="7.5" customHeight="1" thickBot="1" x14ac:dyDescent="0.25"/>
    <row r="28" spans="1:14" s="24" customFormat="1" ht="13.5" thickBot="1" x14ac:dyDescent="0.25">
      <c r="B28" s="152" t="s">
        <v>153</v>
      </c>
      <c r="C28" s="153"/>
      <c r="D28" s="153"/>
      <c r="E28" s="153"/>
      <c r="F28" s="153"/>
      <c r="G28" s="153"/>
      <c r="H28" s="153"/>
      <c r="I28" s="153"/>
      <c r="J28" s="153"/>
      <c r="K28" s="153"/>
      <c r="L28" s="154"/>
    </row>
    <row r="29" spans="1:14" s="24" customFormat="1" ht="7.5" customHeight="1" thickBot="1" x14ac:dyDescent="0.25"/>
    <row r="30" spans="1:14" s="24" customFormat="1" ht="37.5" customHeight="1" thickBot="1" x14ac:dyDescent="0.25">
      <c r="B30" s="158" t="s">
        <v>154</v>
      </c>
      <c r="C30" s="159"/>
      <c r="D30" s="159"/>
      <c r="E30" s="159"/>
      <c r="F30" s="159"/>
      <c r="G30" s="159"/>
      <c r="H30" s="159"/>
      <c r="I30" s="159"/>
      <c r="J30" s="159"/>
      <c r="K30" s="159"/>
      <c r="L30" s="160"/>
    </row>
    <row r="31" spans="1:14" s="24" customFormat="1" ht="7.5" customHeight="1" thickBot="1" x14ac:dyDescent="0.25"/>
    <row r="32" spans="1:14" s="24" customFormat="1" ht="9.75" customHeight="1" thickBot="1" x14ac:dyDescent="0.25">
      <c r="B32" s="170" t="s">
        <v>185</v>
      </c>
      <c r="C32" s="171"/>
      <c r="D32" s="171"/>
      <c r="E32" s="171"/>
      <c r="F32" s="171"/>
      <c r="G32" s="171"/>
      <c r="H32" s="171"/>
      <c r="I32" s="171"/>
      <c r="J32" s="171"/>
      <c r="K32" s="171"/>
      <c r="L32" s="172"/>
    </row>
    <row r="33" spans="2:12" s="24" customFormat="1" ht="9.75" customHeight="1" x14ac:dyDescent="0.2">
      <c r="B33" s="181" t="s">
        <v>187</v>
      </c>
      <c r="C33" s="179"/>
      <c r="D33" s="183" t="s">
        <v>155</v>
      </c>
      <c r="E33" s="183"/>
      <c r="F33" s="183" t="s">
        <v>156</v>
      </c>
      <c r="G33" s="183"/>
      <c r="H33" s="183"/>
      <c r="I33" s="179" t="s">
        <v>186</v>
      </c>
      <c r="J33" s="179"/>
      <c r="K33" s="110"/>
      <c r="L33" s="40"/>
    </row>
    <row r="34" spans="2:12" s="24" customFormat="1" ht="12.75" customHeight="1" thickBot="1" x14ac:dyDescent="0.25">
      <c r="B34" s="182"/>
      <c r="C34" s="180"/>
      <c r="D34" s="184" t="s">
        <v>157</v>
      </c>
      <c r="E34" s="184"/>
      <c r="F34" s="184" t="s">
        <v>178</v>
      </c>
      <c r="G34" s="184"/>
      <c r="H34" s="184"/>
      <c r="I34" s="180"/>
      <c r="J34" s="180"/>
      <c r="K34" s="111"/>
      <c r="L34" s="41"/>
    </row>
    <row r="35" spans="2:12" s="24" customFormat="1" x14ac:dyDescent="0.2">
      <c r="H35" s="71"/>
      <c r="I35" s="71"/>
      <c r="J35" s="71"/>
      <c r="K35" s="71"/>
    </row>
    <row r="36" spans="2:12" s="24" customFormat="1" x14ac:dyDescent="0.2">
      <c r="H36" s="71"/>
      <c r="I36" s="71"/>
      <c r="J36" s="71"/>
      <c r="K36" s="71"/>
    </row>
    <row r="37" spans="2:12" s="24" customFormat="1" x14ac:dyDescent="0.2">
      <c r="H37" s="71"/>
      <c r="I37" s="71"/>
      <c r="J37" s="71"/>
      <c r="K37" s="71"/>
    </row>
    <row r="38" spans="2:12" s="24" customFormat="1" x14ac:dyDescent="0.2"/>
    <row r="39" spans="2:12" s="24" customFormat="1" x14ac:dyDescent="0.2"/>
    <row r="40" spans="2:12" s="24" customFormat="1" x14ac:dyDescent="0.2"/>
    <row r="41" spans="2:12" s="24" customFormat="1" x14ac:dyDescent="0.2"/>
    <row r="42" spans="2:12" s="24" customFormat="1" x14ac:dyDescent="0.2"/>
    <row r="43" spans="2:12" s="24" customFormat="1" x14ac:dyDescent="0.2"/>
    <row r="44" spans="2:12" s="24" customFormat="1" x14ac:dyDescent="0.2"/>
    <row r="45" spans="2:12" s="24" customFormat="1" x14ac:dyDescent="0.2"/>
    <row r="46" spans="2:12" s="24" customFormat="1" x14ac:dyDescent="0.2"/>
    <row r="47" spans="2:12" s="24" customFormat="1" x14ac:dyDescent="0.2"/>
    <row r="48" spans="2:12" s="25" customFormat="1" x14ac:dyDescent="0.2"/>
    <row r="49" s="25" customFormat="1" x14ac:dyDescent="0.2"/>
    <row r="50" s="25" customFormat="1" x14ac:dyDescent="0.2"/>
    <row r="51" s="25" customFormat="1" x14ac:dyDescent="0.2"/>
  </sheetData>
  <sheetProtection password="917C" sheet="1" objects="1" scenarios="1" sort="0" autoFilter="0"/>
  <mergeCells count="33">
    <mergeCell ref="I33:J34"/>
    <mergeCell ref="B33:C34"/>
    <mergeCell ref="D33:E33"/>
    <mergeCell ref="D34:E34"/>
    <mergeCell ref="F33:H33"/>
    <mergeCell ref="F34:H34"/>
    <mergeCell ref="B21:D21"/>
    <mergeCell ref="B22:D23"/>
    <mergeCell ref="E26:L26"/>
    <mergeCell ref="E24:L24"/>
    <mergeCell ref="E21:L21"/>
    <mergeCell ref="E22:L23"/>
    <mergeCell ref="B32:L32"/>
    <mergeCell ref="B24:D24"/>
    <mergeCell ref="B26:D26"/>
    <mergeCell ref="B28:L28"/>
    <mergeCell ref="B30:L30"/>
    <mergeCell ref="B2:L2"/>
    <mergeCell ref="B4:L4"/>
    <mergeCell ref="B25:D25"/>
    <mergeCell ref="E25:L25"/>
    <mergeCell ref="B12:L12"/>
    <mergeCell ref="B14:D14"/>
    <mergeCell ref="B16:D17"/>
    <mergeCell ref="B18:D18"/>
    <mergeCell ref="E14:L14"/>
    <mergeCell ref="E16:L16"/>
    <mergeCell ref="E17:L17"/>
    <mergeCell ref="E18:L18"/>
    <mergeCell ref="E19:L19"/>
    <mergeCell ref="E20:L20"/>
    <mergeCell ref="B19:D19"/>
    <mergeCell ref="B20:D20"/>
  </mergeCells>
  <phoneticPr fontId="5" type="noConversion"/>
  <hyperlinks>
    <hyperlink ref="F34" r:id="rId1"/>
    <hyperlink ref="D34" r:id="rId2"/>
  </hyperlinks>
  <pageMargins left="0.75" right="0.75" top="1" bottom="1" header="0.5" footer="0.5"/>
  <pageSetup orientation="portrait" verticalDpi="0" r:id="rId3"/>
  <headerFooter alignWithMargins="0"/>
  <customProperties>
    <customPr name="DVSECTIONID" r:id="rId4"/>
  </customProperties>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AD58"/>
  <sheetViews>
    <sheetView zoomScaleNormal="100" workbookViewId="0"/>
  </sheetViews>
  <sheetFormatPr defaultRowHeight="12.75" x14ac:dyDescent="0.2"/>
  <cols>
    <col min="1" max="1" width="5.7109375" style="25" customWidth="1"/>
    <col min="2" max="2" width="6.7109375" customWidth="1"/>
    <col min="3" max="3" width="3.5703125" customWidth="1"/>
    <col min="4" max="6" width="5.7109375" customWidth="1"/>
    <col min="7" max="7" width="5.85546875" customWidth="1"/>
    <col min="8" max="10" width="5.7109375" customWidth="1"/>
    <col min="11" max="11" width="3.5703125" customWidth="1"/>
    <col min="12" max="12" width="6.7109375" customWidth="1"/>
    <col min="13" max="13" width="7.140625" style="25" customWidth="1"/>
    <col min="14" max="14" width="6.7109375" customWidth="1"/>
    <col min="15" max="15" width="3.5703125" customWidth="1"/>
    <col min="16" max="22" width="5.7109375" customWidth="1"/>
    <col min="23" max="23" width="3.5703125" customWidth="1"/>
    <col min="24" max="24" width="6.7109375" customWidth="1"/>
    <col min="25" max="25" width="5.7109375" style="25" customWidth="1"/>
    <col min="26" max="30" width="9.140625" style="25"/>
  </cols>
  <sheetData>
    <row r="1" spans="1:25" ht="13.5" thickBot="1" x14ac:dyDescent="0.25">
      <c r="A1" s="42"/>
      <c r="B1" s="42"/>
      <c r="C1" s="42"/>
      <c r="D1" s="42"/>
      <c r="E1" s="42"/>
      <c r="F1" s="42"/>
      <c r="G1" s="42"/>
      <c r="H1" s="42"/>
      <c r="I1" s="42"/>
      <c r="J1" s="42"/>
      <c r="K1" s="42"/>
      <c r="L1" s="42"/>
      <c r="M1" s="42"/>
      <c r="N1" s="42"/>
      <c r="O1" s="42"/>
      <c r="P1" s="42"/>
      <c r="Q1" s="42"/>
      <c r="R1" s="42"/>
      <c r="S1" s="42"/>
      <c r="T1" s="42"/>
      <c r="U1" s="42"/>
      <c r="V1" s="42"/>
      <c r="W1" s="42"/>
      <c r="X1" s="42"/>
      <c r="Y1" s="42"/>
    </row>
    <row r="2" spans="1:25" ht="13.5" thickBot="1" x14ac:dyDescent="0.25">
      <c r="A2" s="42"/>
      <c r="B2" s="152" t="s">
        <v>36</v>
      </c>
      <c r="C2" s="153"/>
      <c r="D2" s="153"/>
      <c r="E2" s="153"/>
      <c r="F2" s="153"/>
      <c r="G2" s="153"/>
      <c r="H2" s="153"/>
      <c r="I2" s="153"/>
      <c r="J2" s="153"/>
      <c r="K2" s="153"/>
      <c r="L2" s="154"/>
      <c r="M2" s="42"/>
      <c r="N2" s="152" t="s">
        <v>36</v>
      </c>
      <c r="O2" s="153"/>
      <c r="P2" s="153"/>
      <c r="Q2" s="153"/>
      <c r="R2" s="153"/>
      <c r="S2" s="153"/>
      <c r="T2" s="153"/>
      <c r="U2" s="153"/>
      <c r="V2" s="153"/>
      <c r="W2" s="153"/>
      <c r="X2" s="154"/>
      <c r="Y2" s="42"/>
    </row>
    <row r="3" spans="1:25" ht="7.5" customHeight="1" thickBot="1" x14ac:dyDescent="0.25">
      <c r="A3" s="42"/>
      <c r="B3" s="43"/>
      <c r="C3" s="43"/>
      <c r="D3" s="43"/>
      <c r="E3" s="43"/>
      <c r="F3" s="43"/>
      <c r="G3" s="43"/>
      <c r="H3" s="43"/>
      <c r="I3" s="43"/>
      <c r="J3" s="43"/>
      <c r="K3" s="43"/>
      <c r="L3" s="43"/>
      <c r="M3" s="42"/>
      <c r="N3" s="43"/>
      <c r="O3" s="43"/>
      <c r="P3" s="43"/>
      <c r="Q3" s="43"/>
      <c r="R3" s="43"/>
      <c r="S3" s="43"/>
      <c r="T3" s="43"/>
      <c r="U3" s="43"/>
      <c r="V3" s="43"/>
      <c r="W3" s="43"/>
      <c r="X3" s="43"/>
      <c r="Y3" s="42"/>
    </row>
    <row r="4" spans="1:25" ht="13.5" thickBot="1" x14ac:dyDescent="0.25">
      <c r="A4" s="42"/>
      <c r="B4" s="152" t="s">
        <v>35</v>
      </c>
      <c r="C4" s="153"/>
      <c r="D4" s="153"/>
      <c r="E4" s="153"/>
      <c r="F4" s="153"/>
      <c r="G4" s="153"/>
      <c r="H4" s="153"/>
      <c r="I4" s="153"/>
      <c r="J4" s="153"/>
      <c r="K4" s="153"/>
      <c r="L4" s="154"/>
      <c r="M4" s="42"/>
      <c r="N4" s="152" t="s">
        <v>35</v>
      </c>
      <c r="O4" s="153"/>
      <c r="P4" s="153"/>
      <c r="Q4" s="153"/>
      <c r="R4" s="153"/>
      <c r="S4" s="153"/>
      <c r="T4" s="153"/>
      <c r="U4" s="153"/>
      <c r="V4" s="153"/>
      <c r="W4" s="153"/>
      <c r="X4" s="154"/>
      <c r="Y4" s="42"/>
    </row>
    <row r="5" spans="1:25" ht="11.25" customHeight="1" thickBot="1" x14ac:dyDescent="0.25">
      <c r="A5" s="42"/>
      <c r="B5" s="227" t="s">
        <v>158</v>
      </c>
      <c r="C5" s="228"/>
      <c r="D5" s="228"/>
      <c r="E5" s="228"/>
      <c r="F5" s="228"/>
      <c r="G5" s="228"/>
      <c r="H5" s="228"/>
      <c r="I5" s="228"/>
      <c r="J5" s="228"/>
      <c r="K5" s="228"/>
      <c r="L5" s="229"/>
      <c r="M5" s="42"/>
      <c r="N5" s="227" t="s">
        <v>158</v>
      </c>
      <c r="O5" s="228"/>
      <c r="P5" s="228"/>
      <c r="Q5" s="228"/>
      <c r="R5" s="228"/>
      <c r="S5" s="228"/>
      <c r="T5" s="228"/>
      <c r="U5" s="228"/>
      <c r="V5" s="228"/>
      <c r="W5" s="228"/>
      <c r="X5" s="229"/>
      <c r="Y5" s="42"/>
    </row>
    <row r="6" spans="1:25" ht="7.5" customHeight="1" thickBot="1" x14ac:dyDescent="0.25">
      <c r="A6" s="42"/>
      <c r="B6" s="25"/>
      <c r="C6" s="25"/>
      <c r="D6" s="25"/>
      <c r="E6" s="25"/>
      <c r="F6" s="25"/>
      <c r="G6" s="25"/>
      <c r="H6" s="25"/>
      <c r="I6" s="25"/>
      <c r="J6" s="25"/>
      <c r="K6" s="25"/>
      <c r="L6" s="25"/>
      <c r="M6" s="42"/>
      <c r="N6" s="25"/>
      <c r="O6" s="25"/>
      <c r="P6" s="25"/>
      <c r="Q6" s="25"/>
      <c r="R6" s="25"/>
      <c r="S6" s="25"/>
      <c r="T6" s="25"/>
      <c r="U6" s="25"/>
      <c r="V6" s="25"/>
      <c r="W6" s="25"/>
      <c r="X6" s="25"/>
      <c r="Y6" s="42"/>
    </row>
    <row r="7" spans="1:25" ht="13.5" thickBot="1" x14ac:dyDescent="0.25">
      <c r="A7" s="42"/>
      <c r="B7" s="152" t="s">
        <v>159</v>
      </c>
      <c r="C7" s="153"/>
      <c r="D7" s="153"/>
      <c r="E7" s="153"/>
      <c r="F7" s="153"/>
      <c r="G7" s="153"/>
      <c r="H7" s="153"/>
      <c r="I7" s="153"/>
      <c r="J7" s="153"/>
      <c r="K7" s="153"/>
      <c r="L7" s="154"/>
      <c r="M7" s="42"/>
      <c r="N7" s="152" t="s">
        <v>159</v>
      </c>
      <c r="O7" s="153"/>
      <c r="P7" s="153"/>
      <c r="Q7" s="153"/>
      <c r="R7" s="153"/>
      <c r="S7" s="153"/>
      <c r="T7" s="153"/>
      <c r="U7" s="153"/>
      <c r="V7" s="153"/>
      <c r="W7" s="153"/>
      <c r="X7" s="154"/>
      <c r="Y7" s="42"/>
    </row>
    <row r="8" spans="1:25" ht="18.75" customHeight="1" thickBot="1" x14ac:dyDescent="0.25">
      <c r="A8" s="42"/>
      <c r="B8" s="223" t="s">
        <v>19</v>
      </c>
      <c r="C8" s="224"/>
      <c r="D8" s="225"/>
      <c r="E8" s="225"/>
      <c r="F8" s="225"/>
      <c r="G8" s="223" t="s">
        <v>20</v>
      </c>
      <c r="H8" s="224"/>
      <c r="I8" s="225"/>
      <c r="J8" s="225"/>
      <c r="K8" s="225"/>
      <c r="L8" s="226"/>
      <c r="M8" s="42"/>
      <c r="N8" s="223" t="s">
        <v>19</v>
      </c>
      <c r="O8" s="224"/>
      <c r="P8" s="225"/>
      <c r="Q8" s="225"/>
      <c r="R8" s="225"/>
      <c r="S8" s="223" t="s">
        <v>20</v>
      </c>
      <c r="T8" s="224"/>
      <c r="U8" s="225"/>
      <c r="V8" s="225"/>
      <c r="W8" s="225"/>
      <c r="X8" s="226"/>
      <c r="Y8" s="42"/>
    </row>
    <row r="9" spans="1:25" ht="11.25" customHeight="1" thickBot="1" x14ac:dyDescent="0.25">
      <c r="A9" s="42"/>
      <c r="B9" s="193" t="s">
        <v>160</v>
      </c>
      <c r="C9" s="194"/>
      <c r="D9" s="194"/>
      <c r="E9" s="194"/>
      <c r="F9" s="194"/>
      <c r="G9" s="194"/>
      <c r="H9" s="194"/>
      <c r="I9" s="194"/>
      <c r="J9" s="194"/>
      <c r="K9" s="194"/>
      <c r="L9" s="195"/>
      <c r="M9" s="42"/>
      <c r="N9" s="193" t="s">
        <v>160</v>
      </c>
      <c r="O9" s="194"/>
      <c r="P9" s="194"/>
      <c r="Q9" s="194"/>
      <c r="R9" s="194"/>
      <c r="S9" s="194"/>
      <c r="T9" s="194"/>
      <c r="U9" s="194"/>
      <c r="V9" s="194"/>
      <c r="W9" s="194"/>
      <c r="X9" s="195"/>
      <c r="Y9" s="42"/>
    </row>
    <row r="10" spans="1:25" ht="7.5" customHeight="1" thickBot="1" x14ac:dyDescent="0.25">
      <c r="A10" s="42"/>
      <c r="B10" s="25"/>
      <c r="C10" s="25"/>
      <c r="D10" s="25"/>
      <c r="E10" s="25"/>
      <c r="F10" s="25"/>
      <c r="G10" s="25"/>
      <c r="H10" s="25"/>
      <c r="I10" s="25"/>
      <c r="J10" s="25"/>
      <c r="K10" s="25"/>
      <c r="L10" s="25"/>
      <c r="M10" s="42"/>
      <c r="N10" s="25"/>
      <c r="O10" s="25"/>
      <c r="P10" s="25"/>
      <c r="Q10" s="25"/>
      <c r="R10" s="25"/>
      <c r="S10" s="25"/>
      <c r="T10" s="25"/>
      <c r="U10" s="25"/>
      <c r="V10" s="25"/>
      <c r="W10" s="25"/>
      <c r="X10" s="25"/>
      <c r="Y10" s="42"/>
    </row>
    <row r="11" spans="1:25" ht="13.5" thickBot="1" x14ac:dyDescent="0.25">
      <c r="A11" s="42"/>
      <c r="B11" s="25"/>
      <c r="C11" s="186" t="s">
        <v>21</v>
      </c>
      <c r="D11" s="187"/>
      <c r="E11" s="187"/>
      <c r="F11" s="187"/>
      <c r="G11" s="187"/>
      <c r="H11" s="187"/>
      <c r="I11" s="187"/>
      <c r="J11" s="187"/>
      <c r="K11" s="188"/>
      <c r="L11" s="42"/>
      <c r="M11" s="42"/>
      <c r="N11" s="25"/>
      <c r="O11" s="186" t="s">
        <v>21</v>
      </c>
      <c r="P11" s="187"/>
      <c r="Q11" s="187"/>
      <c r="R11" s="187"/>
      <c r="S11" s="187"/>
      <c r="T11" s="187"/>
      <c r="U11" s="187"/>
      <c r="V11" s="187"/>
      <c r="W11" s="188"/>
      <c r="X11" s="42"/>
      <c r="Y11" s="42"/>
    </row>
    <row r="12" spans="1:25" x14ac:dyDescent="0.2">
      <c r="A12" s="42"/>
      <c r="B12" s="25"/>
      <c r="C12" s="231" t="s">
        <v>161</v>
      </c>
      <c r="D12" s="232"/>
      <c r="E12" s="233"/>
      <c r="F12" s="231" t="s">
        <v>3</v>
      </c>
      <c r="G12" s="232"/>
      <c r="H12" s="233"/>
      <c r="I12" s="231" t="s">
        <v>162</v>
      </c>
      <c r="J12" s="232"/>
      <c r="K12" s="233"/>
      <c r="L12" s="42"/>
      <c r="M12" s="42"/>
      <c r="N12" s="25"/>
      <c r="O12" s="231" t="s">
        <v>161</v>
      </c>
      <c r="P12" s="232"/>
      <c r="Q12" s="233"/>
      <c r="R12" s="231" t="s">
        <v>3</v>
      </c>
      <c r="S12" s="232"/>
      <c r="T12" s="233"/>
      <c r="U12" s="231" t="s">
        <v>162</v>
      </c>
      <c r="V12" s="232"/>
      <c r="W12" s="233"/>
      <c r="X12" s="42"/>
      <c r="Y12" s="42"/>
    </row>
    <row r="13" spans="1:25" ht="13.5" thickBot="1" x14ac:dyDescent="0.25">
      <c r="A13" s="42"/>
      <c r="B13" s="25"/>
      <c r="C13" s="234"/>
      <c r="D13" s="235"/>
      <c r="E13" s="236"/>
      <c r="F13" s="234"/>
      <c r="G13" s="235"/>
      <c r="H13" s="236"/>
      <c r="I13" s="234"/>
      <c r="J13" s="235"/>
      <c r="K13" s="236"/>
      <c r="L13" s="25"/>
      <c r="M13" s="42"/>
      <c r="N13" s="25"/>
      <c r="O13" s="234"/>
      <c r="P13" s="235"/>
      <c r="Q13" s="236"/>
      <c r="R13" s="234"/>
      <c r="S13" s="235"/>
      <c r="T13" s="236"/>
      <c r="U13" s="234"/>
      <c r="V13" s="235"/>
      <c r="W13" s="236"/>
      <c r="X13" s="25"/>
      <c r="Y13" s="42"/>
    </row>
    <row r="14" spans="1:25" ht="11.25" customHeight="1" thickBot="1" x14ac:dyDescent="0.25">
      <c r="A14" s="42"/>
      <c r="B14" s="25"/>
      <c r="C14" s="193" t="s">
        <v>163</v>
      </c>
      <c r="D14" s="194"/>
      <c r="E14" s="194"/>
      <c r="F14" s="194"/>
      <c r="G14" s="194"/>
      <c r="H14" s="194"/>
      <c r="I14" s="194"/>
      <c r="J14" s="194"/>
      <c r="K14" s="195"/>
      <c r="L14" s="25"/>
      <c r="M14" s="42"/>
      <c r="N14" s="25"/>
      <c r="O14" s="193" t="s">
        <v>163</v>
      </c>
      <c r="P14" s="194"/>
      <c r="Q14" s="194"/>
      <c r="R14" s="194"/>
      <c r="S14" s="194"/>
      <c r="T14" s="194"/>
      <c r="U14" s="194"/>
      <c r="V14" s="194"/>
      <c r="W14" s="195"/>
      <c r="X14" s="25"/>
      <c r="Y14" s="42"/>
    </row>
    <row r="15" spans="1:25" ht="7.5" customHeight="1" thickBot="1" x14ac:dyDescent="0.25">
      <c r="A15" s="42"/>
      <c r="B15" s="25"/>
      <c r="C15" s="44"/>
      <c r="D15" s="44"/>
      <c r="E15" s="44"/>
      <c r="F15" s="44"/>
      <c r="G15" s="44"/>
      <c r="H15" s="44"/>
      <c r="I15" s="44"/>
      <c r="J15" s="44"/>
      <c r="K15" s="44"/>
      <c r="L15" s="25"/>
      <c r="M15" s="42"/>
      <c r="N15" s="25"/>
      <c r="O15" s="44"/>
      <c r="P15" s="44"/>
      <c r="Q15" s="44"/>
      <c r="R15" s="44"/>
      <c r="S15" s="44"/>
      <c r="T15" s="44"/>
      <c r="U15" s="44"/>
      <c r="V15" s="44"/>
      <c r="W15" s="44"/>
      <c r="X15" s="25"/>
      <c r="Y15" s="42"/>
    </row>
    <row r="16" spans="1:25" ht="13.5" thickBot="1" x14ac:dyDescent="0.25">
      <c r="A16" s="42"/>
      <c r="B16" s="152" t="s">
        <v>10</v>
      </c>
      <c r="C16" s="153"/>
      <c r="D16" s="153"/>
      <c r="E16" s="153"/>
      <c r="F16" s="153"/>
      <c r="G16" s="153"/>
      <c r="H16" s="153"/>
      <c r="I16" s="153"/>
      <c r="J16" s="153"/>
      <c r="K16" s="153"/>
      <c r="L16" s="154"/>
      <c r="M16" s="42"/>
      <c r="N16" s="152" t="s">
        <v>10</v>
      </c>
      <c r="O16" s="153"/>
      <c r="P16" s="153"/>
      <c r="Q16" s="153"/>
      <c r="R16" s="153"/>
      <c r="S16" s="153"/>
      <c r="T16" s="153"/>
      <c r="U16" s="153"/>
      <c r="V16" s="153"/>
      <c r="W16" s="153"/>
      <c r="X16" s="154"/>
      <c r="Y16" s="42"/>
    </row>
    <row r="17" spans="1:25" ht="13.5" thickBot="1" x14ac:dyDescent="0.25">
      <c r="A17" s="42"/>
      <c r="B17" s="45"/>
      <c r="C17" s="46"/>
      <c r="D17" s="230" t="s">
        <v>1</v>
      </c>
      <c r="E17" s="230"/>
      <c r="F17" s="230"/>
      <c r="G17" s="47"/>
      <c r="H17" s="230" t="s">
        <v>0</v>
      </c>
      <c r="I17" s="230"/>
      <c r="J17" s="230"/>
      <c r="K17" s="46"/>
      <c r="L17" s="48" t="s">
        <v>9</v>
      </c>
      <c r="M17" s="42"/>
      <c r="N17" s="1"/>
      <c r="O17" s="2"/>
      <c r="P17" s="222" t="s">
        <v>1</v>
      </c>
      <c r="Q17" s="222"/>
      <c r="R17" s="222"/>
      <c r="S17" s="14"/>
      <c r="T17" s="222" t="s">
        <v>0</v>
      </c>
      <c r="U17" s="222"/>
      <c r="V17" s="222"/>
      <c r="W17" s="2"/>
      <c r="X17" s="48" t="s">
        <v>9</v>
      </c>
      <c r="Y17" s="42"/>
    </row>
    <row r="18" spans="1:25" ht="13.5" thickBot="1" x14ac:dyDescent="0.25">
      <c r="A18" s="42"/>
      <c r="B18" s="220" t="s">
        <v>2</v>
      </c>
      <c r="C18" s="221" t="s">
        <v>164</v>
      </c>
      <c r="D18" s="219"/>
      <c r="E18" s="219"/>
      <c r="F18" s="219"/>
      <c r="G18" s="50"/>
      <c r="H18" s="219"/>
      <c r="I18" s="219"/>
      <c r="J18" s="219"/>
      <c r="K18" s="26"/>
      <c r="L18" s="9" t="s">
        <v>11</v>
      </c>
      <c r="M18" s="42"/>
      <c r="N18" s="198" t="s">
        <v>2</v>
      </c>
      <c r="O18" s="199" t="s">
        <v>164</v>
      </c>
      <c r="P18" s="185"/>
      <c r="Q18" s="185"/>
      <c r="R18" s="185"/>
      <c r="S18" s="13"/>
      <c r="T18" s="185"/>
      <c r="U18" s="185"/>
      <c r="V18" s="185"/>
      <c r="W18" s="4"/>
      <c r="X18" s="9" t="s">
        <v>11</v>
      </c>
      <c r="Y18" s="42"/>
    </row>
    <row r="19" spans="1:25" ht="15" thickBot="1" x14ac:dyDescent="0.25">
      <c r="A19" s="42"/>
      <c r="B19" s="220"/>
      <c r="C19" s="221"/>
      <c r="D19" s="219"/>
      <c r="E19" s="219"/>
      <c r="F19" s="219"/>
      <c r="G19" s="50"/>
      <c r="H19" s="219"/>
      <c r="I19" s="219"/>
      <c r="J19" s="219"/>
      <c r="K19" s="26"/>
      <c r="L19" s="10" t="s">
        <v>12</v>
      </c>
      <c r="M19" s="42"/>
      <c r="N19" s="198"/>
      <c r="O19" s="199"/>
      <c r="P19" s="185"/>
      <c r="Q19" s="185"/>
      <c r="R19" s="185"/>
      <c r="S19" s="13"/>
      <c r="T19" s="185"/>
      <c r="U19" s="185"/>
      <c r="V19" s="185"/>
      <c r="W19" s="4"/>
      <c r="X19" s="10" t="s">
        <v>12</v>
      </c>
      <c r="Y19" s="42"/>
    </row>
    <row r="20" spans="1:25" ht="13.5" thickBot="1" x14ac:dyDescent="0.25">
      <c r="A20" s="42"/>
      <c r="B20" s="220" t="s">
        <v>3</v>
      </c>
      <c r="C20" s="221" t="s">
        <v>6</v>
      </c>
      <c r="D20" s="219"/>
      <c r="E20" s="219"/>
      <c r="F20" s="219"/>
      <c r="G20" s="50"/>
      <c r="H20" s="219"/>
      <c r="I20" s="219"/>
      <c r="J20" s="219"/>
      <c r="K20" s="26"/>
      <c r="L20" s="9" t="s">
        <v>13</v>
      </c>
      <c r="M20" s="42"/>
      <c r="N20" s="198" t="s">
        <v>3</v>
      </c>
      <c r="O20" s="199" t="s">
        <v>6</v>
      </c>
      <c r="P20" s="185"/>
      <c r="Q20" s="185"/>
      <c r="R20" s="185"/>
      <c r="S20" s="13"/>
      <c r="T20" s="185"/>
      <c r="U20" s="185"/>
      <c r="V20" s="185"/>
      <c r="W20" s="4"/>
      <c r="X20" s="9" t="s">
        <v>13</v>
      </c>
      <c r="Y20" s="42"/>
    </row>
    <row r="21" spans="1:25" ht="15" thickBot="1" x14ac:dyDescent="0.25">
      <c r="A21" s="42"/>
      <c r="B21" s="220"/>
      <c r="C21" s="221"/>
      <c r="D21" s="219"/>
      <c r="E21" s="219"/>
      <c r="F21" s="219"/>
      <c r="G21" s="50"/>
      <c r="H21" s="219"/>
      <c r="I21" s="219"/>
      <c r="J21" s="219"/>
      <c r="K21" s="26"/>
      <c r="L21" s="10" t="s">
        <v>22</v>
      </c>
      <c r="M21" s="42"/>
      <c r="N21" s="198"/>
      <c r="O21" s="199"/>
      <c r="P21" s="185"/>
      <c r="Q21" s="185"/>
      <c r="R21" s="185"/>
      <c r="S21" s="13"/>
      <c r="T21" s="185"/>
      <c r="U21" s="185"/>
      <c r="V21" s="185"/>
      <c r="W21" s="4"/>
      <c r="X21" s="10" t="s">
        <v>22</v>
      </c>
      <c r="Y21" s="42"/>
    </row>
    <row r="22" spans="1:25" ht="13.5" thickBot="1" x14ac:dyDescent="0.25">
      <c r="A22" s="42"/>
      <c r="B22" s="220" t="s">
        <v>4</v>
      </c>
      <c r="C22" s="221" t="s">
        <v>7</v>
      </c>
      <c r="D22" s="219"/>
      <c r="E22" s="219"/>
      <c r="F22" s="219"/>
      <c r="G22" s="50"/>
      <c r="H22" s="219"/>
      <c r="I22" s="219"/>
      <c r="J22" s="219"/>
      <c r="K22" s="26"/>
      <c r="L22" s="9" t="s">
        <v>5</v>
      </c>
      <c r="M22" s="42"/>
      <c r="N22" s="198" t="s">
        <v>4</v>
      </c>
      <c r="O22" s="199" t="s">
        <v>7</v>
      </c>
      <c r="P22" s="185"/>
      <c r="Q22" s="185"/>
      <c r="R22" s="185"/>
      <c r="S22" s="13"/>
      <c r="T22" s="185"/>
      <c r="U22" s="185"/>
      <c r="V22" s="185"/>
      <c r="W22" s="4"/>
      <c r="X22" s="9" t="s">
        <v>5</v>
      </c>
      <c r="Y22" s="42"/>
    </row>
    <row r="23" spans="1:25" ht="15" thickBot="1" x14ac:dyDescent="0.25">
      <c r="A23" s="42"/>
      <c r="B23" s="220"/>
      <c r="C23" s="221"/>
      <c r="D23" s="219"/>
      <c r="E23" s="219"/>
      <c r="F23" s="219"/>
      <c r="G23" s="50"/>
      <c r="H23" s="219"/>
      <c r="I23" s="219"/>
      <c r="J23" s="219"/>
      <c r="K23" s="26"/>
      <c r="L23" s="10" t="s">
        <v>23</v>
      </c>
      <c r="M23" s="42"/>
      <c r="N23" s="198"/>
      <c r="O23" s="199"/>
      <c r="P23" s="185"/>
      <c r="Q23" s="185"/>
      <c r="R23" s="185"/>
      <c r="S23" s="13"/>
      <c r="T23" s="185"/>
      <c r="U23" s="185"/>
      <c r="V23" s="185"/>
      <c r="W23" s="4"/>
      <c r="X23" s="10" t="s">
        <v>23</v>
      </c>
      <c r="Y23" s="42"/>
    </row>
    <row r="24" spans="1:25" ht="13.5" thickBot="1" x14ac:dyDescent="0.25">
      <c r="A24" s="42"/>
      <c r="B24" s="33"/>
      <c r="C24" s="26"/>
      <c r="D24" s="49" t="s">
        <v>14</v>
      </c>
      <c r="E24" s="49" t="s">
        <v>5</v>
      </c>
      <c r="F24" s="49" t="s">
        <v>15</v>
      </c>
      <c r="G24" s="49"/>
      <c r="H24" s="49" t="s">
        <v>16</v>
      </c>
      <c r="I24" s="49" t="s">
        <v>17</v>
      </c>
      <c r="J24" s="49" t="s">
        <v>18</v>
      </c>
      <c r="K24" s="26"/>
      <c r="L24" s="119" t="s">
        <v>8</v>
      </c>
      <c r="M24" s="42"/>
      <c r="N24" s="3"/>
      <c r="O24" s="4"/>
      <c r="P24" s="6" t="s">
        <v>14</v>
      </c>
      <c r="Q24" s="6" t="s">
        <v>5</v>
      </c>
      <c r="R24" s="6" t="s">
        <v>15</v>
      </c>
      <c r="S24" s="6"/>
      <c r="T24" s="6" t="s">
        <v>16</v>
      </c>
      <c r="U24" s="6" t="s">
        <v>17</v>
      </c>
      <c r="V24" s="6" t="s">
        <v>18</v>
      </c>
      <c r="W24" s="4"/>
      <c r="X24" s="119" t="s">
        <v>8</v>
      </c>
      <c r="Y24" s="42"/>
    </row>
    <row r="25" spans="1:25" ht="11.25" customHeight="1" thickBot="1" x14ac:dyDescent="0.25">
      <c r="A25" s="42"/>
      <c r="B25" s="193" t="s">
        <v>165</v>
      </c>
      <c r="C25" s="194"/>
      <c r="D25" s="194"/>
      <c r="E25" s="194"/>
      <c r="F25" s="194"/>
      <c r="G25" s="194"/>
      <c r="H25" s="194"/>
      <c r="I25" s="194"/>
      <c r="J25" s="194"/>
      <c r="K25" s="194"/>
      <c r="L25" s="195"/>
      <c r="M25" s="42"/>
      <c r="N25" s="193" t="s">
        <v>165</v>
      </c>
      <c r="O25" s="194"/>
      <c r="P25" s="194"/>
      <c r="Q25" s="194"/>
      <c r="R25" s="194"/>
      <c r="S25" s="194"/>
      <c r="T25" s="194"/>
      <c r="U25" s="194"/>
      <c r="V25" s="194"/>
      <c r="W25" s="194"/>
      <c r="X25" s="195"/>
      <c r="Y25" s="42"/>
    </row>
    <row r="26" spans="1:25" ht="7.5" customHeight="1" thickBot="1" x14ac:dyDescent="0.25">
      <c r="A26" s="42"/>
      <c r="B26" s="25"/>
      <c r="C26" s="25"/>
      <c r="D26" s="25"/>
      <c r="E26" s="25"/>
      <c r="F26" s="25"/>
      <c r="G26" s="25"/>
      <c r="H26" s="25"/>
      <c r="I26" s="25"/>
      <c r="J26" s="25"/>
      <c r="K26" s="25"/>
      <c r="L26" s="25"/>
      <c r="M26" s="42"/>
      <c r="N26" s="25"/>
      <c r="O26" s="25"/>
      <c r="P26" s="25"/>
      <c r="Q26" s="25"/>
      <c r="R26" s="25"/>
      <c r="S26" s="25"/>
      <c r="T26" s="25"/>
      <c r="U26" s="25"/>
      <c r="V26" s="25"/>
      <c r="W26" s="25"/>
      <c r="X26" s="25"/>
      <c r="Y26" s="42"/>
    </row>
    <row r="27" spans="1:25" ht="13.5" thickBot="1" x14ac:dyDescent="0.25">
      <c r="A27" s="42"/>
      <c r="B27" s="186" t="s">
        <v>24</v>
      </c>
      <c r="C27" s="187"/>
      <c r="D27" s="187"/>
      <c r="E27" s="187"/>
      <c r="F27" s="187"/>
      <c r="G27" s="187"/>
      <c r="H27" s="187"/>
      <c r="I27" s="187"/>
      <c r="J27" s="187"/>
      <c r="K27" s="187"/>
      <c r="L27" s="188"/>
      <c r="M27" s="42"/>
      <c r="N27" s="186" t="s">
        <v>24</v>
      </c>
      <c r="O27" s="187"/>
      <c r="P27" s="187"/>
      <c r="Q27" s="187"/>
      <c r="R27" s="187"/>
      <c r="S27" s="187"/>
      <c r="T27" s="187"/>
      <c r="U27" s="187"/>
      <c r="V27" s="187"/>
      <c r="W27" s="187"/>
      <c r="X27" s="188"/>
      <c r="Y27" s="42"/>
    </row>
    <row r="28" spans="1:25" ht="13.5" thickBot="1" x14ac:dyDescent="0.25">
      <c r="A28" s="42"/>
      <c r="B28" s="196" t="s">
        <v>166</v>
      </c>
      <c r="C28" s="196"/>
      <c r="D28" s="196"/>
      <c r="E28" s="196"/>
      <c r="F28" s="197" t="s">
        <v>39</v>
      </c>
      <c r="G28" s="197"/>
      <c r="H28" s="197"/>
      <c r="I28" s="197"/>
      <c r="J28" s="197"/>
      <c r="K28" s="197"/>
      <c r="L28" s="197"/>
      <c r="M28" s="42"/>
      <c r="N28" s="196" t="s">
        <v>166</v>
      </c>
      <c r="O28" s="196"/>
      <c r="P28" s="196"/>
      <c r="Q28" s="196"/>
      <c r="R28" s="197" t="s">
        <v>39</v>
      </c>
      <c r="S28" s="197"/>
      <c r="T28" s="197"/>
      <c r="U28" s="197"/>
      <c r="V28" s="197"/>
      <c r="W28" s="197"/>
      <c r="X28" s="197"/>
      <c r="Y28" s="42"/>
    </row>
    <row r="29" spans="1:25" ht="13.5" thickBot="1" x14ac:dyDescent="0.25">
      <c r="A29" s="42"/>
      <c r="B29" s="207" t="s">
        <v>167</v>
      </c>
      <c r="C29" s="207"/>
      <c r="D29" s="207" t="s">
        <v>168</v>
      </c>
      <c r="E29" s="207"/>
      <c r="F29" s="51" t="s">
        <v>25</v>
      </c>
      <c r="G29" s="51" t="s">
        <v>26</v>
      </c>
      <c r="H29" s="51" t="s">
        <v>27</v>
      </c>
      <c r="I29" s="51" t="s">
        <v>28</v>
      </c>
      <c r="J29" s="208" t="s">
        <v>30</v>
      </c>
      <c r="K29" s="208"/>
      <c r="L29" s="208"/>
      <c r="M29" s="42"/>
      <c r="N29" s="207" t="s">
        <v>167</v>
      </c>
      <c r="O29" s="207"/>
      <c r="P29" s="207" t="s">
        <v>168</v>
      </c>
      <c r="Q29" s="207"/>
      <c r="R29" s="51" t="s">
        <v>25</v>
      </c>
      <c r="S29" s="51" t="s">
        <v>26</v>
      </c>
      <c r="T29" s="51" t="s">
        <v>27</v>
      </c>
      <c r="U29" s="51" t="s">
        <v>28</v>
      </c>
      <c r="V29" s="208" t="s">
        <v>30</v>
      </c>
      <c r="W29" s="208"/>
      <c r="X29" s="208"/>
      <c r="Y29" s="42"/>
    </row>
    <row r="30" spans="1:25" ht="11.25" customHeight="1" thickBot="1" x14ac:dyDescent="0.25">
      <c r="A30" s="42"/>
      <c r="B30" s="209" t="s">
        <v>169</v>
      </c>
      <c r="C30" s="210"/>
      <c r="D30" s="210"/>
      <c r="E30" s="210"/>
      <c r="F30" s="210"/>
      <c r="G30" s="210"/>
      <c r="H30" s="210"/>
      <c r="I30" s="210"/>
      <c r="J30" s="210"/>
      <c r="K30" s="210"/>
      <c r="L30" s="211"/>
      <c r="M30" s="42"/>
      <c r="N30" s="209" t="s">
        <v>169</v>
      </c>
      <c r="O30" s="210"/>
      <c r="P30" s="210"/>
      <c r="Q30" s="210"/>
      <c r="R30" s="210"/>
      <c r="S30" s="210"/>
      <c r="T30" s="210"/>
      <c r="U30" s="210"/>
      <c r="V30" s="210"/>
      <c r="W30" s="210"/>
      <c r="X30" s="211"/>
      <c r="Y30" s="42"/>
    </row>
    <row r="31" spans="1:25" ht="7.5" customHeight="1" thickBot="1" x14ac:dyDescent="0.25">
      <c r="A31" s="42"/>
      <c r="B31" s="25"/>
      <c r="C31" s="25"/>
      <c r="D31" s="25"/>
      <c r="E31" s="25"/>
      <c r="F31" s="25"/>
      <c r="G31" s="25"/>
      <c r="H31" s="25"/>
      <c r="I31" s="25"/>
      <c r="J31" s="25"/>
      <c r="K31" s="25"/>
      <c r="L31" s="25"/>
      <c r="M31" s="42"/>
      <c r="N31" s="25"/>
      <c r="O31" s="25"/>
      <c r="P31" s="25"/>
      <c r="Q31" s="25"/>
      <c r="R31" s="25"/>
      <c r="S31" s="25"/>
      <c r="T31" s="25"/>
      <c r="U31" s="25"/>
      <c r="V31" s="25"/>
      <c r="W31" s="25"/>
      <c r="X31" s="25"/>
      <c r="Y31" s="42"/>
    </row>
    <row r="32" spans="1:25" ht="13.5" thickBot="1" x14ac:dyDescent="0.25">
      <c r="A32" s="42"/>
      <c r="B32" s="186" t="s">
        <v>45</v>
      </c>
      <c r="C32" s="187"/>
      <c r="D32" s="187"/>
      <c r="E32" s="187"/>
      <c r="F32" s="187"/>
      <c r="G32" s="187"/>
      <c r="H32" s="187"/>
      <c r="I32" s="187"/>
      <c r="J32" s="187"/>
      <c r="K32" s="187"/>
      <c r="L32" s="188"/>
      <c r="M32" s="42"/>
      <c r="N32" s="186" t="s">
        <v>45</v>
      </c>
      <c r="O32" s="187"/>
      <c r="P32" s="187"/>
      <c r="Q32" s="187"/>
      <c r="R32" s="187"/>
      <c r="S32" s="187"/>
      <c r="T32" s="187"/>
      <c r="U32" s="187"/>
      <c r="V32" s="187"/>
      <c r="W32" s="187"/>
      <c r="X32" s="188"/>
      <c r="Y32" s="42"/>
    </row>
    <row r="33" spans="1:25" x14ac:dyDescent="0.2">
      <c r="A33" s="42"/>
      <c r="B33" s="189" t="s">
        <v>43</v>
      </c>
      <c r="C33" s="190"/>
      <c r="D33" s="190"/>
      <c r="E33" s="190"/>
      <c r="F33" s="190"/>
      <c r="G33" s="15" t="s">
        <v>11</v>
      </c>
      <c r="H33" s="191" t="s">
        <v>170</v>
      </c>
      <c r="I33" s="191"/>
      <c r="J33" s="191"/>
      <c r="K33" s="191"/>
      <c r="L33" s="192"/>
      <c r="M33" s="42"/>
      <c r="N33" s="189" t="s">
        <v>43</v>
      </c>
      <c r="O33" s="190"/>
      <c r="P33" s="190"/>
      <c r="Q33" s="190"/>
      <c r="R33" s="190"/>
      <c r="S33" s="15" t="s">
        <v>11</v>
      </c>
      <c r="T33" s="191" t="s">
        <v>170</v>
      </c>
      <c r="U33" s="191"/>
      <c r="V33" s="191"/>
      <c r="W33" s="191"/>
      <c r="X33" s="192"/>
      <c r="Y33" s="42"/>
    </row>
    <row r="34" spans="1:25" x14ac:dyDescent="0.2">
      <c r="A34" s="42"/>
      <c r="B34" s="203" t="s">
        <v>44</v>
      </c>
      <c r="C34" s="204"/>
      <c r="D34" s="204"/>
      <c r="E34" s="204"/>
      <c r="F34" s="204"/>
      <c r="G34" s="5" t="s">
        <v>11</v>
      </c>
      <c r="H34" s="205" t="s">
        <v>171</v>
      </c>
      <c r="I34" s="205"/>
      <c r="J34" s="205"/>
      <c r="K34" s="205"/>
      <c r="L34" s="206"/>
      <c r="M34" s="42"/>
      <c r="N34" s="203" t="s">
        <v>44</v>
      </c>
      <c r="O34" s="204"/>
      <c r="P34" s="204"/>
      <c r="Q34" s="204"/>
      <c r="R34" s="204"/>
      <c r="S34" s="5" t="s">
        <v>11</v>
      </c>
      <c r="T34" s="205" t="s">
        <v>171</v>
      </c>
      <c r="U34" s="205"/>
      <c r="V34" s="205"/>
      <c r="W34" s="205"/>
      <c r="X34" s="206"/>
      <c r="Y34" s="42"/>
    </row>
    <row r="35" spans="1:25" x14ac:dyDescent="0.2">
      <c r="A35" s="42"/>
      <c r="B35" s="203" t="s">
        <v>46</v>
      </c>
      <c r="C35" s="204"/>
      <c r="D35" s="204"/>
      <c r="E35" s="204"/>
      <c r="F35" s="204"/>
      <c r="G35" s="5" t="s">
        <v>11</v>
      </c>
      <c r="H35" s="205" t="s">
        <v>172</v>
      </c>
      <c r="I35" s="205"/>
      <c r="J35" s="205"/>
      <c r="K35" s="205"/>
      <c r="L35" s="206"/>
      <c r="M35" s="42"/>
      <c r="N35" s="203" t="s">
        <v>46</v>
      </c>
      <c r="O35" s="204"/>
      <c r="P35" s="204"/>
      <c r="Q35" s="204"/>
      <c r="R35" s="204"/>
      <c r="S35" s="5" t="s">
        <v>11</v>
      </c>
      <c r="T35" s="205" t="s">
        <v>172</v>
      </c>
      <c r="U35" s="205"/>
      <c r="V35" s="205"/>
      <c r="W35" s="205"/>
      <c r="X35" s="206"/>
      <c r="Y35" s="42"/>
    </row>
    <row r="36" spans="1:25" x14ac:dyDescent="0.2">
      <c r="A36" s="42"/>
      <c r="B36" s="216" t="s">
        <v>173</v>
      </c>
      <c r="C36" s="217"/>
      <c r="D36" s="217"/>
      <c r="E36" s="217"/>
      <c r="F36" s="218"/>
      <c r="G36" s="5" t="s">
        <v>11</v>
      </c>
      <c r="H36" s="205" t="s">
        <v>172</v>
      </c>
      <c r="I36" s="205"/>
      <c r="J36" s="205"/>
      <c r="K36" s="205"/>
      <c r="L36" s="206"/>
      <c r="M36" s="42"/>
      <c r="N36" s="216" t="s">
        <v>173</v>
      </c>
      <c r="O36" s="217"/>
      <c r="P36" s="217"/>
      <c r="Q36" s="217"/>
      <c r="R36" s="218"/>
      <c r="S36" s="5" t="s">
        <v>11</v>
      </c>
      <c r="T36" s="205" t="s">
        <v>172</v>
      </c>
      <c r="U36" s="205"/>
      <c r="V36" s="205"/>
      <c r="W36" s="205"/>
      <c r="X36" s="206"/>
      <c r="Y36" s="42"/>
    </row>
    <row r="37" spans="1:25" x14ac:dyDescent="0.2">
      <c r="A37" s="42"/>
      <c r="B37" s="203" t="s">
        <v>47</v>
      </c>
      <c r="C37" s="204"/>
      <c r="D37" s="204"/>
      <c r="E37" s="204"/>
      <c r="F37" s="204"/>
      <c r="G37" s="5" t="s">
        <v>11</v>
      </c>
      <c r="H37" s="205" t="s">
        <v>172</v>
      </c>
      <c r="I37" s="205"/>
      <c r="J37" s="205"/>
      <c r="K37" s="205"/>
      <c r="L37" s="206"/>
      <c r="M37" s="42"/>
      <c r="N37" s="203" t="s">
        <v>47</v>
      </c>
      <c r="O37" s="204"/>
      <c r="P37" s="204"/>
      <c r="Q37" s="204"/>
      <c r="R37" s="204"/>
      <c r="S37" s="5" t="s">
        <v>11</v>
      </c>
      <c r="T37" s="205" t="s">
        <v>172</v>
      </c>
      <c r="U37" s="205"/>
      <c r="V37" s="205"/>
      <c r="W37" s="205"/>
      <c r="X37" s="206"/>
      <c r="Y37" s="42"/>
    </row>
    <row r="38" spans="1:25" x14ac:dyDescent="0.2">
      <c r="A38" s="42"/>
      <c r="B38" s="203" t="s">
        <v>56</v>
      </c>
      <c r="C38" s="204"/>
      <c r="D38" s="204"/>
      <c r="E38" s="204"/>
      <c r="F38" s="204"/>
      <c r="G38" s="5" t="s">
        <v>58</v>
      </c>
      <c r="H38" s="205" t="s">
        <v>172</v>
      </c>
      <c r="I38" s="205"/>
      <c r="J38" s="205"/>
      <c r="K38" s="205"/>
      <c r="L38" s="206"/>
      <c r="M38" s="42"/>
      <c r="N38" s="203" t="s">
        <v>56</v>
      </c>
      <c r="O38" s="204"/>
      <c r="P38" s="204"/>
      <c r="Q38" s="204"/>
      <c r="R38" s="204"/>
      <c r="S38" s="5" t="s">
        <v>58</v>
      </c>
      <c r="T38" s="205" t="s">
        <v>172</v>
      </c>
      <c r="U38" s="205"/>
      <c r="V38" s="205"/>
      <c r="W38" s="205"/>
      <c r="X38" s="206"/>
      <c r="Y38" s="42"/>
    </row>
    <row r="39" spans="1:25" ht="13.5" thickBot="1" x14ac:dyDescent="0.25">
      <c r="A39" s="42"/>
      <c r="B39" s="212" t="s">
        <v>57</v>
      </c>
      <c r="C39" s="213"/>
      <c r="D39" s="213"/>
      <c r="E39" s="213"/>
      <c r="F39" s="213"/>
      <c r="G39" s="17" t="s">
        <v>58</v>
      </c>
      <c r="H39" s="214" t="s">
        <v>172</v>
      </c>
      <c r="I39" s="214"/>
      <c r="J39" s="214"/>
      <c r="K39" s="214"/>
      <c r="L39" s="215"/>
      <c r="M39" s="42"/>
      <c r="N39" s="212" t="s">
        <v>57</v>
      </c>
      <c r="O39" s="213"/>
      <c r="P39" s="213"/>
      <c r="Q39" s="213"/>
      <c r="R39" s="213"/>
      <c r="S39" s="17" t="s">
        <v>58</v>
      </c>
      <c r="T39" s="214" t="s">
        <v>172</v>
      </c>
      <c r="U39" s="214"/>
      <c r="V39" s="214"/>
      <c r="W39" s="214"/>
      <c r="X39" s="215"/>
      <c r="Y39" s="42"/>
    </row>
    <row r="40" spans="1:25" ht="11.25" customHeight="1" thickBot="1" x14ac:dyDescent="0.25">
      <c r="A40" s="42"/>
      <c r="B40" s="200" t="s">
        <v>174</v>
      </c>
      <c r="C40" s="201"/>
      <c r="D40" s="201"/>
      <c r="E40" s="201"/>
      <c r="F40" s="201"/>
      <c r="G40" s="201"/>
      <c r="H40" s="201"/>
      <c r="I40" s="201"/>
      <c r="J40" s="201"/>
      <c r="K40" s="201"/>
      <c r="L40" s="202"/>
      <c r="M40" s="42"/>
      <c r="N40" s="200" t="s">
        <v>174</v>
      </c>
      <c r="O40" s="201"/>
      <c r="P40" s="201"/>
      <c r="Q40" s="201"/>
      <c r="R40" s="201"/>
      <c r="S40" s="201"/>
      <c r="T40" s="201"/>
      <c r="U40" s="201"/>
      <c r="V40" s="201"/>
      <c r="W40" s="201"/>
      <c r="X40" s="202"/>
      <c r="Y40" s="42"/>
    </row>
    <row r="41" spans="1:25" ht="7.5" customHeight="1" thickBo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row>
    <row r="42" spans="1:25" ht="13.5" thickBot="1" x14ac:dyDescent="0.25">
      <c r="B42" s="152" t="s">
        <v>135</v>
      </c>
      <c r="C42" s="153"/>
      <c r="D42" s="153"/>
      <c r="E42" s="153"/>
      <c r="F42" s="153"/>
      <c r="G42" s="153"/>
      <c r="H42" s="153"/>
      <c r="I42" s="153"/>
      <c r="J42" s="153"/>
      <c r="K42" s="153"/>
      <c r="L42" s="154"/>
      <c r="N42" s="152" t="s">
        <v>135</v>
      </c>
      <c r="O42" s="153"/>
      <c r="P42" s="153"/>
      <c r="Q42" s="153"/>
      <c r="R42" s="153"/>
      <c r="S42" s="153"/>
      <c r="T42" s="153"/>
      <c r="U42" s="153"/>
      <c r="V42" s="153"/>
      <c r="W42" s="153"/>
      <c r="X42" s="154"/>
    </row>
    <row r="43" spans="1:25" ht="11.25" customHeight="1" thickBot="1" x14ac:dyDescent="0.25">
      <c r="B43" s="237" t="s">
        <v>188</v>
      </c>
      <c r="C43" s="238"/>
      <c r="D43" s="238"/>
      <c r="E43" s="238"/>
      <c r="F43" s="238"/>
      <c r="G43" s="238"/>
      <c r="H43" s="238"/>
      <c r="I43" s="238"/>
      <c r="J43" s="238"/>
      <c r="K43" s="238"/>
      <c r="L43" s="239"/>
      <c r="N43" s="237" t="s">
        <v>188</v>
      </c>
      <c r="O43" s="238"/>
      <c r="P43" s="238"/>
      <c r="Q43" s="238"/>
      <c r="R43" s="238"/>
      <c r="S43" s="238"/>
      <c r="T43" s="238"/>
      <c r="U43" s="238"/>
      <c r="V43" s="238"/>
      <c r="W43" s="238"/>
      <c r="X43" s="239"/>
    </row>
    <row r="44" spans="1:25" x14ac:dyDescent="0.2">
      <c r="B44" s="33"/>
      <c r="C44" s="26"/>
      <c r="D44" s="26"/>
      <c r="E44" s="26"/>
      <c r="F44" s="26"/>
      <c r="G44" s="26"/>
      <c r="H44" s="26"/>
      <c r="I44" s="26"/>
      <c r="J44" s="26"/>
      <c r="K44" s="26"/>
      <c r="L44" s="34"/>
      <c r="N44" s="33"/>
      <c r="O44" s="26"/>
      <c r="P44" s="26"/>
      <c r="Q44" s="26"/>
      <c r="R44" s="26"/>
      <c r="S44" s="26"/>
      <c r="T44" s="26"/>
      <c r="U44" s="26"/>
      <c r="V44" s="26"/>
      <c r="W44" s="26"/>
      <c r="X44" s="34"/>
    </row>
    <row r="45" spans="1:25" x14ac:dyDescent="0.2">
      <c r="B45" s="33"/>
      <c r="C45" s="26"/>
      <c r="D45" s="26"/>
      <c r="E45" s="26"/>
      <c r="F45" s="26"/>
      <c r="G45" s="26"/>
      <c r="H45" s="26"/>
      <c r="I45" s="26"/>
      <c r="J45" s="26"/>
      <c r="K45" s="26"/>
      <c r="L45" s="34"/>
      <c r="N45" s="33"/>
      <c r="O45" s="26"/>
      <c r="P45" s="26"/>
      <c r="Q45" s="26"/>
      <c r="R45" s="26"/>
      <c r="S45" s="26"/>
      <c r="T45" s="26"/>
      <c r="U45" s="26"/>
      <c r="V45" s="26"/>
      <c r="W45" s="26"/>
      <c r="X45" s="34"/>
    </row>
    <row r="46" spans="1:25" x14ac:dyDescent="0.2">
      <c r="B46" s="33"/>
      <c r="C46" s="26"/>
      <c r="D46" s="26"/>
      <c r="E46" s="26"/>
      <c r="F46" s="26"/>
      <c r="G46" s="26"/>
      <c r="H46" s="26"/>
      <c r="I46" s="26"/>
      <c r="J46" s="26"/>
      <c r="K46" s="26"/>
      <c r="L46" s="34"/>
      <c r="N46" s="33"/>
      <c r="O46" s="26"/>
      <c r="P46" s="26"/>
      <c r="Q46" s="26"/>
      <c r="R46" s="26"/>
      <c r="S46" s="26"/>
      <c r="T46" s="26"/>
      <c r="U46" s="26"/>
      <c r="V46" s="26"/>
      <c r="W46" s="26"/>
      <c r="X46" s="34"/>
    </row>
    <row r="47" spans="1:25" x14ac:dyDescent="0.2">
      <c r="B47" s="33"/>
      <c r="C47" s="26"/>
      <c r="D47" s="26"/>
      <c r="E47" s="26"/>
      <c r="F47" s="26"/>
      <c r="G47" s="26"/>
      <c r="H47" s="26"/>
      <c r="I47" s="26"/>
      <c r="J47" s="26"/>
      <c r="K47" s="26"/>
      <c r="L47" s="34"/>
      <c r="N47" s="33"/>
      <c r="O47" s="26"/>
      <c r="P47" s="26"/>
      <c r="Q47" s="26"/>
      <c r="R47" s="26"/>
      <c r="S47" s="26"/>
      <c r="T47" s="26"/>
      <c r="U47" s="26"/>
      <c r="V47" s="26"/>
      <c r="W47" s="26"/>
      <c r="X47" s="34"/>
    </row>
    <row r="48" spans="1:25" ht="13.5" thickBot="1" x14ac:dyDescent="0.25">
      <c r="B48" s="35"/>
      <c r="C48" s="36"/>
      <c r="D48" s="36"/>
      <c r="E48" s="36"/>
      <c r="F48" s="36"/>
      <c r="G48" s="36"/>
      <c r="H48" s="36"/>
      <c r="I48" s="36"/>
      <c r="J48" s="36"/>
      <c r="K48" s="36"/>
      <c r="L48" s="37"/>
      <c r="N48" s="35"/>
      <c r="O48" s="36"/>
      <c r="P48" s="36"/>
      <c r="Q48" s="36"/>
      <c r="R48" s="36"/>
      <c r="S48" s="36"/>
      <c r="T48" s="36"/>
      <c r="U48" s="36"/>
      <c r="V48" s="36"/>
      <c r="W48" s="36"/>
      <c r="X48" s="37"/>
    </row>
    <row r="49" spans="2:24" x14ac:dyDescent="0.2">
      <c r="B49" s="25"/>
      <c r="C49" s="25"/>
      <c r="D49" s="25"/>
      <c r="E49" s="25"/>
      <c r="F49" s="25"/>
      <c r="G49" s="25"/>
      <c r="H49" s="25"/>
      <c r="I49" s="25"/>
      <c r="J49" s="25"/>
      <c r="K49" s="25"/>
      <c r="L49" s="25"/>
      <c r="N49" s="25"/>
      <c r="O49" s="25"/>
      <c r="P49" s="25"/>
      <c r="Q49" s="25"/>
      <c r="R49" s="25"/>
      <c r="S49" s="25"/>
      <c r="T49" s="25"/>
      <c r="U49" s="25"/>
      <c r="V49" s="25"/>
      <c r="W49" s="25"/>
      <c r="X49" s="25"/>
    </row>
    <row r="50" spans="2:24" x14ac:dyDescent="0.2">
      <c r="B50" s="25"/>
      <c r="C50" s="25"/>
      <c r="D50" s="25"/>
      <c r="E50" s="25"/>
      <c r="F50" s="25"/>
      <c r="G50" s="25"/>
      <c r="H50" s="25"/>
      <c r="I50" s="25"/>
      <c r="J50" s="25"/>
      <c r="K50" s="25"/>
      <c r="L50" s="25"/>
      <c r="N50" s="25"/>
      <c r="O50" s="25"/>
      <c r="P50" s="25"/>
      <c r="Q50" s="25"/>
      <c r="R50" s="25"/>
      <c r="S50" s="25"/>
      <c r="T50" s="25"/>
      <c r="U50" s="25"/>
      <c r="V50" s="25"/>
      <c r="W50" s="25"/>
      <c r="X50" s="25"/>
    </row>
    <row r="51" spans="2:24" x14ac:dyDescent="0.2">
      <c r="B51" s="25"/>
      <c r="C51" s="25"/>
      <c r="D51" s="25"/>
      <c r="E51" s="25"/>
      <c r="F51" s="25"/>
      <c r="G51" s="25"/>
      <c r="H51" s="25"/>
      <c r="I51" s="25"/>
      <c r="J51" s="25"/>
      <c r="K51" s="25"/>
      <c r="L51" s="25"/>
      <c r="N51" s="25"/>
      <c r="O51" s="25"/>
      <c r="P51" s="25"/>
      <c r="Q51" s="25"/>
      <c r="R51" s="25"/>
      <c r="S51" s="25"/>
      <c r="T51" s="25"/>
      <c r="U51" s="25"/>
      <c r="V51" s="25"/>
      <c r="W51" s="25"/>
      <c r="X51" s="25"/>
    </row>
    <row r="52" spans="2:24" x14ac:dyDescent="0.2">
      <c r="B52" s="25"/>
      <c r="C52" s="25"/>
      <c r="D52" s="25"/>
      <c r="E52" s="25"/>
      <c r="F52" s="25"/>
      <c r="G52" s="25"/>
      <c r="H52" s="25"/>
      <c r="I52" s="25"/>
      <c r="J52" s="25"/>
      <c r="K52" s="25"/>
      <c r="L52" s="25"/>
      <c r="N52" s="25"/>
      <c r="O52" s="25"/>
      <c r="P52" s="25"/>
      <c r="Q52" s="25"/>
      <c r="R52" s="25"/>
      <c r="S52" s="25"/>
      <c r="T52" s="25"/>
      <c r="U52" s="25"/>
      <c r="V52" s="25"/>
      <c r="W52" s="25"/>
      <c r="X52" s="25"/>
    </row>
    <row r="53" spans="2:24" x14ac:dyDescent="0.2">
      <c r="B53" s="25"/>
      <c r="C53" s="25"/>
      <c r="D53" s="25"/>
      <c r="E53" s="25"/>
      <c r="F53" s="25"/>
      <c r="G53" s="25"/>
      <c r="H53" s="25"/>
      <c r="I53" s="25"/>
      <c r="J53" s="25"/>
      <c r="K53" s="25"/>
      <c r="L53" s="25"/>
      <c r="N53" s="25"/>
      <c r="O53" s="25"/>
      <c r="P53" s="25"/>
      <c r="Q53" s="25"/>
      <c r="R53" s="25"/>
      <c r="S53" s="25"/>
      <c r="T53" s="25"/>
      <c r="U53" s="25"/>
      <c r="V53" s="25"/>
      <c r="W53" s="25"/>
      <c r="X53" s="25"/>
    </row>
    <row r="54" spans="2:24" x14ac:dyDescent="0.2">
      <c r="B54" s="25"/>
      <c r="C54" s="25"/>
      <c r="D54" s="25"/>
      <c r="E54" s="25"/>
      <c r="F54" s="25"/>
      <c r="G54" s="25"/>
      <c r="H54" s="25"/>
      <c r="I54" s="25"/>
      <c r="J54" s="25"/>
      <c r="K54" s="25"/>
      <c r="L54" s="25"/>
      <c r="N54" s="25"/>
      <c r="O54" s="25"/>
      <c r="P54" s="25"/>
      <c r="Q54" s="25"/>
      <c r="R54" s="25"/>
      <c r="S54" s="25"/>
      <c r="T54" s="25"/>
      <c r="U54" s="25"/>
      <c r="V54" s="25"/>
      <c r="W54" s="25"/>
      <c r="X54" s="25"/>
    </row>
    <row r="55" spans="2:24" x14ac:dyDescent="0.2">
      <c r="B55" s="25"/>
      <c r="C55" s="25"/>
      <c r="D55" s="25"/>
      <c r="E55" s="25"/>
      <c r="F55" s="25"/>
      <c r="G55" s="25"/>
      <c r="H55" s="25"/>
      <c r="I55" s="25"/>
      <c r="J55" s="25"/>
      <c r="K55" s="25"/>
      <c r="L55" s="25"/>
      <c r="N55" s="25"/>
      <c r="O55" s="25"/>
      <c r="P55" s="25"/>
      <c r="Q55" s="25"/>
      <c r="R55" s="25"/>
      <c r="S55" s="25"/>
      <c r="T55" s="25"/>
      <c r="U55" s="25"/>
      <c r="V55" s="25"/>
      <c r="W55" s="25"/>
      <c r="X55" s="25"/>
    </row>
    <row r="56" spans="2:24" x14ac:dyDescent="0.2">
      <c r="B56" s="25"/>
      <c r="C56" s="25"/>
      <c r="D56" s="25"/>
      <c r="E56" s="25"/>
      <c r="F56" s="25"/>
      <c r="G56" s="25"/>
      <c r="H56" s="25"/>
      <c r="I56" s="25"/>
      <c r="J56" s="25"/>
      <c r="K56" s="25"/>
      <c r="L56" s="25"/>
      <c r="N56" s="25"/>
      <c r="O56" s="25"/>
      <c r="P56" s="25"/>
      <c r="Q56" s="25"/>
      <c r="R56" s="25"/>
      <c r="S56" s="25"/>
      <c r="T56" s="25"/>
      <c r="U56" s="25"/>
      <c r="V56" s="25"/>
      <c r="W56" s="25"/>
      <c r="X56" s="25"/>
    </row>
    <row r="57" spans="2:24" x14ac:dyDescent="0.2">
      <c r="B57" s="25"/>
      <c r="C57" s="25"/>
      <c r="D57" s="25"/>
      <c r="E57" s="25"/>
      <c r="F57" s="25"/>
      <c r="G57" s="25"/>
      <c r="H57" s="25"/>
      <c r="I57" s="25"/>
      <c r="J57" s="25"/>
      <c r="K57" s="25"/>
      <c r="L57" s="25"/>
      <c r="N57" s="25"/>
      <c r="O57" s="25"/>
      <c r="P57" s="25"/>
      <c r="Q57" s="25"/>
      <c r="R57" s="25"/>
      <c r="S57" s="25"/>
      <c r="T57" s="25"/>
      <c r="U57" s="25"/>
      <c r="V57" s="25"/>
      <c r="W57" s="25"/>
      <c r="X57" s="25"/>
    </row>
    <row r="58" spans="2:24" x14ac:dyDescent="0.2">
      <c r="B58" s="25"/>
      <c r="C58" s="25"/>
      <c r="D58" s="25"/>
      <c r="E58" s="25"/>
      <c r="F58" s="25"/>
      <c r="G58" s="25"/>
      <c r="H58" s="25"/>
      <c r="I58" s="25"/>
      <c r="J58" s="25"/>
      <c r="K58" s="25"/>
      <c r="L58" s="25"/>
      <c r="N58" s="25"/>
      <c r="O58" s="25"/>
      <c r="P58" s="25"/>
      <c r="Q58" s="25"/>
      <c r="R58" s="25"/>
      <c r="S58" s="25"/>
      <c r="T58" s="25"/>
      <c r="U58" s="25"/>
      <c r="V58" s="25"/>
      <c r="W58" s="25"/>
      <c r="X58" s="25"/>
    </row>
  </sheetData>
  <sheetProtection password="917C" sheet="1" objects="1" scenarios="1" sort="0" autoFilter="0"/>
  <mergeCells count="134">
    <mergeCell ref="B42:L42"/>
    <mergeCell ref="B43:L43"/>
    <mergeCell ref="N42:X42"/>
    <mergeCell ref="N43:X43"/>
    <mergeCell ref="C11:K11"/>
    <mergeCell ref="O12:Q13"/>
    <mergeCell ref="R12:T13"/>
    <mergeCell ref="U12:W13"/>
    <mergeCell ref="C14:K14"/>
    <mergeCell ref="B40:L40"/>
    <mergeCell ref="B29:C29"/>
    <mergeCell ref="D29:E29"/>
    <mergeCell ref="B28:E28"/>
    <mergeCell ref="B37:F37"/>
    <mergeCell ref="H37:L37"/>
    <mergeCell ref="B36:F36"/>
    <mergeCell ref="H36:L36"/>
    <mergeCell ref="B33:F33"/>
    <mergeCell ref="H33:L33"/>
    <mergeCell ref="B34:F34"/>
    <mergeCell ref="H34:L34"/>
    <mergeCell ref="B25:L25"/>
    <mergeCell ref="B27:L27"/>
    <mergeCell ref="B30:L30"/>
    <mergeCell ref="N2:X2"/>
    <mergeCell ref="N4:X4"/>
    <mergeCell ref="N7:X7"/>
    <mergeCell ref="N8:O8"/>
    <mergeCell ref="P8:R8"/>
    <mergeCell ref="S8:T8"/>
    <mergeCell ref="U8:X8"/>
    <mergeCell ref="N9:X9"/>
    <mergeCell ref="O11:W11"/>
    <mergeCell ref="N5:X5"/>
    <mergeCell ref="B2:L2"/>
    <mergeCell ref="B4:L4"/>
    <mergeCell ref="B7:L7"/>
    <mergeCell ref="B8:C8"/>
    <mergeCell ref="D8:F8"/>
    <mergeCell ref="G8:H8"/>
    <mergeCell ref="I8:L8"/>
    <mergeCell ref="B5:L5"/>
    <mergeCell ref="J20:J21"/>
    <mergeCell ref="B16:L16"/>
    <mergeCell ref="D17:F17"/>
    <mergeCell ref="H17:J17"/>
    <mergeCell ref="B18:B19"/>
    <mergeCell ref="C18:C19"/>
    <mergeCell ref="D18:D19"/>
    <mergeCell ref="E18:E19"/>
    <mergeCell ref="F18:F19"/>
    <mergeCell ref="H18:H19"/>
    <mergeCell ref="I18:I19"/>
    <mergeCell ref="B9:L9"/>
    <mergeCell ref="C12:E13"/>
    <mergeCell ref="F12:H13"/>
    <mergeCell ref="I12:K13"/>
    <mergeCell ref="O14:W14"/>
    <mergeCell ref="N16:X16"/>
    <mergeCell ref="P17:R17"/>
    <mergeCell ref="T17:V17"/>
    <mergeCell ref="J18:J19"/>
    <mergeCell ref="B20:B21"/>
    <mergeCell ref="C20:C21"/>
    <mergeCell ref="D20:D21"/>
    <mergeCell ref="E20:E21"/>
    <mergeCell ref="F20:F21"/>
    <mergeCell ref="H20:H21"/>
    <mergeCell ref="I20:I21"/>
    <mergeCell ref="U20:U21"/>
    <mergeCell ref="V20:V21"/>
    <mergeCell ref="N20:N21"/>
    <mergeCell ref="O20:O21"/>
    <mergeCell ref="P20:P21"/>
    <mergeCell ref="Q20:Q21"/>
    <mergeCell ref="R18:R19"/>
    <mergeCell ref="B39:F39"/>
    <mergeCell ref="H39:L39"/>
    <mergeCell ref="B38:F38"/>
    <mergeCell ref="H38:L38"/>
    <mergeCell ref="B35:F35"/>
    <mergeCell ref="H35:L35"/>
    <mergeCell ref="I22:I23"/>
    <mergeCell ref="J22:J23"/>
    <mergeCell ref="B22:B23"/>
    <mergeCell ref="C22:C23"/>
    <mergeCell ref="D22:D23"/>
    <mergeCell ref="E22:E23"/>
    <mergeCell ref="B32:L32"/>
    <mergeCell ref="J29:L29"/>
    <mergeCell ref="F28:L28"/>
    <mergeCell ref="F22:F23"/>
    <mergeCell ref="H22:H23"/>
    <mergeCell ref="T18:T19"/>
    <mergeCell ref="U18:U19"/>
    <mergeCell ref="V18:V19"/>
    <mergeCell ref="N18:N19"/>
    <mergeCell ref="O18:O19"/>
    <mergeCell ref="P18:P19"/>
    <mergeCell ref="Q18:Q19"/>
    <mergeCell ref="N40:X40"/>
    <mergeCell ref="N37:R37"/>
    <mergeCell ref="T37:X37"/>
    <mergeCell ref="N38:R38"/>
    <mergeCell ref="T38:X38"/>
    <mergeCell ref="N34:R34"/>
    <mergeCell ref="T34:X34"/>
    <mergeCell ref="N29:O29"/>
    <mergeCell ref="P29:Q29"/>
    <mergeCell ref="V29:X29"/>
    <mergeCell ref="N30:X30"/>
    <mergeCell ref="N39:R39"/>
    <mergeCell ref="T39:X39"/>
    <mergeCell ref="N35:R35"/>
    <mergeCell ref="T35:X35"/>
    <mergeCell ref="N36:R36"/>
    <mergeCell ref="T36:X36"/>
    <mergeCell ref="R20:R21"/>
    <mergeCell ref="T20:T21"/>
    <mergeCell ref="N32:X32"/>
    <mergeCell ref="N33:R33"/>
    <mergeCell ref="T33:X33"/>
    <mergeCell ref="N25:X25"/>
    <mergeCell ref="N27:X27"/>
    <mergeCell ref="N28:Q28"/>
    <mergeCell ref="R28:X28"/>
    <mergeCell ref="R22:R23"/>
    <mergeCell ref="T22:T23"/>
    <mergeCell ref="U22:U23"/>
    <mergeCell ref="V22:V23"/>
    <mergeCell ref="N22:N23"/>
    <mergeCell ref="O22:O23"/>
    <mergeCell ref="P22:P23"/>
    <mergeCell ref="Q22:Q23"/>
  </mergeCells>
  <phoneticPr fontId="5" type="noConversion"/>
  <conditionalFormatting sqref="D44:F55841 D32:F42 P44:R55828 P40:R42">
    <cfRule type="cellIs" dxfId="17" priority="1" stopIfTrue="1" operator="between">
      <formula>$L$18</formula>
      <formula>$L$19</formula>
    </cfRule>
    <cfRule type="cellIs" dxfId="16" priority="2" stopIfTrue="1" operator="between">
      <formula>$L$20</formula>
      <formula>$L$21</formula>
    </cfRule>
    <cfRule type="cellIs" dxfId="15" priority="3" stopIfTrue="1" operator="between">
      <formula>$L$22</formula>
      <formula>$L$23</formula>
    </cfRule>
  </conditionalFormatting>
  <conditionalFormatting sqref="D18:F23 H18:J23 P18:R23 T18:V23">
    <cfRule type="cellIs" dxfId="14" priority="4" stopIfTrue="1" operator="between">
      <formula>$L$18</formula>
      <formula>$L$19</formula>
    </cfRule>
    <cfRule type="cellIs" dxfId="13" priority="5" stopIfTrue="1" operator="equal">
      <formula>$L$24</formula>
    </cfRule>
    <cfRule type="cellIs" dxfId="12" priority="6" stopIfTrue="1" operator="between">
      <formula>$L$22</formula>
      <formula>$L$23</formula>
    </cfRule>
  </conditionalFormatting>
  <pageMargins left="0.8" right="0.36" top="0.51" bottom="0.5" header="0.57999999999999996" footer="0.5"/>
  <pageSetup scale="95" orientation="landscape" verticalDpi="0" r:id="rId1"/>
  <headerFooter alignWithMargins="0"/>
  <customProperties>
    <customPr name="DVSECTIONID" r:id="rId2"/>
  </customPropertie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S61"/>
  <sheetViews>
    <sheetView zoomScaleNormal="100" workbookViewId="0">
      <selection activeCell="C10" sqref="C10:K11"/>
    </sheetView>
  </sheetViews>
  <sheetFormatPr defaultRowHeight="12.75" x14ac:dyDescent="0.2"/>
  <cols>
    <col min="1" max="1" width="5.7109375" customWidth="1"/>
    <col min="2" max="2" width="6.7109375" bestFit="1" customWidth="1"/>
    <col min="3" max="3" width="3.5703125" bestFit="1" customWidth="1"/>
    <col min="4" max="6" width="5.7109375" customWidth="1"/>
    <col min="7" max="7" width="3.5703125" customWidth="1"/>
    <col min="8" max="10" width="5.7109375" customWidth="1"/>
    <col min="11" max="11" width="3.5703125" customWidth="1"/>
    <col min="12" max="13" width="5.7109375" customWidth="1"/>
    <col min="14" max="14" width="19.140625" hidden="1" customWidth="1"/>
  </cols>
  <sheetData>
    <row r="1" spans="2:19" s="25" customFormat="1" ht="15" customHeight="1" thickBot="1" x14ac:dyDescent="0.25"/>
    <row r="2" spans="2:19" s="25" customFormat="1" ht="13.5" thickBot="1" x14ac:dyDescent="0.25">
      <c r="B2" s="149" t="s">
        <v>36</v>
      </c>
      <c r="C2" s="150"/>
      <c r="D2" s="150"/>
      <c r="E2" s="150"/>
      <c r="F2" s="150"/>
      <c r="G2" s="150"/>
      <c r="H2" s="150"/>
      <c r="I2" s="150"/>
      <c r="J2" s="150"/>
      <c r="K2" s="150"/>
      <c r="L2" s="151"/>
    </row>
    <row r="3" spans="2:19" s="25" customFormat="1" ht="7.5" customHeight="1" thickBot="1" x14ac:dyDescent="0.25">
      <c r="B3" s="43"/>
      <c r="C3" s="43"/>
      <c r="D3" s="43"/>
      <c r="E3" s="43"/>
      <c r="F3" s="43"/>
      <c r="G3" s="43"/>
      <c r="H3" s="43"/>
      <c r="I3" s="43"/>
      <c r="J3" s="43"/>
      <c r="K3" s="43"/>
      <c r="L3" s="43"/>
    </row>
    <row r="4" spans="2:19" s="25" customFormat="1" ht="13.5" thickBot="1" x14ac:dyDescent="0.25">
      <c r="B4" s="152" t="s">
        <v>35</v>
      </c>
      <c r="C4" s="153"/>
      <c r="D4" s="153"/>
      <c r="E4" s="153"/>
      <c r="F4" s="153"/>
      <c r="G4" s="153"/>
      <c r="H4" s="153"/>
      <c r="I4" s="153"/>
      <c r="J4" s="153"/>
      <c r="K4" s="153"/>
      <c r="L4" s="154"/>
      <c r="M4" s="42"/>
      <c r="S4" s="59"/>
    </row>
    <row r="5" spans="2:19" s="25" customFormat="1" ht="7.5" customHeight="1" thickBot="1" x14ac:dyDescent="0.25">
      <c r="N5" s="60" t="s">
        <v>79</v>
      </c>
    </row>
    <row r="6" spans="2:19" s="25" customFormat="1" ht="13.5" thickBot="1" x14ac:dyDescent="0.25">
      <c r="B6" s="152" t="s">
        <v>105</v>
      </c>
      <c r="C6" s="153"/>
      <c r="D6" s="153"/>
      <c r="E6" s="153"/>
      <c r="F6" s="153"/>
      <c r="G6" s="153"/>
      <c r="H6" s="153"/>
      <c r="I6" s="153"/>
      <c r="J6" s="153"/>
      <c r="K6" s="153"/>
      <c r="L6" s="154"/>
      <c r="N6" s="25" t="s">
        <v>3</v>
      </c>
    </row>
    <row r="7" spans="2:19" s="25" customFormat="1" ht="13.5" thickBot="1" x14ac:dyDescent="0.25">
      <c r="B7" s="270" t="s">
        <v>19</v>
      </c>
      <c r="C7" s="271"/>
      <c r="D7" s="272"/>
      <c r="E7" s="272"/>
      <c r="F7" s="272"/>
      <c r="G7" s="270" t="s">
        <v>20</v>
      </c>
      <c r="H7" s="271"/>
      <c r="I7" s="272"/>
      <c r="J7" s="272"/>
      <c r="K7" s="272"/>
      <c r="L7" s="273"/>
      <c r="N7" s="25" t="s">
        <v>77</v>
      </c>
    </row>
    <row r="8" spans="2:19" s="25" customFormat="1" ht="7.5" customHeight="1" thickBot="1" x14ac:dyDescent="0.25">
      <c r="N8" s="25" t="s">
        <v>78</v>
      </c>
    </row>
    <row r="9" spans="2:19" s="25" customFormat="1" ht="12.75" customHeight="1" thickBot="1" x14ac:dyDescent="0.25">
      <c r="C9" s="186" t="s">
        <v>21</v>
      </c>
      <c r="D9" s="187"/>
      <c r="E9" s="187"/>
      <c r="F9" s="187"/>
      <c r="G9" s="187"/>
      <c r="H9" s="187"/>
      <c r="I9" s="187"/>
      <c r="J9" s="187"/>
      <c r="K9" s="188"/>
      <c r="L9" s="42"/>
      <c r="M9" s="42"/>
    </row>
    <row r="10" spans="2:19" s="25" customFormat="1" ht="12.75" customHeight="1" x14ac:dyDescent="0.2">
      <c r="B10" s="26"/>
      <c r="C10" s="277"/>
      <c r="D10" s="278"/>
      <c r="E10" s="278"/>
      <c r="F10" s="278"/>
      <c r="G10" s="278"/>
      <c r="H10" s="278"/>
      <c r="I10" s="278"/>
      <c r="J10" s="278"/>
      <c r="K10" s="279"/>
      <c r="L10" s="24"/>
      <c r="M10" s="24"/>
    </row>
    <row r="11" spans="2:19" s="25" customFormat="1" ht="12.75" customHeight="1" thickBot="1" x14ac:dyDescent="0.25">
      <c r="B11" s="26"/>
      <c r="C11" s="280"/>
      <c r="D11" s="272"/>
      <c r="E11" s="272"/>
      <c r="F11" s="272"/>
      <c r="G11" s="272"/>
      <c r="H11" s="272"/>
      <c r="I11" s="272"/>
      <c r="J11" s="272"/>
      <c r="K11" s="273"/>
      <c r="L11" s="24"/>
      <c r="M11" s="42"/>
    </row>
    <row r="12" spans="2:19" s="25" customFormat="1" ht="12.75" customHeight="1" thickBot="1" x14ac:dyDescent="0.25">
      <c r="C12" s="274" t="s">
        <v>76</v>
      </c>
      <c r="D12" s="275"/>
      <c r="E12" s="275"/>
      <c r="F12" s="275"/>
      <c r="G12" s="275"/>
      <c r="H12" s="275"/>
      <c r="I12" s="275"/>
      <c r="J12" s="275"/>
      <c r="K12" s="276"/>
      <c r="M12" s="61"/>
      <c r="N12" s="61"/>
      <c r="O12" s="61"/>
      <c r="P12" s="61"/>
      <c r="Q12" s="61"/>
    </row>
    <row r="13" spans="2:19" s="25" customFormat="1" ht="7.5" customHeight="1" thickBot="1" x14ac:dyDescent="0.25">
      <c r="C13" s="44"/>
      <c r="D13" s="44"/>
      <c r="E13" s="44"/>
      <c r="F13" s="44"/>
      <c r="G13" s="44"/>
      <c r="H13" s="44"/>
      <c r="I13" s="44"/>
      <c r="J13" s="44"/>
      <c r="K13" s="44"/>
      <c r="M13" s="61"/>
      <c r="N13" s="61"/>
      <c r="O13" s="61"/>
      <c r="P13" s="61"/>
      <c r="Q13" s="61"/>
    </row>
    <row r="14" spans="2:19" s="25" customFormat="1" ht="13.5" thickBot="1" x14ac:dyDescent="0.25">
      <c r="B14" s="152" t="s">
        <v>10</v>
      </c>
      <c r="C14" s="153"/>
      <c r="D14" s="153"/>
      <c r="E14" s="153"/>
      <c r="F14" s="153"/>
      <c r="G14" s="153"/>
      <c r="H14" s="153"/>
      <c r="I14" s="153"/>
      <c r="J14" s="153"/>
      <c r="K14" s="153"/>
      <c r="L14" s="154"/>
      <c r="M14" s="61"/>
      <c r="N14" s="52" t="s">
        <v>48</v>
      </c>
      <c r="O14" s="61"/>
      <c r="P14" s="61"/>
      <c r="Q14" s="61"/>
    </row>
    <row r="15" spans="2:19" s="25" customFormat="1" ht="13.5" thickBot="1" x14ac:dyDescent="0.25">
      <c r="B15" s="45"/>
      <c r="C15" s="46"/>
      <c r="D15" s="230" t="s">
        <v>1</v>
      </c>
      <c r="E15" s="230"/>
      <c r="F15" s="230"/>
      <c r="G15" s="47"/>
      <c r="H15" s="230" t="s">
        <v>0</v>
      </c>
      <c r="I15" s="230"/>
      <c r="J15" s="230"/>
      <c r="K15" s="46"/>
      <c r="L15" s="62" t="s">
        <v>9</v>
      </c>
      <c r="M15" s="63"/>
      <c r="N15" s="64" t="s">
        <v>25</v>
      </c>
      <c r="O15" s="65"/>
      <c r="P15" s="65"/>
      <c r="Q15" s="65"/>
    </row>
    <row r="16" spans="2:19" s="25" customFormat="1" ht="15" customHeight="1" thickBot="1" x14ac:dyDescent="0.25">
      <c r="B16" s="220" t="s">
        <v>2</v>
      </c>
      <c r="C16" s="221"/>
      <c r="D16" s="263"/>
      <c r="E16" s="263"/>
      <c r="F16" s="263"/>
      <c r="G16" s="50"/>
      <c r="H16" s="263"/>
      <c r="I16" s="263"/>
      <c r="J16" s="263"/>
      <c r="K16" s="26"/>
      <c r="L16" s="7" t="s">
        <v>11</v>
      </c>
      <c r="M16" s="66"/>
      <c r="N16" s="55" t="s">
        <v>26</v>
      </c>
      <c r="O16" s="54"/>
      <c r="P16" s="54"/>
      <c r="Q16" s="54"/>
    </row>
    <row r="17" spans="1:18" s="25" customFormat="1" ht="15" customHeight="1" thickBot="1" x14ac:dyDescent="0.25">
      <c r="B17" s="220"/>
      <c r="C17" s="221"/>
      <c r="D17" s="263"/>
      <c r="E17" s="263"/>
      <c r="F17" s="263"/>
      <c r="G17" s="50"/>
      <c r="H17" s="263"/>
      <c r="I17" s="263"/>
      <c r="J17" s="263"/>
      <c r="K17" s="26"/>
      <c r="L17" s="8" t="s">
        <v>12</v>
      </c>
      <c r="M17" s="66"/>
      <c r="N17" s="55" t="s">
        <v>27</v>
      </c>
      <c r="O17" s="54"/>
      <c r="P17" s="54"/>
      <c r="Q17" s="54"/>
    </row>
    <row r="18" spans="1:18" s="25" customFormat="1" ht="15" customHeight="1" thickBot="1" x14ac:dyDescent="0.25">
      <c r="B18" s="220" t="s">
        <v>3</v>
      </c>
      <c r="C18" s="221" t="s">
        <v>6</v>
      </c>
      <c r="D18" s="263"/>
      <c r="E18" s="263"/>
      <c r="F18" s="263"/>
      <c r="G18" s="50"/>
      <c r="H18" s="263"/>
      <c r="I18" s="263"/>
      <c r="J18" s="263"/>
      <c r="K18" s="26"/>
      <c r="L18" s="9" t="s">
        <v>13</v>
      </c>
      <c r="M18" s="66"/>
      <c r="N18" s="55" t="s">
        <v>28</v>
      </c>
      <c r="O18" s="54"/>
      <c r="P18" s="54"/>
      <c r="Q18" s="54"/>
    </row>
    <row r="19" spans="1:18" s="25" customFormat="1" ht="15" customHeight="1" thickBot="1" x14ac:dyDescent="0.25">
      <c r="B19" s="220"/>
      <c r="C19" s="221"/>
      <c r="D19" s="263"/>
      <c r="E19" s="263"/>
      <c r="F19" s="263"/>
      <c r="G19" s="50"/>
      <c r="H19" s="263"/>
      <c r="I19" s="263"/>
      <c r="J19" s="263"/>
      <c r="K19" s="26"/>
      <c r="L19" s="10" t="s">
        <v>22</v>
      </c>
      <c r="M19" s="66"/>
      <c r="N19" s="55" t="s">
        <v>29</v>
      </c>
      <c r="O19" s="54"/>
      <c r="P19" s="54"/>
      <c r="Q19" s="54"/>
    </row>
    <row r="20" spans="1:18" s="25" customFormat="1" ht="15" customHeight="1" thickBot="1" x14ac:dyDescent="0.25">
      <c r="B20" s="220" t="s">
        <v>4</v>
      </c>
      <c r="C20" s="221" t="s">
        <v>7</v>
      </c>
      <c r="D20" s="263"/>
      <c r="E20" s="263"/>
      <c r="F20" s="263"/>
      <c r="G20" s="50"/>
      <c r="H20" s="263"/>
      <c r="I20" s="263"/>
      <c r="J20" s="263"/>
      <c r="K20" s="26"/>
      <c r="L20" s="11" t="s">
        <v>5</v>
      </c>
      <c r="M20" s="66"/>
      <c r="N20" s="55" t="s">
        <v>30</v>
      </c>
      <c r="O20" s="54"/>
      <c r="P20" s="54"/>
      <c r="Q20" s="54"/>
    </row>
    <row r="21" spans="1:18" s="25" customFormat="1" ht="15" customHeight="1" thickBot="1" x14ac:dyDescent="0.25">
      <c r="B21" s="220"/>
      <c r="C21" s="221"/>
      <c r="D21" s="263"/>
      <c r="E21" s="263"/>
      <c r="F21" s="263"/>
      <c r="G21" s="50"/>
      <c r="H21" s="263"/>
      <c r="I21" s="263"/>
      <c r="J21" s="263"/>
      <c r="K21" s="26"/>
      <c r="L21" s="12" t="s">
        <v>23</v>
      </c>
      <c r="M21" s="66"/>
      <c r="N21" s="55" t="s">
        <v>31</v>
      </c>
      <c r="O21" s="54"/>
      <c r="P21" s="54"/>
      <c r="Q21" s="54"/>
    </row>
    <row r="22" spans="1:18" s="25" customFormat="1" ht="15" customHeight="1" thickBot="1" x14ac:dyDescent="0.25">
      <c r="B22" s="33"/>
      <c r="C22" s="26"/>
      <c r="D22" s="49" t="s">
        <v>14</v>
      </c>
      <c r="E22" s="49" t="s">
        <v>5</v>
      </c>
      <c r="F22" s="49" t="s">
        <v>15</v>
      </c>
      <c r="G22" s="49"/>
      <c r="H22" s="49" t="s">
        <v>16</v>
      </c>
      <c r="I22" s="49" t="s">
        <v>17</v>
      </c>
      <c r="J22" s="49" t="s">
        <v>18</v>
      </c>
      <c r="K22" s="26"/>
      <c r="L22" s="16" t="s">
        <v>8</v>
      </c>
      <c r="M22" s="54"/>
      <c r="N22" s="54"/>
      <c r="O22" s="54"/>
      <c r="P22" s="54"/>
      <c r="Q22" s="54"/>
    </row>
    <row r="23" spans="1:18" s="25" customFormat="1" ht="12.75" customHeight="1" thickBot="1" x14ac:dyDescent="0.25">
      <c r="A23" s="26"/>
      <c r="B23" s="264" t="s">
        <v>33</v>
      </c>
      <c r="C23" s="265"/>
      <c r="D23" s="265"/>
      <c r="E23" s="265"/>
      <c r="F23" s="265"/>
      <c r="G23" s="265"/>
      <c r="H23" s="265"/>
      <c r="I23" s="265"/>
      <c r="J23" s="265"/>
      <c r="K23" s="265"/>
      <c r="L23" s="266"/>
      <c r="M23" s="67"/>
      <c r="N23" s="67"/>
      <c r="O23" s="67"/>
      <c r="P23" s="54"/>
      <c r="Q23" s="54"/>
    </row>
    <row r="24" spans="1:18" s="25" customFormat="1" ht="7.5" customHeight="1" thickBot="1" x14ac:dyDescent="0.25">
      <c r="M24" s="54"/>
      <c r="N24" s="54"/>
      <c r="O24" s="54"/>
      <c r="P24" s="54"/>
      <c r="Q24" s="54"/>
    </row>
    <row r="25" spans="1:18" s="25" customFormat="1" ht="13.5" thickBot="1" x14ac:dyDescent="0.25">
      <c r="B25" s="152" t="s">
        <v>24</v>
      </c>
      <c r="C25" s="153"/>
      <c r="D25" s="153"/>
      <c r="E25" s="153"/>
      <c r="F25" s="153"/>
      <c r="G25" s="153"/>
      <c r="H25" s="153"/>
      <c r="I25" s="153"/>
      <c r="J25" s="153"/>
      <c r="K25" s="153"/>
      <c r="L25" s="154"/>
      <c r="M25" s="54"/>
      <c r="N25" s="54"/>
      <c r="O25" s="54"/>
      <c r="P25" s="54"/>
      <c r="Q25" s="54"/>
    </row>
    <row r="26" spans="1:18" s="25" customFormat="1" ht="12.75" customHeight="1" thickBot="1" x14ac:dyDescent="0.25">
      <c r="B26" s="267"/>
      <c r="C26" s="268"/>
      <c r="D26" s="268"/>
      <c r="E26" s="268"/>
      <c r="F26" s="268"/>
      <c r="G26" s="268"/>
      <c r="H26" s="268"/>
      <c r="I26" s="268"/>
      <c r="J26" s="268"/>
      <c r="K26" s="268"/>
      <c r="L26" s="269"/>
      <c r="M26" s="54"/>
      <c r="N26" s="54"/>
      <c r="O26" s="54"/>
      <c r="P26" s="54"/>
      <c r="Q26" s="54"/>
    </row>
    <row r="27" spans="1:18" s="25" customFormat="1" ht="12.75" customHeight="1" thickBot="1" x14ac:dyDescent="0.25">
      <c r="B27" s="264" t="s">
        <v>34</v>
      </c>
      <c r="C27" s="265"/>
      <c r="D27" s="265"/>
      <c r="E27" s="265"/>
      <c r="F27" s="265"/>
      <c r="G27" s="265"/>
      <c r="H27" s="265"/>
      <c r="I27" s="265"/>
      <c r="J27" s="265"/>
      <c r="K27" s="265"/>
      <c r="L27" s="266"/>
      <c r="M27" s="54"/>
      <c r="N27" s="54"/>
      <c r="O27" s="54"/>
      <c r="P27" s="54"/>
      <c r="Q27" s="54"/>
    </row>
    <row r="28" spans="1:18" s="25" customFormat="1" ht="7.5" customHeight="1" thickBot="1" x14ac:dyDescent="0.25">
      <c r="B28" s="39"/>
      <c r="C28" s="39"/>
      <c r="D28" s="39"/>
      <c r="E28" s="39"/>
      <c r="F28" s="39"/>
      <c r="G28" s="39"/>
      <c r="H28" s="39"/>
      <c r="I28" s="39"/>
      <c r="J28" s="39"/>
      <c r="K28" s="39"/>
      <c r="L28" s="39"/>
      <c r="M28" s="54"/>
      <c r="N28" s="54"/>
      <c r="O28" s="54"/>
      <c r="P28" s="54"/>
      <c r="Q28" s="54"/>
    </row>
    <row r="29" spans="1:18" s="25" customFormat="1" ht="12.75" customHeight="1" thickBot="1" x14ac:dyDescent="0.25">
      <c r="B29" s="161" t="s">
        <v>32</v>
      </c>
      <c r="C29" s="162"/>
      <c r="D29" s="162"/>
      <c r="E29" s="162"/>
      <c r="F29" s="162"/>
      <c r="G29" s="162"/>
      <c r="H29" s="162"/>
      <c r="I29" s="162"/>
      <c r="J29" s="162"/>
      <c r="K29" s="162"/>
      <c r="L29" s="163"/>
      <c r="M29" s="54"/>
      <c r="N29" s="54"/>
      <c r="O29" s="54"/>
      <c r="P29" s="54"/>
      <c r="Q29" s="54"/>
    </row>
    <row r="30" spans="1:18" s="25" customFormat="1" ht="12.75" customHeight="1" x14ac:dyDescent="0.2">
      <c r="B30" s="251" t="s">
        <v>37</v>
      </c>
      <c r="C30" s="252"/>
      <c r="D30" s="252"/>
      <c r="E30" s="252"/>
      <c r="F30" s="247">
        <v>0</v>
      </c>
      <c r="G30" s="247"/>
      <c r="H30" s="247"/>
      <c r="I30" s="247"/>
      <c r="J30" s="247"/>
      <c r="K30" s="247"/>
      <c r="L30" s="248"/>
      <c r="M30" s="54"/>
      <c r="N30" s="54"/>
      <c r="O30" s="54"/>
      <c r="P30" s="54"/>
      <c r="Q30" s="54"/>
      <c r="R30" s="24"/>
    </row>
    <row r="31" spans="1:18" s="25" customFormat="1" ht="12.75" customHeight="1" x14ac:dyDescent="0.2">
      <c r="B31" s="242" t="s">
        <v>38</v>
      </c>
      <c r="C31" s="243"/>
      <c r="D31" s="243"/>
      <c r="E31" s="243"/>
      <c r="F31" s="245">
        <v>0</v>
      </c>
      <c r="G31" s="245"/>
      <c r="H31" s="245"/>
      <c r="I31" s="245"/>
      <c r="J31" s="245"/>
      <c r="K31" s="245"/>
      <c r="L31" s="246"/>
      <c r="M31" s="54"/>
      <c r="N31" s="54"/>
      <c r="O31" s="54"/>
      <c r="P31" s="54"/>
      <c r="Q31" s="54"/>
    </row>
    <row r="32" spans="1:18" s="25" customFormat="1" ht="12.75" customHeight="1" x14ac:dyDescent="0.2">
      <c r="B32" s="242" t="s">
        <v>39</v>
      </c>
      <c r="C32" s="243"/>
      <c r="D32" s="243"/>
      <c r="E32" s="243"/>
      <c r="F32" s="245">
        <v>0</v>
      </c>
      <c r="G32" s="245"/>
      <c r="H32" s="245"/>
      <c r="I32" s="245"/>
      <c r="J32" s="245"/>
      <c r="K32" s="245"/>
      <c r="L32" s="246"/>
      <c r="M32" s="54"/>
      <c r="N32" s="54"/>
      <c r="O32" s="54"/>
      <c r="P32" s="54"/>
      <c r="Q32" s="54"/>
    </row>
    <row r="33" spans="1:17" s="25" customFormat="1" ht="12.75" customHeight="1" thickBot="1" x14ac:dyDescent="0.25">
      <c r="B33" s="259" t="s">
        <v>40</v>
      </c>
      <c r="C33" s="260"/>
      <c r="D33" s="260"/>
      <c r="E33" s="260"/>
      <c r="F33" s="249">
        <f>SUM(F30:L32)</f>
        <v>0</v>
      </c>
      <c r="G33" s="249"/>
      <c r="H33" s="249"/>
      <c r="I33" s="249"/>
      <c r="J33" s="249"/>
      <c r="K33" s="249"/>
      <c r="L33" s="250"/>
      <c r="M33" s="54"/>
      <c r="N33" s="54"/>
      <c r="O33" s="54"/>
      <c r="P33" s="54"/>
      <c r="Q33" s="54"/>
    </row>
    <row r="34" spans="1:17" s="25" customFormat="1" ht="12.75" customHeight="1" thickBot="1" x14ac:dyDescent="0.25">
      <c r="B34" s="264" t="s">
        <v>41</v>
      </c>
      <c r="C34" s="265"/>
      <c r="D34" s="265"/>
      <c r="E34" s="265"/>
      <c r="F34" s="265"/>
      <c r="G34" s="265"/>
      <c r="H34" s="265"/>
      <c r="I34" s="265"/>
      <c r="J34" s="265"/>
      <c r="K34" s="265"/>
      <c r="L34" s="266"/>
      <c r="M34" s="54"/>
      <c r="N34" s="54"/>
      <c r="O34" s="54"/>
      <c r="P34" s="54"/>
      <c r="Q34" s="54"/>
    </row>
    <row r="35" spans="1:17" s="25" customFormat="1" ht="7.5" customHeight="1" thickBot="1" x14ac:dyDescent="0.25">
      <c r="M35" s="54"/>
      <c r="N35" s="54"/>
      <c r="O35" s="54"/>
      <c r="P35" s="54"/>
      <c r="Q35" s="54"/>
    </row>
    <row r="36" spans="1:17" s="25" customFormat="1" ht="12.75" customHeight="1" thickBot="1" x14ac:dyDescent="0.25">
      <c r="B36" s="186" t="s">
        <v>45</v>
      </c>
      <c r="C36" s="187"/>
      <c r="D36" s="187"/>
      <c r="E36" s="187"/>
      <c r="F36" s="187"/>
      <c r="G36" s="187"/>
      <c r="H36" s="187"/>
      <c r="I36" s="187"/>
      <c r="J36" s="187"/>
      <c r="K36" s="187"/>
      <c r="L36" s="188"/>
      <c r="M36" s="54"/>
      <c r="N36" s="52" t="s">
        <v>49</v>
      </c>
      <c r="O36" s="54"/>
      <c r="P36" s="54"/>
      <c r="Q36" s="54"/>
    </row>
    <row r="37" spans="1:17" s="25" customFormat="1" x14ac:dyDescent="0.2">
      <c r="B37" s="251" t="s">
        <v>43</v>
      </c>
      <c r="C37" s="252"/>
      <c r="D37" s="252"/>
      <c r="E37" s="252"/>
      <c r="F37" s="252"/>
      <c r="G37" s="53" t="s">
        <v>11</v>
      </c>
      <c r="H37" s="261"/>
      <c r="I37" s="261"/>
      <c r="J37" s="261"/>
      <c r="K37" s="261"/>
      <c r="L37" s="262"/>
      <c r="M37" s="54"/>
      <c r="N37" s="55">
        <v>1</v>
      </c>
      <c r="O37" s="54"/>
      <c r="P37" s="54"/>
      <c r="Q37" s="54"/>
    </row>
    <row r="38" spans="1:17" s="25" customFormat="1" x14ac:dyDescent="0.2">
      <c r="B38" s="242" t="s">
        <v>44</v>
      </c>
      <c r="C38" s="243"/>
      <c r="D38" s="243"/>
      <c r="E38" s="243"/>
      <c r="F38" s="243"/>
      <c r="G38" s="57" t="s">
        <v>11</v>
      </c>
      <c r="H38" s="240"/>
      <c r="I38" s="240"/>
      <c r="J38" s="240"/>
      <c r="K38" s="240"/>
      <c r="L38" s="241"/>
      <c r="M38" s="54"/>
      <c r="N38" s="55">
        <v>2</v>
      </c>
      <c r="O38" s="54"/>
      <c r="P38" s="54"/>
      <c r="Q38" s="54"/>
    </row>
    <row r="39" spans="1:17" s="25" customFormat="1" x14ac:dyDescent="0.2">
      <c r="B39" s="242" t="s">
        <v>46</v>
      </c>
      <c r="C39" s="243"/>
      <c r="D39" s="243"/>
      <c r="E39" s="243"/>
      <c r="F39" s="243"/>
      <c r="G39" s="57" t="s">
        <v>11</v>
      </c>
      <c r="H39" s="240"/>
      <c r="I39" s="240"/>
      <c r="J39" s="240"/>
      <c r="K39" s="240"/>
      <c r="L39" s="241"/>
      <c r="M39" s="54"/>
      <c r="N39" s="55">
        <v>3</v>
      </c>
      <c r="O39" s="54"/>
      <c r="P39" s="54"/>
      <c r="Q39" s="54"/>
    </row>
    <row r="40" spans="1:17" s="25" customFormat="1" x14ac:dyDescent="0.2">
      <c r="B40" s="256" t="s">
        <v>59</v>
      </c>
      <c r="C40" s="257"/>
      <c r="D40" s="257"/>
      <c r="E40" s="257"/>
      <c r="F40" s="258"/>
      <c r="G40" s="57" t="s">
        <v>11</v>
      </c>
      <c r="H40" s="255"/>
      <c r="I40" s="240"/>
      <c r="J40" s="240"/>
      <c r="K40" s="240"/>
      <c r="L40" s="241"/>
      <c r="M40" s="54"/>
      <c r="N40" s="55">
        <v>4</v>
      </c>
      <c r="O40" s="54"/>
      <c r="P40" s="54"/>
      <c r="Q40" s="54"/>
    </row>
    <row r="41" spans="1:17" s="25" customFormat="1" x14ac:dyDescent="0.2">
      <c r="B41" s="242" t="s">
        <v>47</v>
      </c>
      <c r="C41" s="243"/>
      <c r="D41" s="243"/>
      <c r="E41" s="243"/>
      <c r="F41" s="243"/>
      <c r="G41" s="57" t="s">
        <v>11</v>
      </c>
      <c r="H41" s="240"/>
      <c r="I41" s="240"/>
      <c r="J41" s="240"/>
      <c r="K41" s="240"/>
      <c r="L41" s="241"/>
      <c r="M41" s="54"/>
      <c r="N41" s="55">
        <v>5</v>
      </c>
      <c r="O41" s="54"/>
      <c r="P41" s="54"/>
      <c r="Q41" s="54"/>
    </row>
    <row r="42" spans="1:17" s="25" customFormat="1" x14ac:dyDescent="0.2">
      <c r="B42" s="242" t="s">
        <v>56</v>
      </c>
      <c r="C42" s="243"/>
      <c r="D42" s="243"/>
      <c r="E42" s="243"/>
      <c r="F42" s="243"/>
      <c r="G42" s="57" t="s">
        <v>58</v>
      </c>
      <c r="H42" s="240"/>
      <c r="I42" s="240"/>
      <c r="J42" s="240"/>
      <c r="K42" s="240"/>
      <c r="L42" s="241"/>
      <c r="N42" s="55"/>
    </row>
    <row r="43" spans="1:17" s="25" customFormat="1" ht="13.5" thickBot="1" x14ac:dyDescent="0.25">
      <c r="B43" s="259" t="s">
        <v>57</v>
      </c>
      <c r="C43" s="260"/>
      <c r="D43" s="260"/>
      <c r="E43" s="260"/>
      <c r="F43" s="260"/>
      <c r="G43" s="58" t="s">
        <v>58</v>
      </c>
      <c r="H43" s="253"/>
      <c r="I43" s="253"/>
      <c r="J43" s="253"/>
      <c r="K43" s="253"/>
      <c r="L43" s="254"/>
      <c r="N43" s="43"/>
    </row>
    <row r="44" spans="1:17" s="25" customFormat="1" ht="13.5" thickBot="1" x14ac:dyDescent="0.25">
      <c r="B44" s="182" t="s">
        <v>42</v>
      </c>
      <c r="C44" s="180"/>
      <c r="D44" s="180"/>
      <c r="E44" s="180"/>
      <c r="F44" s="180"/>
      <c r="G44" s="180"/>
      <c r="H44" s="180"/>
      <c r="I44" s="180"/>
      <c r="J44" s="180"/>
      <c r="K44" s="180"/>
      <c r="L44" s="244"/>
      <c r="N44" s="52" t="s">
        <v>44</v>
      </c>
    </row>
    <row r="45" spans="1:17" s="25" customFormat="1" x14ac:dyDescent="0.2">
      <c r="N45" s="43" t="s">
        <v>50</v>
      </c>
    </row>
    <row r="46" spans="1:17" s="25" customFormat="1" hidden="1" x14ac:dyDescent="0.2">
      <c r="A46" s="25" t="s">
        <v>80</v>
      </c>
      <c r="B46" s="25">
        <v>0</v>
      </c>
      <c r="N46" s="43" t="s">
        <v>51</v>
      </c>
    </row>
    <row r="47" spans="1:17" s="25" customFormat="1" hidden="1" x14ac:dyDescent="0.2">
      <c r="A47" s="25" t="s">
        <v>81</v>
      </c>
      <c r="B47" s="25">
        <v>0</v>
      </c>
      <c r="N47" s="43" t="s">
        <v>52</v>
      </c>
    </row>
    <row r="48" spans="1:17" s="25" customFormat="1" hidden="1" x14ac:dyDescent="0.2">
      <c r="A48" s="25" t="s">
        <v>82</v>
      </c>
      <c r="B48" s="25">
        <v>0</v>
      </c>
      <c r="N48" s="43"/>
    </row>
    <row r="49" spans="1:14" s="25" customFormat="1" hidden="1" x14ac:dyDescent="0.2">
      <c r="A49" s="25" t="s">
        <v>83</v>
      </c>
      <c r="B49" s="25">
        <v>0</v>
      </c>
      <c r="N49" s="52" t="s">
        <v>53</v>
      </c>
    </row>
    <row r="50" spans="1:14" s="25" customFormat="1" ht="21.75" hidden="1" customHeight="1" x14ac:dyDescent="0.2">
      <c r="A50" s="25" t="s">
        <v>84</v>
      </c>
      <c r="B50" s="25">
        <v>0</v>
      </c>
      <c r="N50" s="43" t="s">
        <v>54</v>
      </c>
    </row>
    <row r="51" spans="1:14" s="25" customFormat="1" hidden="1" x14ac:dyDescent="0.2">
      <c r="A51" s="25" t="s">
        <v>85</v>
      </c>
      <c r="B51" s="25">
        <v>0</v>
      </c>
      <c r="N51" s="43" t="s">
        <v>55</v>
      </c>
    </row>
    <row r="52" spans="1:14" s="25" customFormat="1" hidden="1" x14ac:dyDescent="0.2">
      <c r="A52" s="25" t="s">
        <v>86</v>
      </c>
      <c r="B52" s="25">
        <v>0</v>
      </c>
    </row>
    <row r="53" spans="1:14" s="25" customFormat="1" x14ac:dyDescent="0.2"/>
    <row r="54" spans="1:14" s="25" customFormat="1" x14ac:dyDescent="0.2"/>
    <row r="55" spans="1:14" s="25" customFormat="1" x14ac:dyDescent="0.2"/>
    <row r="56" spans="1:14" s="25" customFormat="1" x14ac:dyDescent="0.2"/>
    <row r="57" spans="1:14" s="25" customFormat="1" x14ac:dyDescent="0.2"/>
    <row r="58" spans="1:14" s="25" customFormat="1" x14ac:dyDescent="0.2"/>
    <row r="59" spans="1:14" s="25" customFormat="1" x14ac:dyDescent="0.2"/>
    <row r="60" spans="1:14" s="25" customFormat="1" x14ac:dyDescent="0.2"/>
    <row r="61" spans="1:14" s="25" customFormat="1" x14ac:dyDescent="0.2"/>
  </sheetData>
  <sheetProtection password="917C" sheet="1" objects="1" scenarios="1" sort="0" autoFilter="0"/>
  <dataConsolidate/>
  <mergeCells count="67">
    <mergeCell ref="B29:L29"/>
    <mergeCell ref="B31:E31"/>
    <mergeCell ref="B32:E32"/>
    <mergeCell ref="B33:E33"/>
    <mergeCell ref="B34:L34"/>
    <mergeCell ref="B30:E30"/>
    <mergeCell ref="B18:B19"/>
    <mergeCell ref="C18:C19"/>
    <mergeCell ref="B16:B17"/>
    <mergeCell ref="C16:C17"/>
    <mergeCell ref="E16:E17"/>
    <mergeCell ref="B2:L2"/>
    <mergeCell ref="B14:L14"/>
    <mergeCell ref="B6:L6"/>
    <mergeCell ref="G7:H7"/>
    <mergeCell ref="I7:L7"/>
    <mergeCell ref="B7:C7"/>
    <mergeCell ref="D7:F7"/>
    <mergeCell ref="C12:K12"/>
    <mergeCell ref="B4:L4"/>
    <mergeCell ref="C9:K9"/>
    <mergeCell ref="C10:K11"/>
    <mergeCell ref="B27:L27"/>
    <mergeCell ref="H20:H21"/>
    <mergeCell ref="I20:I21"/>
    <mergeCell ref="J20:J21"/>
    <mergeCell ref="F20:F21"/>
    <mergeCell ref="B26:L26"/>
    <mergeCell ref="B23:L23"/>
    <mergeCell ref="B25:L25"/>
    <mergeCell ref="B20:B21"/>
    <mergeCell ref="C20:C21"/>
    <mergeCell ref="D20:D21"/>
    <mergeCell ref="E20:E21"/>
    <mergeCell ref="I16:I17"/>
    <mergeCell ref="D18:D19"/>
    <mergeCell ref="E18:E19"/>
    <mergeCell ref="D15:F15"/>
    <mergeCell ref="H15:J15"/>
    <mergeCell ref="H16:H17"/>
    <mergeCell ref="F16:F17"/>
    <mergeCell ref="J16:J17"/>
    <mergeCell ref="H18:H19"/>
    <mergeCell ref="I18:I19"/>
    <mergeCell ref="J18:J19"/>
    <mergeCell ref="D16:D17"/>
    <mergeCell ref="F18:F19"/>
    <mergeCell ref="B38:F38"/>
    <mergeCell ref="H42:L42"/>
    <mergeCell ref="H43:L43"/>
    <mergeCell ref="H40:L40"/>
    <mergeCell ref="B36:L36"/>
    <mergeCell ref="B40:F40"/>
    <mergeCell ref="B42:F42"/>
    <mergeCell ref="B43:F43"/>
    <mergeCell ref="H37:L37"/>
    <mergeCell ref="H38:L38"/>
    <mergeCell ref="F32:L32"/>
    <mergeCell ref="F31:L31"/>
    <mergeCell ref="F30:L30"/>
    <mergeCell ref="F33:L33"/>
    <mergeCell ref="B37:F37"/>
    <mergeCell ref="H39:L39"/>
    <mergeCell ref="H41:L41"/>
    <mergeCell ref="B39:F39"/>
    <mergeCell ref="B41:F41"/>
    <mergeCell ref="B44:L44"/>
  </mergeCells>
  <phoneticPr fontId="5" type="noConversion"/>
  <conditionalFormatting sqref="H55829:J55868 D55859:F56260">
    <cfRule type="cellIs" dxfId="11" priority="1" stopIfTrue="1" operator="between">
      <formula>$L$16</formula>
      <formula>$L$17</formula>
    </cfRule>
    <cfRule type="cellIs" dxfId="10" priority="2" stopIfTrue="1" operator="between">
      <formula>$L$18</formula>
      <formula>$L$19</formula>
    </cfRule>
    <cfRule type="cellIs" dxfId="9" priority="3" stopIfTrue="1" operator="between">
      <formula>$L$20</formula>
      <formula>$L$21</formula>
    </cfRule>
  </conditionalFormatting>
  <conditionalFormatting sqref="D16:F21 H16:J21">
    <cfRule type="cellIs" dxfId="8" priority="4" stopIfTrue="1" operator="between">
      <formula>$L$16</formula>
      <formula>$L$17</formula>
    </cfRule>
    <cfRule type="cellIs" dxfId="7" priority="5" stopIfTrue="1" operator="equal">
      <formula>$L$22</formula>
    </cfRule>
    <cfRule type="cellIs" dxfId="6" priority="6" stopIfTrue="1" operator="between">
      <formula>$L$20</formula>
      <formula>$L$21</formula>
    </cfRule>
  </conditionalFormatting>
  <dataValidations count="6">
    <dataValidation type="list" allowBlank="1" showInputMessage="1" showErrorMessage="1" sqref="B26:L26">
      <formula1>$N$15:$N$21</formula1>
    </dataValidation>
    <dataValidation type="list" allowBlank="1" showInputMessage="1" showErrorMessage="1" sqref="D16:F21 H16:J21">
      <formula1>$L$16:$L$22</formula1>
    </dataValidation>
    <dataValidation type="list" allowBlank="1" showInputMessage="1" showErrorMessage="1" sqref="H38">
      <formula1>$N$45:$N$47</formula1>
    </dataValidation>
    <dataValidation type="list" allowBlank="1" showInputMessage="1" showErrorMessage="1" sqref="H39:H43">
      <formula1>$N$50:$N$51</formula1>
    </dataValidation>
    <dataValidation type="list" allowBlank="1" showInputMessage="1" showErrorMessage="1" sqref="H37:L37">
      <formula1>$N$37:$N$41</formula1>
    </dataValidation>
    <dataValidation type="list" allowBlank="1" showInputMessage="1" showErrorMessage="1" sqref="C10:K11">
      <formula1>$N$6:$N$8</formula1>
    </dataValidation>
  </dataValidations>
  <pageMargins left="0.75" right="0.75" top="1" bottom="1" header="0.5" footer="0.5"/>
  <pageSetup orientation="portrait" r:id="rId1"/>
  <headerFooter alignWithMargins="0"/>
  <customProperties>
    <customPr name="DVSECTION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032" r:id="rId5" name="Button 8">
              <controlPr defaultSize="0" print="0" autoFill="0" autoPict="0" macro="[0]!addEntry">
                <anchor moveWithCells="1" sizeWithCells="1">
                  <from>
                    <xdr:col>4</xdr:col>
                    <xdr:colOff>104775</xdr:colOff>
                    <xdr:row>44</xdr:row>
                    <xdr:rowOff>95250</xdr:rowOff>
                  </from>
                  <to>
                    <xdr:col>8</xdr:col>
                    <xdr:colOff>0</xdr:colOff>
                    <xdr:row>53</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V83"/>
  <sheetViews>
    <sheetView workbookViewId="0">
      <selection activeCell="B5" sqref="B5:R5"/>
    </sheetView>
  </sheetViews>
  <sheetFormatPr defaultRowHeight="12.75" x14ac:dyDescent="0.2"/>
  <cols>
    <col min="1" max="1" width="5.7109375" style="25" customWidth="1"/>
    <col min="2" max="2" width="7" style="25" bestFit="1" customWidth="1"/>
    <col min="3" max="3" width="7" style="25" customWidth="1"/>
    <col min="4" max="6" width="7.140625" style="25" customWidth="1"/>
    <col min="7" max="7" width="7.140625" style="25" bestFit="1" customWidth="1"/>
    <col min="8" max="12" width="7.140625" style="25" customWidth="1"/>
    <col min="13" max="13" width="6.85546875" style="25" bestFit="1" customWidth="1"/>
    <col min="14" max="14" width="8.42578125" style="25" bestFit="1" customWidth="1"/>
    <col min="15" max="15" width="17" style="25" bestFit="1" customWidth="1"/>
    <col min="16" max="16" width="17.28515625" style="25" bestFit="1" customWidth="1"/>
    <col min="17" max="17" width="17.5703125" style="25" bestFit="1" customWidth="1"/>
    <col min="18" max="18" width="8.28515625" style="25" bestFit="1" customWidth="1"/>
    <col min="19" max="20" width="12.28515625" style="102" hidden="1" customWidth="1"/>
    <col min="21" max="22" width="9.140625" style="25"/>
  </cols>
  <sheetData>
    <row r="1" spans="2:20" ht="15" customHeight="1" thickBot="1" x14ac:dyDescent="0.25"/>
    <row r="2" spans="2:20" ht="13.5" thickBot="1" x14ac:dyDescent="0.25">
      <c r="B2" s="149" t="s">
        <v>36</v>
      </c>
      <c r="C2" s="150"/>
      <c r="D2" s="150"/>
      <c r="E2" s="150"/>
      <c r="F2" s="150"/>
      <c r="G2" s="150"/>
      <c r="H2" s="150"/>
      <c r="I2" s="150"/>
      <c r="J2" s="150"/>
      <c r="K2" s="150"/>
      <c r="L2" s="150"/>
      <c r="M2" s="150"/>
      <c r="N2" s="150"/>
      <c r="O2" s="150"/>
      <c r="P2" s="150"/>
      <c r="Q2" s="150"/>
      <c r="R2" s="151"/>
      <c r="S2" s="103"/>
      <c r="T2" s="103"/>
    </row>
    <row r="3" spans="2:20" ht="7.5" customHeight="1" thickBot="1" x14ac:dyDescent="0.25">
      <c r="S3" s="104"/>
      <c r="T3" s="104"/>
    </row>
    <row r="4" spans="2:20" ht="12.75" customHeight="1" thickBot="1" x14ac:dyDescent="0.25">
      <c r="B4" s="161" t="s">
        <v>89</v>
      </c>
      <c r="C4" s="162"/>
      <c r="D4" s="162"/>
      <c r="E4" s="162"/>
      <c r="F4" s="162"/>
      <c r="G4" s="162"/>
      <c r="H4" s="162"/>
      <c r="I4" s="162"/>
      <c r="J4" s="162"/>
      <c r="K4" s="162"/>
      <c r="L4" s="162"/>
      <c r="M4" s="162"/>
      <c r="N4" s="162"/>
      <c r="O4" s="162"/>
      <c r="P4" s="162"/>
      <c r="Q4" s="162"/>
      <c r="R4" s="163"/>
      <c r="S4" s="104"/>
      <c r="T4" s="104"/>
    </row>
    <row r="5" spans="2:20" ht="30" customHeight="1" thickBot="1" x14ac:dyDescent="0.25">
      <c r="B5" s="290">
        <v>3536</v>
      </c>
      <c r="C5" s="291"/>
      <c r="D5" s="291"/>
      <c r="E5" s="291"/>
      <c r="F5" s="291"/>
      <c r="G5" s="291"/>
      <c r="H5" s="291"/>
      <c r="I5" s="291"/>
      <c r="J5" s="291"/>
      <c r="K5" s="291"/>
      <c r="L5" s="291"/>
      <c r="M5" s="291"/>
      <c r="N5" s="291"/>
      <c r="O5" s="291"/>
      <c r="P5" s="291"/>
      <c r="Q5" s="291"/>
      <c r="R5" s="292"/>
      <c r="S5" s="104"/>
      <c r="T5" s="104"/>
    </row>
    <row r="6" spans="2:20" ht="11.25" customHeight="1" thickBot="1" x14ac:dyDescent="0.25">
      <c r="B6" s="264" t="s">
        <v>104</v>
      </c>
      <c r="C6" s="265"/>
      <c r="D6" s="265"/>
      <c r="E6" s="265"/>
      <c r="F6" s="265"/>
      <c r="G6" s="265"/>
      <c r="H6" s="265"/>
      <c r="I6" s="265"/>
      <c r="J6" s="265"/>
      <c r="K6" s="265"/>
      <c r="L6" s="265"/>
      <c r="M6" s="265"/>
      <c r="N6" s="265"/>
      <c r="O6" s="265"/>
      <c r="P6" s="265"/>
      <c r="Q6" s="265"/>
      <c r="R6" s="266"/>
      <c r="S6" s="104"/>
      <c r="T6" s="104"/>
    </row>
    <row r="7" spans="2:20" ht="178.5" customHeight="1" thickBot="1" x14ac:dyDescent="0.25">
      <c r="S7" s="104"/>
      <c r="T7" s="104"/>
    </row>
    <row r="8" spans="2:20" ht="13.5" thickBot="1" x14ac:dyDescent="0.25">
      <c r="B8" s="285" t="s">
        <v>68</v>
      </c>
      <c r="C8" s="286"/>
      <c r="D8" s="286"/>
      <c r="E8" s="286"/>
      <c r="F8" s="286"/>
      <c r="G8" s="286"/>
      <c r="H8" s="286"/>
      <c r="I8" s="286"/>
      <c r="J8" s="286"/>
      <c r="K8" s="286"/>
      <c r="L8" s="286"/>
      <c r="M8" s="286"/>
      <c r="N8" s="286"/>
      <c r="O8" s="286"/>
      <c r="P8" s="286"/>
      <c r="Q8" s="286"/>
      <c r="R8" s="287"/>
      <c r="S8" s="105"/>
      <c r="T8" s="105"/>
    </row>
    <row r="9" spans="2:20" ht="13.5" thickBot="1" x14ac:dyDescent="0.25">
      <c r="B9" s="281" t="s">
        <v>20</v>
      </c>
      <c r="C9" s="281" t="s">
        <v>61</v>
      </c>
      <c r="D9" s="264" t="s">
        <v>62</v>
      </c>
      <c r="E9" s="265"/>
      <c r="F9" s="265"/>
      <c r="G9" s="266"/>
      <c r="H9" s="264" t="s">
        <v>63</v>
      </c>
      <c r="I9" s="265"/>
      <c r="J9" s="288"/>
      <c r="K9" s="288"/>
      <c r="L9" s="289"/>
      <c r="M9" s="281" t="s">
        <v>39</v>
      </c>
      <c r="N9" s="281" t="s">
        <v>64</v>
      </c>
      <c r="O9" s="283" t="s">
        <v>44</v>
      </c>
      <c r="P9" s="281" t="s">
        <v>66</v>
      </c>
      <c r="Q9" s="283" t="s">
        <v>67</v>
      </c>
      <c r="R9" s="281" t="s">
        <v>65</v>
      </c>
      <c r="S9" s="106"/>
      <c r="T9" s="107"/>
    </row>
    <row r="10" spans="2:20" ht="13.5" thickBot="1" x14ac:dyDescent="0.25">
      <c r="B10" s="282"/>
      <c r="C10" s="282"/>
      <c r="D10" s="69" t="s">
        <v>2</v>
      </c>
      <c r="E10" s="69" t="s">
        <v>3</v>
      </c>
      <c r="F10" s="69" t="s">
        <v>4</v>
      </c>
      <c r="G10" s="69" t="s">
        <v>69</v>
      </c>
      <c r="H10" s="69" t="s">
        <v>40</v>
      </c>
      <c r="I10" s="69" t="s">
        <v>75</v>
      </c>
      <c r="J10" s="69" t="s">
        <v>2</v>
      </c>
      <c r="K10" s="69" t="s">
        <v>3</v>
      </c>
      <c r="L10" s="69" t="s">
        <v>4</v>
      </c>
      <c r="M10" s="282"/>
      <c r="N10" s="282"/>
      <c r="O10" s="284"/>
      <c r="P10" s="282"/>
      <c r="Q10" s="284"/>
      <c r="R10" s="282"/>
      <c r="S10" s="106"/>
      <c r="T10" s="107"/>
    </row>
    <row r="11" spans="2:20" x14ac:dyDescent="0.2">
      <c r="B11" s="99">
        <v>20</v>
      </c>
      <c r="C11" s="100">
        <v>32</v>
      </c>
      <c r="D11" s="100">
        <v>0</v>
      </c>
      <c r="E11" s="100">
        <v>0</v>
      </c>
      <c r="F11" s="100">
        <v>1</v>
      </c>
      <c r="G11" s="100" t="s">
        <v>77</v>
      </c>
      <c r="H11" s="100">
        <v>0</v>
      </c>
      <c r="I11" s="100">
        <v>0</v>
      </c>
      <c r="J11" s="100">
        <v>0</v>
      </c>
      <c r="K11" s="100">
        <v>0</v>
      </c>
      <c r="L11" s="100">
        <v>0</v>
      </c>
      <c r="M11" s="100">
        <v>1</v>
      </c>
      <c r="N11" s="100">
        <v>4</v>
      </c>
      <c r="O11" s="100" t="s">
        <v>50</v>
      </c>
      <c r="P11" s="100"/>
      <c r="Q11" s="100" t="s">
        <v>190</v>
      </c>
      <c r="R11" s="101" t="s">
        <v>54</v>
      </c>
      <c r="T11" s="104">
        <v>66</v>
      </c>
    </row>
    <row r="12" spans="2:20" x14ac:dyDescent="0.2">
      <c r="B12" s="97">
        <v>23</v>
      </c>
      <c r="C12" s="22">
        <v>32</v>
      </c>
      <c r="D12" s="22">
        <v>0</v>
      </c>
      <c r="E12" s="22">
        <v>0</v>
      </c>
      <c r="F12" s="22">
        <v>1</v>
      </c>
      <c r="G12" s="22" t="s">
        <v>78</v>
      </c>
      <c r="H12" s="22">
        <v>0</v>
      </c>
      <c r="I12" s="22">
        <v>0</v>
      </c>
      <c r="J12" s="22">
        <v>0</v>
      </c>
      <c r="K12" s="22">
        <v>0</v>
      </c>
      <c r="L12" s="22">
        <v>0</v>
      </c>
      <c r="M12" s="22">
        <v>1</v>
      </c>
      <c r="N12" s="22">
        <v>5</v>
      </c>
      <c r="O12" s="22" t="s">
        <v>50</v>
      </c>
      <c r="P12" s="22"/>
      <c r="Q12" s="22" t="s">
        <v>190</v>
      </c>
      <c r="R12" s="98" t="s">
        <v>54</v>
      </c>
      <c r="T12" s="104">
        <v>68</v>
      </c>
    </row>
    <row r="13" spans="2:20" x14ac:dyDescent="0.2">
      <c r="B13" s="97">
        <v>31</v>
      </c>
      <c r="C13" s="22">
        <v>2</v>
      </c>
      <c r="D13" s="22">
        <v>0</v>
      </c>
      <c r="E13" s="22">
        <v>0</v>
      </c>
      <c r="F13" s="22">
        <v>1</v>
      </c>
      <c r="G13" s="22" t="s">
        <v>78</v>
      </c>
      <c r="H13" s="22">
        <v>0</v>
      </c>
      <c r="I13" s="22">
        <v>0</v>
      </c>
      <c r="J13" s="22">
        <v>0</v>
      </c>
      <c r="K13" s="22">
        <v>0</v>
      </c>
      <c r="L13" s="22">
        <v>0</v>
      </c>
      <c r="M13" s="22">
        <v>0</v>
      </c>
      <c r="N13" s="22">
        <v>3</v>
      </c>
      <c r="O13" s="22" t="s">
        <v>50</v>
      </c>
      <c r="P13" s="22"/>
      <c r="Q13" s="22" t="s">
        <v>190</v>
      </c>
      <c r="R13" s="98" t="s">
        <v>54</v>
      </c>
      <c r="T13" s="104">
        <v>70</v>
      </c>
    </row>
    <row r="14" spans="2:20" x14ac:dyDescent="0.2">
      <c r="B14" s="97">
        <v>39</v>
      </c>
      <c r="C14" s="22">
        <v>2</v>
      </c>
      <c r="D14" s="22">
        <v>0</v>
      </c>
      <c r="E14" s="22">
        <v>0</v>
      </c>
      <c r="F14" s="22">
        <v>1</v>
      </c>
      <c r="G14" s="22" t="s">
        <v>77</v>
      </c>
      <c r="H14" s="22">
        <v>0</v>
      </c>
      <c r="I14" s="22">
        <v>0</v>
      </c>
      <c r="J14" s="22">
        <v>0</v>
      </c>
      <c r="K14" s="22">
        <v>0</v>
      </c>
      <c r="L14" s="22">
        <v>0</v>
      </c>
      <c r="M14" s="22">
        <v>0</v>
      </c>
      <c r="N14" s="22">
        <v>4</v>
      </c>
      <c r="O14" s="22" t="s">
        <v>50</v>
      </c>
      <c r="P14" s="22"/>
      <c r="Q14" s="22"/>
      <c r="R14" s="98" t="s">
        <v>55</v>
      </c>
      <c r="T14" s="102">
        <v>207</v>
      </c>
    </row>
    <row r="15" spans="2:20" x14ac:dyDescent="0.2">
      <c r="B15" s="97">
        <v>46</v>
      </c>
      <c r="C15" s="22">
        <v>32</v>
      </c>
      <c r="D15" s="22">
        <v>0</v>
      </c>
      <c r="E15" s="22">
        <v>0</v>
      </c>
      <c r="F15" s="22">
        <v>1</v>
      </c>
      <c r="G15" s="22" t="s">
        <v>77</v>
      </c>
      <c r="H15" s="22">
        <v>0</v>
      </c>
      <c r="I15" s="22">
        <v>0</v>
      </c>
      <c r="J15" s="22">
        <v>0</v>
      </c>
      <c r="K15" s="22">
        <v>0</v>
      </c>
      <c r="L15" s="22">
        <v>0</v>
      </c>
      <c r="M15" s="22">
        <v>1</v>
      </c>
      <c r="N15" s="22">
        <v>3</v>
      </c>
      <c r="O15" s="22" t="s">
        <v>50</v>
      </c>
      <c r="P15" s="22"/>
      <c r="Q15" s="22" t="s">
        <v>190</v>
      </c>
      <c r="R15" s="98" t="s">
        <v>54</v>
      </c>
      <c r="T15" s="102">
        <v>240</v>
      </c>
    </row>
    <row r="16" spans="2:20" x14ac:dyDescent="0.2">
      <c r="B16" s="97">
        <v>56</v>
      </c>
      <c r="C16" s="22">
        <v>22</v>
      </c>
      <c r="D16" s="22">
        <v>0</v>
      </c>
      <c r="E16" s="22">
        <v>0</v>
      </c>
      <c r="F16" s="22">
        <v>1</v>
      </c>
      <c r="G16" s="22" t="s">
        <v>78</v>
      </c>
      <c r="H16" s="22">
        <v>0</v>
      </c>
      <c r="I16" s="22">
        <v>0</v>
      </c>
      <c r="J16" s="22">
        <v>0</v>
      </c>
      <c r="K16" s="22">
        <v>0</v>
      </c>
      <c r="L16" s="22">
        <v>0</v>
      </c>
      <c r="M16" s="22">
        <v>2</v>
      </c>
      <c r="N16" s="22">
        <v>3</v>
      </c>
      <c r="O16" s="22" t="s">
        <v>50</v>
      </c>
      <c r="P16" s="22"/>
      <c r="Q16" s="22" t="s">
        <v>190</v>
      </c>
      <c r="R16" s="98" t="s">
        <v>55</v>
      </c>
      <c r="T16" s="102">
        <v>247</v>
      </c>
    </row>
    <row r="17" spans="2:20" x14ac:dyDescent="0.2">
      <c r="B17" s="97"/>
      <c r="C17" s="22"/>
      <c r="D17" s="22"/>
      <c r="E17" s="22"/>
      <c r="F17" s="22"/>
      <c r="G17" s="22"/>
      <c r="H17" s="22"/>
      <c r="I17" s="22"/>
      <c r="J17" s="22"/>
      <c r="K17" s="22"/>
      <c r="L17" s="22"/>
      <c r="M17" s="22"/>
      <c r="N17" s="22"/>
      <c r="O17" s="22"/>
      <c r="P17" s="22"/>
      <c r="Q17" s="22"/>
      <c r="R17" s="98"/>
      <c r="T17" s="102">
        <v>269</v>
      </c>
    </row>
    <row r="18" spans="2:20" x14ac:dyDescent="0.2">
      <c r="B18" s="97"/>
      <c r="C18" s="22"/>
      <c r="D18" s="22"/>
      <c r="E18" s="22"/>
      <c r="F18" s="22"/>
      <c r="G18" s="22"/>
      <c r="H18" s="22"/>
      <c r="I18" s="22"/>
      <c r="J18" s="22"/>
      <c r="K18" s="22"/>
      <c r="L18" s="22"/>
      <c r="M18" s="22"/>
      <c r="N18" s="22"/>
      <c r="O18" s="22"/>
      <c r="P18" s="22"/>
      <c r="Q18" s="22"/>
      <c r="R18" s="98"/>
      <c r="T18" s="102">
        <v>302</v>
      </c>
    </row>
    <row r="19" spans="2:20" x14ac:dyDescent="0.2">
      <c r="B19" s="97"/>
      <c r="C19" s="22"/>
      <c r="D19" s="22"/>
      <c r="E19" s="22"/>
      <c r="F19" s="22"/>
      <c r="G19" s="22"/>
      <c r="H19" s="22"/>
      <c r="I19" s="22"/>
      <c r="J19" s="22"/>
      <c r="K19" s="22"/>
      <c r="L19" s="22"/>
      <c r="M19" s="22"/>
      <c r="N19" s="22"/>
      <c r="O19" s="22"/>
      <c r="P19" s="22"/>
      <c r="Q19" s="22"/>
      <c r="R19" s="98"/>
      <c r="T19" s="102">
        <v>470</v>
      </c>
    </row>
    <row r="20" spans="2:20" x14ac:dyDescent="0.2">
      <c r="B20" s="97"/>
      <c r="C20" s="22"/>
      <c r="D20" s="22"/>
      <c r="E20" s="22"/>
      <c r="F20" s="22"/>
      <c r="G20" s="22"/>
      <c r="H20" s="22"/>
      <c r="I20" s="22"/>
      <c r="J20" s="22"/>
      <c r="K20" s="22"/>
      <c r="L20" s="22"/>
      <c r="M20" s="22"/>
      <c r="N20" s="22"/>
      <c r="O20" s="22"/>
      <c r="P20" s="22"/>
      <c r="Q20" s="22"/>
      <c r="R20" s="98"/>
      <c r="T20" s="102">
        <v>474</v>
      </c>
    </row>
    <row r="21" spans="2:20" x14ac:dyDescent="0.2">
      <c r="B21" s="97"/>
      <c r="C21" s="22"/>
      <c r="D21" s="22"/>
      <c r="E21" s="22"/>
      <c r="F21" s="22"/>
      <c r="G21" s="22"/>
      <c r="H21" s="22"/>
      <c r="I21" s="22"/>
      <c r="J21" s="22"/>
      <c r="K21" s="22"/>
      <c r="L21" s="22"/>
      <c r="M21" s="22"/>
      <c r="N21" s="22"/>
      <c r="O21" s="22"/>
      <c r="P21" s="22"/>
      <c r="Q21" s="22"/>
      <c r="R21" s="98"/>
      <c r="T21" s="102">
        <v>494</v>
      </c>
    </row>
    <row r="22" spans="2:20" x14ac:dyDescent="0.2">
      <c r="B22" s="97"/>
      <c r="C22" s="22"/>
      <c r="D22" s="22"/>
      <c r="E22" s="22"/>
      <c r="F22" s="22"/>
      <c r="G22" s="22"/>
      <c r="H22" s="22"/>
      <c r="I22" s="22"/>
      <c r="J22" s="22"/>
      <c r="K22" s="22"/>
      <c r="L22" s="22"/>
      <c r="M22" s="22"/>
      <c r="N22" s="22"/>
      <c r="O22" s="22"/>
      <c r="P22" s="22"/>
      <c r="Q22" s="22"/>
      <c r="R22" s="98"/>
      <c r="T22" s="102">
        <v>548</v>
      </c>
    </row>
    <row r="23" spans="2:20" x14ac:dyDescent="0.2">
      <c r="B23" s="97"/>
      <c r="C23" s="22"/>
      <c r="D23" s="22"/>
      <c r="E23" s="22"/>
      <c r="F23" s="22"/>
      <c r="G23" s="22"/>
      <c r="H23" s="22"/>
      <c r="I23" s="22"/>
      <c r="J23" s="22"/>
      <c r="K23" s="22"/>
      <c r="L23" s="22"/>
      <c r="M23" s="22"/>
      <c r="N23" s="22"/>
      <c r="O23" s="22"/>
      <c r="P23" s="22"/>
      <c r="Q23" s="22"/>
      <c r="R23" s="98"/>
      <c r="T23" s="102">
        <v>573</v>
      </c>
    </row>
    <row r="24" spans="2:20" x14ac:dyDescent="0.2">
      <c r="B24" s="97"/>
      <c r="C24" s="22"/>
      <c r="D24" s="22"/>
      <c r="E24" s="22"/>
      <c r="F24" s="22"/>
      <c r="G24" s="22"/>
      <c r="H24" s="22"/>
      <c r="I24" s="22"/>
      <c r="J24" s="22"/>
      <c r="K24" s="22"/>
      <c r="L24" s="22"/>
      <c r="M24" s="22"/>
      <c r="N24" s="22"/>
      <c r="O24" s="22"/>
      <c r="P24" s="22"/>
      <c r="Q24" s="22"/>
      <c r="R24" s="98"/>
      <c r="T24" s="108">
        <v>830</v>
      </c>
    </row>
    <row r="25" spans="2:20" x14ac:dyDescent="0.2">
      <c r="B25" s="97"/>
      <c r="C25" s="22"/>
      <c r="D25" s="22"/>
      <c r="E25" s="22"/>
      <c r="F25" s="22"/>
      <c r="G25" s="22"/>
      <c r="H25" s="22"/>
      <c r="I25" s="22"/>
      <c r="J25" s="22"/>
      <c r="K25" s="22"/>
      <c r="L25" s="22"/>
      <c r="M25" s="22"/>
      <c r="N25" s="22"/>
      <c r="O25" s="22"/>
      <c r="P25" s="22"/>
      <c r="Q25" s="22"/>
      <c r="R25" s="98"/>
      <c r="T25" s="108">
        <v>835</v>
      </c>
    </row>
    <row r="26" spans="2:20" x14ac:dyDescent="0.2">
      <c r="B26" s="97"/>
      <c r="C26" s="22"/>
      <c r="D26" s="22"/>
      <c r="E26" s="22"/>
      <c r="F26" s="22"/>
      <c r="G26" s="22"/>
      <c r="H26" s="22"/>
      <c r="I26" s="22"/>
      <c r="J26" s="22"/>
      <c r="K26" s="22"/>
      <c r="L26" s="22"/>
      <c r="M26" s="22"/>
      <c r="N26" s="22"/>
      <c r="O26" s="22"/>
      <c r="P26" s="22"/>
      <c r="Q26" s="22"/>
      <c r="R26" s="98"/>
      <c r="T26" s="108">
        <v>860</v>
      </c>
    </row>
    <row r="27" spans="2:20" x14ac:dyDescent="0.2">
      <c r="B27" s="97"/>
      <c r="C27" s="22"/>
      <c r="D27" s="22"/>
      <c r="E27" s="22"/>
      <c r="F27" s="22"/>
      <c r="G27" s="22"/>
      <c r="H27" s="22"/>
      <c r="I27" s="22"/>
      <c r="J27" s="22"/>
      <c r="K27" s="22"/>
      <c r="L27" s="22"/>
      <c r="M27" s="22"/>
      <c r="N27" s="22"/>
      <c r="O27" s="22"/>
      <c r="P27" s="22"/>
      <c r="Q27" s="22"/>
      <c r="R27" s="98"/>
      <c r="T27" s="108">
        <v>862</v>
      </c>
    </row>
    <row r="28" spans="2:20" x14ac:dyDescent="0.2">
      <c r="B28" s="97"/>
      <c r="C28" s="22"/>
      <c r="D28" s="22"/>
      <c r="E28" s="22"/>
      <c r="F28" s="22"/>
      <c r="G28" s="22"/>
      <c r="H28" s="22"/>
      <c r="I28" s="22"/>
      <c r="J28" s="22"/>
      <c r="K28" s="22"/>
      <c r="L28" s="22"/>
      <c r="M28" s="22"/>
      <c r="N28" s="22"/>
      <c r="O28" s="22"/>
      <c r="P28" s="22"/>
      <c r="Q28" s="22"/>
      <c r="R28" s="98"/>
      <c r="T28" s="108">
        <v>882</v>
      </c>
    </row>
    <row r="29" spans="2:20" x14ac:dyDescent="0.2">
      <c r="B29" s="97"/>
      <c r="C29" s="22"/>
      <c r="D29" s="22"/>
      <c r="E29" s="22"/>
      <c r="F29" s="22"/>
      <c r="G29" s="22"/>
      <c r="H29" s="22"/>
      <c r="I29" s="22"/>
      <c r="J29" s="22"/>
      <c r="K29" s="22"/>
      <c r="L29" s="22"/>
      <c r="M29" s="22"/>
      <c r="N29" s="22"/>
      <c r="O29" s="22"/>
      <c r="P29" s="22"/>
      <c r="Q29" s="22"/>
      <c r="R29" s="98"/>
      <c r="T29" s="108">
        <v>894</v>
      </c>
    </row>
    <row r="30" spans="2:20" x14ac:dyDescent="0.2">
      <c r="B30" s="97"/>
      <c r="C30" s="22"/>
      <c r="D30" s="22"/>
      <c r="E30" s="22"/>
      <c r="F30" s="22"/>
      <c r="G30" s="22"/>
      <c r="H30" s="22"/>
      <c r="I30" s="22"/>
      <c r="J30" s="22"/>
      <c r="K30" s="22"/>
      <c r="L30" s="22"/>
      <c r="M30" s="22"/>
      <c r="N30" s="22"/>
      <c r="O30" s="22"/>
      <c r="P30" s="22"/>
      <c r="Q30" s="22"/>
      <c r="R30" s="98"/>
      <c r="T30" s="108">
        <v>1025</v>
      </c>
    </row>
    <row r="31" spans="2:20" x14ac:dyDescent="0.2">
      <c r="B31" s="97"/>
      <c r="C31" s="22"/>
      <c r="D31" s="22"/>
      <c r="E31" s="22"/>
      <c r="F31" s="22"/>
      <c r="G31" s="22"/>
      <c r="H31" s="22"/>
      <c r="I31" s="22"/>
      <c r="J31" s="22"/>
      <c r="K31" s="22"/>
      <c r="L31" s="22"/>
      <c r="M31" s="22"/>
      <c r="N31" s="22"/>
      <c r="O31" s="22"/>
      <c r="P31" s="22"/>
      <c r="Q31" s="22"/>
      <c r="R31" s="98"/>
      <c r="T31" s="102">
        <v>1076</v>
      </c>
    </row>
    <row r="32" spans="2:20" x14ac:dyDescent="0.2">
      <c r="B32" s="97"/>
      <c r="C32" s="22"/>
      <c r="D32" s="22"/>
      <c r="E32" s="22"/>
      <c r="F32" s="22"/>
      <c r="G32" s="22"/>
      <c r="H32" s="22"/>
      <c r="I32" s="22"/>
      <c r="J32" s="22"/>
      <c r="K32" s="22"/>
      <c r="L32" s="22"/>
      <c r="M32" s="22"/>
      <c r="N32" s="22"/>
      <c r="O32" s="22"/>
      <c r="P32" s="22"/>
      <c r="Q32" s="22"/>
      <c r="R32" s="98"/>
      <c r="T32" s="102">
        <v>1322</v>
      </c>
    </row>
    <row r="33" spans="2:20" x14ac:dyDescent="0.2">
      <c r="B33" s="97"/>
      <c r="C33" s="22"/>
      <c r="D33" s="22"/>
      <c r="E33" s="22"/>
      <c r="F33" s="22"/>
      <c r="G33" s="22"/>
      <c r="H33" s="22"/>
      <c r="I33" s="22"/>
      <c r="J33" s="22"/>
      <c r="K33" s="22"/>
      <c r="L33" s="22"/>
      <c r="M33" s="22"/>
      <c r="N33" s="22"/>
      <c r="O33" s="22"/>
      <c r="P33" s="22"/>
      <c r="Q33" s="22"/>
      <c r="R33" s="98"/>
      <c r="T33" s="102">
        <v>1332</v>
      </c>
    </row>
    <row r="34" spans="2:20" x14ac:dyDescent="0.2">
      <c r="B34" s="97"/>
      <c r="C34" s="22"/>
      <c r="D34" s="22"/>
      <c r="E34" s="22"/>
      <c r="F34" s="22"/>
      <c r="G34" s="22"/>
      <c r="H34" s="22"/>
      <c r="I34" s="22"/>
      <c r="J34" s="22"/>
      <c r="K34" s="22"/>
      <c r="L34" s="22"/>
      <c r="M34" s="22"/>
      <c r="N34" s="22"/>
      <c r="O34" s="22"/>
      <c r="P34" s="22"/>
      <c r="Q34" s="22"/>
      <c r="R34" s="98"/>
      <c r="T34" s="102">
        <v>1502</v>
      </c>
    </row>
    <row r="35" spans="2:20" ht="13.5" thickBot="1" x14ac:dyDescent="0.25">
      <c r="B35" s="84"/>
      <c r="C35" s="85"/>
      <c r="D35" s="85"/>
      <c r="E35" s="85"/>
      <c r="F35" s="85"/>
      <c r="G35" s="85"/>
      <c r="H35" s="85"/>
      <c r="I35" s="85"/>
      <c r="J35" s="85"/>
      <c r="K35" s="85"/>
      <c r="L35" s="85"/>
      <c r="M35" s="85"/>
      <c r="N35" s="85"/>
      <c r="O35" s="85"/>
      <c r="P35" s="85"/>
      <c r="Q35" s="85"/>
      <c r="R35" s="86"/>
      <c r="T35" s="102">
        <v>1504</v>
      </c>
    </row>
    <row r="36" spans="2:20" x14ac:dyDescent="0.2">
      <c r="B36" s="43"/>
      <c r="C36" s="43"/>
      <c r="D36" s="43"/>
      <c r="E36" s="43"/>
      <c r="F36" s="43"/>
      <c r="G36" s="43"/>
      <c r="H36" s="43"/>
      <c r="I36" s="43"/>
      <c r="J36" s="43"/>
      <c r="K36" s="43"/>
      <c r="L36" s="43"/>
      <c r="M36" s="43"/>
      <c r="N36" s="43"/>
      <c r="O36" s="43"/>
      <c r="P36" s="43"/>
      <c r="Q36" s="43"/>
      <c r="R36" s="43"/>
      <c r="T36" s="102">
        <v>1507</v>
      </c>
    </row>
    <row r="37" spans="2:20" x14ac:dyDescent="0.2">
      <c r="B37" s="43"/>
      <c r="C37" s="43"/>
      <c r="D37" s="43"/>
      <c r="E37" s="43"/>
      <c r="F37" s="43"/>
      <c r="G37" s="43"/>
      <c r="H37" s="43"/>
      <c r="I37" s="43"/>
      <c r="J37" s="43"/>
      <c r="K37" s="43"/>
      <c r="L37" s="43"/>
      <c r="M37" s="43"/>
      <c r="N37" s="43"/>
      <c r="O37" s="43"/>
      <c r="P37" s="43"/>
      <c r="Q37" s="43"/>
      <c r="R37" s="43"/>
      <c r="T37" s="102">
        <v>1684</v>
      </c>
    </row>
    <row r="38" spans="2:20" x14ac:dyDescent="0.2">
      <c r="B38" s="43"/>
      <c r="C38" s="43"/>
      <c r="D38" s="43"/>
      <c r="E38" s="43"/>
      <c r="F38" s="43"/>
      <c r="G38" s="43"/>
      <c r="H38" s="43"/>
      <c r="I38" s="43"/>
      <c r="J38" s="43"/>
      <c r="K38" s="43"/>
      <c r="L38" s="43"/>
      <c r="M38" s="43"/>
      <c r="N38" s="43"/>
      <c r="O38" s="43"/>
      <c r="P38" s="43"/>
      <c r="Q38" s="43"/>
      <c r="R38" s="43"/>
      <c r="T38" s="102">
        <v>2075</v>
      </c>
    </row>
    <row r="39" spans="2:20" x14ac:dyDescent="0.2">
      <c r="B39" s="43"/>
      <c r="C39" s="43"/>
      <c r="D39" s="43"/>
      <c r="E39" s="43"/>
      <c r="F39" s="43"/>
      <c r="G39" s="43"/>
      <c r="H39" s="43"/>
      <c r="I39" s="43"/>
      <c r="J39" s="43"/>
      <c r="K39" s="43"/>
      <c r="L39" s="43"/>
      <c r="M39" s="43"/>
      <c r="N39" s="43"/>
      <c r="O39" s="43"/>
      <c r="P39" s="43"/>
      <c r="Q39" s="43"/>
      <c r="R39" s="43"/>
      <c r="T39" s="102">
        <v>2145</v>
      </c>
    </row>
    <row r="40" spans="2:20" x14ac:dyDescent="0.2">
      <c r="B40" s="43"/>
      <c r="C40" s="43"/>
      <c r="D40" s="43"/>
      <c r="E40" s="43"/>
      <c r="F40" s="43"/>
      <c r="G40" s="43"/>
      <c r="H40" s="43"/>
      <c r="I40" s="43"/>
      <c r="J40" s="43"/>
      <c r="K40" s="43"/>
      <c r="L40" s="43"/>
      <c r="M40" s="43"/>
      <c r="N40" s="43"/>
      <c r="O40" s="43"/>
      <c r="P40" s="43"/>
      <c r="Q40" s="43"/>
      <c r="R40" s="43"/>
      <c r="T40" s="102">
        <v>2337</v>
      </c>
    </row>
    <row r="41" spans="2:20" x14ac:dyDescent="0.2">
      <c r="B41" s="43"/>
      <c r="C41" s="43"/>
      <c r="D41" s="43"/>
      <c r="E41" s="43"/>
      <c r="F41" s="43"/>
      <c r="G41" s="43"/>
      <c r="H41" s="43"/>
      <c r="I41" s="43"/>
      <c r="J41" s="43"/>
      <c r="K41" s="43"/>
      <c r="L41" s="43"/>
      <c r="M41" s="43"/>
      <c r="N41" s="43"/>
      <c r="O41" s="43"/>
      <c r="P41" s="43"/>
      <c r="Q41" s="43"/>
      <c r="R41" s="43"/>
      <c r="T41" s="102">
        <v>2619</v>
      </c>
    </row>
    <row r="42" spans="2:20" x14ac:dyDescent="0.2">
      <c r="B42" s="43"/>
      <c r="C42" s="43"/>
      <c r="D42" s="43"/>
      <c r="E42" s="43"/>
      <c r="F42" s="43"/>
      <c r="G42" s="43"/>
      <c r="H42" s="43"/>
      <c r="I42" s="43"/>
      <c r="J42" s="43"/>
      <c r="K42" s="43"/>
      <c r="L42" s="43"/>
      <c r="M42" s="43"/>
      <c r="N42" s="43"/>
      <c r="O42" s="43"/>
      <c r="P42" s="43"/>
      <c r="Q42" s="43"/>
      <c r="R42" s="43"/>
      <c r="T42" s="102">
        <v>2627</v>
      </c>
    </row>
    <row r="43" spans="2:20" x14ac:dyDescent="0.2">
      <c r="B43" s="43"/>
      <c r="C43" s="43"/>
      <c r="D43" s="43"/>
      <c r="E43" s="43"/>
      <c r="F43" s="43"/>
      <c r="G43" s="43"/>
      <c r="H43" s="43"/>
      <c r="I43" s="43"/>
      <c r="J43" s="43"/>
      <c r="K43" s="43"/>
      <c r="L43" s="43"/>
      <c r="M43" s="43"/>
      <c r="N43" s="43"/>
      <c r="O43" s="43"/>
      <c r="P43" s="43"/>
      <c r="Q43" s="43"/>
      <c r="R43" s="43"/>
      <c r="T43" s="102">
        <v>3098</v>
      </c>
    </row>
    <row r="44" spans="2:20" x14ac:dyDescent="0.2">
      <c r="B44" s="43"/>
      <c r="C44" s="43"/>
      <c r="D44" s="43"/>
      <c r="E44" s="43"/>
      <c r="F44" s="43"/>
      <c r="G44" s="43"/>
      <c r="H44" s="43"/>
      <c r="I44" s="43"/>
      <c r="J44" s="43"/>
      <c r="K44" s="43"/>
      <c r="L44" s="43"/>
      <c r="M44" s="43"/>
      <c r="N44" s="43"/>
      <c r="O44" s="43"/>
      <c r="P44" s="43"/>
      <c r="Q44" s="43"/>
      <c r="R44" s="43"/>
      <c r="T44" s="102">
        <v>3322</v>
      </c>
    </row>
    <row r="45" spans="2:20" x14ac:dyDescent="0.2">
      <c r="B45" s="43"/>
      <c r="C45" s="43"/>
      <c r="D45" s="43"/>
      <c r="E45" s="43"/>
      <c r="F45" s="43"/>
      <c r="G45" s="43"/>
      <c r="H45" s="43"/>
      <c r="I45" s="43"/>
      <c r="J45" s="43"/>
      <c r="K45" s="43"/>
      <c r="L45" s="43"/>
      <c r="M45" s="43"/>
      <c r="N45" s="43"/>
      <c r="O45" s="43"/>
      <c r="P45" s="43"/>
      <c r="Q45" s="43"/>
      <c r="R45" s="43"/>
      <c r="T45" s="102">
        <v>3415</v>
      </c>
    </row>
    <row r="46" spans="2:20" x14ac:dyDescent="0.2">
      <c r="B46" s="43"/>
      <c r="C46" s="43"/>
      <c r="D46" s="43"/>
      <c r="E46" s="43"/>
      <c r="F46" s="43"/>
      <c r="G46" s="43"/>
      <c r="H46" s="43"/>
      <c r="I46" s="43"/>
      <c r="J46" s="43"/>
      <c r="K46" s="43"/>
      <c r="L46" s="43"/>
      <c r="M46" s="43"/>
      <c r="N46" s="43"/>
      <c r="O46" s="43"/>
      <c r="P46" s="43"/>
      <c r="Q46" s="43"/>
      <c r="R46" s="43"/>
      <c r="T46" s="102">
        <v>3535</v>
      </c>
    </row>
    <row r="47" spans="2:20" x14ac:dyDescent="0.2">
      <c r="B47" s="43"/>
      <c r="C47" s="43"/>
      <c r="D47" s="43"/>
      <c r="E47" s="43"/>
      <c r="F47" s="43"/>
      <c r="G47" s="43"/>
      <c r="H47" s="43"/>
      <c r="I47" s="43"/>
      <c r="J47" s="43"/>
      <c r="K47" s="43"/>
      <c r="L47" s="43"/>
      <c r="M47" s="43"/>
      <c r="N47" s="43"/>
      <c r="O47" s="43"/>
      <c r="P47" s="43"/>
      <c r="Q47" s="43"/>
      <c r="R47" s="43"/>
      <c r="T47" s="102">
        <v>3536</v>
      </c>
    </row>
    <row r="48" spans="2:20" x14ac:dyDescent="0.2">
      <c r="B48" s="43"/>
      <c r="C48" s="43"/>
      <c r="D48" s="43"/>
      <c r="E48" s="43"/>
      <c r="F48" s="43"/>
      <c r="G48" s="43"/>
      <c r="H48" s="43"/>
      <c r="I48" s="43"/>
      <c r="J48" s="43"/>
      <c r="K48" s="43"/>
      <c r="L48" s="43"/>
      <c r="M48" s="43"/>
      <c r="N48" s="43"/>
      <c r="O48" s="43"/>
      <c r="P48" s="43"/>
      <c r="Q48" s="43"/>
      <c r="R48" s="43"/>
      <c r="T48" s="102">
        <v>3537</v>
      </c>
    </row>
    <row r="49" spans="2:20" x14ac:dyDescent="0.2">
      <c r="B49" s="43"/>
      <c r="C49" s="43"/>
      <c r="D49" s="43"/>
      <c r="E49" s="43"/>
      <c r="F49" s="43"/>
      <c r="G49" s="43"/>
      <c r="H49" s="43"/>
      <c r="I49" s="43"/>
      <c r="J49" s="43"/>
      <c r="K49" s="43"/>
      <c r="L49" s="43"/>
      <c r="M49" s="43"/>
      <c r="N49" s="43"/>
      <c r="O49" s="43"/>
      <c r="P49" s="43"/>
      <c r="Q49" s="43"/>
      <c r="R49" s="43"/>
      <c r="T49" s="102">
        <v>3546</v>
      </c>
    </row>
    <row r="50" spans="2:20" x14ac:dyDescent="0.2">
      <c r="B50" s="43"/>
      <c r="C50" s="43"/>
      <c r="D50" s="43"/>
      <c r="E50" s="43"/>
      <c r="F50" s="43"/>
      <c r="G50" s="43"/>
      <c r="H50" s="43"/>
      <c r="I50" s="43"/>
      <c r="J50" s="43"/>
      <c r="K50" s="43"/>
      <c r="L50" s="43"/>
      <c r="M50" s="43"/>
      <c r="N50" s="43"/>
      <c r="O50" s="43"/>
      <c r="P50" s="43"/>
      <c r="Q50" s="43"/>
      <c r="R50" s="43"/>
      <c r="T50" s="102">
        <v>3547</v>
      </c>
    </row>
    <row r="51" spans="2:20" x14ac:dyDescent="0.2">
      <c r="B51" s="43"/>
      <c r="C51" s="43"/>
      <c r="D51" s="43"/>
      <c r="E51" s="43"/>
      <c r="F51" s="43"/>
      <c r="G51" s="43"/>
      <c r="H51" s="43"/>
      <c r="I51" s="43"/>
      <c r="J51" s="43"/>
      <c r="K51" s="43"/>
      <c r="L51" s="43"/>
      <c r="M51" s="43"/>
      <c r="N51" s="43"/>
      <c r="O51" s="43"/>
      <c r="P51" s="43"/>
      <c r="Q51" s="43"/>
      <c r="R51" s="43"/>
      <c r="T51" s="102">
        <v>3548</v>
      </c>
    </row>
    <row r="52" spans="2:20" x14ac:dyDescent="0.2">
      <c r="B52" s="43"/>
      <c r="C52" s="43"/>
      <c r="D52" s="43"/>
      <c r="E52" s="43"/>
      <c r="F52" s="43"/>
      <c r="G52" s="43"/>
      <c r="H52" s="43"/>
      <c r="I52" s="43"/>
      <c r="J52" s="43"/>
      <c r="K52" s="43"/>
      <c r="L52" s="43"/>
      <c r="M52" s="43"/>
      <c r="N52" s="43"/>
      <c r="O52" s="43"/>
      <c r="P52" s="43"/>
      <c r="Q52" s="43"/>
      <c r="R52" s="43"/>
      <c r="T52" s="102">
        <v>3631</v>
      </c>
    </row>
    <row r="53" spans="2:20" x14ac:dyDescent="0.2">
      <c r="B53" s="43"/>
      <c r="C53" s="43"/>
      <c r="D53" s="43"/>
      <c r="E53" s="43"/>
      <c r="F53" s="43"/>
      <c r="G53" s="43"/>
      <c r="H53" s="43"/>
      <c r="I53" s="43"/>
      <c r="J53" s="43"/>
      <c r="K53" s="43"/>
      <c r="L53" s="43"/>
      <c r="M53" s="43"/>
      <c r="N53" s="43"/>
      <c r="O53" s="43"/>
      <c r="P53" s="43"/>
      <c r="Q53" s="43"/>
      <c r="R53" s="43"/>
      <c r="T53" s="102">
        <v>3635</v>
      </c>
    </row>
    <row r="54" spans="2:20" x14ac:dyDescent="0.2">
      <c r="B54" s="43"/>
      <c r="C54" s="43"/>
      <c r="D54" s="43"/>
      <c r="E54" s="43"/>
      <c r="F54" s="43"/>
      <c r="G54" s="43"/>
      <c r="H54" s="43"/>
      <c r="I54" s="43"/>
      <c r="J54" s="43"/>
      <c r="K54" s="43"/>
      <c r="L54" s="43"/>
      <c r="M54" s="43"/>
      <c r="N54" s="43"/>
      <c r="O54" s="43"/>
      <c r="P54" s="43"/>
      <c r="Q54" s="43"/>
      <c r="R54" s="43"/>
      <c r="T54" s="102">
        <v>3638</v>
      </c>
    </row>
    <row r="55" spans="2:20" x14ac:dyDescent="0.2">
      <c r="B55" s="43"/>
      <c r="C55" s="43"/>
      <c r="D55" s="43"/>
      <c r="E55" s="43"/>
      <c r="F55" s="43"/>
      <c r="G55" s="43"/>
      <c r="H55" s="43"/>
      <c r="I55" s="43"/>
      <c r="J55" s="43"/>
      <c r="K55" s="43"/>
      <c r="L55" s="43"/>
      <c r="M55" s="43"/>
      <c r="N55" s="43"/>
      <c r="O55" s="43"/>
      <c r="P55" s="43"/>
      <c r="Q55" s="43"/>
      <c r="R55" s="43"/>
      <c r="T55" s="102">
        <v>3641</v>
      </c>
    </row>
    <row r="56" spans="2:20" x14ac:dyDescent="0.2">
      <c r="B56" s="43"/>
      <c r="C56" s="43"/>
      <c r="D56" s="43"/>
      <c r="E56" s="43"/>
      <c r="F56" s="43"/>
      <c r="G56" s="43"/>
      <c r="H56" s="43"/>
      <c r="I56" s="43"/>
      <c r="J56" s="43"/>
      <c r="K56" s="43"/>
      <c r="L56" s="43"/>
      <c r="M56" s="43"/>
      <c r="N56" s="43"/>
      <c r="O56" s="43"/>
      <c r="P56" s="43"/>
      <c r="Q56" s="43"/>
      <c r="R56" s="43"/>
      <c r="T56" s="102">
        <v>3642</v>
      </c>
    </row>
    <row r="57" spans="2:20" x14ac:dyDescent="0.2">
      <c r="B57" s="43"/>
      <c r="C57" s="43"/>
      <c r="D57" s="43"/>
      <c r="E57" s="43"/>
      <c r="F57" s="43"/>
      <c r="G57" s="43"/>
      <c r="H57" s="43"/>
      <c r="I57" s="43"/>
      <c r="J57" s="43"/>
      <c r="K57" s="43"/>
      <c r="L57" s="43"/>
      <c r="M57" s="43"/>
      <c r="N57" s="43"/>
      <c r="O57" s="43"/>
      <c r="P57" s="43"/>
      <c r="Q57" s="43"/>
      <c r="R57" s="43"/>
      <c r="T57" s="102">
        <v>3655</v>
      </c>
    </row>
    <row r="58" spans="2:20" x14ac:dyDescent="0.2">
      <c r="B58" s="43"/>
      <c r="C58" s="43"/>
      <c r="D58" s="43"/>
      <c r="E58" s="43"/>
      <c r="F58" s="43"/>
      <c r="G58" s="43"/>
      <c r="H58" s="43"/>
      <c r="I58" s="43"/>
      <c r="J58" s="43"/>
      <c r="K58" s="43"/>
      <c r="L58" s="43"/>
      <c r="M58" s="43"/>
      <c r="N58" s="43"/>
      <c r="O58" s="43"/>
      <c r="P58" s="43"/>
      <c r="Q58" s="43"/>
      <c r="R58" s="43"/>
      <c r="T58" s="102">
        <v>3656</v>
      </c>
    </row>
    <row r="59" spans="2:20" x14ac:dyDescent="0.2">
      <c r="B59" s="43"/>
      <c r="C59" s="43"/>
      <c r="D59" s="43"/>
      <c r="E59" s="43"/>
      <c r="F59" s="43"/>
      <c r="G59" s="43"/>
      <c r="H59" s="43"/>
      <c r="I59" s="43"/>
      <c r="J59" s="43"/>
      <c r="K59" s="43"/>
      <c r="L59" s="43"/>
      <c r="M59" s="43"/>
      <c r="N59" s="43"/>
      <c r="O59" s="43"/>
      <c r="P59" s="43"/>
      <c r="Q59" s="43"/>
      <c r="R59" s="43"/>
      <c r="T59" s="102">
        <v>3658</v>
      </c>
    </row>
    <row r="60" spans="2:20" x14ac:dyDescent="0.2">
      <c r="B60" s="43"/>
      <c r="C60" s="43"/>
      <c r="D60" s="43"/>
      <c r="E60" s="43"/>
      <c r="F60" s="43"/>
      <c r="G60" s="43"/>
      <c r="H60" s="43"/>
      <c r="I60" s="43"/>
      <c r="J60" s="43"/>
      <c r="K60" s="43"/>
      <c r="L60" s="43"/>
      <c r="M60" s="43"/>
      <c r="N60" s="43"/>
      <c r="O60" s="43"/>
      <c r="P60" s="43"/>
      <c r="Q60" s="43"/>
      <c r="R60" s="43"/>
      <c r="T60" s="102">
        <v>3668</v>
      </c>
    </row>
    <row r="61" spans="2:20" x14ac:dyDescent="0.2">
      <c r="B61" s="43"/>
      <c r="C61" s="43"/>
      <c r="D61" s="43"/>
      <c r="E61" s="43"/>
      <c r="F61" s="43"/>
      <c r="G61" s="43"/>
      <c r="H61" s="43"/>
      <c r="I61" s="43"/>
      <c r="J61" s="43"/>
      <c r="K61" s="43"/>
      <c r="L61" s="43"/>
      <c r="M61" s="43"/>
      <c r="N61" s="43"/>
      <c r="O61" s="43"/>
      <c r="P61" s="43"/>
      <c r="Q61" s="43"/>
      <c r="R61" s="43"/>
      <c r="T61" s="102">
        <v>3707</v>
      </c>
    </row>
    <row r="62" spans="2:20" x14ac:dyDescent="0.2">
      <c r="B62" s="43"/>
      <c r="C62" s="43"/>
      <c r="D62" s="43"/>
      <c r="E62" s="43"/>
      <c r="F62" s="43"/>
      <c r="G62" s="43"/>
      <c r="H62" s="43"/>
      <c r="I62" s="43"/>
      <c r="J62" s="43"/>
      <c r="K62" s="43"/>
      <c r="L62" s="43"/>
      <c r="M62" s="43"/>
      <c r="N62" s="43"/>
      <c r="O62" s="43"/>
      <c r="P62" s="43"/>
      <c r="Q62" s="43"/>
      <c r="R62" s="43"/>
      <c r="T62" s="102">
        <v>3773</v>
      </c>
    </row>
    <row r="63" spans="2:20" x14ac:dyDescent="0.2">
      <c r="B63" s="43"/>
      <c r="C63" s="43"/>
      <c r="D63" s="43"/>
      <c r="E63" s="43"/>
      <c r="F63" s="43"/>
      <c r="G63" s="43"/>
      <c r="H63" s="43"/>
      <c r="I63" s="43"/>
      <c r="J63" s="43"/>
      <c r="K63" s="43"/>
      <c r="L63" s="43"/>
      <c r="M63" s="43"/>
      <c r="N63" s="43"/>
      <c r="O63" s="43"/>
      <c r="P63" s="43"/>
      <c r="Q63" s="43"/>
      <c r="R63" s="43"/>
    </row>
    <row r="64" spans="2:20" x14ac:dyDescent="0.2">
      <c r="B64" s="43"/>
      <c r="C64" s="43"/>
      <c r="D64" s="43"/>
      <c r="E64" s="43"/>
      <c r="F64" s="43"/>
      <c r="G64" s="43"/>
      <c r="H64" s="43"/>
      <c r="I64" s="43"/>
      <c r="J64" s="43"/>
      <c r="K64" s="43"/>
      <c r="L64" s="43"/>
      <c r="M64" s="43"/>
      <c r="N64" s="43"/>
      <c r="O64" s="43"/>
      <c r="P64" s="43"/>
      <c r="Q64" s="43"/>
      <c r="R64" s="43"/>
    </row>
    <row r="65" spans="2:18" x14ac:dyDescent="0.2">
      <c r="B65" s="43"/>
      <c r="C65" s="43"/>
      <c r="D65" s="43"/>
      <c r="E65" s="43"/>
      <c r="F65" s="43"/>
      <c r="G65" s="43"/>
      <c r="H65" s="43"/>
      <c r="I65" s="43"/>
      <c r="J65" s="43"/>
      <c r="K65" s="43"/>
      <c r="L65" s="43"/>
      <c r="M65" s="43"/>
      <c r="N65" s="43"/>
      <c r="O65" s="43"/>
      <c r="P65" s="43"/>
      <c r="Q65" s="43"/>
      <c r="R65" s="43"/>
    </row>
    <row r="66" spans="2:18" x14ac:dyDescent="0.2">
      <c r="B66" s="43"/>
      <c r="C66" s="43"/>
      <c r="D66" s="43"/>
      <c r="E66" s="43"/>
      <c r="F66" s="43"/>
      <c r="G66" s="43"/>
      <c r="H66" s="43"/>
      <c r="I66" s="43"/>
      <c r="J66" s="43"/>
      <c r="K66" s="43"/>
      <c r="L66" s="43"/>
      <c r="M66" s="43"/>
      <c r="N66" s="43"/>
      <c r="O66" s="43"/>
      <c r="P66" s="43"/>
      <c r="Q66" s="43"/>
      <c r="R66" s="43"/>
    </row>
    <row r="67" spans="2:18" x14ac:dyDescent="0.2">
      <c r="B67" s="43"/>
      <c r="C67" s="43"/>
      <c r="D67" s="43"/>
      <c r="E67" s="43"/>
      <c r="F67" s="43"/>
      <c r="G67" s="43"/>
      <c r="H67" s="43"/>
      <c r="I67" s="43"/>
      <c r="J67" s="43"/>
      <c r="K67" s="43"/>
      <c r="L67" s="43"/>
      <c r="M67" s="43"/>
      <c r="N67" s="43"/>
      <c r="O67" s="43"/>
      <c r="P67" s="43"/>
      <c r="Q67" s="43"/>
      <c r="R67" s="43"/>
    </row>
    <row r="68" spans="2:18" x14ac:dyDescent="0.2">
      <c r="B68" s="43"/>
      <c r="C68" s="43"/>
      <c r="D68" s="43"/>
      <c r="E68" s="43"/>
      <c r="F68" s="43"/>
      <c r="G68" s="43"/>
      <c r="H68" s="43"/>
      <c r="I68" s="43"/>
      <c r="J68" s="43"/>
      <c r="K68" s="43"/>
      <c r="L68" s="43"/>
      <c r="M68" s="43"/>
      <c r="N68" s="43"/>
      <c r="O68" s="43"/>
      <c r="P68" s="43"/>
      <c r="Q68" s="43"/>
      <c r="R68" s="43"/>
    </row>
    <row r="69" spans="2:18" x14ac:dyDescent="0.2">
      <c r="B69" s="43"/>
      <c r="C69" s="43"/>
      <c r="D69" s="43"/>
      <c r="E69" s="43"/>
      <c r="F69" s="43"/>
      <c r="G69" s="43"/>
      <c r="H69" s="43"/>
      <c r="I69" s="43"/>
      <c r="J69" s="43"/>
      <c r="K69" s="43"/>
      <c r="L69" s="43"/>
      <c r="M69" s="43"/>
      <c r="N69" s="43"/>
      <c r="O69" s="43"/>
      <c r="P69" s="43"/>
      <c r="Q69" s="43"/>
      <c r="R69" s="43"/>
    </row>
    <row r="70" spans="2:18" x14ac:dyDescent="0.2">
      <c r="B70" s="43"/>
      <c r="C70" s="43"/>
      <c r="D70" s="43"/>
      <c r="E70" s="43"/>
      <c r="F70" s="43"/>
      <c r="G70" s="43"/>
      <c r="H70" s="43"/>
      <c r="I70" s="43"/>
      <c r="J70" s="43"/>
      <c r="K70" s="43"/>
      <c r="L70" s="43"/>
      <c r="M70" s="43"/>
      <c r="N70" s="43"/>
      <c r="O70" s="43"/>
      <c r="P70" s="43"/>
      <c r="Q70" s="43"/>
      <c r="R70" s="43"/>
    </row>
    <row r="71" spans="2:18" x14ac:dyDescent="0.2">
      <c r="B71" s="43"/>
      <c r="C71" s="43"/>
      <c r="D71" s="43"/>
      <c r="E71" s="43"/>
      <c r="F71" s="43"/>
      <c r="G71" s="43"/>
      <c r="H71" s="43"/>
      <c r="I71" s="43"/>
      <c r="J71" s="43"/>
      <c r="K71" s="43"/>
      <c r="L71" s="43"/>
      <c r="M71" s="43"/>
      <c r="N71" s="43"/>
      <c r="O71" s="43"/>
      <c r="P71" s="43"/>
      <c r="Q71" s="43"/>
      <c r="R71" s="43"/>
    </row>
    <row r="72" spans="2:18" x14ac:dyDescent="0.2">
      <c r="B72" s="43"/>
      <c r="C72" s="43"/>
      <c r="D72" s="43"/>
      <c r="E72" s="43"/>
      <c r="F72" s="43"/>
      <c r="G72" s="43"/>
      <c r="H72" s="43"/>
      <c r="I72" s="43"/>
      <c r="J72" s="43"/>
      <c r="K72" s="43"/>
      <c r="L72" s="43"/>
      <c r="M72" s="43"/>
      <c r="N72" s="43"/>
      <c r="O72" s="43"/>
      <c r="P72" s="43"/>
      <c r="Q72" s="43"/>
      <c r="R72" s="43"/>
    </row>
    <row r="73" spans="2:18" x14ac:dyDescent="0.2">
      <c r="B73" s="43"/>
      <c r="C73" s="43"/>
      <c r="D73" s="43"/>
      <c r="E73" s="43"/>
      <c r="F73" s="43"/>
      <c r="G73" s="43"/>
      <c r="H73" s="43"/>
      <c r="I73" s="43"/>
      <c r="J73" s="43"/>
      <c r="K73" s="43"/>
      <c r="L73" s="43"/>
      <c r="M73" s="43"/>
      <c r="N73" s="43"/>
      <c r="O73" s="43"/>
      <c r="P73" s="43"/>
      <c r="Q73" s="43"/>
      <c r="R73" s="43"/>
    </row>
    <row r="74" spans="2:18" x14ac:dyDescent="0.2">
      <c r="B74" s="43"/>
      <c r="C74" s="43"/>
      <c r="D74" s="43"/>
      <c r="E74" s="43"/>
      <c r="F74" s="43"/>
      <c r="G74" s="43"/>
      <c r="H74" s="43"/>
      <c r="I74" s="43"/>
      <c r="J74" s="43"/>
      <c r="K74" s="43"/>
      <c r="L74" s="43"/>
      <c r="M74" s="43"/>
      <c r="N74" s="43"/>
      <c r="O74" s="43"/>
      <c r="P74" s="43"/>
      <c r="Q74" s="43"/>
      <c r="R74" s="43"/>
    </row>
    <row r="75" spans="2:18" x14ac:dyDescent="0.2">
      <c r="B75" s="43"/>
      <c r="C75" s="43"/>
      <c r="D75" s="43"/>
      <c r="E75" s="43"/>
      <c r="F75" s="43"/>
      <c r="G75" s="43"/>
      <c r="H75" s="43"/>
      <c r="I75" s="43"/>
      <c r="J75" s="43"/>
      <c r="K75" s="43"/>
      <c r="L75" s="43"/>
      <c r="M75" s="43"/>
      <c r="N75" s="43"/>
      <c r="O75" s="43"/>
      <c r="P75" s="43"/>
      <c r="Q75" s="43"/>
      <c r="R75" s="43"/>
    </row>
    <row r="76" spans="2:18" x14ac:dyDescent="0.2">
      <c r="B76" s="43"/>
      <c r="C76" s="43"/>
      <c r="D76" s="43"/>
      <c r="E76" s="43"/>
      <c r="F76" s="43"/>
      <c r="G76" s="43"/>
      <c r="H76" s="43"/>
      <c r="I76" s="43"/>
      <c r="J76" s="43"/>
      <c r="K76" s="43"/>
      <c r="L76" s="43"/>
      <c r="M76" s="43"/>
      <c r="N76" s="43"/>
      <c r="O76" s="43"/>
      <c r="P76" s="43"/>
      <c r="Q76" s="43"/>
      <c r="R76" s="43"/>
    </row>
    <row r="77" spans="2:18" x14ac:dyDescent="0.2">
      <c r="B77" s="43"/>
      <c r="C77" s="43"/>
      <c r="D77" s="43"/>
      <c r="E77" s="43"/>
      <c r="F77" s="43"/>
      <c r="G77" s="43"/>
      <c r="H77" s="43"/>
      <c r="I77" s="43"/>
      <c r="J77" s="43"/>
      <c r="K77" s="43"/>
      <c r="L77" s="43"/>
      <c r="M77" s="43"/>
      <c r="N77" s="43"/>
      <c r="O77" s="43"/>
      <c r="P77" s="43"/>
      <c r="Q77" s="43"/>
      <c r="R77" s="43"/>
    </row>
    <row r="78" spans="2:18" x14ac:dyDescent="0.2">
      <c r="B78" s="43"/>
      <c r="C78" s="43"/>
      <c r="D78" s="43"/>
      <c r="E78" s="43"/>
      <c r="F78" s="43"/>
      <c r="G78" s="43"/>
      <c r="H78" s="43"/>
      <c r="I78" s="43"/>
      <c r="J78" s="43"/>
      <c r="K78" s="43"/>
      <c r="L78" s="43"/>
      <c r="M78" s="43"/>
      <c r="N78" s="43"/>
      <c r="O78" s="43"/>
      <c r="P78" s="43"/>
      <c r="Q78" s="43"/>
      <c r="R78" s="43"/>
    </row>
    <row r="79" spans="2:18" x14ac:dyDescent="0.2">
      <c r="B79" s="43"/>
      <c r="C79" s="43"/>
      <c r="D79" s="43"/>
      <c r="E79" s="43"/>
      <c r="F79" s="43"/>
      <c r="G79" s="43"/>
      <c r="H79" s="43"/>
      <c r="I79" s="43"/>
      <c r="J79" s="43"/>
      <c r="K79" s="43"/>
      <c r="L79" s="43"/>
      <c r="M79" s="43"/>
      <c r="N79" s="43"/>
      <c r="O79" s="43"/>
      <c r="P79" s="43"/>
      <c r="Q79" s="43"/>
      <c r="R79" s="43"/>
    </row>
    <row r="80" spans="2:18" x14ac:dyDescent="0.2">
      <c r="B80" s="43"/>
      <c r="C80" s="43"/>
      <c r="D80" s="43"/>
      <c r="E80" s="43"/>
      <c r="F80" s="43"/>
      <c r="G80" s="43"/>
      <c r="H80" s="43"/>
      <c r="I80" s="43"/>
      <c r="J80" s="43"/>
      <c r="K80" s="43"/>
      <c r="L80" s="43"/>
      <c r="M80" s="43"/>
      <c r="N80" s="43"/>
      <c r="O80" s="43"/>
      <c r="P80" s="43"/>
      <c r="Q80" s="43"/>
      <c r="R80" s="43"/>
    </row>
    <row r="81" spans="2:18" x14ac:dyDescent="0.2">
      <c r="B81" s="43"/>
      <c r="C81" s="43"/>
      <c r="D81" s="43"/>
      <c r="E81" s="43"/>
      <c r="F81" s="43"/>
      <c r="G81" s="43"/>
      <c r="H81" s="43"/>
      <c r="I81" s="43"/>
      <c r="J81" s="43"/>
      <c r="K81" s="43"/>
      <c r="L81" s="43"/>
      <c r="M81" s="43"/>
      <c r="N81" s="43"/>
      <c r="O81" s="43"/>
      <c r="P81" s="43"/>
      <c r="Q81" s="43"/>
      <c r="R81" s="43"/>
    </row>
    <row r="82" spans="2:18" x14ac:dyDescent="0.2">
      <c r="B82" s="43"/>
      <c r="C82" s="43"/>
      <c r="D82" s="43"/>
      <c r="E82" s="43"/>
      <c r="F82" s="43"/>
      <c r="G82" s="43"/>
      <c r="H82" s="43"/>
      <c r="I82" s="43"/>
      <c r="J82" s="43"/>
      <c r="K82" s="43"/>
      <c r="L82" s="43"/>
      <c r="M82" s="43"/>
      <c r="N82" s="43"/>
      <c r="O82" s="43"/>
      <c r="P82" s="43"/>
      <c r="Q82" s="43"/>
      <c r="R82" s="43"/>
    </row>
    <row r="83" spans="2:18" x14ac:dyDescent="0.2">
      <c r="B83" s="43"/>
      <c r="C83" s="43"/>
      <c r="D83" s="43"/>
      <c r="E83" s="43"/>
      <c r="F83" s="43"/>
      <c r="G83" s="43"/>
      <c r="H83" s="43"/>
      <c r="I83" s="43"/>
      <c r="J83" s="43"/>
      <c r="K83" s="43"/>
      <c r="L83" s="43"/>
      <c r="M83" s="43"/>
      <c r="N83" s="43"/>
      <c r="O83" s="43"/>
      <c r="P83" s="43"/>
      <c r="Q83" s="43"/>
      <c r="R83" s="43"/>
    </row>
  </sheetData>
  <sheetProtection password="917C" sheet="1" objects="1" scenarios="1" sort="0" autoFilter="0"/>
  <sortState ref="B11:R16">
    <sortCondition ref="B11"/>
  </sortState>
  <mergeCells count="15">
    <mergeCell ref="B4:R4"/>
    <mergeCell ref="B6:R6"/>
    <mergeCell ref="N9:N10"/>
    <mergeCell ref="C9:C10"/>
    <mergeCell ref="B2:R2"/>
    <mergeCell ref="O9:O10"/>
    <mergeCell ref="P9:P10"/>
    <mergeCell ref="R9:R10"/>
    <mergeCell ref="Q9:Q10"/>
    <mergeCell ref="B8:R8"/>
    <mergeCell ref="H9:L9"/>
    <mergeCell ref="D9:G9"/>
    <mergeCell ref="B9:B10"/>
    <mergeCell ref="M9:M10"/>
    <mergeCell ref="B5:R5"/>
  </mergeCells>
  <phoneticPr fontId="5" type="noConversion"/>
  <dataValidations count="1">
    <dataValidation type="list" allowBlank="1" showInputMessage="1" showErrorMessage="1" sqref="I35 B5:R5">
      <formula1>TeamList</formula1>
    </dataValidation>
  </dataValidations>
  <pageMargins left="0.75" right="0.75" top="1" bottom="1" header="0.5" footer="0.5"/>
  <pageSetup orientation="portrait" verticalDpi="0" r:id="rId1"/>
  <headerFooter alignWithMargins="0"/>
  <customProperties>
    <customPr name="DVSECTIONID" r:id="rId2"/>
  </customProperties>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W2200"/>
  <sheetViews>
    <sheetView topLeftCell="A31" workbookViewId="0">
      <selection activeCell="B9" sqref="B9"/>
    </sheetView>
  </sheetViews>
  <sheetFormatPr defaultRowHeight="12.75" x14ac:dyDescent="0.2"/>
  <cols>
    <col min="1" max="1" width="5.7109375" style="25" customWidth="1"/>
    <col min="2" max="2" width="8.5703125" style="25" customWidth="1"/>
    <col min="3" max="3" width="7" style="25" bestFit="1" customWidth="1"/>
    <col min="4" max="4" width="9.7109375" style="25" bestFit="1" customWidth="1"/>
    <col min="5" max="5" width="6.140625" style="25" bestFit="1" customWidth="1"/>
    <col min="6" max="6" width="8.42578125" style="25" bestFit="1" customWidth="1"/>
    <col min="7" max="7" width="8.85546875" style="25" bestFit="1" customWidth="1"/>
    <col min="8" max="8" width="9.7109375" style="25" bestFit="1" customWidth="1"/>
    <col min="9" max="9" width="6.140625" style="25" bestFit="1" customWidth="1"/>
    <col min="10" max="10" width="8.42578125" style="25" bestFit="1" customWidth="1"/>
    <col min="11" max="11" width="8.85546875" style="25" bestFit="1" customWidth="1"/>
    <col min="12" max="13" width="9.7109375" style="25" bestFit="1" customWidth="1"/>
    <col min="14" max="14" width="7.28515625" style="25" bestFit="1" customWidth="1"/>
    <col min="15" max="15" width="9" style="25" customWidth="1"/>
    <col min="16" max="16" width="6.85546875" style="25" bestFit="1" customWidth="1"/>
    <col min="17" max="17" width="8.7109375" style="25" customWidth="1"/>
    <col min="18" max="23" width="9.140625" style="25"/>
  </cols>
  <sheetData>
    <row r="1" spans="1:18" ht="15" customHeight="1" thickBot="1" x14ac:dyDescent="0.25"/>
    <row r="2" spans="1:18" ht="13.5" thickBot="1" x14ac:dyDescent="0.25">
      <c r="B2" s="149" t="s">
        <v>36</v>
      </c>
      <c r="C2" s="150"/>
      <c r="D2" s="150"/>
      <c r="E2" s="150"/>
      <c r="F2" s="150"/>
      <c r="G2" s="150"/>
      <c r="H2" s="150"/>
      <c r="I2" s="150"/>
      <c r="J2" s="150"/>
      <c r="K2" s="150"/>
      <c r="L2" s="150"/>
      <c r="M2" s="150"/>
      <c r="N2" s="150"/>
      <c r="O2" s="151"/>
      <c r="P2" s="77"/>
      <c r="Q2" s="77"/>
      <c r="R2" s="77"/>
    </row>
    <row r="3" spans="1:18" ht="7.5" customHeight="1" thickBot="1" x14ac:dyDescent="0.25">
      <c r="N3" s="68"/>
      <c r="O3" s="68"/>
      <c r="P3" s="68"/>
      <c r="Q3" s="68"/>
      <c r="R3" s="68"/>
    </row>
    <row r="4" spans="1:18" x14ac:dyDescent="0.2">
      <c r="B4" s="285" t="s">
        <v>71</v>
      </c>
      <c r="C4" s="286"/>
      <c r="D4" s="286"/>
      <c r="E4" s="286"/>
      <c r="F4" s="286"/>
      <c r="G4" s="286"/>
      <c r="H4" s="286"/>
      <c r="I4" s="286"/>
      <c r="J4" s="286"/>
      <c r="K4" s="286"/>
      <c r="L4" s="286"/>
      <c r="M4" s="286"/>
      <c r="N4" s="286"/>
      <c r="O4" s="287"/>
      <c r="P4" s="78"/>
      <c r="Q4" s="78"/>
      <c r="R4" s="78"/>
    </row>
    <row r="5" spans="1:18" ht="13.5" thickBot="1" x14ac:dyDescent="0.25">
      <c r="A5" s="34"/>
      <c r="B5" s="112" t="s">
        <v>19</v>
      </c>
      <c r="C5" s="293" t="s">
        <v>60</v>
      </c>
      <c r="D5" s="294"/>
      <c r="E5" s="293" t="s">
        <v>72</v>
      </c>
      <c r="F5" s="295"/>
      <c r="G5" s="295"/>
      <c r="H5" s="294"/>
      <c r="I5" s="295" t="s">
        <v>73</v>
      </c>
      <c r="J5" s="295"/>
      <c r="K5" s="295"/>
      <c r="L5" s="294"/>
      <c r="M5" s="293" t="s">
        <v>39</v>
      </c>
      <c r="N5" s="294"/>
      <c r="O5" s="137" t="s">
        <v>65</v>
      </c>
      <c r="P5" s="79"/>
      <c r="Q5" s="80"/>
      <c r="R5" s="79"/>
    </row>
    <row r="6" spans="1:18" x14ac:dyDescent="0.2">
      <c r="A6" s="34"/>
      <c r="B6" s="144" t="s">
        <v>133</v>
      </c>
      <c r="C6" s="135" t="s">
        <v>40</v>
      </c>
      <c r="D6" s="135" t="s">
        <v>70</v>
      </c>
      <c r="E6" s="135" t="s">
        <v>2</v>
      </c>
      <c r="F6" s="135" t="s">
        <v>3</v>
      </c>
      <c r="G6" s="135" t="s">
        <v>4</v>
      </c>
      <c r="H6" s="135" t="s">
        <v>70</v>
      </c>
      <c r="I6" s="135" t="s">
        <v>2</v>
      </c>
      <c r="J6" s="135" t="s">
        <v>3</v>
      </c>
      <c r="K6" s="135" t="s">
        <v>4</v>
      </c>
      <c r="L6" s="135" t="s">
        <v>70</v>
      </c>
      <c r="M6" s="135" t="s">
        <v>70</v>
      </c>
      <c r="N6" s="135" t="s">
        <v>74</v>
      </c>
      <c r="O6" s="136"/>
      <c r="P6" s="79"/>
      <c r="Q6" s="80"/>
      <c r="R6" s="79"/>
    </row>
    <row r="7" spans="1:18" x14ac:dyDescent="0.2">
      <c r="B7" s="130">
        <v>494</v>
      </c>
      <c r="C7" s="128">
        <f>IF(ISBLANK(B7),"",SUMIF(Data!$A$4:$A$60000,B7,Data!$C$4:$C$60000))</f>
        <v>311</v>
      </c>
      <c r="D7" s="128">
        <f>IF( ISBLANK(B7),"",  AVGIF(Data!$A$4:$A$60000,B7,Data!$C$4:$C$60000))</f>
        <v>44.428571428571431</v>
      </c>
      <c r="E7" s="128">
        <f>IF(ISBLANK(B7),"",SUMIF(Data!$A$4:$A$60000,B7,Data!$D$4:$D$60000))</f>
        <v>4</v>
      </c>
      <c r="F7" s="128">
        <f>IF(ISBLANK(B7),"",SUMIF(Data!$A$4:$A$60000,B7,Data!$E$4:$E$60000))</f>
        <v>0</v>
      </c>
      <c r="G7" s="128">
        <f>IF(ISBLANK(B7),"",SUMIF(Data!$A$4:$A$60000,B7,Data!$F$4:$F$60000))</f>
        <v>0</v>
      </c>
      <c r="H7" s="128">
        <f>IF( ISBLANK(B7),"",  AVGIF(Data!$A$4:$A$60000,B7,Data!$D$4:$D$60000)+ AVGIF(Data!$A$4:$A$60000,B7,Data!$E$4:$E$60000) +  AVGIF(Data!$A$4:$A$60000,B7,Data!$F$4:$F$60000))</f>
        <v>0.5714285714285714</v>
      </c>
      <c r="I7" s="128">
        <f>IF(ISBLANK(B7),"",SUMIF(Data!$A$4:$A$60000,B7,Data!$J$4:$J$60000))</f>
        <v>21</v>
      </c>
      <c r="J7" s="128">
        <f>IF(ISBLANK(B7),"",SUMIF(Data!$A$4:$A$60000,B7,Data!$K$4:$K$60000))</f>
        <v>1</v>
      </c>
      <c r="K7" s="128">
        <f>IF(ISBLANK(B7),"",SUMIF(Data!$A$4:$A$60000,B7,Data!$L$4:$L$60000))</f>
        <v>0</v>
      </c>
      <c r="L7" s="128">
        <f>IF( ISBLANK(B7),"",  AVGIF(Data!$A$4:$A$60000,B7,Data!$J$4:$J$60000)+ AVGIF(Data!$A$4:$A$60000,B7,Data!$K$4:$K$60000) +  AVGIF(Data!$A$4:$A$60000,B7,Data!$L$4:$L$60000))</f>
        <v>3.1428571428571428</v>
      </c>
      <c r="M7" s="128">
        <f>IF(ISBLANK(B7), "",  IF(SUMIF(Data!$A$4:$A$60000,B7,Data!$W$4:$W$60000)=0, 0,SUMIF(Data!$A$4:$A$60000,B7,Data!$V$4:$V$60000)/SUMIF(Data!$A$4:$A$60000,B7,Data!$W$4:$W$60000)) )</f>
        <v>0</v>
      </c>
      <c r="N7" s="128">
        <f>IF(ISBLANK(B7),"",SUMIF(Data!$A$4:$A$60000,B7,Data!$W$4:$W$60000))</f>
        <v>0</v>
      </c>
      <c r="O7" s="131">
        <f>IF(ISBLANK(B7),"",SUMIF(Data!$A$4:$A$60000,B7,Data!$X$4:$X$60000))</f>
        <v>0</v>
      </c>
      <c r="P7" s="26"/>
      <c r="Q7" s="26"/>
      <c r="R7" s="26"/>
    </row>
    <row r="8" spans="1:18" x14ac:dyDescent="0.2">
      <c r="B8" s="130">
        <v>1332</v>
      </c>
      <c r="C8" s="128">
        <f>IF(ISBLANK(B8),"",SUMIF(Data!$A$4:$A$60000,B8,Data!$C$4:$C$60000))</f>
        <v>44</v>
      </c>
      <c r="D8" s="128">
        <f>IF( ISBLANK(B8),"",  AVGIF(Data!$A$4:$A$60000,B8,Data!$C$4:$C$60000))</f>
        <v>44</v>
      </c>
      <c r="E8" s="128">
        <f>IF(ISBLANK(B8),"",SUMIF(Data!$A$4:$A$60000,B8,Data!$D$4:$D$60000))</f>
        <v>0</v>
      </c>
      <c r="F8" s="128">
        <f>IF(ISBLANK(B8),"",SUMIF(Data!$A$4:$A$60000,B8,Data!$E$4:$E$60000))</f>
        <v>0</v>
      </c>
      <c r="G8" s="128">
        <f>IF(ISBLANK(B8),"",SUMIF(Data!$A$4:$A$60000,B8,Data!$F$4:$F$60000))</f>
        <v>0</v>
      </c>
      <c r="H8" s="128">
        <f>IF( ISBLANK(B8),"",  AVGIF(Data!$A$4:$A$60000,B8,Data!$D$4:$D$60000)+ AVGIF(Data!$A$4:$A$60000,B8,Data!$E$4:$E$60000) +  AVGIF(Data!$A$4:$A$60000,B8,Data!$F$4:$F$60000))</f>
        <v>0</v>
      </c>
      <c r="I8" s="128">
        <f>IF(ISBLANK(B8),"",SUMIF(Data!$A$4:$A$60000,B8,Data!$J$4:$J$60000))</f>
        <v>0</v>
      </c>
      <c r="J8" s="128">
        <f>IF(ISBLANK(B8),"",SUMIF(Data!$A$4:$A$60000,B8,Data!$K$4:$K$60000))</f>
        <v>4</v>
      </c>
      <c r="K8" s="128">
        <f>IF(ISBLANK(B8),"",SUMIF(Data!$A$4:$A$60000,B8,Data!$L$4:$L$60000))</f>
        <v>0</v>
      </c>
      <c r="L8" s="128">
        <f>IF( ISBLANK(B8),"",  AVGIF(Data!$A$4:$A$60000,B8,Data!$J$4:$J$60000)+ AVGIF(Data!$A$4:$A$60000,B8,Data!$K$4:$K$60000) +  AVGIF(Data!$A$4:$A$60000,B8,Data!$L$4:$L$60000))</f>
        <v>4</v>
      </c>
      <c r="M8" s="128">
        <f>IF(ISBLANK(B8), "",  IF(SUMIF(Data!$A$4:$A$60000,B8,Data!$W$4:$W$60000)=0, 0,SUMIF(Data!$A$4:$A$60000,B8,Data!$V$4:$V$60000)/SUMIF(Data!$A$4:$A$60000,B8,Data!$W$4:$W$60000)) )</f>
        <v>0</v>
      </c>
      <c r="N8" s="128">
        <f>IF(ISBLANK(B8),"",SUMIF(Data!$A$4:$A$60000,B8,Data!$W$4:$W$60000))</f>
        <v>0</v>
      </c>
      <c r="O8" s="131">
        <f>IF(ISBLANK(B8),"",SUMIF(Data!$A$4:$A$60000,B8,Data!$X$4:$X$60000))</f>
        <v>0</v>
      </c>
      <c r="P8" s="26"/>
      <c r="Q8" s="26"/>
      <c r="R8" s="26"/>
    </row>
    <row r="9" spans="1:18" x14ac:dyDescent="0.2">
      <c r="B9" s="130">
        <v>2337</v>
      </c>
      <c r="C9" s="128">
        <f>IF(ISBLANK(B9),"",SUMIF(Data!$A$4:$A$60000,B9,Data!$C$4:$C$60000))</f>
        <v>393</v>
      </c>
      <c r="D9" s="128">
        <f>IF( ISBLANK(B9),"",  AVGIF(Data!$A$4:$A$60000,B9,Data!$C$4:$C$60000))</f>
        <v>43.666666666666664</v>
      </c>
      <c r="E9" s="128">
        <f>IF(ISBLANK(B9),"",SUMIF(Data!$A$4:$A$60000,B9,Data!$D$4:$D$60000))</f>
        <v>8</v>
      </c>
      <c r="F9" s="128">
        <f>IF(ISBLANK(B9),"",SUMIF(Data!$A$4:$A$60000,B9,Data!$E$4:$E$60000))</f>
        <v>0</v>
      </c>
      <c r="G9" s="128">
        <f>IF(ISBLANK(B9),"",SUMIF(Data!$A$4:$A$60000,B9,Data!$F$4:$F$60000))</f>
        <v>0</v>
      </c>
      <c r="H9" s="128">
        <f>IF( ISBLANK(B9),"",  AVGIF(Data!$A$4:$A$60000,B9,Data!$D$4:$D$60000)+ AVGIF(Data!$A$4:$A$60000,B9,Data!$E$4:$E$60000) +  AVGIF(Data!$A$4:$A$60000,B9,Data!$F$4:$F$60000))</f>
        <v>0.88888888888888884</v>
      </c>
      <c r="I9" s="128">
        <f>IF(ISBLANK(B9),"",SUMIF(Data!$A$4:$A$60000,B9,Data!$J$4:$J$60000))</f>
        <v>33</v>
      </c>
      <c r="J9" s="128">
        <f>IF(ISBLANK(B9),"",SUMIF(Data!$A$4:$A$60000,B9,Data!$K$4:$K$60000))</f>
        <v>9</v>
      </c>
      <c r="K9" s="128">
        <f>IF(ISBLANK(B9),"",SUMIF(Data!$A$4:$A$60000,B9,Data!$L$4:$L$60000))</f>
        <v>0</v>
      </c>
      <c r="L9" s="128">
        <f>IF( ISBLANK(B9),"",  AVGIF(Data!$A$4:$A$60000,B9,Data!$J$4:$J$60000)+ AVGIF(Data!$A$4:$A$60000,B9,Data!$K$4:$K$60000) +  AVGIF(Data!$A$4:$A$60000,B9,Data!$L$4:$L$60000))</f>
        <v>4.6666666666666661</v>
      </c>
      <c r="M9" s="128">
        <f>IF(ISBLANK(B9), "",  IF(SUMIF(Data!$A$4:$A$60000,B9,Data!$W$4:$W$60000)=0, 0,SUMIF(Data!$A$4:$A$60000,B9,Data!$V$4:$V$60000)/SUMIF(Data!$A$4:$A$60000,B9,Data!$W$4:$W$60000)) )</f>
        <v>0</v>
      </c>
      <c r="N9" s="128">
        <f>IF(ISBLANK(B9),"",SUMIF(Data!$A$4:$A$60000,B9,Data!$W$4:$W$60000))</f>
        <v>0</v>
      </c>
      <c r="O9" s="131">
        <f>IF(ISBLANK(B9),"",SUMIF(Data!$A$4:$A$60000,B9,Data!$X$4:$X$60000))</f>
        <v>0</v>
      </c>
      <c r="P9" s="26"/>
      <c r="Q9" s="26"/>
      <c r="R9" s="26"/>
    </row>
    <row r="10" spans="1:18" x14ac:dyDescent="0.2">
      <c r="B10" s="130">
        <v>474</v>
      </c>
      <c r="C10" s="128">
        <f>IF(ISBLANK(B10),"",SUMIF(Data!$A$4:$A$60000,B10,Data!$C$4:$C$60000))</f>
        <v>41</v>
      </c>
      <c r="D10" s="128">
        <f>IF( ISBLANK(B10),"",  AVGIF(Data!$A$4:$A$60000,B10,Data!$C$4:$C$60000))</f>
        <v>41</v>
      </c>
      <c r="E10" s="128">
        <f>IF(ISBLANK(B10),"",SUMIF(Data!$A$4:$A$60000,B10,Data!$D$4:$D$60000))</f>
        <v>0</v>
      </c>
      <c r="F10" s="128">
        <f>IF(ISBLANK(B10),"",SUMIF(Data!$A$4:$A$60000,B10,Data!$E$4:$E$60000))</f>
        <v>0</v>
      </c>
      <c r="G10" s="128">
        <f>IF(ISBLANK(B10),"",SUMIF(Data!$A$4:$A$60000,B10,Data!$F$4:$F$60000))</f>
        <v>0</v>
      </c>
      <c r="H10" s="128">
        <f>IF( ISBLANK(B10),"",  AVGIF(Data!$A$4:$A$60000,B10,Data!$D$4:$D$60000)+ AVGIF(Data!$A$4:$A$60000,B10,Data!$E$4:$E$60000) +  AVGIF(Data!$A$4:$A$60000,B10,Data!$F$4:$F$60000))</f>
        <v>0</v>
      </c>
      <c r="I10" s="128">
        <f>IF(ISBLANK(B10),"",SUMIF(Data!$A$4:$A$60000,B10,Data!$J$4:$J$60000))</f>
        <v>3</v>
      </c>
      <c r="J10" s="128">
        <f>IF(ISBLANK(B10),"",SUMIF(Data!$A$4:$A$60000,B10,Data!$K$4:$K$60000))</f>
        <v>1</v>
      </c>
      <c r="K10" s="128">
        <f>IF(ISBLANK(B10),"",SUMIF(Data!$A$4:$A$60000,B10,Data!$L$4:$L$60000))</f>
        <v>0</v>
      </c>
      <c r="L10" s="128">
        <f>IF( ISBLANK(B10),"",  AVGIF(Data!$A$4:$A$60000,B10,Data!$J$4:$J$60000)+ AVGIF(Data!$A$4:$A$60000,B10,Data!$K$4:$K$60000) +  AVGIF(Data!$A$4:$A$60000,B10,Data!$L$4:$L$60000))</f>
        <v>4</v>
      </c>
      <c r="M10" s="128">
        <f>IF(ISBLANK(B10), "",  IF(SUMIF(Data!$A$4:$A$60000,B10,Data!$W$4:$W$60000)=0, 0,SUMIF(Data!$A$4:$A$60000,B10,Data!$V$4:$V$60000)/SUMIF(Data!$A$4:$A$60000,B10,Data!$W$4:$W$60000)) )</f>
        <v>0</v>
      </c>
      <c r="N10" s="128">
        <f>IF(ISBLANK(B10),"",SUMIF(Data!$A$4:$A$60000,B10,Data!$W$4:$W$60000))</f>
        <v>0</v>
      </c>
      <c r="O10" s="131">
        <f>IF(ISBLANK(B10),"",SUMIF(Data!$A$4:$A$60000,B10,Data!$X$4:$X$60000))</f>
        <v>0</v>
      </c>
      <c r="P10" s="26"/>
      <c r="Q10" s="26"/>
      <c r="R10" s="26"/>
    </row>
    <row r="11" spans="1:18" x14ac:dyDescent="0.2">
      <c r="B11" s="130">
        <v>3098</v>
      </c>
      <c r="C11" s="128">
        <f>IF(ISBLANK(B11),"",SUMIF(Data!$A$4:$A$60000,B11,Data!$C$4:$C$60000))</f>
        <v>326</v>
      </c>
      <c r="D11" s="128">
        <f>IF( ISBLANK(B11),"",  AVGIF(Data!$A$4:$A$60000,B11,Data!$C$4:$C$60000))</f>
        <v>40.75</v>
      </c>
      <c r="E11" s="128">
        <f>IF(ISBLANK(B11),"",SUMIF(Data!$A$4:$A$60000,B11,Data!$D$4:$D$60000))</f>
        <v>5</v>
      </c>
      <c r="F11" s="128">
        <f>IF(ISBLANK(B11),"",SUMIF(Data!$A$4:$A$60000,B11,Data!$E$4:$E$60000))</f>
        <v>0</v>
      </c>
      <c r="G11" s="128">
        <f>IF(ISBLANK(B11),"",SUMIF(Data!$A$4:$A$60000,B11,Data!$F$4:$F$60000))</f>
        <v>0</v>
      </c>
      <c r="H11" s="128">
        <f>IF( ISBLANK(B11),"",  AVGIF(Data!$A$4:$A$60000,B11,Data!$D$4:$D$60000)+ AVGIF(Data!$A$4:$A$60000,B11,Data!$E$4:$E$60000) +  AVGIF(Data!$A$4:$A$60000,B11,Data!$F$4:$F$60000))</f>
        <v>0.625</v>
      </c>
      <c r="I11" s="128">
        <f>IF(ISBLANK(B11),"",SUMIF(Data!$A$4:$A$60000,B11,Data!$J$4:$J$60000))</f>
        <v>26</v>
      </c>
      <c r="J11" s="128">
        <f>IF(ISBLANK(B11),"",SUMIF(Data!$A$4:$A$60000,B11,Data!$K$4:$K$60000))</f>
        <v>3</v>
      </c>
      <c r="K11" s="128">
        <f>IF(ISBLANK(B11),"",SUMIF(Data!$A$4:$A$60000,B11,Data!$L$4:$L$60000))</f>
        <v>0</v>
      </c>
      <c r="L11" s="128">
        <f>IF( ISBLANK(B11),"",  AVGIF(Data!$A$4:$A$60000,B11,Data!$J$4:$J$60000)+ AVGIF(Data!$A$4:$A$60000,B11,Data!$K$4:$K$60000) +  AVGIF(Data!$A$4:$A$60000,B11,Data!$L$4:$L$60000))</f>
        <v>3.625</v>
      </c>
      <c r="M11" s="128">
        <f>IF(ISBLANK(B11), "",  IF(SUMIF(Data!$A$4:$A$60000,B11,Data!$W$4:$W$60000)=0, 0,SUMIF(Data!$A$4:$A$60000,B11,Data!$V$4:$V$60000)/SUMIF(Data!$A$4:$A$60000,B11,Data!$W$4:$W$60000)) )</f>
        <v>0</v>
      </c>
      <c r="N11" s="128">
        <f>IF(ISBLANK(B11),"",SUMIF(Data!$A$4:$A$60000,B11,Data!$W$4:$W$60000))</f>
        <v>0</v>
      </c>
      <c r="O11" s="131">
        <f>IF(ISBLANK(B11),"",SUMIF(Data!$A$4:$A$60000,B11,Data!$X$4:$X$60000))</f>
        <v>0</v>
      </c>
      <c r="P11" s="26"/>
      <c r="Q11" s="26"/>
      <c r="R11" s="26"/>
    </row>
    <row r="12" spans="1:18" x14ac:dyDescent="0.2">
      <c r="B12" s="130">
        <v>573</v>
      </c>
      <c r="C12" s="128">
        <f>IF(ISBLANK(B12),"",SUMIF(Data!$A$4:$A$60000,B12,Data!$C$4:$C$60000))</f>
        <v>310</v>
      </c>
      <c r="D12" s="128">
        <f>IF( ISBLANK(B12),"",  AVGIF(Data!$A$4:$A$60000,B12,Data!$C$4:$C$60000))</f>
        <v>38.75</v>
      </c>
      <c r="E12" s="128">
        <f>IF(ISBLANK(B12),"",SUMIF(Data!$A$4:$A$60000,B12,Data!$D$4:$D$60000))</f>
        <v>6</v>
      </c>
      <c r="F12" s="128">
        <f>IF(ISBLANK(B12),"",SUMIF(Data!$A$4:$A$60000,B12,Data!$E$4:$E$60000))</f>
        <v>0</v>
      </c>
      <c r="G12" s="128">
        <f>IF(ISBLANK(B12),"",SUMIF(Data!$A$4:$A$60000,B12,Data!$F$4:$F$60000))</f>
        <v>0</v>
      </c>
      <c r="H12" s="128">
        <f>IF( ISBLANK(B12),"",  AVGIF(Data!$A$4:$A$60000,B12,Data!$D$4:$D$60000)+ AVGIF(Data!$A$4:$A$60000,B12,Data!$E$4:$E$60000) +  AVGIF(Data!$A$4:$A$60000,B12,Data!$F$4:$F$60000))</f>
        <v>0.75</v>
      </c>
      <c r="I12" s="128">
        <f>IF(ISBLANK(B12),"",SUMIF(Data!$A$4:$A$60000,B12,Data!$J$4:$J$60000))</f>
        <v>26</v>
      </c>
      <c r="J12" s="128">
        <f>IF(ISBLANK(B12),"",SUMIF(Data!$A$4:$A$60000,B12,Data!$K$4:$K$60000))</f>
        <v>6</v>
      </c>
      <c r="K12" s="128">
        <f>IF(ISBLANK(B12),"",SUMIF(Data!$A$4:$A$60000,B12,Data!$L$4:$L$60000))</f>
        <v>0</v>
      </c>
      <c r="L12" s="128">
        <f>IF( ISBLANK(B12),"",  AVGIF(Data!$A$4:$A$60000,B12,Data!$J$4:$J$60000)+ AVGIF(Data!$A$4:$A$60000,B12,Data!$K$4:$K$60000) +  AVGIF(Data!$A$4:$A$60000,B12,Data!$L$4:$L$60000))</f>
        <v>4</v>
      </c>
      <c r="M12" s="128">
        <f>IF(ISBLANK(B12), "",  IF(SUMIF(Data!$A$4:$A$60000,B12,Data!$W$4:$W$60000)=0, 0,SUMIF(Data!$A$4:$A$60000,B12,Data!$V$4:$V$60000)/SUMIF(Data!$A$4:$A$60000,B12,Data!$W$4:$W$60000)) )</f>
        <v>0</v>
      </c>
      <c r="N12" s="128">
        <f>IF(ISBLANK(B12),"",SUMIF(Data!$A$4:$A$60000,B12,Data!$W$4:$W$60000))</f>
        <v>0</v>
      </c>
      <c r="O12" s="131">
        <f>IF(ISBLANK(B12),"",SUMIF(Data!$A$4:$A$60000,B12,Data!$X$4:$X$60000))</f>
        <v>0</v>
      </c>
      <c r="P12" s="26"/>
      <c r="Q12" s="26"/>
      <c r="R12" s="26"/>
    </row>
    <row r="13" spans="1:18" x14ac:dyDescent="0.2">
      <c r="B13" s="130">
        <v>3547</v>
      </c>
      <c r="C13" s="128">
        <f>IF(ISBLANK(B13),"",SUMIF(Data!$A$4:$A$60000,B13,Data!$C$4:$C$60000))</f>
        <v>231</v>
      </c>
      <c r="D13" s="128">
        <f>IF( ISBLANK(B13),"",  AVGIF(Data!$A$4:$A$60000,B13,Data!$C$4:$C$60000))</f>
        <v>33</v>
      </c>
      <c r="E13" s="128">
        <f>IF(ISBLANK(B13),"",SUMIF(Data!$A$4:$A$60000,B13,Data!$D$4:$D$60000))</f>
        <v>2</v>
      </c>
      <c r="F13" s="128">
        <f>IF(ISBLANK(B13),"",SUMIF(Data!$A$4:$A$60000,B13,Data!$E$4:$E$60000))</f>
        <v>1</v>
      </c>
      <c r="G13" s="128">
        <f>IF(ISBLANK(B13),"",SUMIF(Data!$A$4:$A$60000,B13,Data!$F$4:$F$60000))</f>
        <v>0</v>
      </c>
      <c r="H13" s="128">
        <f>IF( ISBLANK(B13),"",  AVGIF(Data!$A$4:$A$60000,B13,Data!$D$4:$D$60000)+ AVGIF(Data!$A$4:$A$60000,B13,Data!$E$4:$E$60000) +  AVGIF(Data!$A$4:$A$60000,B13,Data!$F$4:$F$60000))</f>
        <v>0.42857142857142855</v>
      </c>
      <c r="I13" s="128">
        <f>IF(ISBLANK(B13),"",SUMIF(Data!$A$4:$A$60000,B13,Data!$J$4:$J$60000))</f>
        <v>18</v>
      </c>
      <c r="J13" s="128">
        <f>IF(ISBLANK(B13),"",SUMIF(Data!$A$4:$A$60000,B13,Data!$K$4:$K$60000))</f>
        <v>0</v>
      </c>
      <c r="K13" s="128">
        <f>IF(ISBLANK(B13),"",SUMIF(Data!$A$4:$A$60000,B13,Data!$L$4:$L$60000))</f>
        <v>1</v>
      </c>
      <c r="L13" s="128">
        <f>IF( ISBLANK(B13),"",  AVGIF(Data!$A$4:$A$60000,B13,Data!$J$4:$J$60000)+ AVGIF(Data!$A$4:$A$60000,B13,Data!$K$4:$K$60000) +  AVGIF(Data!$A$4:$A$60000,B13,Data!$L$4:$L$60000))</f>
        <v>2.7142857142857144</v>
      </c>
      <c r="M13" s="128">
        <f>IF(ISBLANK(B13), "",  IF(SUMIF(Data!$A$4:$A$60000,B13,Data!$W$4:$W$60000)=0, 0,SUMIF(Data!$A$4:$A$60000,B13,Data!$V$4:$V$60000)/SUMIF(Data!$A$4:$A$60000,B13,Data!$W$4:$W$60000)) )</f>
        <v>0</v>
      </c>
      <c r="N13" s="128">
        <f>IF(ISBLANK(B13),"",SUMIF(Data!$A$4:$A$60000,B13,Data!$W$4:$W$60000))</f>
        <v>0</v>
      </c>
      <c r="O13" s="131">
        <f>IF(ISBLANK(B13),"",SUMIF(Data!$A$4:$A$60000,B13,Data!$X$4:$X$60000))</f>
        <v>0</v>
      </c>
      <c r="P13" s="26"/>
      <c r="Q13" s="26"/>
      <c r="R13" s="26"/>
    </row>
    <row r="14" spans="1:18" x14ac:dyDescent="0.2">
      <c r="B14" s="130">
        <v>68</v>
      </c>
      <c r="C14" s="128">
        <f>IF(ISBLANK(B14),"",SUMIF(Data!$A$4:$A$60000,B14,Data!$C$4:$C$60000))</f>
        <v>164</v>
      </c>
      <c r="D14" s="128">
        <f>IF( ISBLANK(B14),"",  AVGIF(Data!$A$4:$A$60000,B14,Data!$C$4:$C$60000))</f>
        <v>27.333333333333332</v>
      </c>
      <c r="E14" s="128">
        <f>IF(ISBLANK(B14),"",SUMIF(Data!$A$4:$A$60000,B14,Data!$D$4:$D$60000))</f>
        <v>2</v>
      </c>
      <c r="F14" s="128">
        <f>IF(ISBLANK(B14),"",SUMIF(Data!$A$4:$A$60000,B14,Data!$E$4:$E$60000))</f>
        <v>0</v>
      </c>
      <c r="G14" s="128">
        <f>IF(ISBLANK(B14),"",SUMIF(Data!$A$4:$A$60000,B14,Data!$F$4:$F$60000))</f>
        <v>0</v>
      </c>
      <c r="H14" s="128">
        <f>IF( ISBLANK(B14),"",  AVGIF(Data!$A$4:$A$60000,B14,Data!$D$4:$D$60000)+ AVGIF(Data!$A$4:$A$60000,B14,Data!$E$4:$E$60000) +  AVGIF(Data!$A$4:$A$60000,B14,Data!$F$4:$F$60000))</f>
        <v>0.33333333333333331</v>
      </c>
      <c r="I14" s="128">
        <f>IF(ISBLANK(B14),"",SUMIF(Data!$A$4:$A$60000,B14,Data!$J$4:$J$60000))</f>
        <v>21</v>
      </c>
      <c r="J14" s="128">
        <f>IF(ISBLANK(B14),"",SUMIF(Data!$A$4:$A$60000,B14,Data!$K$4:$K$60000))</f>
        <v>4</v>
      </c>
      <c r="K14" s="128">
        <f>IF(ISBLANK(B14),"",SUMIF(Data!$A$4:$A$60000,B14,Data!$L$4:$L$60000))</f>
        <v>0</v>
      </c>
      <c r="L14" s="128">
        <f>IF( ISBLANK(B14),"",  AVGIF(Data!$A$4:$A$60000,B14,Data!$J$4:$J$60000)+ AVGIF(Data!$A$4:$A$60000,B14,Data!$K$4:$K$60000) +  AVGIF(Data!$A$4:$A$60000,B14,Data!$L$4:$L$60000))</f>
        <v>4.166666666666667</v>
      </c>
      <c r="M14" s="128">
        <f>IF(ISBLANK(B14), "",  IF(SUMIF(Data!$A$4:$A$60000,B14,Data!$W$4:$W$60000)=0, 0,SUMIF(Data!$A$4:$A$60000,B14,Data!$V$4:$V$60000)/SUMIF(Data!$A$4:$A$60000,B14,Data!$W$4:$W$60000)) )</f>
        <v>0</v>
      </c>
      <c r="N14" s="128">
        <f>IF(ISBLANK(B14),"",SUMIF(Data!$A$4:$A$60000,B14,Data!$W$4:$W$60000))</f>
        <v>0</v>
      </c>
      <c r="O14" s="131">
        <f>IF(ISBLANK(B14),"",SUMIF(Data!$A$4:$A$60000,B14,Data!$X$4:$X$60000))</f>
        <v>0</v>
      </c>
      <c r="P14" s="26"/>
      <c r="Q14" s="26"/>
      <c r="R14" s="26"/>
    </row>
    <row r="15" spans="1:18" x14ac:dyDescent="0.2">
      <c r="B15" s="130">
        <v>70</v>
      </c>
      <c r="C15" s="128">
        <f>IF(ISBLANK(B15),"",SUMIF(Data!$A$4:$A$60000,B15,Data!$C$4:$C$60000))</f>
        <v>297</v>
      </c>
      <c r="D15" s="128">
        <f>IF( ISBLANK(B15),"",  AVGIF(Data!$A$4:$A$60000,B15,Data!$C$4:$C$60000))</f>
        <v>27</v>
      </c>
      <c r="E15" s="128">
        <f>IF(ISBLANK(B15),"",SUMIF(Data!$A$4:$A$60000,B15,Data!$D$4:$D$60000))</f>
        <v>11</v>
      </c>
      <c r="F15" s="128">
        <f>IF(ISBLANK(B15),"",SUMIF(Data!$A$4:$A$60000,B15,Data!$E$4:$E$60000))</f>
        <v>0</v>
      </c>
      <c r="G15" s="128">
        <f>IF(ISBLANK(B15),"",SUMIF(Data!$A$4:$A$60000,B15,Data!$F$4:$F$60000))</f>
        <v>0</v>
      </c>
      <c r="H15" s="128">
        <f>IF( ISBLANK(B15),"",  AVGIF(Data!$A$4:$A$60000,B15,Data!$D$4:$D$60000)+ AVGIF(Data!$A$4:$A$60000,B15,Data!$E$4:$E$60000) +  AVGIF(Data!$A$4:$A$60000,B15,Data!$F$4:$F$60000))</f>
        <v>1</v>
      </c>
      <c r="I15" s="128">
        <f>IF(ISBLANK(B15),"",SUMIF(Data!$A$4:$A$60000,B15,Data!$J$4:$J$60000))</f>
        <v>19</v>
      </c>
      <c r="J15" s="128">
        <f>IF(ISBLANK(B15),"",SUMIF(Data!$A$4:$A$60000,B15,Data!$K$4:$K$60000))</f>
        <v>9</v>
      </c>
      <c r="K15" s="128">
        <f>IF(ISBLANK(B15),"",SUMIF(Data!$A$4:$A$60000,B15,Data!$L$4:$L$60000))</f>
        <v>1</v>
      </c>
      <c r="L15" s="128">
        <f>IF( ISBLANK(B15),"",  AVGIF(Data!$A$4:$A$60000,B15,Data!$J$4:$J$60000)+ AVGIF(Data!$A$4:$A$60000,B15,Data!$K$4:$K$60000) +  AVGIF(Data!$A$4:$A$60000,B15,Data!$L$4:$L$60000))</f>
        <v>2.6363636363636362</v>
      </c>
      <c r="M15" s="128">
        <f>IF(ISBLANK(B15), "",  IF(SUMIF(Data!$A$4:$A$60000,B15,Data!$W$4:$W$60000)=0, 0,SUMIF(Data!$A$4:$A$60000,B15,Data!$V$4:$V$60000)/SUMIF(Data!$A$4:$A$60000,B15,Data!$W$4:$W$60000)) )</f>
        <v>0</v>
      </c>
      <c r="N15" s="128">
        <f>IF(ISBLANK(B15),"",SUMIF(Data!$A$4:$A$60000,B15,Data!$W$4:$W$60000))</f>
        <v>0</v>
      </c>
      <c r="O15" s="131">
        <f>IF(ISBLANK(B15),"",SUMIF(Data!$A$4:$A$60000,B15,Data!$X$4:$X$60000))</f>
        <v>0</v>
      </c>
      <c r="P15" s="26"/>
      <c r="Q15" s="26"/>
      <c r="R15" s="26"/>
    </row>
    <row r="16" spans="1:18" x14ac:dyDescent="0.2">
      <c r="B16" s="130">
        <v>2145</v>
      </c>
      <c r="C16" s="128">
        <f>IF(ISBLANK(B16),"",SUMIF(Data!$A$4:$A$60000,B16,Data!$C$4:$C$60000))</f>
        <v>162</v>
      </c>
      <c r="D16" s="128">
        <f>IF( ISBLANK(B16),"",  AVGIF(Data!$A$4:$A$60000,B16,Data!$C$4:$C$60000))</f>
        <v>23.142857142857142</v>
      </c>
      <c r="E16" s="128">
        <f>IF(ISBLANK(B16),"",SUMIF(Data!$A$4:$A$60000,B16,Data!$D$4:$D$60000))</f>
        <v>0</v>
      </c>
      <c r="F16" s="128">
        <f>IF(ISBLANK(B16),"",SUMIF(Data!$A$4:$A$60000,B16,Data!$E$4:$E$60000))</f>
        <v>0</v>
      </c>
      <c r="G16" s="128">
        <f>IF(ISBLANK(B16),"",SUMIF(Data!$A$4:$A$60000,B16,Data!$F$4:$F$60000))</f>
        <v>0</v>
      </c>
      <c r="H16" s="128">
        <f>IF( ISBLANK(B16),"",  AVGIF(Data!$A$4:$A$60000,B16,Data!$D$4:$D$60000)+ AVGIF(Data!$A$4:$A$60000,B16,Data!$E$4:$E$60000) +  AVGIF(Data!$A$4:$A$60000,B16,Data!$F$4:$F$60000))</f>
        <v>0</v>
      </c>
      <c r="I16" s="128">
        <f>IF(ISBLANK(B16),"",SUMIF(Data!$A$4:$A$60000,B16,Data!$J$4:$J$60000))</f>
        <v>17</v>
      </c>
      <c r="J16" s="128">
        <f>IF(ISBLANK(B16),"",SUMIF(Data!$A$4:$A$60000,B16,Data!$K$4:$K$60000))</f>
        <v>2</v>
      </c>
      <c r="K16" s="128">
        <f>IF(ISBLANK(B16),"",SUMIF(Data!$A$4:$A$60000,B16,Data!$L$4:$L$60000))</f>
        <v>0</v>
      </c>
      <c r="L16" s="128">
        <f>IF( ISBLANK(B16),"",  AVGIF(Data!$A$4:$A$60000,B16,Data!$J$4:$J$60000)+ AVGIF(Data!$A$4:$A$60000,B16,Data!$K$4:$K$60000) +  AVGIF(Data!$A$4:$A$60000,B16,Data!$L$4:$L$60000))</f>
        <v>2.714285714285714</v>
      </c>
      <c r="M16" s="128">
        <f>IF(ISBLANK(B16), "",  IF(SUMIF(Data!$A$4:$A$60000,B16,Data!$W$4:$W$60000)=0, 0,SUMIF(Data!$A$4:$A$60000,B16,Data!$V$4:$V$60000)/SUMIF(Data!$A$4:$A$60000,B16,Data!$W$4:$W$60000)) )</f>
        <v>0</v>
      </c>
      <c r="N16" s="128">
        <f>IF(ISBLANK(B16),"",SUMIF(Data!$A$4:$A$60000,B16,Data!$W$4:$W$60000))</f>
        <v>0</v>
      </c>
      <c r="O16" s="131">
        <f>IF(ISBLANK(B16),"",SUMIF(Data!$A$4:$A$60000,B16,Data!$X$4:$X$60000))</f>
        <v>0</v>
      </c>
      <c r="P16" s="26"/>
      <c r="Q16" s="26"/>
      <c r="R16" s="26"/>
    </row>
    <row r="17" spans="2:18" x14ac:dyDescent="0.2">
      <c r="B17" s="130">
        <v>3536</v>
      </c>
      <c r="C17" s="128">
        <f>IF(ISBLANK(B17),"",SUMIF(Data!$A$4:$A$60000,B17,Data!$C$4:$C$60000))</f>
        <v>122</v>
      </c>
      <c r="D17" s="128">
        <f>IF( ISBLANK(B17),"",  AVGIF(Data!$A$4:$A$60000,B17,Data!$C$4:$C$60000))</f>
        <v>20.333333333333332</v>
      </c>
      <c r="E17" s="128">
        <f>IF(ISBLANK(B17),"",SUMIF(Data!$A$4:$A$60000,B17,Data!$D$4:$D$60000))</f>
        <v>0</v>
      </c>
      <c r="F17" s="128">
        <f>IF(ISBLANK(B17),"",SUMIF(Data!$A$4:$A$60000,B17,Data!$E$4:$E$60000))</f>
        <v>0</v>
      </c>
      <c r="G17" s="128">
        <f>IF(ISBLANK(B17),"",SUMIF(Data!$A$4:$A$60000,B17,Data!$F$4:$F$60000))</f>
        <v>6</v>
      </c>
      <c r="H17" s="128">
        <f>IF( ISBLANK(B17),"",  AVGIF(Data!$A$4:$A$60000,B17,Data!$D$4:$D$60000)+ AVGIF(Data!$A$4:$A$60000,B17,Data!$E$4:$E$60000) +  AVGIF(Data!$A$4:$A$60000,B17,Data!$F$4:$F$60000))</f>
        <v>1</v>
      </c>
      <c r="I17" s="128">
        <f>IF(ISBLANK(B17),"",SUMIF(Data!$A$4:$A$60000,B17,Data!$J$4:$J$60000))</f>
        <v>0</v>
      </c>
      <c r="J17" s="128">
        <f>IF(ISBLANK(B17),"",SUMIF(Data!$A$4:$A$60000,B17,Data!$K$4:$K$60000))</f>
        <v>0</v>
      </c>
      <c r="K17" s="128">
        <f>IF(ISBLANK(B17),"",SUMIF(Data!$A$4:$A$60000,B17,Data!$L$4:$L$60000))</f>
        <v>0</v>
      </c>
      <c r="L17" s="128">
        <f>IF( ISBLANK(B17),"",  AVGIF(Data!$A$4:$A$60000,B17,Data!$J$4:$J$60000)+ AVGIF(Data!$A$4:$A$60000,B17,Data!$K$4:$K$60000) +  AVGIF(Data!$A$4:$A$60000,B17,Data!$L$4:$L$60000))</f>
        <v>0</v>
      </c>
      <c r="M17" s="128">
        <f>IF(ISBLANK(B17), "",  IF(SUMIF(Data!$A$4:$A$60000,B17,Data!$W$4:$W$60000)=0, 0,SUMIF(Data!$A$4:$A$60000,B17,Data!$V$4:$V$60000)/SUMIF(Data!$A$4:$A$60000,B17,Data!$W$4:$W$60000)) )</f>
        <v>0</v>
      </c>
      <c r="N17" s="128">
        <f>IF(ISBLANK(B17),"",SUMIF(Data!$A$4:$A$60000,B17,Data!$W$4:$W$60000))</f>
        <v>0</v>
      </c>
      <c r="O17" s="131">
        <f>IF(ISBLANK(B17),"",SUMIF(Data!$A$4:$A$60000,B17,Data!$X$4:$X$60000))</f>
        <v>0</v>
      </c>
      <c r="P17" s="26"/>
      <c r="Q17" s="26"/>
      <c r="R17" s="26"/>
    </row>
    <row r="18" spans="2:18" x14ac:dyDescent="0.2">
      <c r="B18" s="130">
        <v>302</v>
      </c>
      <c r="C18" s="128">
        <f>IF(ISBLANK(B18),"",SUMIF(Data!$A$4:$A$60000,B18,Data!$C$4:$C$60000))</f>
        <v>100</v>
      </c>
      <c r="D18" s="128">
        <f>IF( ISBLANK(B18),"",  AVGIF(Data!$A$4:$A$60000,B18,Data!$C$4:$C$60000))</f>
        <v>20</v>
      </c>
      <c r="E18" s="128">
        <f>IF(ISBLANK(B18),"",SUMIF(Data!$A$4:$A$60000,B18,Data!$D$4:$D$60000))</f>
        <v>1</v>
      </c>
      <c r="F18" s="128">
        <f>IF(ISBLANK(B18),"",SUMIF(Data!$A$4:$A$60000,B18,Data!$E$4:$E$60000))</f>
        <v>0</v>
      </c>
      <c r="G18" s="128">
        <f>IF(ISBLANK(B18),"",SUMIF(Data!$A$4:$A$60000,B18,Data!$F$4:$F$60000))</f>
        <v>0</v>
      </c>
      <c r="H18" s="128">
        <f>IF( ISBLANK(B18),"",  AVGIF(Data!$A$4:$A$60000,B18,Data!$D$4:$D$60000)+ AVGIF(Data!$A$4:$A$60000,B18,Data!$E$4:$E$60000) +  AVGIF(Data!$A$4:$A$60000,B18,Data!$F$4:$F$60000))</f>
        <v>0.2</v>
      </c>
      <c r="I18" s="128">
        <f>IF(ISBLANK(B18),"",SUMIF(Data!$A$4:$A$60000,B18,Data!$J$4:$J$60000))</f>
        <v>10</v>
      </c>
      <c r="J18" s="128">
        <f>IF(ISBLANK(B18),"",SUMIF(Data!$A$4:$A$60000,B18,Data!$K$4:$K$60000))</f>
        <v>5</v>
      </c>
      <c r="K18" s="128">
        <f>IF(ISBLANK(B18),"",SUMIF(Data!$A$4:$A$60000,B18,Data!$L$4:$L$60000))</f>
        <v>0</v>
      </c>
      <c r="L18" s="128">
        <f>IF( ISBLANK(B18),"",  AVGIF(Data!$A$4:$A$60000,B18,Data!$J$4:$J$60000)+ AVGIF(Data!$A$4:$A$60000,B18,Data!$K$4:$K$60000) +  AVGIF(Data!$A$4:$A$60000,B18,Data!$L$4:$L$60000))</f>
        <v>3</v>
      </c>
      <c r="M18" s="128">
        <f>IF(ISBLANK(B18), "",  IF(SUMIF(Data!$A$4:$A$60000,B18,Data!$W$4:$W$60000)=0, 0,SUMIF(Data!$A$4:$A$60000,B18,Data!$V$4:$V$60000)/SUMIF(Data!$A$4:$A$60000,B18,Data!$W$4:$W$60000)) )</f>
        <v>0</v>
      </c>
      <c r="N18" s="128">
        <f>IF(ISBLANK(B18),"",SUMIF(Data!$A$4:$A$60000,B18,Data!$W$4:$W$60000))</f>
        <v>0</v>
      </c>
      <c r="O18" s="131">
        <f>IF(ISBLANK(B18),"",SUMIF(Data!$A$4:$A$60000,B18,Data!$X$4:$X$60000))</f>
        <v>0</v>
      </c>
      <c r="P18" s="26"/>
      <c r="Q18" s="26"/>
      <c r="R18" s="26"/>
    </row>
    <row r="19" spans="2:18" x14ac:dyDescent="0.2">
      <c r="B19" s="130">
        <v>1322</v>
      </c>
      <c r="C19" s="128">
        <f>IF(ISBLANK(B19),"",SUMIF(Data!$A$4:$A$60000,B19,Data!$C$4:$C$60000))</f>
        <v>134</v>
      </c>
      <c r="D19" s="128">
        <f>IF( ISBLANK(B19),"",  AVGIF(Data!$A$4:$A$60000,B19,Data!$C$4:$C$60000))</f>
        <v>19.142857142857142</v>
      </c>
      <c r="E19" s="128">
        <f>IF(ISBLANK(B19),"",SUMIF(Data!$A$4:$A$60000,B19,Data!$D$4:$D$60000))</f>
        <v>0</v>
      </c>
      <c r="F19" s="128">
        <f>IF(ISBLANK(B19),"",SUMIF(Data!$A$4:$A$60000,B19,Data!$E$4:$E$60000))</f>
        <v>3</v>
      </c>
      <c r="G19" s="128">
        <f>IF(ISBLANK(B19),"",SUMIF(Data!$A$4:$A$60000,B19,Data!$F$4:$F$60000))</f>
        <v>0</v>
      </c>
      <c r="H19" s="128">
        <f>IF( ISBLANK(B19),"",  AVGIF(Data!$A$4:$A$60000,B19,Data!$D$4:$D$60000)+ AVGIF(Data!$A$4:$A$60000,B19,Data!$E$4:$E$60000) +  AVGIF(Data!$A$4:$A$60000,B19,Data!$F$4:$F$60000))</f>
        <v>0.42857142857142855</v>
      </c>
      <c r="I19" s="128">
        <f>IF(ISBLANK(B19),"",SUMIF(Data!$A$4:$A$60000,B19,Data!$J$4:$J$60000))</f>
        <v>2</v>
      </c>
      <c r="J19" s="128">
        <f>IF(ISBLANK(B19),"",SUMIF(Data!$A$4:$A$60000,B19,Data!$K$4:$K$60000))</f>
        <v>12</v>
      </c>
      <c r="K19" s="128">
        <f>IF(ISBLANK(B19),"",SUMIF(Data!$A$4:$A$60000,B19,Data!$L$4:$L$60000))</f>
        <v>1</v>
      </c>
      <c r="L19" s="128">
        <f>IF( ISBLANK(B19),"",  AVGIF(Data!$A$4:$A$60000,B19,Data!$J$4:$J$60000)+ AVGIF(Data!$A$4:$A$60000,B19,Data!$K$4:$K$60000) +  AVGIF(Data!$A$4:$A$60000,B19,Data!$L$4:$L$60000))</f>
        <v>2.1428571428571428</v>
      </c>
      <c r="M19" s="128">
        <f>IF(ISBLANK(B19), "",  IF(SUMIF(Data!$A$4:$A$60000,B19,Data!$W$4:$W$60000)=0, 0,SUMIF(Data!$A$4:$A$60000,B19,Data!$V$4:$V$60000)/SUMIF(Data!$A$4:$A$60000,B19,Data!$W$4:$W$60000)) )</f>
        <v>0</v>
      </c>
      <c r="N19" s="128">
        <f>IF(ISBLANK(B19),"",SUMIF(Data!$A$4:$A$60000,B19,Data!$W$4:$W$60000))</f>
        <v>0</v>
      </c>
      <c r="O19" s="131">
        <f>IF(ISBLANK(B19),"",SUMIF(Data!$A$4:$A$60000,B19,Data!$X$4:$X$60000))</f>
        <v>0</v>
      </c>
      <c r="P19" s="26"/>
      <c r="Q19" s="26"/>
      <c r="R19" s="26"/>
    </row>
    <row r="20" spans="2:18" x14ac:dyDescent="0.2">
      <c r="B20" s="130">
        <v>2619</v>
      </c>
      <c r="C20" s="128">
        <f>IF(ISBLANK(B20),"",SUMIF(Data!$A$4:$A$60000,B20,Data!$C$4:$C$60000))</f>
        <v>182</v>
      </c>
      <c r="D20" s="128">
        <f>IF( ISBLANK(B20),"",  AVGIF(Data!$A$4:$A$60000,B20,Data!$C$4:$C$60000))</f>
        <v>18.2</v>
      </c>
      <c r="E20" s="128">
        <f>IF(ISBLANK(B20),"",SUMIF(Data!$A$4:$A$60000,B20,Data!$D$4:$D$60000))</f>
        <v>9</v>
      </c>
      <c r="F20" s="128">
        <f>IF(ISBLANK(B20),"",SUMIF(Data!$A$4:$A$60000,B20,Data!$E$4:$E$60000))</f>
        <v>0</v>
      </c>
      <c r="G20" s="128">
        <f>IF(ISBLANK(B20),"",SUMIF(Data!$A$4:$A$60000,B20,Data!$F$4:$F$60000))</f>
        <v>0</v>
      </c>
      <c r="H20" s="128">
        <f>IF( ISBLANK(B20),"",  AVGIF(Data!$A$4:$A$60000,B20,Data!$D$4:$D$60000)+ AVGIF(Data!$A$4:$A$60000,B20,Data!$E$4:$E$60000) +  AVGIF(Data!$A$4:$A$60000,B20,Data!$F$4:$F$60000))</f>
        <v>0.9</v>
      </c>
      <c r="I20" s="128">
        <f>IF(ISBLANK(B20),"",SUMIF(Data!$A$4:$A$60000,B20,Data!$J$4:$J$60000))</f>
        <v>12</v>
      </c>
      <c r="J20" s="128">
        <f>IF(ISBLANK(B20),"",SUMIF(Data!$A$4:$A$60000,B20,Data!$K$4:$K$60000))</f>
        <v>0</v>
      </c>
      <c r="K20" s="128">
        <f>IF(ISBLANK(B20),"",SUMIF(Data!$A$4:$A$60000,B20,Data!$L$4:$L$60000))</f>
        <v>0</v>
      </c>
      <c r="L20" s="128">
        <f>IF( ISBLANK(B20),"",  AVGIF(Data!$A$4:$A$60000,B20,Data!$J$4:$J$60000)+ AVGIF(Data!$A$4:$A$60000,B20,Data!$K$4:$K$60000) +  AVGIF(Data!$A$4:$A$60000,B20,Data!$L$4:$L$60000))</f>
        <v>1.2</v>
      </c>
      <c r="M20" s="128">
        <f>IF(ISBLANK(B20), "",  IF(SUMIF(Data!$A$4:$A$60000,B20,Data!$W$4:$W$60000)=0, 0,SUMIF(Data!$A$4:$A$60000,B20,Data!$V$4:$V$60000)/SUMIF(Data!$A$4:$A$60000,B20,Data!$W$4:$W$60000)) )</f>
        <v>0</v>
      </c>
      <c r="N20" s="128">
        <f>IF(ISBLANK(B20),"",SUMIF(Data!$A$4:$A$60000,B20,Data!$W$4:$W$60000))</f>
        <v>0</v>
      </c>
      <c r="O20" s="131">
        <f>IF(ISBLANK(B20),"",SUMIF(Data!$A$4:$A$60000,B20,Data!$X$4:$X$60000))</f>
        <v>0</v>
      </c>
      <c r="P20" s="24"/>
      <c r="Q20" s="24"/>
      <c r="R20" s="24"/>
    </row>
    <row r="21" spans="2:18" x14ac:dyDescent="0.2">
      <c r="B21" s="130">
        <v>207</v>
      </c>
      <c r="C21" s="128">
        <f>IF(ISBLANK(B21),"",SUMIF(Data!$A$4:$A$60000,B21,Data!$C$4:$C$60000))</f>
        <v>18</v>
      </c>
      <c r="D21" s="128">
        <f>IF( ISBLANK(B21),"",  AVGIF(Data!$A$4:$A$60000,B21,Data!$C$4:$C$60000))</f>
        <v>18</v>
      </c>
      <c r="E21" s="128">
        <f>IF(ISBLANK(B21),"",SUMIF(Data!$A$4:$A$60000,B21,Data!$D$4:$D$60000))</f>
        <v>0</v>
      </c>
      <c r="F21" s="128">
        <f>IF(ISBLANK(B21),"",SUMIF(Data!$A$4:$A$60000,B21,Data!$E$4:$E$60000))</f>
        <v>0</v>
      </c>
      <c r="G21" s="128">
        <f>IF(ISBLANK(B21),"",SUMIF(Data!$A$4:$A$60000,B21,Data!$F$4:$F$60000))</f>
        <v>0</v>
      </c>
      <c r="H21" s="128">
        <f>IF( ISBLANK(B21),"",  AVGIF(Data!$A$4:$A$60000,B21,Data!$D$4:$D$60000)+ AVGIF(Data!$A$4:$A$60000,B21,Data!$E$4:$E$60000) +  AVGIF(Data!$A$4:$A$60000,B21,Data!$F$4:$F$60000))</f>
        <v>0</v>
      </c>
      <c r="I21" s="128">
        <f>IF(ISBLANK(B21),"",SUMIF(Data!$A$4:$A$60000,B21,Data!$J$4:$J$60000))</f>
        <v>3</v>
      </c>
      <c r="J21" s="128">
        <f>IF(ISBLANK(B21),"",SUMIF(Data!$A$4:$A$60000,B21,Data!$K$4:$K$60000))</f>
        <v>0</v>
      </c>
      <c r="K21" s="128">
        <f>IF(ISBLANK(B21),"",SUMIF(Data!$A$4:$A$60000,B21,Data!$L$4:$L$60000))</f>
        <v>0</v>
      </c>
      <c r="L21" s="128">
        <f>IF( ISBLANK(B21),"",  AVGIF(Data!$A$4:$A$60000,B21,Data!$J$4:$J$60000)+ AVGIF(Data!$A$4:$A$60000,B21,Data!$K$4:$K$60000) +  AVGIF(Data!$A$4:$A$60000,B21,Data!$L$4:$L$60000))</f>
        <v>3</v>
      </c>
      <c r="M21" s="128">
        <f>IF(ISBLANK(B21), "",  IF(SUMIF(Data!$A$4:$A$60000,B21,Data!$W$4:$W$60000)=0, 0,SUMIF(Data!$A$4:$A$60000,B21,Data!$V$4:$V$60000)/SUMIF(Data!$A$4:$A$60000,B21,Data!$W$4:$W$60000)) )</f>
        <v>0</v>
      </c>
      <c r="N21" s="128">
        <f>IF(ISBLANK(B21),"",SUMIF(Data!$A$4:$A$60000,B21,Data!$W$4:$W$60000))</f>
        <v>0</v>
      </c>
      <c r="O21" s="131">
        <f>IF(ISBLANK(B21),"",SUMIF(Data!$A$4:$A$60000,B21,Data!$X$4:$X$60000))</f>
        <v>0</v>
      </c>
      <c r="P21" s="24"/>
      <c r="Q21" s="24"/>
      <c r="R21" s="24"/>
    </row>
    <row r="22" spans="2:18" x14ac:dyDescent="0.2">
      <c r="B22" s="130">
        <v>548</v>
      </c>
      <c r="C22" s="128">
        <f>IF(ISBLANK(B22),"",SUMIF(Data!$A$4:$A$60000,B22,Data!$C$4:$C$60000))</f>
        <v>162</v>
      </c>
      <c r="D22" s="128">
        <f>IF( ISBLANK(B22),"",  AVGIF(Data!$A$4:$A$60000,B22,Data!$C$4:$C$60000))</f>
        <v>18</v>
      </c>
      <c r="E22" s="128">
        <f>IF(ISBLANK(B22),"",SUMIF(Data!$A$4:$A$60000,B22,Data!$D$4:$D$60000))</f>
        <v>0</v>
      </c>
      <c r="F22" s="128">
        <f>IF(ISBLANK(B22),"",SUMIF(Data!$A$4:$A$60000,B22,Data!$E$4:$E$60000))</f>
        <v>3</v>
      </c>
      <c r="G22" s="128">
        <f>IF(ISBLANK(B22),"",SUMIF(Data!$A$4:$A$60000,B22,Data!$F$4:$F$60000))</f>
        <v>0</v>
      </c>
      <c r="H22" s="128">
        <f>IF( ISBLANK(B22),"",  AVGIF(Data!$A$4:$A$60000,B22,Data!$D$4:$D$60000)+ AVGIF(Data!$A$4:$A$60000,B22,Data!$E$4:$E$60000) +  AVGIF(Data!$A$4:$A$60000,B22,Data!$F$4:$F$60000))</f>
        <v>0.33333333333333331</v>
      </c>
      <c r="I22" s="128">
        <f>IF(ISBLANK(B22),"",SUMIF(Data!$A$4:$A$60000,B22,Data!$J$4:$J$60000))</f>
        <v>17</v>
      </c>
      <c r="J22" s="128">
        <f>IF(ISBLANK(B22),"",SUMIF(Data!$A$4:$A$60000,B22,Data!$K$4:$K$60000))</f>
        <v>10</v>
      </c>
      <c r="K22" s="128">
        <f>IF(ISBLANK(B22),"",SUMIF(Data!$A$4:$A$60000,B22,Data!$L$4:$L$60000))</f>
        <v>0</v>
      </c>
      <c r="L22" s="128">
        <f>IF( ISBLANK(B22),"",  AVGIF(Data!$A$4:$A$60000,B22,Data!$J$4:$J$60000)+ AVGIF(Data!$A$4:$A$60000,B22,Data!$K$4:$K$60000) +  AVGIF(Data!$A$4:$A$60000,B22,Data!$L$4:$L$60000))</f>
        <v>3</v>
      </c>
      <c r="M22" s="128">
        <f>IF(ISBLANK(B22), "",  IF(SUMIF(Data!$A$4:$A$60000,B22,Data!$W$4:$W$60000)=0, 0,SUMIF(Data!$A$4:$A$60000,B22,Data!$V$4:$V$60000)/SUMIF(Data!$A$4:$A$60000,B22,Data!$W$4:$W$60000)) )</f>
        <v>0</v>
      </c>
      <c r="N22" s="128">
        <f>IF(ISBLANK(B22),"",SUMIF(Data!$A$4:$A$60000,B22,Data!$W$4:$W$60000))</f>
        <v>0</v>
      </c>
      <c r="O22" s="131">
        <f>IF(ISBLANK(B22),"",SUMIF(Data!$A$4:$A$60000,B22,Data!$X$4:$X$60000))</f>
        <v>0</v>
      </c>
      <c r="P22" s="24"/>
      <c r="Q22" s="24"/>
      <c r="R22" s="24"/>
    </row>
    <row r="23" spans="2:18" x14ac:dyDescent="0.2">
      <c r="B23" s="130">
        <v>1504</v>
      </c>
      <c r="C23" s="128">
        <f>IF(ISBLANK(B23),"",SUMIF(Data!$A$4:$A$60000,B23,Data!$C$4:$C$60000))</f>
        <v>141</v>
      </c>
      <c r="D23" s="128">
        <f>IF( ISBLANK(B23),"",  AVGIF(Data!$A$4:$A$60000,B23,Data!$C$4:$C$60000))</f>
        <v>17.625</v>
      </c>
      <c r="E23" s="128">
        <f>IF(ISBLANK(B23),"",SUMIF(Data!$A$4:$A$60000,B23,Data!$D$4:$D$60000))</f>
        <v>0</v>
      </c>
      <c r="F23" s="128">
        <f>IF(ISBLANK(B23),"",SUMIF(Data!$A$4:$A$60000,B23,Data!$E$4:$E$60000))</f>
        <v>0</v>
      </c>
      <c r="G23" s="128">
        <f>IF(ISBLANK(B23),"",SUMIF(Data!$A$4:$A$60000,B23,Data!$F$4:$F$60000))</f>
        <v>0</v>
      </c>
      <c r="H23" s="128">
        <f>IF( ISBLANK(B23),"",  AVGIF(Data!$A$4:$A$60000,B23,Data!$D$4:$D$60000)+ AVGIF(Data!$A$4:$A$60000,B23,Data!$E$4:$E$60000) +  AVGIF(Data!$A$4:$A$60000,B23,Data!$F$4:$F$60000))</f>
        <v>0</v>
      </c>
      <c r="I23" s="128">
        <f>IF(ISBLANK(B23),"",SUMIF(Data!$A$4:$A$60000,B23,Data!$J$4:$J$60000))</f>
        <v>6</v>
      </c>
      <c r="J23" s="128">
        <f>IF(ISBLANK(B23),"",SUMIF(Data!$A$4:$A$60000,B23,Data!$K$4:$K$60000))</f>
        <v>1</v>
      </c>
      <c r="K23" s="128">
        <f>IF(ISBLANK(B23),"",SUMIF(Data!$A$4:$A$60000,B23,Data!$L$4:$L$60000))</f>
        <v>1</v>
      </c>
      <c r="L23" s="128">
        <f>IF( ISBLANK(B23),"",  AVGIF(Data!$A$4:$A$60000,B23,Data!$J$4:$J$60000)+ AVGIF(Data!$A$4:$A$60000,B23,Data!$K$4:$K$60000) +  AVGIF(Data!$A$4:$A$60000,B23,Data!$L$4:$L$60000))</f>
        <v>1</v>
      </c>
      <c r="M23" s="128">
        <f>IF(ISBLANK(B23), "",  IF(SUMIF(Data!$A$4:$A$60000,B23,Data!$W$4:$W$60000)=0, 0,SUMIF(Data!$A$4:$A$60000,B23,Data!$V$4:$V$60000)/SUMIF(Data!$A$4:$A$60000,B23,Data!$W$4:$W$60000)) )</f>
        <v>0</v>
      </c>
      <c r="N23" s="128">
        <f>IF(ISBLANK(B23),"",SUMIF(Data!$A$4:$A$60000,B23,Data!$W$4:$W$60000))</f>
        <v>0</v>
      </c>
      <c r="O23" s="131">
        <f>IF(ISBLANK(B23),"",SUMIF(Data!$A$4:$A$60000,B23,Data!$X$4:$X$60000))</f>
        <v>0</v>
      </c>
      <c r="P23" s="24"/>
      <c r="Q23" s="24"/>
      <c r="R23" s="24"/>
    </row>
    <row r="24" spans="2:18" x14ac:dyDescent="0.2">
      <c r="B24" s="130">
        <v>830</v>
      </c>
      <c r="C24" s="128">
        <f>IF(ISBLANK(B24),"",SUMIF(Data!$A$4:$A$60000,B24,Data!$C$4:$C$60000))</f>
        <v>153</v>
      </c>
      <c r="D24" s="128">
        <f>IF( ISBLANK(B24),"",  AVGIF(Data!$A$4:$A$60000,B24,Data!$C$4:$C$60000))</f>
        <v>15.3</v>
      </c>
      <c r="E24" s="128">
        <f>IF(ISBLANK(B24),"",SUMIF(Data!$A$4:$A$60000,B24,Data!$D$4:$D$60000))</f>
        <v>1</v>
      </c>
      <c r="F24" s="128">
        <f>IF(ISBLANK(B24),"",SUMIF(Data!$A$4:$A$60000,B24,Data!$E$4:$E$60000))</f>
        <v>0</v>
      </c>
      <c r="G24" s="128">
        <f>IF(ISBLANK(B24),"",SUMIF(Data!$A$4:$A$60000,B24,Data!$F$4:$F$60000))</f>
        <v>0</v>
      </c>
      <c r="H24" s="128">
        <f>IF( ISBLANK(B24),"",  AVGIF(Data!$A$4:$A$60000,B24,Data!$D$4:$D$60000)+ AVGIF(Data!$A$4:$A$60000,B24,Data!$E$4:$E$60000) +  AVGIF(Data!$A$4:$A$60000,B24,Data!$F$4:$F$60000))</f>
        <v>0.1</v>
      </c>
      <c r="I24" s="128">
        <f>IF(ISBLANK(B24),"",SUMIF(Data!$A$4:$A$60000,B24,Data!$J$4:$J$60000))</f>
        <v>30</v>
      </c>
      <c r="J24" s="128">
        <f>IF(ISBLANK(B24),"",SUMIF(Data!$A$4:$A$60000,B24,Data!$K$4:$K$60000))</f>
        <v>3</v>
      </c>
      <c r="K24" s="128">
        <f>IF(ISBLANK(B24),"",SUMIF(Data!$A$4:$A$60000,B24,Data!$L$4:$L$60000))</f>
        <v>0</v>
      </c>
      <c r="L24" s="128">
        <f>IF( ISBLANK(B24),"",  AVGIF(Data!$A$4:$A$60000,B24,Data!$J$4:$J$60000)+ AVGIF(Data!$A$4:$A$60000,B24,Data!$K$4:$K$60000) +  AVGIF(Data!$A$4:$A$60000,B24,Data!$L$4:$L$60000))</f>
        <v>3.3</v>
      </c>
      <c r="M24" s="128">
        <f>IF(ISBLANK(B24), "",  IF(SUMIF(Data!$A$4:$A$60000,B24,Data!$W$4:$W$60000)=0, 0,SUMIF(Data!$A$4:$A$60000,B24,Data!$V$4:$V$60000)/SUMIF(Data!$A$4:$A$60000,B24,Data!$W$4:$W$60000)) )</f>
        <v>0</v>
      </c>
      <c r="N24" s="128">
        <f>IF(ISBLANK(B24),"",SUMIF(Data!$A$4:$A$60000,B24,Data!$W$4:$W$60000))</f>
        <v>0</v>
      </c>
      <c r="O24" s="131">
        <f>IF(ISBLANK(B24),"",SUMIF(Data!$A$4:$A$60000,B24,Data!$X$4:$X$60000))</f>
        <v>0</v>
      </c>
      <c r="P24" s="24"/>
      <c r="Q24" s="24"/>
      <c r="R24" s="24"/>
    </row>
    <row r="25" spans="2:18" x14ac:dyDescent="0.2">
      <c r="B25" s="130">
        <v>835</v>
      </c>
      <c r="C25" s="128">
        <f>IF(ISBLANK(B25),"",SUMIF(Data!$A$4:$A$60000,B25,Data!$C$4:$C$60000))</f>
        <v>99</v>
      </c>
      <c r="D25" s="128">
        <f>IF( ISBLANK(B25),"",  AVGIF(Data!$A$4:$A$60000,B25,Data!$C$4:$C$60000))</f>
        <v>14.142857142857142</v>
      </c>
      <c r="E25" s="128">
        <f>IF(ISBLANK(B25),"",SUMIF(Data!$A$4:$A$60000,B25,Data!$D$4:$D$60000))</f>
        <v>0</v>
      </c>
      <c r="F25" s="128">
        <f>IF(ISBLANK(B25),"",SUMIF(Data!$A$4:$A$60000,B25,Data!$E$4:$E$60000))</f>
        <v>0</v>
      </c>
      <c r="G25" s="128">
        <f>IF(ISBLANK(B25),"",SUMIF(Data!$A$4:$A$60000,B25,Data!$F$4:$F$60000))</f>
        <v>0</v>
      </c>
      <c r="H25" s="128">
        <f>IF( ISBLANK(B25),"",  AVGIF(Data!$A$4:$A$60000,B25,Data!$D$4:$D$60000)+ AVGIF(Data!$A$4:$A$60000,B25,Data!$E$4:$E$60000) +  AVGIF(Data!$A$4:$A$60000,B25,Data!$F$4:$F$60000))</f>
        <v>0</v>
      </c>
      <c r="I25" s="128">
        <f>IF(ISBLANK(B25),"",SUMIF(Data!$A$4:$A$60000,B25,Data!$J$4:$J$60000))</f>
        <v>6</v>
      </c>
      <c r="J25" s="128">
        <f>IF(ISBLANK(B25),"",SUMIF(Data!$A$4:$A$60000,B25,Data!$K$4:$K$60000))</f>
        <v>6</v>
      </c>
      <c r="K25" s="128">
        <f>IF(ISBLANK(B25),"",SUMIF(Data!$A$4:$A$60000,B25,Data!$L$4:$L$60000))</f>
        <v>0</v>
      </c>
      <c r="L25" s="128">
        <f>IF( ISBLANK(B25),"",  AVGIF(Data!$A$4:$A$60000,B25,Data!$J$4:$J$60000)+ AVGIF(Data!$A$4:$A$60000,B25,Data!$K$4:$K$60000) +  AVGIF(Data!$A$4:$A$60000,B25,Data!$L$4:$L$60000))</f>
        <v>1.7142857142857142</v>
      </c>
      <c r="M25" s="128">
        <f>IF(ISBLANK(B25), "",  IF(SUMIF(Data!$A$4:$A$60000,B25,Data!$W$4:$W$60000)=0, 0,SUMIF(Data!$A$4:$A$60000,B25,Data!$V$4:$V$60000)/SUMIF(Data!$A$4:$A$60000,B25,Data!$W$4:$W$60000)) )</f>
        <v>0</v>
      </c>
      <c r="N25" s="128">
        <f>IF(ISBLANK(B25),"",SUMIF(Data!$A$4:$A$60000,B25,Data!$W$4:$W$60000))</f>
        <v>0</v>
      </c>
      <c r="O25" s="131">
        <f>IF(ISBLANK(B25),"",SUMIF(Data!$A$4:$A$60000,B25,Data!$X$4:$X$60000))</f>
        <v>0</v>
      </c>
      <c r="P25" s="24"/>
      <c r="Q25" s="24"/>
      <c r="R25" s="24"/>
    </row>
    <row r="26" spans="2:18" x14ac:dyDescent="0.2">
      <c r="B26" s="130">
        <v>3322</v>
      </c>
      <c r="C26" s="128">
        <f>IF(ISBLANK(B26),"",SUMIF(Data!$A$4:$A$60000,B26,Data!$C$4:$C$60000))</f>
        <v>74</v>
      </c>
      <c r="D26" s="128">
        <f>IF( ISBLANK(B26),"",  AVGIF(Data!$A$4:$A$60000,B26,Data!$C$4:$C$60000))</f>
        <v>12.333333333333334</v>
      </c>
      <c r="E26" s="128">
        <f>IF(ISBLANK(B26),"",SUMIF(Data!$A$4:$A$60000,B26,Data!$D$4:$D$60000))</f>
        <v>3</v>
      </c>
      <c r="F26" s="128">
        <f>IF(ISBLANK(B26),"",SUMIF(Data!$A$4:$A$60000,B26,Data!$E$4:$E$60000))</f>
        <v>0</v>
      </c>
      <c r="G26" s="128">
        <f>IF(ISBLANK(B26),"",SUMIF(Data!$A$4:$A$60000,B26,Data!$F$4:$F$60000))</f>
        <v>0</v>
      </c>
      <c r="H26" s="128">
        <f>IF( ISBLANK(B26),"",  AVGIF(Data!$A$4:$A$60000,B26,Data!$D$4:$D$60000)+ AVGIF(Data!$A$4:$A$60000,B26,Data!$E$4:$E$60000) +  AVGIF(Data!$A$4:$A$60000,B26,Data!$F$4:$F$60000))</f>
        <v>0.5</v>
      </c>
      <c r="I26" s="128">
        <f>IF(ISBLANK(B26),"",SUMIF(Data!$A$4:$A$60000,B26,Data!$J$4:$J$60000))</f>
        <v>7</v>
      </c>
      <c r="J26" s="128">
        <f>IF(ISBLANK(B26),"",SUMIF(Data!$A$4:$A$60000,B26,Data!$K$4:$K$60000))</f>
        <v>1</v>
      </c>
      <c r="K26" s="128">
        <f>IF(ISBLANK(B26),"",SUMIF(Data!$A$4:$A$60000,B26,Data!$L$4:$L$60000))</f>
        <v>0</v>
      </c>
      <c r="L26" s="128">
        <f>IF( ISBLANK(B26),"",  AVGIF(Data!$A$4:$A$60000,B26,Data!$J$4:$J$60000)+ AVGIF(Data!$A$4:$A$60000,B26,Data!$K$4:$K$60000) +  AVGIF(Data!$A$4:$A$60000,B26,Data!$L$4:$L$60000))</f>
        <v>1.3333333333333335</v>
      </c>
      <c r="M26" s="128">
        <f>IF(ISBLANK(B26), "",  IF(SUMIF(Data!$A$4:$A$60000,B26,Data!$W$4:$W$60000)=0, 0,SUMIF(Data!$A$4:$A$60000,B26,Data!$V$4:$V$60000)/SUMIF(Data!$A$4:$A$60000,B26,Data!$W$4:$W$60000)) )</f>
        <v>0</v>
      </c>
      <c r="N26" s="128">
        <f>IF(ISBLANK(B26),"",SUMIF(Data!$A$4:$A$60000,B26,Data!$W$4:$W$60000))</f>
        <v>0</v>
      </c>
      <c r="O26" s="131">
        <f>IF(ISBLANK(B26),"",SUMIF(Data!$A$4:$A$60000,B26,Data!$X$4:$X$60000))</f>
        <v>0</v>
      </c>
      <c r="P26" s="24"/>
      <c r="Q26" s="24"/>
      <c r="R26" s="24"/>
    </row>
    <row r="27" spans="2:18" x14ac:dyDescent="0.2">
      <c r="B27" s="130">
        <v>1025</v>
      </c>
      <c r="C27" s="128">
        <f>IF(ISBLANK(B27),"",SUMIF(Data!$A$4:$A$60000,B27,Data!$C$4:$C$60000))</f>
        <v>63</v>
      </c>
      <c r="D27" s="128">
        <f>IF( ISBLANK(B27),"",  AVGIF(Data!$A$4:$A$60000,B27,Data!$C$4:$C$60000))</f>
        <v>9</v>
      </c>
      <c r="E27" s="128">
        <f>IF(ISBLANK(B27),"",SUMIF(Data!$A$4:$A$60000,B27,Data!$D$4:$D$60000))</f>
        <v>0</v>
      </c>
      <c r="F27" s="128">
        <f>IF(ISBLANK(B27),"",SUMIF(Data!$A$4:$A$60000,B27,Data!$E$4:$E$60000))</f>
        <v>0</v>
      </c>
      <c r="G27" s="128">
        <f>IF(ISBLANK(B27),"",SUMIF(Data!$A$4:$A$60000,B27,Data!$F$4:$F$60000))</f>
        <v>0</v>
      </c>
      <c r="H27" s="128">
        <f>IF( ISBLANK(B27),"",  AVGIF(Data!$A$4:$A$60000,B27,Data!$D$4:$D$60000)+ AVGIF(Data!$A$4:$A$60000,B27,Data!$E$4:$E$60000) +  AVGIF(Data!$A$4:$A$60000,B27,Data!$F$4:$F$60000))</f>
        <v>0</v>
      </c>
      <c r="I27" s="128">
        <f>IF(ISBLANK(B27),"",SUMIF(Data!$A$4:$A$60000,B27,Data!$J$4:$J$60000))</f>
        <v>3</v>
      </c>
      <c r="J27" s="128">
        <f>IF(ISBLANK(B27),"",SUMIF(Data!$A$4:$A$60000,B27,Data!$K$4:$K$60000))</f>
        <v>0</v>
      </c>
      <c r="K27" s="128">
        <f>IF(ISBLANK(B27),"",SUMIF(Data!$A$4:$A$60000,B27,Data!$L$4:$L$60000))</f>
        <v>0</v>
      </c>
      <c r="L27" s="128">
        <f>IF( ISBLANK(B27),"",  AVGIF(Data!$A$4:$A$60000,B27,Data!$J$4:$J$60000)+ AVGIF(Data!$A$4:$A$60000,B27,Data!$K$4:$K$60000) +  AVGIF(Data!$A$4:$A$60000,B27,Data!$L$4:$L$60000))</f>
        <v>0.42857142857142855</v>
      </c>
      <c r="M27" s="128">
        <f>IF(ISBLANK(B27), "",  IF(SUMIF(Data!$A$4:$A$60000,B27,Data!$W$4:$W$60000)=0, 0,SUMIF(Data!$A$4:$A$60000,B27,Data!$V$4:$V$60000)/SUMIF(Data!$A$4:$A$60000,B27,Data!$W$4:$W$60000)) )</f>
        <v>0</v>
      </c>
      <c r="N27" s="128">
        <f>IF(ISBLANK(B27),"",SUMIF(Data!$A$4:$A$60000,B27,Data!$W$4:$W$60000))</f>
        <v>0</v>
      </c>
      <c r="O27" s="131">
        <f>IF(ISBLANK(B27),"",SUMIF(Data!$A$4:$A$60000,B27,Data!$X$4:$X$60000))</f>
        <v>0</v>
      </c>
      <c r="P27" s="26"/>
      <c r="Q27" s="26"/>
      <c r="R27" s="26"/>
    </row>
    <row r="28" spans="2:18" x14ac:dyDescent="0.2">
      <c r="B28" s="130">
        <v>2075</v>
      </c>
      <c r="C28" s="128">
        <f>IF(ISBLANK(B28),"",SUMIF(Data!$A$4:$A$60000,B28,Data!$C$4:$C$60000))</f>
        <v>61</v>
      </c>
      <c r="D28" s="128">
        <f>IF( ISBLANK(B28),"",  AVGIF(Data!$A$4:$A$60000,B28,Data!$C$4:$C$60000))</f>
        <v>8.7142857142857135</v>
      </c>
      <c r="E28" s="128">
        <f>IF(ISBLANK(B28),"",SUMIF(Data!$A$4:$A$60000,B28,Data!$D$4:$D$60000))</f>
        <v>0</v>
      </c>
      <c r="F28" s="128">
        <f>IF(ISBLANK(B28),"",SUMIF(Data!$A$4:$A$60000,B28,Data!$E$4:$E$60000))</f>
        <v>0</v>
      </c>
      <c r="G28" s="128">
        <f>IF(ISBLANK(B28),"",SUMIF(Data!$A$4:$A$60000,B28,Data!$F$4:$F$60000))</f>
        <v>0</v>
      </c>
      <c r="H28" s="128">
        <f>IF( ISBLANK(B28),"",  AVGIF(Data!$A$4:$A$60000,B28,Data!$D$4:$D$60000)+ AVGIF(Data!$A$4:$A$60000,B28,Data!$E$4:$E$60000) +  AVGIF(Data!$A$4:$A$60000,B28,Data!$F$4:$F$60000))</f>
        <v>0</v>
      </c>
      <c r="I28" s="128">
        <f>IF(ISBLANK(B28),"",SUMIF(Data!$A$4:$A$60000,B28,Data!$J$4:$J$60000))</f>
        <v>10</v>
      </c>
      <c r="J28" s="128">
        <f>IF(ISBLANK(B28),"",SUMIF(Data!$A$4:$A$60000,B28,Data!$K$4:$K$60000))</f>
        <v>2</v>
      </c>
      <c r="K28" s="128">
        <f>IF(ISBLANK(B28),"",SUMIF(Data!$A$4:$A$60000,B28,Data!$L$4:$L$60000))</f>
        <v>0</v>
      </c>
      <c r="L28" s="128">
        <f>IF( ISBLANK(B28),"",  AVGIF(Data!$A$4:$A$60000,B28,Data!$J$4:$J$60000)+ AVGIF(Data!$A$4:$A$60000,B28,Data!$K$4:$K$60000) +  AVGIF(Data!$A$4:$A$60000,B28,Data!$L$4:$L$60000))</f>
        <v>1.7142857142857144</v>
      </c>
      <c r="M28" s="128">
        <f>IF(ISBLANK(B28), "",  IF(SUMIF(Data!$A$4:$A$60000,B28,Data!$W$4:$W$60000)=0, 0,SUMIF(Data!$A$4:$A$60000,B28,Data!$V$4:$V$60000)/SUMIF(Data!$A$4:$A$60000,B28,Data!$W$4:$W$60000)) )</f>
        <v>0</v>
      </c>
      <c r="N28" s="128">
        <f>IF(ISBLANK(B28),"",SUMIF(Data!$A$4:$A$60000,B28,Data!$W$4:$W$60000))</f>
        <v>0</v>
      </c>
      <c r="O28" s="131">
        <f>IF(ISBLANK(B28),"",SUMIF(Data!$A$4:$A$60000,B28,Data!$X$4:$X$60000))</f>
        <v>0</v>
      </c>
      <c r="P28" s="26"/>
      <c r="Q28" s="26"/>
      <c r="R28" s="26"/>
    </row>
    <row r="29" spans="2:18" x14ac:dyDescent="0.2">
      <c r="B29" s="130">
        <v>3535</v>
      </c>
      <c r="C29" s="128">
        <f>IF(ISBLANK(B29),"",SUMIF(Data!$A$4:$A$60000,B29,Data!$C$4:$C$60000))</f>
        <v>70</v>
      </c>
      <c r="D29" s="128">
        <f>IF( ISBLANK(B29),"",  AVGIF(Data!$A$4:$A$60000,B29,Data!$C$4:$C$60000))</f>
        <v>7.7777777777777777</v>
      </c>
      <c r="E29" s="128">
        <f>IF(ISBLANK(B29),"",SUMIF(Data!$A$4:$A$60000,B29,Data!$D$4:$D$60000))</f>
        <v>0</v>
      </c>
      <c r="F29" s="128">
        <f>IF(ISBLANK(B29),"",SUMIF(Data!$A$4:$A$60000,B29,Data!$E$4:$E$60000))</f>
        <v>1</v>
      </c>
      <c r="G29" s="128">
        <f>IF(ISBLANK(B29),"",SUMIF(Data!$A$4:$A$60000,B29,Data!$F$4:$F$60000))</f>
        <v>0</v>
      </c>
      <c r="H29" s="128">
        <f>IF( ISBLANK(B29),"",  AVGIF(Data!$A$4:$A$60000,B29,Data!$D$4:$D$60000)+ AVGIF(Data!$A$4:$A$60000,B29,Data!$E$4:$E$60000) +  AVGIF(Data!$A$4:$A$60000,B29,Data!$F$4:$F$60000))</f>
        <v>0.1111111111111111</v>
      </c>
      <c r="I29" s="128">
        <f>IF(ISBLANK(B29),"",SUMIF(Data!$A$4:$A$60000,B29,Data!$J$4:$J$60000))</f>
        <v>6</v>
      </c>
      <c r="J29" s="128">
        <f>IF(ISBLANK(B29),"",SUMIF(Data!$A$4:$A$60000,B29,Data!$K$4:$K$60000))</f>
        <v>8</v>
      </c>
      <c r="K29" s="128">
        <f>IF(ISBLANK(B29),"",SUMIF(Data!$A$4:$A$60000,B29,Data!$L$4:$L$60000))</f>
        <v>0</v>
      </c>
      <c r="L29" s="128">
        <f>IF( ISBLANK(B29),"",  AVGIF(Data!$A$4:$A$60000,B29,Data!$J$4:$J$60000)+ AVGIF(Data!$A$4:$A$60000,B29,Data!$K$4:$K$60000) +  AVGIF(Data!$A$4:$A$60000,B29,Data!$L$4:$L$60000))</f>
        <v>1.5555555555555554</v>
      </c>
      <c r="M29" s="128">
        <f>IF(ISBLANK(B29), "",  IF(SUMIF(Data!$A$4:$A$60000,B29,Data!$W$4:$W$60000)=0, 0,SUMIF(Data!$A$4:$A$60000,B29,Data!$V$4:$V$60000)/SUMIF(Data!$A$4:$A$60000,B29,Data!$W$4:$W$60000)) )</f>
        <v>0</v>
      </c>
      <c r="N29" s="128">
        <f>IF(ISBLANK(B29),"",SUMIF(Data!$A$4:$A$60000,B29,Data!$W$4:$W$60000))</f>
        <v>0</v>
      </c>
      <c r="O29" s="131">
        <f>IF(ISBLANK(B29),"",SUMIF(Data!$A$4:$A$60000,B29,Data!$X$4:$X$60000))</f>
        <v>0</v>
      </c>
      <c r="P29" s="26"/>
      <c r="Q29" s="26"/>
      <c r="R29" s="26"/>
    </row>
    <row r="30" spans="2:18" x14ac:dyDescent="0.2">
      <c r="B30" s="130">
        <v>1684</v>
      </c>
      <c r="C30" s="128">
        <f>IF(ISBLANK(B30),"",SUMIF(Data!$A$4:$A$60000,B30,Data!$C$4:$C$60000))</f>
        <v>54</v>
      </c>
      <c r="D30" s="128">
        <f>IF( ISBLANK(B30),"",  AVGIF(Data!$A$4:$A$60000,B30,Data!$C$4:$C$60000))</f>
        <v>7.7142857142857144</v>
      </c>
      <c r="E30" s="128">
        <f>IF(ISBLANK(B30),"",SUMIF(Data!$A$4:$A$60000,B30,Data!$D$4:$D$60000))</f>
        <v>0</v>
      </c>
      <c r="F30" s="128">
        <f>IF(ISBLANK(B30),"",SUMIF(Data!$A$4:$A$60000,B30,Data!$E$4:$E$60000))</f>
        <v>0</v>
      </c>
      <c r="G30" s="128">
        <f>IF(ISBLANK(B30),"",SUMIF(Data!$A$4:$A$60000,B30,Data!$F$4:$F$60000))</f>
        <v>0</v>
      </c>
      <c r="H30" s="128">
        <f>IF( ISBLANK(B30),"",  AVGIF(Data!$A$4:$A$60000,B30,Data!$D$4:$D$60000)+ AVGIF(Data!$A$4:$A$60000,B30,Data!$E$4:$E$60000) +  AVGIF(Data!$A$4:$A$60000,B30,Data!$F$4:$F$60000))</f>
        <v>0</v>
      </c>
      <c r="I30" s="128">
        <f>IF(ISBLANK(B30),"",SUMIF(Data!$A$4:$A$60000,B30,Data!$J$4:$J$60000))</f>
        <v>11</v>
      </c>
      <c r="J30" s="128">
        <f>IF(ISBLANK(B30),"",SUMIF(Data!$A$4:$A$60000,B30,Data!$K$4:$K$60000))</f>
        <v>3</v>
      </c>
      <c r="K30" s="128">
        <f>IF(ISBLANK(B30),"",SUMIF(Data!$A$4:$A$60000,B30,Data!$L$4:$L$60000))</f>
        <v>0</v>
      </c>
      <c r="L30" s="128">
        <f>IF( ISBLANK(B30),"",  AVGIF(Data!$A$4:$A$60000,B30,Data!$J$4:$J$60000)+ AVGIF(Data!$A$4:$A$60000,B30,Data!$K$4:$K$60000) +  AVGIF(Data!$A$4:$A$60000,B30,Data!$L$4:$L$60000))</f>
        <v>2</v>
      </c>
      <c r="M30" s="128">
        <f>IF(ISBLANK(B30), "",  IF(SUMIF(Data!$A$4:$A$60000,B30,Data!$W$4:$W$60000)=0, 0,SUMIF(Data!$A$4:$A$60000,B30,Data!$V$4:$V$60000)/SUMIF(Data!$A$4:$A$60000,B30,Data!$W$4:$W$60000)) )</f>
        <v>0</v>
      </c>
      <c r="N30" s="128">
        <f>IF(ISBLANK(B30),"",SUMIF(Data!$A$4:$A$60000,B30,Data!$W$4:$W$60000))</f>
        <v>0</v>
      </c>
      <c r="O30" s="131">
        <f>IF(ISBLANK(B30),"",SUMIF(Data!$A$4:$A$60000,B30,Data!$X$4:$X$60000))</f>
        <v>0</v>
      </c>
    </row>
    <row r="31" spans="2:18" x14ac:dyDescent="0.2">
      <c r="B31" s="130">
        <v>3537</v>
      </c>
      <c r="C31" s="128">
        <f>IF(ISBLANK(B31),"",SUMIF(Data!$A$4:$A$60000,B31,Data!$C$4:$C$60000))</f>
        <v>54</v>
      </c>
      <c r="D31" s="128">
        <f>IF( ISBLANK(B31),"",  AVGIF(Data!$A$4:$A$60000,B31,Data!$C$4:$C$60000))</f>
        <v>7.7142857142857144</v>
      </c>
      <c r="E31" s="128">
        <f>IF(ISBLANK(B31),"",SUMIF(Data!$A$4:$A$60000,B31,Data!$D$4:$D$60000))</f>
        <v>0</v>
      </c>
      <c r="F31" s="128">
        <f>IF(ISBLANK(B31),"",SUMIF(Data!$A$4:$A$60000,B31,Data!$E$4:$E$60000))</f>
        <v>0</v>
      </c>
      <c r="G31" s="128">
        <f>IF(ISBLANK(B31),"",SUMIF(Data!$A$4:$A$60000,B31,Data!$F$4:$F$60000))</f>
        <v>0</v>
      </c>
      <c r="H31" s="128">
        <f>IF( ISBLANK(B31),"",  AVGIF(Data!$A$4:$A$60000,B31,Data!$D$4:$D$60000)+ AVGIF(Data!$A$4:$A$60000,B31,Data!$E$4:$E$60000) +  AVGIF(Data!$A$4:$A$60000,B31,Data!$F$4:$F$60000))</f>
        <v>0</v>
      </c>
      <c r="I31" s="128">
        <f>IF(ISBLANK(B31),"",SUMIF(Data!$A$4:$A$60000,B31,Data!$J$4:$J$60000))</f>
        <v>0</v>
      </c>
      <c r="J31" s="128">
        <f>IF(ISBLANK(B31),"",SUMIF(Data!$A$4:$A$60000,B31,Data!$K$4:$K$60000))</f>
        <v>2</v>
      </c>
      <c r="K31" s="128">
        <f>IF(ISBLANK(B31),"",SUMIF(Data!$A$4:$A$60000,B31,Data!$L$4:$L$60000))</f>
        <v>0</v>
      </c>
      <c r="L31" s="128">
        <f>IF( ISBLANK(B31),"",  AVGIF(Data!$A$4:$A$60000,B31,Data!$J$4:$J$60000)+ AVGIF(Data!$A$4:$A$60000,B31,Data!$K$4:$K$60000) +  AVGIF(Data!$A$4:$A$60000,B31,Data!$L$4:$L$60000))</f>
        <v>0.2857142857142857</v>
      </c>
      <c r="M31" s="128">
        <f>IF(ISBLANK(B31), "",  IF(SUMIF(Data!$A$4:$A$60000,B31,Data!$W$4:$W$60000)=0, 0,SUMIF(Data!$A$4:$A$60000,B31,Data!$V$4:$V$60000)/SUMIF(Data!$A$4:$A$60000,B31,Data!$W$4:$W$60000)) )</f>
        <v>0</v>
      </c>
      <c r="N31" s="128">
        <f>IF(ISBLANK(B31),"",SUMIF(Data!$A$4:$A$60000,B31,Data!$W$4:$W$60000))</f>
        <v>0</v>
      </c>
      <c r="O31" s="131">
        <f>IF(ISBLANK(B31),"",SUMIF(Data!$A$4:$A$60000,B31,Data!$X$4:$X$60000))</f>
        <v>0</v>
      </c>
    </row>
    <row r="32" spans="2:18" x14ac:dyDescent="0.2">
      <c r="B32" s="130">
        <v>247</v>
      </c>
      <c r="C32" s="128">
        <f>IF(ISBLANK(B32),"",SUMIF(Data!$A$4:$A$60000,B32,Data!$C$4:$C$60000))</f>
        <v>32</v>
      </c>
      <c r="D32" s="128">
        <f>IF( ISBLANK(B32),"",  AVGIF(Data!$A$4:$A$60000,B32,Data!$C$4:$C$60000))</f>
        <v>6.4</v>
      </c>
      <c r="E32" s="128">
        <f>IF(ISBLANK(B32),"",SUMIF(Data!$A$4:$A$60000,B32,Data!$D$4:$D$60000))</f>
        <v>0</v>
      </c>
      <c r="F32" s="128">
        <f>IF(ISBLANK(B32),"",SUMIF(Data!$A$4:$A$60000,B32,Data!$E$4:$E$60000))</f>
        <v>0</v>
      </c>
      <c r="G32" s="128">
        <f>IF(ISBLANK(B32),"",SUMIF(Data!$A$4:$A$60000,B32,Data!$F$4:$F$60000))</f>
        <v>0</v>
      </c>
      <c r="H32" s="128">
        <f>IF( ISBLANK(B32),"",  AVGIF(Data!$A$4:$A$60000,B32,Data!$D$4:$D$60000)+ AVGIF(Data!$A$4:$A$60000,B32,Data!$E$4:$E$60000) +  AVGIF(Data!$A$4:$A$60000,B32,Data!$F$4:$F$60000))</f>
        <v>0</v>
      </c>
      <c r="I32" s="128">
        <f>IF(ISBLANK(B32),"",SUMIF(Data!$A$4:$A$60000,B32,Data!$J$4:$J$60000))</f>
        <v>7</v>
      </c>
      <c r="J32" s="128">
        <f>IF(ISBLANK(B32),"",SUMIF(Data!$A$4:$A$60000,B32,Data!$K$4:$K$60000))</f>
        <v>1</v>
      </c>
      <c r="K32" s="128">
        <f>IF(ISBLANK(B32),"",SUMIF(Data!$A$4:$A$60000,B32,Data!$L$4:$L$60000))</f>
        <v>0</v>
      </c>
      <c r="L32" s="128">
        <f>IF( ISBLANK(B32),"",  AVGIF(Data!$A$4:$A$60000,B32,Data!$J$4:$J$60000)+ AVGIF(Data!$A$4:$A$60000,B32,Data!$K$4:$K$60000) +  AVGIF(Data!$A$4:$A$60000,B32,Data!$L$4:$L$60000))</f>
        <v>1.5999999999999999</v>
      </c>
      <c r="M32" s="128">
        <f>IF(ISBLANK(B32), "",  IF(SUMIF(Data!$A$4:$A$60000,B32,Data!$W$4:$W$60000)=0, 0,SUMIF(Data!$A$4:$A$60000,B32,Data!$V$4:$V$60000)/SUMIF(Data!$A$4:$A$60000,B32,Data!$W$4:$W$60000)) )</f>
        <v>0</v>
      </c>
      <c r="N32" s="128">
        <f>IF(ISBLANK(B32),"",SUMIF(Data!$A$4:$A$60000,B32,Data!$W$4:$W$60000))</f>
        <v>0</v>
      </c>
      <c r="O32" s="131">
        <f>IF(ISBLANK(B32),"",SUMIF(Data!$A$4:$A$60000,B32,Data!$X$4:$X$60000))</f>
        <v>0</v>
      </c>
    </row>
    <row r="33" spans="2:15" x14ac:dyDescent="0.2">
      <c r="B33" s="130">
        <v>269</v>
      </c>
      <c r="C33" s="128">
        <f>IF(ISBLANK(B33),"",SUMIF(Data!$A$4:$A$60000,B33,Data!$C$4:$C$60000))</f>
        <v>6</v>
      </c>
      <c r="D33" s="128">
        <f>IF( ISBLANK(B33),"",  AVGIF(Data!$A$4:$A$60000,B33,Data!$C$4:$C$60000))</f>
        <v>6</v>
      </c>
      <c r="E33" s="128">
        <f>IF(ISBLANK(B33),"",SUMIF(Data!$A$4:$A$60000,B33,Data!$D$4:$D$60000))</f>
        <v>1</v>
      </c>
      <c r="F33" s="128">
        <f>IF(ISBLANK(B33),"",SUMIF(Data!$A$4:$A$60000,B33,Data!$E$4:$E$60000))</f>
        <v>0</v>
      </c>
      <c r="G33" s="128">
        <f>IF(ISBLANK(B33),"",SUMIF(Data!$A$4:$A$60000,B33,Data!$F$4:$F$60000))</f>
        <v>0</v>
      </c>
      <c r="H33" s="128">
        <f>IF( ISBLANK(B33),"",  AVGIF(Data!$A$4:$A$60000,B33,Data!$D$4:$D$60000)+ AVGIF(Data!$A$4:$A$60000,B33,Data!$E$4:$E$60000) +  AVGIF(Data!$A$4:$A$60000,B33,Data!$F$4:$F$60000))</f>
        <v>1</v>
      </c>
      <c r="I33" s="128">
        <f>IF(ISBLANK(B33),"",SUMIF(Data!$A$4:$A$60000,B33,Data!$J$4:$J$60000))</f>
        <v>0</v>
      </c>
      <c r="J33" s="128">
        <f>IF(ISBLANK(B33),"",SUMIF(Data!$A$4:$A$60000,B33,Data!$K$4:$K$60000))</f>
        <v>0</v>
      </c>
      <c r="K33" s="128">
        <f>IF(ISBLANK(B33),"",SUMIF(Data!$A$4:$A$60000,B33,Data!$L$4:$L$60000))</f>
        <v>0</v>
      </c>
      <c r="L33" s="128">
        <f>IF( ISBLANK(B33),"",  AVGIF(Data!$A$4:$A$60000,B33,Data!$J$4:$J$60000)+ AVGIF(Data!$A$4:$A$60000,B33,Data!$K$4:$K$60000) +  AVGIF(Data!$A$4:$A$60000,B33,Data!$L$4:$L$60000))</f>
        <v>0</v>
      </c>
      <c r="M33" s="128">
        <f>IF(ISBLANK(B33), "",  IF(SUMIF(Data!$A$4:$A$60000,B33,Data!$W$4:$W$60000)=0, 0,SUMIF(Data!$A$4:$A$60000,B33,Data!$V$4:$V$60000)/SUMIF(Data!$A$4:$A$60000,B33,Data!$W$4:$W$60000)) )</f>
        <v>0</v>
      </c>
      <c r="N33" s="128">
        <f>IF(ISBLANK(B33),"",SUMIF(Data!$A$4:$A$60000,B33,Data!$W$4:$W$60000))</f>
        <v>0</v>
      </c>
      <c r="O33" s="131">
        <f>IF(ISBLANK(B33),"",SUMIF(Data!$A$4:$A$60000,B33,Data!$X$4:$X$60000))</f>
        <v>0</v>
      </c>
    </row>
    <row r="34" spans="2:15" x14ac:dyDescent="0.2">
      <c r="B34" s="130">
        <v>66</v>
      </c>
      <c r="C34" s="128">
        <f>IF(ISBLANK(B34),"",SUMIF(Data!$A$4:$A$60000,B34,Data!$C$4:$C$60000))</f>
        <v>23</v>
      </c>
      <c r="D34" s="128">
        <f>IF( ISBLANK(B34),"",  AVGIF(Data!$A$4:$A$60000,B34,Data!$C$4:$C$60000))</f>
        <v>4.5999999999999996</v>
      </c>
      <c r="E34" s="128">
        <f>IF(ISBLANK(B34),"",SUMIF(Data!$A$4:$A$60000,B34,Data!$D$4:$D$60000))</f>
        <v>0</v>
      </c>
      <c r="F34" s="128">
        <f>IF(ISBLANK(B34),"",SUMIF(Data!$A$4:$A$60000,B34,Data!$E$4:$E$60000))</f>
        <v>0</v>
      </c>
      <c r="G34" s="128">
        <f>IF(ISBLANK(B34),"",SUMIF(Data!$A$4:$A$60000,B34,Data!$F$4:$F$60000))</f>
        <v>0</v>
      </c>
      <c r="H34" s="128">
        <f>IF( ISBLANK(B34),"",  AVGIF(Data!$A$4:$A$60000,B34,Data!$D$4:$D$60000)+ AVGIF(Data!$A$4:$A$60000,B34,Data!$E$4:$E$60000) +  AVGIF(Data!$A$4:$A$60000,B34,Data!$F$4:$F$60000))</f>
        <v>0</v>
      </c>
      <c r="I34" s="128">
        <f>IF(ISBLANK(B34),"",SUMIF(Data!$A$4:$A$60000,B34,Data!$J$4:$J$60000))</f>
        <v>7</v>
      </c>
      <c r="J34" s="128">
        <f>IF(ISBLANK(B34),"",SUMIF(Data!$A$4:$A$60000,B34,Data!$K$4:$K$60000))</f>
        <v>1</v>
      </c>
      <c r="K34" s="128">
        <f>IF(ISBLANK(B34),"",SUMIF(Data!$A$4:$A$60000,B34,Data!$L$4:$L$60000))</f>
        <v>0</v>
      </c>
      <c r="L34" s="128">
        <f>IF( ISBLANK(B34),"",  AVGIF(Data!$A$4:$A$60000,B34,Data!$J$4:$J$60000)+ AVGIF(Data!$A$4:$A$60000,B34,Data!$K$4:$K$60000) +  AVGIF(Data!$A$4:$A$60000,B34,Data!$L$4:$L$60000))</f>
        <v>1.5999999999999999</v>
      </c>
      <c r="M34" s="128">
        <f>IF(ISBLANK(B34), "",  IF(SUMIF(Data!$A$4:$A$60000,B34,Data!$W$4:$W$60000)=0, 0,SUMIF(Data!$A$4:$A$60000,B34,Data!$V$4:$V$60000)/SUMIF(Data!$A$4:$A$60000,B34,Data!$W$4:$W$60000)) )</f>
        <v>0</v>
      </c>
      <c r="N34" s="128">
        <f>IF(ISBLANK(B34),"",SUMIF(Data!$A$4:$A$60000,B34,Data!$W$4:$W$60000))</f>
        <v>0</v>
      </c>
      <c r="O34" s="131">
        <f>IF(ISBLANK(B34),"",SUMIF(Data!$A$4:$A$60000,B34,Data!$X$4:$X$60000))</f>
        <v>0</v>
      </c>
    </row>
    <row r="35" spans="2:15" x14ac:dyDescent="0.2">
      <c r="B35" s="130">
        <v>3707</v>
      </c>
      <c r="C35" s="128">
        <f>IF(ISBLANK(B35),"",SUMIF(Data!$A$4:$A$60000,B35,Data!$C$4:$C$60000))</f>
        <v>36</v>
      </c>
      <c r="D35" s="128">
        <f>IF( ISBLANK(B35),"",  AVGIF(Data!$A$4:$A$60000,B35,Data!$C$4:$C$60000))</f>
        <v>4.5</v>
      </c>
      <c r="E35" s="128">
        <f>IF(ISBLANK(B35),"",SUMIF(Data!$A$4:$A$60000,B35,Data!$D$4:$D$60000))</f>
        <v>0</v>
      </c>
      <c r="F35" s="128">
        <f>IF(ISBLANK(B35),"",SUMIF(Data!$A$4:$A$60000,B35,Data!$E$4:$E$60000))</f>
        <v>0</v>
      </c>
      <c r="G35" s="128">
        <f>IF(ISBLANK(B35),"",SUMIF(Data!$A$4:$A$60000,B35,Data!$F$4:$F$60000))</f>
        <v>0</v>
      </c>
      <c r="H35" s="128">
        <f>IF( ISBLANK(B35),"",  AVGIF(Data!$A$4:$A$60000,B35,Data!$D$4:$D$60000)+ AVGIF(Data!$A$4:$A$60000,B35,Data!$E$4:$E$60000) +  AVGIF(Data!$A$4:$A$60000,B35,Data!$F$4:$F$60000))</f>
        <v>0</v>
      </c>
      <c r="I35" s="128">
        <f>IF(ISBLANK(B35),"",SUMIF(Data!$A$4:$A$60000,B35,Data!$J$4:$J$60000))</f>
        <v>4</v>
      </c>
      <c r="J35" s="128">
        <f>IF(ISBLANK(B35),"",SUMIF(Data!$A$4:$A$60000,B35,Data!$K$4:$K$60000))</f>
        <v>9</v>
      </c>
      <c r="K35" s="128">
        <f>IF(ISBLANK(B35),"",SUMIF(Data!$A$4:$A$60000,B35,Data!$L$4:$L$60000))</f>
        <v>0</v>
      </c>
      <c r="L35" s="128">
        <f>IF( ISBLANK(B35),"",  AVGIF(Data!$A$4:$A$60000,B35,Data!$J$4:$J$60000)+ AVGIF(Data!$A$4:$A$60000,B35,Data!$K$4:$K$60000) +  AVGIF(Data!$A$4:$A$60000,B35,Data!$L$4:$L$60000))</f>
        <v>1.625</v>
      </c>
      <c r="M35" s="128">
        <f>IF(ISBLANK(B35), "",  IF(SUMIF(Data!$A$4:$A$60000,B35,Data!$W$4:$W$60000)=0, 0,SUMIF(Data!$A$4:$A$60000,B35,Data!$V$4:$V$60000)/SUMIF(Data!$A$4:$A$60000,B35,Data!$W$4:$W$60000)) )</f>
        <v>0</v>
      </c>
      <c r="N35" s="128">
        <f>IF(ISBLANK(B35),"",SUMIF(Data!$A$4:$A$60000,B35,Data!$W$4:$W$60000))</f>
        <v>0</v>
      </c>
      <c r="O35" s="131">
        <f>IF(ISBLANK(B35),"",SUMIF(Data!$A$4:$A$60000,B35,Data!$X$4:$X$60000))</f>
        <v>0</v>
      </c>
    </row>
    <row r="36" spans="2:15" x14ac:dyDescent="0.2">
      <c r="B36" s="130">
        <v>894</v>
      </c>
      <c r="C36" s="128">
        <f>IF(ISBLANK(B36),"",SUMIF(Data!$A$4:$A$60000,B36,Data!$C$4:$C$60000))</f>
        <v>22</v>
      </c>
      <c r="D36" s="128">
        <f>IF( ISBLANK(B36),"",  AVGIF(Data!$A$4:$A$60000,B36,Data!$C$4:$C$60000))</f>
        <v>3.6666666666666665</v>
      </c>
      <c r="E36" s="128">
        <f>IF(ISBLANK(B36),"",SUMIF(Data!$A$4:$A$60000,B36,Data!$D$4:$D$60000))</f>
        <v>0</v>
      </c>
      <c r="F36" s="128">
        <f>IF(ISBLANK(B36),"",SUMIF(Data!$A$4:$A$60000,B36,Data!$E$4:$E$60000))</f>
        <v>0</v>
      </c>
      <c r="G36" s="128">
        <f>IF(ISBLANK(B36),"",SUMIF(Data!$A$4:$A$60000,B36,Data!$F$4:$F$60000))</f>
        <v>0</v>
      </c>
      <c r="H36" s="128">
        <f>IF( ISBLANK(B36),"",  AVGIF(Data!$A$4:$A$60000,B36,Data!$D$4:$D$60000)+ AVGIF(Data!$A$4:$A$60000,B36,Data!$E$4:$E$60000) +  AVGIF(Data!$A$4:$A$60000,B36,Data!$F$4:$F$60000))</f>
        <v>0</v>
      </c>
      <c r="I36" s="128">
        <f>IF(ISBLANK(B36),"",SUMIF(Data!$A$4:$A$60000,B36,Data!$J$4:$J$60000))</f>
        <v>6</v>
      </c>
      <c r="J36" s="128">
        <f>IF(ISBLANK(B36),"",SUMIF(Data!$A$4:$A$60000,B36,Data!$K$4:$K$60000))</f>
        <v>2</v>
      </c>
      <c r="K36" s="128">
        <f>IF(ISBLANK(B36),"",SUMIF(Data!$A$4:$A$60000,B36,Data!$L$4:$L$60000))</f>
        <v>0</v>
      </c>
      <c r="L36" s="128">
        <f>IF( ISBLANK(B36),"",  AVGIF(Data!$A$4:$A$60000,B36,Data!$J$4:$J$60000)+ AVGIF(Data!$A$4:$A$60000,B36,Data!$K$4:$K$60000) +  AVGIF(Data!$A$4:$A$60000,B36,Data!$L$4:$L$60000))</f>
        <v>1.3333333333333333</v>
      </c>
      <c r="M36" s="128">
        <f>IF(ISBLANK(B36), "",  IF(SUMIF(Data!$A$4:$A$60000,B36,Data!$W$4:$W$60000)=0, 0,SUMIF(Data!$A$4:$A$60000,B36,Data!$V$4:$V$60000)/SUMIF(Data!$A$4:$A$60000,B36,Data!$W$4:$W$60000)) )</f>
        <v>0</v>
      </c>
      <c r="N36" s="128">
        <f>IF(ISBLANK(B36),"",SUMIF(Data!$A$4:$A$60000,B36,Data!$W$4:$W$60000))</f>
        <v>0</v>
      </c>
      <c r="O36" s="131">
        <f>IF(ISBLANK(B36),"",SUMIF(Data!$A$4:$A$60000,B36,Data!$X$4:$X$60000))</f>
        <v>0</v>
      </c>
    </row>
    <row r="37" spans="2:15" x14ac:dyDescent="0.2">
      <c r="B37" s="130">
        <v>3658</v>
      </c>
      <c r="C37" s="128">
        <f>IF(ISBLANK(B37),"",SUMIF(Data!$A$4:$A$60000,B37,Data!$C$4:$C$60000))</f>
        <v>3</v>
      </c>
      <c r="D37" s="128">
        <f>IF( ISBLANK(B37),"",  AVGIF(Data!$A$4:$A$60000,B37,Data!$C$4:$C$60000))</f>
        <v>3</v>
      </c>
      <c r="E37" s="128">
        <f>IF(ISBLANK(B37),"",SUMIF(Data!$A$4:$A$60000,B37,Data!$D$4:$D$60000))</f>
        <v>0</v>
      </c>
      <c r="F37" s="128">
        <f>IF(ISBLANK(B37),"",SUMIF(Data!$A$4:$A$60000,B37,Data!$E$4:$E$60000))</f>
        <v>0</v>
      </c>
      <c r="G37" s="128">
        <f>IF(ISBLANK(B37),"",SUMIF(Data!$A$4:$A$60000,B37,Data!$F$4:$F$60000))</f>
        <v>0</v>
      </c>
      <c r="H37" s="128">
        <f>IF( ISBLANK(B37),"",  AVGIF(Data!$A$4:$A$60000,B37,Data!$D$4:$D$60000)+ AVGIF(Data!$A$4:$A$60000,B37,Data!$E$4:$E$60000) +  AVGIF(Data!$A$4:$A$60000,B37,Data!$F$4:$F$60000))</f>
        <v>0</v>
      </c>
      <c r="I37" s="128">
        <f>IF(ISBLANK(B37),"",SUMIF(Data!$A$4:$A$60000,B37,Data!$J$4:$J$60000))</f>
        <v>1</v>
      </c>
      <c r="J37" s="128">
        <f>IF(ISBLANK(B37),"",SUMIF(Data!$A$4:$A$60000,B37,Data!$K$4:$K$60000))</f>
        <v>0</v>
      </c>
      <c r="K37" s="128">
        <f>IF(ISBLANK(B37),"",SUMIF(Data!$A$4:$A$60000,B37,Data!$L$4:$L$60000))</f>
        <v>0</v>
      </c>
      <c r="L37" s="128">
        <f>IF( ISBLANK(B37),"",  AVGIF(Data!$A$4:$A$60000,B37,Data!$J$4:$J$60000)+ AVGIF(Data!$A$4:$A$60000,B37,Data!$K$4:$K$60000) +  AVGIF(Data!$A$4:$A$60000,B37,Data!$L$4:$L$60000))</f>
        <v>1</v>
      </c>
      <c r="M37" s="128">
        <f>IF(ISBLANK(B37), "",  IF(SUMIF(Data!$A$4:$A$60000,B37,Data!$W$4:$W$60000)=0, 0,SUMIF(Data!$A$4:$A$60000,B37,Data!$V$4:$V$60000)/SUMIF(Data!$A$4:$A$60000,B37,Data!$W$4:$W$60000)) )</f>
        <v>0</v>
      </c>
      <c r="N37" s="128">
        <f>IF(ISBLANK(B37),"",SUMIF(Data!$A$4:$A$60000,B37,Data!$W$4:$W$60000))</f>
        <v>0</v>
      </c>
      <c r="O37" s="131">
        <f>IF(ISBLANK(B37),"",SUMIF(Data!$A$4:$A$60000,B37,Data!$X$4:$X$60000))</f>
        <v>0</v>
      </c>
    </row>
    <row r="38" spans="2:15" x14ac:dyDescent="0.2">
      <c r="B38" s="130">
        <v>3638</v>
      </c>
      <c r="C38" s="128">
        <f>IF(ISBLANK(B38),"",SUMIF(Data!$A$4:$A$60000,B38,Data!$C$4:$C$60000))</f>
        <v>20</v>
      </c>
      <c r="D38" s="128">
        <f>IF( ISBLANK(B38),"",  AVGIF(Data!$A$4:$A$60000,B38,Data!$C$4:$C$60000))</f>
        <v>2.5</v>
      </c>
      <c r="E38" s="128">
        <f>IF(ISBLANK(B38),"",SUMIF(Data!$A$4:$A$60000,B38,Data!$D$4:$D$60000))</f>
        <v>0</v>
      </c>
      <c r="F38" s="128">
        <f>IF(ISBLANK(B38),"",SUMIF(Data!$A$4:$A$60000,B38,Data!$E$4:$E$60000))</f>
        <v>4</v>
      </c>
      <c r="G38" s="128">
        <f>IF(ISBLANK(B38),"",SUMIF(Data!$A$4:$A$60000,B38,Data!$F$4:$F$60000))</f>
        <v>0</v>
      </c>
      <c r="H38" s="128">
        <f>IF( ISBLANK(B38),"",  AVGIF(Data!$A$4:$A$60000,B38,Data!$D$4:$D$60000)+ AVGIF(Data!$A$4:$A$60000,B38,Data!$E$4:$E$60000) +  AVGIF(Data!$A$4:$A$60000,B38,Data!$F$4:$F$60000))</f>
        <v>0.5</v>
      </c>
      <c r="I38" s="128">
        <f>IF(ISBLANK(B38),"",SUMIF(Data!$A$4:$A$60000,B38,Data!$J$4:$J$60000))</f>
        <v>0</v>
      </c>
      <c r="J38" s="128">
        <f>IF(ISBLANK(B38),"",SUMIF(Data!$A$4:$A$60000,B38,Data!$K$4:$K$60000))</f>
        <v>2</v>
      </c>
      <c r="K38" s="128">
        <f>IF(ISBLANK(B38),"",SUMIF(Data!$A$4:$A$60000,B38,Data!$L$4:$L$60000))</f>
        <v>0</v>
      </c>
      <c r="L38" s="128">
        <f>IF( ISBLANK(B38),"",  AVGIF(Data!$A$4:$A$60000,B38,Data!$J$4:$J$60000)+ AVGIF(Data!$A$4:$A$60000,B38,Data!$K$4:$K$60000) +  AVGIF(Data!$A$4:$A$60000,B38,Data!$L$4:$L$60000))</f>
        <v>0.25</v>
      </c>
      <c r="M38" s="128">
        <f>IF(ISBLANK(B38), "",  IF(SUMIF(Data!$A$4:$A$60000,B38,Data!$W$4:$W$60000)=0, 0,SUMIF(Data!$A$4:$A$60000,B38,Data!$V$4:$V$60000)/SUMIF(Data!$A$4:$A$60000,B38,Data!$W$4:$W$60000)) )</f>
        <v>0</v>
      </c>
      <c r="N38" s="128">
        <f>IF(ISBLANK(B38),"",SUMIF(Data!$A$4:$A$60000,B38,Data!$W$4:$W$60000))</f>
        <v>0</v>
      </c>
      <c r="O38" s="131">
        <f>IF(ISBLANK(B38),"",SUMIF(Data!$A$4:$A$60000,B38,Data!$X$4:$X$60000))</f>
        <v>0</v>
      </c>
    </row>
    <row r="39" spans="2:15" x14ac:dyDescent="0.2">
      <c r="B39" s="130">
        <v>3773</v>
      </c>
      <c r="C39" s="128">
        <f>IF(ISBLANK(B39),"",SUMIF(Data!$A$4:$A$60000,B39,Data!$C$4:$C$60000))</f>
        <v>20</v>
      </c>
      <c r="D39" s="128">
        <f>IF( ISBLANK(B39),"",  AVGIF(Data!$A$4:$A$60000,B39,Data!$C$4:$C$60000))</f>
        <v>2.5</v>
      </c>
      <c r="E39" s="128">
        <f>IF(ISBLANK(B39),"",SUMIF(Data!$A$4:$A$60000,B39,Data!$D$4:$D$60000))</f>
        <v>0</v>
      </c>
      <c r="F39" s="128">
        <f>IF(ISBLANK(B39),"",SUMIF(Data!$A$4:$A$60000,B39,Data!$E$4:$E$60000))</f>
        <v>0</v>
      </c>
      <c r="G39" s="128">
        <f>IF(ISBLANK(B39),"",SUMIF(Data!$A$4:$A$60000,B39,Data!$F$4:$F$60000))</f>
        <v>0</v>
      </c>
      <c r="H39" s="128">
        <f>IF( ISBLANK(B39),"",  AVGIF(Data!$A$4:$A$60000,B39,Data!$D$4:$D$60000)+ AVGIF(Data!$A$4:$A$60000,B39,Data!$E$4:$E$60000) +  AVGIF(Data!$A$4:$A$60000,B39,Data!$F$4:$F$60000))</f>
        <v>0</v>
      </c>
      <c r="I39" s="128">
        <f>IF(ISBLANK(B39),"",SUMIF(Data!$A$4:$A$60000,B39,Data!$J$4:$J$60000))</f>
        <v>3</v>
      </c>
      <c r="J39" s="128">
        <f>IF(ISBLANK(B39),"",SUMIF(Data!$A$4:$A$60000,B39,Data!$K$4:$K$60000))</f>
        <v>1</v>
      </c>
      <c r="K39" s="128">
        <f>IF(ISBLANK(B39),"",SUMIF(Data!$A$4:$A$60000,B39,Data!$L$4:$L$60000))</f>
        <v>0</v>
      </c>
      <c r="L39" s="128">
        <f>IF( ISBLANK(B39),"",  AVGIF(Data!$A$4:$A$60000,B39,Data!$J$4:$J$60000)+ AVGIF(Data!$A$4:$A$60000,B39,Data!$K$4:$K$60000) +  AVGIF(Data!$A$4:$A$60000,B39,Data!$L$4:$L$60000))</f>
        <v>0.5</v>
      </c>
      <c r="M39" s="128">
        <f>IF(ISBLANK(B39), "",  IF(SUMIF(Data!$A$4:$A$60000,B39,Data!$W$4:$W$60000)=0, 0,SUMIF(Data!$A$4:$A$60000,B39,Data!$V$4:$V$60000)/SUMIF(Data!$A$4:$A$60000,B39,Data!$W$4:$W$60000)) )</f>
        <v>0</v>
      </c>
      <c r="N39" s="128">
        <f>IF(ISBLANK(B39),"",SUMIF(Data!$A$4:$A$60000,B39,Data!$W$4:$W$60000))</f>
        <v>0</v>
      </c>
      <c r="O39" s="131">
        <f>IF(ISBLANK(B39),"",SUMIF(Data!$A$4:$A$60000,B39,Data!$X$4:$X$60000))</f>
        <v>0</v>
      </c>
    </row>
    <row r="40" spans="2:15" x14ac:dyDescent="0.2">
      <c r="B40" s="130">
        <v>860</v>
      </c>
      <c r="C40" s="128">
        <f>IF(ISBLANK(B40),"",SUMIF(Data!$A$4:$A$60000,B40,Data!$C$4:$C$60000))</f>
        <v>2</v>
      </c>
      <c r="D40" s="128">
        <f>IF( ISBLANK(B40),"",  AVGIF(Data!$A$4:$A$60000,B40,Data!$C$4:$C$60000))</f>
        <v>2</v>
      </c>
      <c r="E40" s="128">
        <f>IF(ISBLANK(B40),"",SUMIF(Data!$A$4:$A$60000,B40,Data!$D$4:$D$60000))</f>
        <v>0</v>
      </c>
      <c r="F40" s="128">
        <f>IF(ISBLANK(B40),"",SUMIF(Data!$A$4:$A$60000,B40,Data!$E$4:$E$60000))</f>
        <v>0</v>
      </c>
      <c r="G40" s="128">
        <f>IF(ISBLANK(B40),"",SUMIF(Data!$A$4:$A$60000,B40,Data!$F$4:$F$60000))</f>
        <v>0</v>
      </c>
      <c r="H40" s="128">
        <f>IF( ISBLANK(B40),"",  AVGIF(Data!$A$4:$A$60000,B40,Data!$D$4:$D$60000)+ AVGIF(Data!$A$4:$A$60000,B40,Data!$E$4:$E$60000) +  AVGIF(Data!$A$4:$A$60000,B40,Data!$F$4:$F$60000))</f>
        <v>0</v>
      </c>
      <c r="I40" s="128">
        <f>IF(ISBLANK(B40),"",SUMIF(Data!$A$4:$A$60000,B40,Data!$J$4:$J$60000))</f>
        <v>0</v>
      </c>
      <c r="J40" s="128">
        <f>IF(ISBLANK(B40),"",SUMIF(Data!$A$4:$A$60000,B40,Data!$K$4:$K$60000))</f>
        <v>1</v>
      </c>
      <c r="K40" s="128">
        <f>IF(ISBLANK(B40),"",SUMIF(Data!$A$4:$A$60000,B40,Data!$L$4:$L$60000))</f>
        <v>0</v>
      </c>
      <c r="L40" s="128">
        <f>IF( ISBLANK(B40),"",  AVGIF(Data!$A$4:$A$60000,B40,Data!$J$4:$J$60000)+ AVGIF(Data!$A$4:$A$60000,B40,Data!$K$4:$K$60000) +  AVGIF(Data!$A$4:$A$60000,B40,Data!$L$4:$L$60000))</f>
        <v>1</v>
      </c>
      <c r="M40" s="128">
        <f>IF(ISBLANK(B40), "",  IF(SUMIF(Data!$A$4:$A$60000,B40,Data!$W$4:$W$60000)=0, 0,SUMIF(Data!$A$4:$A$60000,B40,Data!$V$4:$V$60000)/SUMIF(Data!$A$4:$A$60000,B40,Data!$W$4:$W$60000)) )</f>
        <v>0</v>
      </c>
      <c r="N40" s="128">
        <f>IF(ISBLANK(B40),"",SUMIF(Data!$A$4:$A$60000,B40,Data!$W$4:$W$60000))</f>
        <v>0</v>
      </c>
      <c r="O40" s="131">
        <f>IF(ISBLANK(B40),"",SUMIF(Data!$A$4:$A$60000,B40,Data!$X$4:$X$60000))</f>
        <v>0</v>
      </c>
    </row>
    <row r="41" spans="2:15" x14ac:dyDescent="0.2">
      <c r="B41" s="130">
        <v>3656</v>
      </c>
      <c r="C41" s="128">
        <f>IF(ISBLANK(B41),"",SUMIF(Data!$A$4:$A$60000,B41,Data!$C$4:$C$60000))</f>
        <v>9</v>
      </c>
      <c r="D41" s="128">
        <f>IF( ISBLANK(B41),"",  AVGIF(Data!$A$4:$A$60000,B41,Data!$C$4:$C$60000))</f>
        <v>1.5</v>
      </c>
      <c r="E41" s="128">
        <f>IF(ISBLANK(B41),"",SUMIF(Data!$A$4:$A$60000,B41,Data!$D$4:$D$60000))</f>
        <v>0</v>
      </c>
      <c r="F41" s="128">
        <f>IF(ISBLANK(B41),"",SUMIF(Data!$A$4:$A$60000,B41,Data!$E$4:$E$60000))</f>
        <v>0</v>
      </c>
      <c r="G41" s="128">
        <f>IF(ISBLANK(B41),"",SUMIF(Data!$A$4:$A$60000,B41,Data!$F$4:$F$60000))</f>
        <v>0</v>
      </c>
      <c r="H41" s="128">
        <f>IF( ISBLANK(B41),"",  AVGIF(Data!$A$4:$A$60000,B41,Data!$D$4:$D$60000)+ AVGIF(Data!$A$4:$A$60000,B41,Data!$E$4:$E$60000) +  AVGIF(Data!$A$4:$A$60000,B41,Data!$F$4:$F$60000))</f>
        <v>0</v>
      </c>
      <c r="I41" s="128">
        <f>IF(ISBLANK(B41),"",SUMIF(Data!$A$4:$A$60000,B41,Data!$J$4:$J$60000))</f>
        <v>3</v>
      </c>
      <c r="J41" s="128">
        <f>IF(ISBLANK(B41),"",SUMIF(Data!$A$4:$A$60000,B41,Data!$K$4:$K$60000))</f>
        <v>0</v>
      </c>
      <c r="K41" s="128">
        <f>IF(ISBLANK(B41),"",SUMIF(Data!$A$4:$A$60000,B41,Data!$L$4:$L$60000))</f>
        <v>0</v>
      </c>
      <c r="L41" s="128">
        <f>IF( ISBLANK(B41),"",  AVGIF(Data!$A$4:$A$60000,B41,Data!$J$4:$J$60000)+ AVGIF(Data!$A$4:$A$60000,B41,Data!$K$4:$K$60000) +  AVGIF(Data!$A$4:$A$60000,B41,Data!$L$4:$L$60000))</f>
        <v>0.5</v>
      </c>
      <c r="M41" s="128">
        <f>IF(ISBLANK(B41), "",  IF(SUMIF(Data!$A$4:$A$60000,B41,Data!$W$4:$W$60000)=0, 0,SUMIF(Data!$A$4:$A$60000,B41,Data!$V$4:$V$60000)/SUMIF(Data!$A$4:$A$60000,B41,Data!$W$4:$W$60000)) )</f>
        <v>0</v>
      </c>
      <c r="N41" s="128">
        <f>IF(ISBLANK(B41),"",SUMIF(Data!$A$4:$A$60000,B41,Data!$W$4:$W$60000))</f>
        <v>0</v>
      </c>
      <c r="O41" s="131">
        <f>IF(ISBLANK(B41),"",SUMIF(Data!$A$4:$A$60000,B41,Data!$X$4:$X$60000))</f>
        <v>0</v>
      </c>
    </row>
    <row r="42" spans="2:15" x14ac:dyDescent="0.2">
      <c r="B42" s="130">
        <v>470</v>
      </c>
      <c r="C42" s="128">
        <f>IF(ISBLANK(B42),"",SUMIF(Data!$A$4:$A$60000,B42,Data!$C$4:$C$60000))</f>
        <v>9</v>
      </c>
      <c r="D42" s="128">
        <f>IF( ISBLANK(B42),"",  AVGIF(Data!$A$4:$A$60000,B42,Data!$C$4:$C$60000))</f>
        <v>1.2857142857142858</v>
      </c>
      <c r="E42" s="128">
        <f>IF(ISBLANK(B42),"",SUMIF(Data!$A$4:$A$60000,B42,Data!$D$4:$D$60000))</f>
        <v>0</v>
      </c>
      <c r="F42" s="128">
        <f>IF(ISBLANK(B42),"",SUMIF(Data!$A$4:$A$60000,B42,Data!$E$4:$E$60000))</f>
        <v>0</v>
      </c>
      <c r="G42" s="128">
        <f>IF(ISBLANK(B42),"",SUMIF(Data!$A$4:$A$60000,B42,Data!$F$4:$F$60000))</f>
        <v>0</v>
      </c>
      <c r="H42" s="128">
        <f>IF( ISBLANK(B42),"",  AVGIF(Data!$A$4:$A$60000,B42,Data!$D$4:$D$60000)+ AVGIF(Data!$A$4:$A$60000,B42,Data!$E$4:$E$60000) +  AVGIF(Data!$A$4:$A$60000,B42,Data!$F$4:$F$60000))</f>
        <v>0</v>
      </c>
      <c r="I42" s="128">
        <f>IF(ISBLANK(B42),"",SUMIF(Data!$A$4:$A$60000,B42,Data!$J$4:$J$60000))</f>
        <v>3</v>
      </c>
      <c r="J42" s="128">
        <f>IF(ISBLANK(B42),"",SUMIF(Data!$A$4:$A$60000,B42,Data!$K$4:$K$60000))</f>
        <v>0</v>
      </c>
      <c r="K42" s="128">
        <f>IF(ISBLANK(B42),"",SUMIF(Data!$A$4:$A$60000,B42,Data!$L$4:$L$60000))</f>
        <v>0</v>
      </c>
      <c r="L42" s="128">
        <f>IF( ISBLANK(B42),"",  AVGIF(Data!$A$4:$A$60000,B42,Data!$J$4:$J$60000)+ AVGIF(Data!$A$4:$A$60000,B42,Data!$K$4:$K$60000) +  AVGIF(Data!$A$4:$A$60000,B42,Data!$L$4:$L$60000))</f>
        <v>0.42857142857142855</v>
      </c>
      <c r="M42" s="128">
        <f>IF(ISBLANK(B42), "",  IF(SUMIF(Data!$A$4:$A$60000,B42,Data!$W$4:$W$60000)=0, 0,SUMIF(Data!$A$4:$A$60000,B42,Data!$V$4:$V$60000)/SUMIF(Data!$A$4:$A$60000,B42,Data!$W$4:$W$60000)) )</f>
        <v>0</v>
      </c>
      <c r="N42" s="128">
        <f>IF(ISBLANK(B42),"",SUMIF(Data!$A$4:$A$60000,B42,Data!$W$4:$W$60000))</f>
        <v>0</v>
      </c>
      <c r="O42" s="131">
        <f>IF(ISBLANK(B42),"",SUMIF(Data!$A$4:$A$60000,B42,Data!$X$4:$X$60000))</f>
        <v>0</v>
      </c>
    </row>
    <row r="43" spans="2:15" x14ac:dyDescent="0.2">
      <c r="B43" s="130">
        <v>862</v>
      </c>
      <c r="C43" s="128">
        <f>IF(ISBLANK(B43),"",SUMIF(Data!$A$4:$A$60000,B43,Data!$C$4:$C$60000))</f>
        <v>5</v>
      </c>
      <c r="D43" s="128">
        <f>IF( ISBLANK(B43),"",  AVGIF(Data!$A$4:$A$60000,B43,Data!$C$4:$C$60000))</f>
        <v>0.83333333333333337</v>
      </c>
      <c r="E43" s="128">
        <f>IF(ISBLANK(B43),"",SUMIF(Data!$A$4:$A$60000,B43,Data!$D$4:$D$60000))</f>
        <v>0</v>
      </c>
      <c r="F43" s="128">
        <f>IF(ISBLANK(B43),"",SUMIF(Data!$A$4:$A$60000,B43,Data!$E$4:$E$60000))</f>
        <v>0</v>
      </c>
      <c r="G43" s="128">
        <f>IF(ISBLANK(B43),"",SUMIF(Data!$A$4:$A$60000,B43,Data!$F$4:$F$60000))</f>
        <v>0</v>
      </c>
      <c r="H43" s="128">
        <f>IF( ISBLANK(B43),"",  AVGIF(Data!$A$4:$A$60000,B43,Data!$D$4:$D$60000)+ AVGIF(Data!$A$4:$A$60000,B43,Data!$E$4:$E$60000) +  AVGIF(Data!$A$4:$A$60000,B43,Data!$F$4:$F$60000))</f>
        <v>0</v>
      </c>
      <c r="I43" s="128">
        <f>IF(ISBLANK(B43),"",SUMIF(Data!$A$4:$A$60000,B43,Data!$J$4:$J$60000))</f>
        <v>1</v>
      </c>
      <c r="J43" s="128">
        <f>IF(ISBLANK(B43),"",SUMIF(Data!$A$4:$A$60000,B43,Data!$K$4:$K$60000))</f>
        <v>1</v>
      </c>
      <c r="K43" s="128">
        <f>IF(ISBLANK(B43),"",SUMIF(Data!$A$4:$A$60000,B43,Data!$L$4:$L$60000))</f>
        <v>0</v>
      </c>
      <c r="L43" s="128">
        <f>IF( ISBLANK(B43),"",  AVGIF(Data!$A$4:$A$60000,B43,Data!$J$4:$J$60000)+ AVGIF(Data!$A$4:$A$60000,B43,Data!$K$4:$K$60000) +  AVGIF(Data!$A$4:$A$60000,B43,Data!$L$4:$L$60000))</f>
        <v>0.33333333333333331</v>
      </c>
      <c r="M43" s="128">
        <f>IF(ISBLANK(B43), "",  IF(SUMIF(Data!$A$4:$A$60000,B43,Data!$W$4:$W$60000)=0, 0,SUMIF(Data!$A$4:$A$60000,B43,Data!$V$4:$V$60000)/SUMIF(Data!$A$4:$A$60000,B43,Data!$W$4:$W$60000)) )</f>
        <v>0</v>
      </c>
      <c r="N43" s="128">
        <f>IF(ISBLANK(B43),"",SUMIF(Data!$A$4:$A$60000,B43,Data!$W$4:$W$60000))</f>
        <v>0</v>
      </c>
      <c r="O43" s="131">
        <f>IF(ISBLANK(B43),"",SUMIF(Data!$A$4:$A$60000,B43,Data!$X$4:$X$60000))</f>
        <v>0</v>
      </c>
    </row>
    <row r="44" spans="2:15" x14ac:dyDescent="0.2">
      <c r="B44" s="130">
        <v>3415</v>
      </c>
      <c r="C44" s="128">
        <f>IF(ISBLANK(B44),"",SUMIF(Data!$A$4:$A$60000,B44,Data!$C$4:$C$60000))</f>
        <v>3</v>
      </c>
      <c r="D44" s="128">
        <f>IF( ISBLANK(B44),"",  AVGIF(Data!$A$4:$A$60000,B44,Data!$C$4:$C$60000))</f>
        <v>0.42857142857142855</v>
      </c>
      <c r="E44" s="128">
        <f>IF(ISBLANK(B44),"",SUMIF(Data!$A$4:$A$60000,B44,Data!$D$4:$D$60000))</f>
        <v>0</v>
      </c>
      <c r="F44" s="128">
        <f>IF(ISBLANK(B44),"",SUMIF(Data!$A$4:$A$60000,B44,Data!$E$4:$E$60000))</f>
        <v>0</v>
      </c>
      <c r="G44" s="128">
        <f>IF(ISBLANK(B44),"",SUMIF(Data!$A$4:$A$60000,B44,Data!$F$4:$F$60000))</f>
        <v>0</v>
      </c>
      <c r="H44" s="128">
        <f>IF( ISBLANK(B44),"",  AVGIF(Data!$A$4:$A$60000,B44,Data!$D$4:$D$60000)+ AVGIF(Data!$A$4:$A$60000,B44,Data!$E$4:$E$60000) +  AVGIF(Data!$A$4:$A$60000,B44,Data!$F$4:$F$60000))</f>
        <v>0</v>
      </c>
      <c r="I44" s="128">
        <f>IF(ISBLANK(B44),"",SUMIF(Data!$A$4:$A$60000,B44,Data!$J$4:$J$60000))</f>
        <v>1</v>
      </c>
      <c r="J44" s="128">
        <f>IF(ISBLANK(B44),"",SUMIF(Data!$A$4:$A$60000,B44,Data!$K$4:$K$60000))</f>
        <v>0</v>
      </c>
      <c r="K44" s="128">
        <f>IF(ISBLANK(B44),"",SUMIF(Data!$A$4:$A$60000,B44,Data!$L$4:$L$60000))</f>
        <v>0</v>
      </c>
      <c r="L44" s="128">
        <f>IF( ISBLANK(B44),"",  AVGIF(Data!$A$4:$A$60000,B44,Data!$J$4:$J$60000)+ AVGIF(Data!$A$4:$A$60000,B44,Data!$K$4:$K$60000) +  AVGIF(Data!$A$4:$A$60000,B44,Data!$L$4:$L$60000))</f>
        <v>0.14285714285714285</v>
      </c>
      <c r="M44" s="128">
        <f>IF(ISBLANK(B44), "",  IF(SUMIF(Data!$A$4:$A$60000,B44,Data!$W$4:$W$60000)=0, 0,SUMIF(Data!$A$4:$A$60000,B44,Data!$V$4:$V$60000)/SUMIF(Data!$A$4:$A$60000,B44,Data!$W$4:$W$60000)) )</f>
        <v>0</v>
      </c>
      <c r="N44" s="128">
        <f>IF(ISBLANK(B44),"",SUMIF(Data!$A$4:$A$60000,B44,Data!$W$4:$W$60000))</f>
        <v>0</v>
      </c>
      <c r="O44" s="131">
        <f>IF(ISBLANK(B44),"",SUMIF(Data!$A$4:$A$60000,B44,Data!$X$4:$X$60000))</f>
        <v>0</v>
      </c>
    </row>
    <row r="45" spans="2:15" x14ac:dyDescent="0.2">
      <c r="B45" s="130">
        <v>3655</v>
      </c>
      <c r="C45" s="128">
        <f>IF(ISBLANK(B45),"",SUMIF(Data!$A$4:$A$60000,B45,Data!$C$4:$C$60000))</f>
        <v>1</v>
      </c>
      <c r="D45" s="128">
        <f>IF( ISBLANK(B45),"",  AVGIF(Data!$A$4:$A$60000,B45,Data!$C$4:$C$60000))</f>
        <v>0.16666666666666666</v>
      </c>
      <c r="E45" s="128">
        <f>IF(ISBLANK(B45),"",SUMIF(Data!$A$4:$A$60000,B45,Data!$D$4:$D$60000))</f>
        <v>0</v>
      </c>
      <c r="F45" s="128">
        <f>IF(ISBLANK(B45),"",SUMIF(Data!$A$4:$A$60000,B45,Data!$E$4:$E$60000))</f>
        <v>0</v>
      </c>
      <c r="G45" s="128">
        <f>IF(ISBLANK(B45),"",SUMIF(Data!$A$4:$A$60000,B45,Data!$F$4:$F$60000))</f>
        <v>0</v>
      </c>
      <c r="H45" s="128">
        <f>IF( ISBLANK(B45),"",  AVGIF(Data!$A$4:$A$60000,B45,Data!$D$4:$D$60000)+ AVGIF(Data!$A$4:$A$60000,B45,Data!$E$4:$E$60000) +  AVGIF(Data!$A$4:$A$60000,B45,Data!$F$4:$F$60000))</f>
        <v>0</v>
      </c>
      <c r="I45" s="128">
        <f>IF(ISBLANK(B45),"",SUMIF(Data!$A$4:$A$60000,B45,Data!$J$4:$J$60000))</f>
        <v>0</v>
      </c>
      <c r="J45" s="128">
        <f>IF(ISBLANK(B45),"",SUMIF(Data!$A$4:$A$60000,B45,Data!$K$4:$K$60000))</f>
        <v>0</v>
      </c>
      <c r="K45" s="128">
        <f>IF(ISBLANK(B45),"",SUMIF(Data!$A$4:$A$60000,B45,Data!$L$4:$L$60000))</f>
        <v>1</v>
      </c>
      <c r="L45" s="128">
        <f>IF( ISBLANK(B45),"",  AVGIF(Data!$A$4:$A$60000,B45,Data!$J$4:$J$60000)+ AVGIF(Data!$A$4:$A$60000,B45,Data!$K$4:$K$60000) +  AVGIF(Data!$A$4:$A$60000,B45,Data!$L$4:$L$60000))</f>
        <v>0.16666666666666666</v>
      </c>
      <c r="M45" s="128">
        <f>IF(ISBLANK(B45), "",  IF(SUMIF(Data!$A$4:$A$60000,B45,Data!$W$4:$W$60000)=0, 0,SUMIF(Data!$A$4:$A$60000,B45,Data!$V$4:$V$60000)/SUMIF(Data!$A$4:$A$60000,B45,Data!$W$4:$W$60000)) )</f>
        <v>0</v>
      </c>
      <c r="N45" s="128">
        <f>IF(ISBLANK(B45),"",SUMIF(Data!$A$4:$A$60000,B45,Data!$W$4:$W$60000))</f>
        <v>0</v>
      </c>
      <c r="O45" s="131">
        <f>IF(ISBLANK(B45),"",SUMIF(Data!$A$4:$A$60000,B45,Data!$X$4:$X$60000))</f>
        <v>0</v>
      </c>
    </row>
    <row r="46" spans="2:15" x14ac:dyDescent="0.2">
      <c r="B46" s="130">
        <v>240</v>
      </c>
      <c r="C46" s="128">
        <f>IF(ISBLANK(B46),"",SUMIF(Data!$A$4:$A$60000,B46,Data!$C$4:$C$60000))</f>
        <v>1</v>
      </c>
      <c r="D46" s="128">
        <f>IF( ISBLANK(B46),"",  AVGIF(Data!$A$4:$A$60000,B46,Data!$C$4:$C$60000))</f>
        <v>0.125</v>
      </c>
      <c r="E46" s="128">
        <f>IF(ISBLANK(B46),"",SUMIF(Data!$A$4:$A$60000,B46,Data!$D$4:$D$60000))</f>
        <v>0</v>
      </c>
      <c r="F46" s="128">
        <f>IF(ISBLANK(B46),"",SUMIF(Data!$A$4:$A$60000,B46,Data!$E$4:$E$60000))</f>
        <v>0</v>
      </c>
      <c r="G46" s="128">
        <f>IF(ISBLANK(B46),"",SUMIF(Data!$A$4:$A$60000,B46,Data!$F$4:$F$60000))</f>
        <v>0</v>
      </c>
      <c r="H46" s="128">
        <f>IF( ISBLANK(B46),"",  AVGIF(Data!$A$4:$A$60000,B46,Data!$D$4:$D$60000)+ AVGIF(Data!$A$4:$A$60000,B46,Data!$E$4:$E$60000) +  AVGIF(Data!$A$4:$A$60000,B46,Data!$F$4:$F$60000))</f>
        <v>0</v>
      </c>
      <c r="I46" s="128">
        <f>IF(ISBLANK(B46),"",SUMIF(Data!$A$4:$A$60000,B46,Data!$J$4:$J$60000))</f>
        <v>0</v>
      </c>
      <c r="J46" s="128">
        <f>IF(ISBLANK(B46),"",SUMIF(Data!$A$4:$A$60000,B46,Data!$K$4:$K$60000))</f>
        <v>0</v>
      </c>
      <c r="K46" s="128">
        <f>IF(ISBLANK(B46),"",SUMIF(Data!$A$4:$A$60000,B46,Data!$L$4:$L$60000))</f>
        <v>1</v>
      </c>
      <c r="L46" s="128">
        <f>IF( ISBLANK(B46),"",  AVGIF(Data!$A$4:$A$60000,B46,Data!$J$4:$J$60000)+ AVGIF(Data!$A$4:$A$60000,B46,Data!$K$4:$K$60000) +  AVGIF(Data!$A$4:$A$60000,B46,Data!$L$4:$L$60000))</f>
        <v>0.125</v>
      </c>
      <c r="M46" s="128">
        <f>IF(ISBLANK(B46), "",  IF(SUMIF(Data!$A$4:$A$60000,B46,Data!$W$4:$W$60000)=0, 0,SUMIF(Data!$A$4:$A$60000,B46,Data!$V$4:$V$60000)/SUMIF(Data!$A$4:$A$60000,B46,Data!$W$4:$W$60000)) )</f>
        <v>0</v>
      </c>
      <c r="N46" s="128">
        <f>IF(ISBLANK(B46),"",SUMIF(Data!$A$4:$A$60000,B46,Data!$W$4:$W$60000))</f>
        <v>0</v>
      </c>
      <c r="O46" s="131">
        <f>IF(ISBLANK(B46),"",SUMIF(Data!$A$4:$A$60000,B46,Data!$X$4:$X$60000))</f>
        <v>0</v>
      </c>
    </row>
    <row r="47" spans="2:15" x14ac:dyDescent="0.2">
      <c r="B47" s="130">
        <v>882</v>
      </c>
      <c r="C47" s="128">
        <f>IF(ISBLANK(B47),"",SUMIF(Data!$A$4:$A$60000,B47,Data!$C$4:$C$60000))</f>
        <v>0</v>
      </c>
      <c r="D47" s="128">
        <f>IF( ISBLANK(B47),"",  AVGIF(Data!$A$4:$A$60000,B47,Data!$C$4:$C$60000))</f>
        <v>0</v>
      </c>
      <c r="E47" s="128">
        <f>IF(ISBLANK(B47),"",SUMIF(Data!$A$4:$A$60000,B47,Data!$D$4:$D$60000))</f>
        <v>0</v>
      </c>
      <c r="F47" s="128">
        <f>IF(ISBLANK(B47),"",SUMIF(Data!$A$4:$A$60000,B47,Data!$E$4:$E$60000))</f>
        <v>0</v>
      </c>
      <c r="G47" s="128">
        <f>IF(ISBLANK(B47),"",SUMIF(Data!$A$4:$A$60000,B47,Data!$F$4:$F$60000))</f>
        <v>0</v>
      </c>
      <c r="H47" s="128">
        <f>IF( ISBLANK(B47),"",  AVGIF(Data!$A$4:$A$60000,B47,Data!$D$4:$D$60000)+ AVGIF(Data!$A$4:$A$60000,B47,Data!$E$4:$E$60000) +  AVGIF(Data!$A$4:$A$60000,B47,Data!$F$4:$F$60000))</f>
        <v>0</v>
      </c>
      <c r="I47" s="128">
        <f>IF(ISBLANK(B47),"",SUMIF(Data!$A$4:$A$60000,B47,Data!$J$4:$J$60000))</f>
        <v>0</v>
      </c>
      <c r="J47" s="128">
        <f>IF(ISBLANK(B47),"",SUMIF(Data!$A$4:$A$60000,B47,Data!$K$4:$K$60000))</f>
        <v>0</v>
      </c>
      <c r="K47" s="128">
        <f>IF(ISBLANK(B47),"",SUMIF(Data!$A$4:$A$60000,B47,Data!$L$4:$L$60000))</f>
        <v>0</v>
      </c>
      <c r="L47" s="128">
        <f>IF( ISBLANK(B47),"",  AVGIF(Data!$A$4:$A$60000,B47,Data!$J$4:$J$60000)+ AVGIF(Data!$A$4:$A$60000,B47,Data!$K$4:$K$60000) +  AVGIF(Data!$A$4:$A$60000,B47,Data!$L$4:$L$60000))</f>
        <v>0</v>
      </c>
      <c r="M47" s="128">
        <f>IF(ISBLANK(B47), "",  IF(SUMIF(Data!$A$4:$A$60000,B47,Data!$W$4:$W$60000)=0, 0,SUMIF(Data!$A$4:$A$60000,B47,Data!$V$4:$V$60000)/SUMIF(Data!$A$4:$A$60000,B47,Data!$W$4:$W$60000)) )</f>
        <v>0</v>
      </c>
      <c r="N47" s="128">
        <f>IF(ISBLANK(B47),"",SUMIF(Data!$A$4:$A$60000,B47,Data!$W$4:$W$60000))</f>
        <v>0</v>
      </c>
      <c r="O47" s="131">
        <f>IF(ISBLANK(B47),"",SUMIF(Data!$A$4:$A$60000,B47,Data!$X$4:$X$60000))</f>
        <v>0</v>
      </c>
    </row>
    <row r="48" spans="2:15" x14ac:dyDescent="0.2">
      <c r="B48" s="130">
        <v>1076</v>
      </c>
      <c r="C48" s="128">
        <f>IF(ISBLANK(B48),"",SUMIF(Data!$A$4:$A$60000,B48,Data!$C$4:$C$60000))</f>
        <v>0</v>
      </c>
      <c r="D48" s="128">
        <f>IF( ISBLANK(B48),"",  AVGIF(Data!$A$4:$A$60000,B48,Data!$C$4:$C$60000))</f>
        <v>0</v>
      </c>
      <c r="E48" s="128">
        <f>IF(ISBLANK(B48),"",SUMIF(Data!$A$4:$A$60000,B48,Data!$D$4:$D$60000))</f>
        <v>0</v>
      </c>
      <c r="F48" s="128">
        <f>IF(ISBLANK(B48),"",SUMIF(Data!$A$4:$A$60000,B48,Data!$E$4:$E$60000))</f>
        <v>0</v>
      </c>
      <c r="G48" s="128">
        <f>IF(ISBLANK(B48),"",SUMIF(Data!$A$4:$A$60000,B48,Data!$F$4:$F$60000))</f>
        <v>0</v>
      </c>
      <c r="H48" s="128">
        <f>IF( ISBLANK(B48),"",  AVGIF(Data!$A$4:$A$60000,B48,Data!$D$4:$D$60000)+ AVGIF(Data!$A$4:$A$60000,B48,Data!$E$4:$E$60000) +  AVGIF(Data!$A$4:$A$60000,B48,Data!$F$4:$F$60000))</f>
        <v>0</v>
      </c>
      <c r="I48" s="128">
        <f>IF(ISBLANK(B48),"",SUMIF(Data!$A$4:$A$60000,B48,Data!$J$4:$J$60000))</f>
        <v>0</v>
      </c>
      <c r="J48" s="128">
        <f>IF(ISBLANK(B48),"",SUMIF(Data!$A$4:$A$60000,B48,Data!$K$4:$K$60000))</f>
        <v>0</v>
      </c>
      <c r="K48" s="128">
        <f>IF(ISBLANK(B48),"",SUMIF(Data!$A$4:$A$60000,B48,Data!$L$4:$L$60000))</f>
        <v>0</v>
      </c>
      <c r="L48" s="128">
        <f>IF( ISBLANK(B48),"",  AVGIF(Data!$A$4:$A$60000,B48,Data!$J$4:$J$60000)+ AVGIF(Data!$A$4:$A$60000,B48,Data!$K$4:$K$60000) +  AVGIF(Data!$A$4:$A$60000,B48,Data!$L$4:$L$60000))</f>
        <v>0</v>
      </c>
      <c r="M48" s="128">
        <f>IF(ISBLANK(B48), "",  IF(SUMIF(Data!$A$4:$A$60000,B48,Data!$W$4:$W$60000)=0, 0,SUMIF(Data!$A$4:$A$60000,B48,Data!$V$4:$V$60000)/SUMIF(Data!$A$4:$A$60000,B48,Data!$W$4:$W$60000)) )</f>
        <v>0</v>
      </c>
      <c r="N48" s="128">
        <f>IF(ISBLANK(B48),"",SUMIF(Data!$A$4:$A$60000,B48,Data!$W$4:$W$60000))</f>
        <v>0</v>
      </c>
      <c r="O48" s="131">
        <f>IF(ISBLANK(B48),"",SUMIF(Data!$A$4:$A$60000,B48,Data!$X$4:$X$60000))</f>
        <v>0</v>
      </c>
    </row>
    <row r="49" spans="2:15" x14ac:dyDescent="0.2">
      <c r="B49" s="130">
        <v>1502</v>
      </c>
      <c r="C49" s="128">
        <f>IF(ISBLANK(B49),"",SUMIF(Data!$A$4:$A$60000,B49,Data!$C$4:$C$60000))</f>
        <v>0</v>
      </c>
      <c r="D49" s="128">
        <f>IF( ISBLANK(B49),"",  AVGIF(Data!$A$4:$A$60000,B49,Data!$C$4:$C$60000))</f>
        <v>0</v>
      </c>
      <c r="E49" s="128">
        <f>IF(ISBLANK(B49),"",SUMIF(Data!$A$4:$A$60000,B49,Data!$D$4:$D$60000))</f>
        <v>0</v>
      </c>
      <c r="F49" s="128">
        <f>IF(ISBLANK(B49),"",SUMIF(Data!$A$4:$A$60000,B49,Data!$E$4:$E$60000))</f>
        <v>0</v>
      </c>
      <c r="G49" s="128">
        <f>IF(ISBLANK(B49),"",SUMIF(Data!$A$4:$A$60000,B49,Data!$F$4:$F$60000))</f>
        <v>0</v>
      </c>
      <c r="H49" s="128">
        <f>IF( ISBLANK(B49),"",  AVGIF(Data!$A$4:$A$60000,B49,Data!$D$4:$D$60000)+ AVGIF(Data!$A$4:$A$60000,B49,Data!$E$4:$E$60000) +  AVGIF(Data!$A$4:$A$60000,B49,Data!$F$4:$F$60000))</f>
        <v>0</v>
      </c>
      <c r="I49" s="128">
        <f>IF(ISBLANK(B49),"",SUMIF(Data!$A$4:$A$60000,B49,Data!$J$4:$J$60000))</f>
        <v>0</v>
      </c>
      <c r="J49" s="128">
        <f>IF(ISBLANK(B49),"",SUMIF(Data!$A$4:$A$60000,B49,Data!$K$4:$K$60000))</f>
        <v>0</v>
      </c>
      <c r="K49" s="128">
        <f>IF(ISBLANK(B49),"",SUMIF(Data!$A$4:$A$60000,B49,Data!$L$4:$L$60000))</f>
        <v>0</v>
      </c>
      <c r="L49" s="128">
        <f>IF( ISBLANK(B49),"",  AVGIF(Data!$A$4:$A$60000,B49,Data!$J$4:$J$60000)+ AVGIF(Data!$A$4:$A$60000,B49,Data!$K$4:$K$60000) +  AVGIF(Data!$A$4:$A$60000,B49,Data!$L$4:$L$60000))</f>
        <v>0</v>
      </c>
      <c r="M49" s="128">
        <f>IF(ISBLANK(B49), "",  IF(SUMIF(Data!$A$4:$A$60000,B49,Data!$W$4:$W$60000)=0, 0,SUMIF(Data!$A$4:$A$60000,B49,Data!$V$4:$V$60000)/SUMIF(Data!$A$4:$A$60000,B49,Data!$W$4:$W$60000)) )</f>
        <v>0</v>
      </c>
      <c r="N49" s="128">
        <f>IF(ISBLANK(B49),"",SUMIF(Data!$A$4:$A$60000,B49,Data!$W$4:$W$60000))</f>
        <v>0</v>
      </c>
      <c r="O49" s="131">
        <f>IF(ISBLANK(B49),"",SUMIF(Data!$A$4:$A$60000,B49,Data!$X$4:$X$60000))</f>
        <v>0</v>
      </c>
    </row>
    <row r="50" spans="2:15" x14ac:dyDescent="0.2">
      <c r="B50" s="130">
        <v>1507</v>
      </c>
      <c r="C50" s="128">
        <f>IF(ISBLANK(B50),"",SUMIF(Data!$A$4:$A$60000,B50,Data!$C$4:$C$60000))</f>
        <v>0</v>
      </c>
      <c r="D50" s="128">
        <f>IF( ISBLANK(B50),"",  AVGIF(Data!$A$4:$A$60000,B50,Data!$C$4:$C$60000))</f>
        <v>0</v>
      </c>
      <c r="E50" s="128">
        <f>IF(ISBLANK(B50),"",SUMIF(Data!$A$4:$A$60000,B50,Data!$D$4:$D$60000))</f>
        <v>0</v>
      </c>
      <c r="F50" s="128">
        <f>IF(ISBLANK(B50),"",SUMIF(Data!$A$4:$A$60000,B50,Data!$E$4:$E$60000))</f>
        <v>0</v>
      </c>
      <c r="G50" s="128">
        <f>IF(ISBLANK(B50),"",SUMIF(Data!$A$4:$A$60000,B50,Data!$F$4:$F$60000))</f>
        <v>0</v>
      </c>
      <c r="H50" s="128">
        <f>IF( ISBLANK(B50),"",  AVGIF(Data!$A$4:$A$60000,B50,Data!$D$4:$D$60000)+ AVGIF(Data!$A$4:$A$60000,B50,Data!$E$4:$E$60000) +  AVGIF(Data!$A$4:$A$60000,B50,Data!$F$4:$F$60000))</f>
        <v>0</v>
      </c>
      <c r="I50" s="128">
        <f>IF(ISBLANK(B50),"",SUMIF(Data!$A$4:$A$60000,B50,Data!$J$4:$J$60000))</f>
        <v>0</v>
      </c>
      <c r="J50" s="128">
        <f>IF(ISBLANK(B50),"",SUMIF(Data!$A$4:$A$60000,B50,Data!$K$4:$K$60000))</f>
        <v>0</v>
      </c>
      <c r="K50" s="128">
        <f>IF(ISBLANK(B50),"",SUMIF(Data!$A$4:$A$60000,B50,Data!$L$4:$L$60000))</f>
        <v>0</v>
      </c>
      <c r="L50" s="128">
        <f>IF( ISBLANK(B50),"",  AVGIF(Data!$A$4:$A$60000,B50,Data!$J$4:$J$60000)+ AVGIF(Data!$A$4:$A$60000,B50,Data!$K$4:$K$60000) +  AVGIF(Data!$A$4:$A$60000,B50,Data!$L$4:$L$60000))</f>
        <v>0</v>
      </c>
      <c r="M50" s="128">
        <f>IF(ISBLANK(B50), "",  IF(SUMIF(Data!$A$4:$A$60000,B50,Data!$W$4:$W$60000)=0, 0,SUMIF(Data!$A$4:$A$60000,B50,Data!$V$4:$V$60000)/SUMIF(Data!$A$4:$A$60000,B50,Data!$W$4:$W$60000)) )</f>
        <v>0</v>
      </c>
      <c r="N50" s="128">
        <f>IF(ISBLANK(B50),"",SUMIF(Data!$A$4:$A$60000,B50,Data!$W$4:$W$60000))</f>
        <v>0</v>
      </c>
      <c r="O50" s="131">
        <f>IF(ISBLANK(B50),"",SUMIF(Data!$A$4:$A$60000,B50,Data!$X$4:$X$60000))</f>
        <v>0</v>
      </c>
    </row>
    <row r="51" spans="2:15" x14ac:dyDescent="0.2">
      <c r="B51" s="130">
        <v>2627</v>
      </c>
      <c r="C51" s="128">
        <f>IF(ISBLANK(B51),"",SUMIF(Data!$A$4:$A$60000,B51,Data!$C$4:$C$60000))</f>
        <v>0</v>
      </c>
      <c r="D51" s="128">
        <f>IF( ISBLANK(B51),"",  AVGIF(Data!$A$4:$A$60000,B51,Data!$C$4:$C$60000))</f>
        <v>0</v>
      </c>
      <c r="E51" s="128">
        <f>IF(ISBLANK(B51),"",SUMIF(Data!$A$4:$A$60000,B51,Data!$D$4:$D$60000))</f>
        <v>0</v>
      </c>
      <c r="F51" s="128">
        <f>IF(ISBLANK(B51),"",SUMIF(Data!$A$4:$A$60000,B51,Data!$E$4:$E$60000))</f>
        <v>0</v>
      </c>
      <c r="G51" s="128">
        <f>IF(ISBLANK(B51),"",SUMIF(Data!$A$4:$A$60000,B51,Data!$F$4:$F$60000))</f>
        <v>0</v>
      </c>
      <c r="H51" s="128">
        <f>IF( ISBLANK(B51),"",  AVGIF(Data!$A$4:$A$60000,B51,Data!$D$4:$D$60000)+ AVGIF(Data!$A$4:$A$60000,B51,Data!$E$4:$E$60000) +  AVGIF(Data!$A$4:$A$60000,B51,Data!$F$4:$F$60000))</f>
        <v>0</v>
      </c>
      <c r="I51" s="128">
        <f>IF(ISBLANK(B51),"",SUMIF(Data!$A$4:$A$60000,B51,Data!$J$4:$J$60000))</f>
        <v>0</v>
      </c>
      <c r="J51" s="128">
        <f>IF(ISBLANK(B51),"",SUMIF(Data!$A$4:$A$60000,B51,Data!$K$4:$K$60000))</f>
        <v>0</v>
      </c>
      <c r="K51" s="128">
        <f>IF(ISBLANK(B51),"",SUMIF(Data!$A$4:$A$60000,B51,Data!$L$4:$L$60000))</f>
        <v>0</v>
      </c>
      <c r="L51" s="128">
        <f>IF( ISBLANK(B51),"",  AVGIF(Data!$A$4:$A$60000,B51,Data!$J$4:$J$60000)+ AVGIF(Data!$A$4:$A$60000,B51,Data!$K$4:$K$60000) +  AVGIF(Data!$A$4:$A$60000,B51,Data!$L$4:$L$60000))</f>
        <v>0</v>
      </c>
      <c r="M51" s="128">
        <f>IF(ISBLANK(B51), "",  IF(SUMIF(Data!$A$4:$A$60000,B51,Data!$W$4:$W$60000)=0, 0,SUMIF(Data!$A$4:$A$60000,B51,Data!$V$4:$V$60000)/SUMIF(Data!$A$4:$A$60000,B51,Data!$W$4:$W$60000)) )</f>
        <v>0</v>
      </c>
      <c r="N51" s="128">
        <f>IF(ISBLANK(B51),"",SUMIF(Data!$A$4:$A$60000,B51,Data!$W$4:$W$60000))</f>
        <v>0</v>
      </c>
      <c r="O51" s="131">
        <f>IF(ISBLANK(B51),"",SUMIF(Data!$A$4:$A$60000,B51,Data!$X$4:$X$60000))</f>
        <v>0</v>
      </c>
    </row>
    <row r="52" spans="2:15" x14ac:dyDescent="0.2">
      <c r="B52" s="130">
        <v>3546</v>
      </c>
      <c r="C52" s="128">
        <f>IF(ISBLANK(B52),"",SUMIF(Data!$A$4:$A$60000,B52,Data!$C$4:$C$60000))</f>
        <v>0</v>
      </c>
      <c r="D52" s="128">
        <f>IF( ISBLANK(B52),"",  AVGIF(Data!$A$4:$A$60000,B52,Data!$C$4:$C$60000))</f>
        <v>0</v>
      </c>
      <c r="E52" s="128">
        <f>IF(ISBLANK(B52),"",SUMIF(Data!$A$4:$A$60000,B52,Data!$D$4:$D$60000))</f>
        <v>0</v>
      </c>
      <c r="F52" s="128">
        <f>IF(ISBLANK(B52),"",SUMIF(Data!$A$4:$A$60000,B52,Data!$E$4:$E$60000))</f>
        <v>0</v>
      </c>
      <c r="G52" s="128">
        <f>IF(ISBLANK(B52),"",SUMIF(Data!$A$4:$A$60000,B52,Data!$F$4:$F$60000))</f>
        <v>0</v>
      </c>
      <c r="H52" s="128">
        <f>IF( ISBLANK(B52),"",  AVGIF(Data!$A$4:$A$60000,B52,Data!$D$4:$D$60000)+ AVGIF(Data!$A$4:$A$60000,B52,Data!$E$4:$E$60000) +  AVGIF(Data!$A$4:$A$60000,B52,Data!$F$4:$F$60000))</f>
        <v>0</v>
      </c>
      <c r="I52" s="128">
        <f>IF(ISBLANK(B52),"",SUMIF(Data!$A$4:$A$60000,B52,Data!$J$4:$J$60000))</f>
        <v>0</v>
      </c>
      <c r="J52" s="128">
        <f>IF(ISBLANK(B52),"",SUMIF(Data!$A$4:$A$60000,B52,Data!$K$4:$K$60000))</f>
        <v>0</v>
      </c>
      <c r="K52" s="128">
        <f>IF(ISBLANK(B52),"",SUMIF(Data!$A$4:$A$60000,B52,Data!$L$4:$L$60000))</f>
        <v>0</v>
      </c>
      <c r="L52" s="128">
        <f>IF( ISBLANK(B52),"",  AVGIF(Data!$A$4:$A$60000,B52,Data!$J$4:$J$60000)+ AVGIF(Data!$A$4:$A$60000,B52,Data!$K$4:$K$60000) +  AVGIF(Data!$A$4:$A$60000,B52,Data!$L$4:$L$60000))</f>
        <v>0</v>
      </c>
      <c r="M52" s="128">
        <f>IF(ISBLANK(B52), "",  IF(SUMIF(Data!$A$4:$A$60000,B52,Data!$W$4:$W$60000)=0, 0,SUMIF(Data!$A$4:$A$60000,B52,Data!$V$4:$V$60000)/SUMIF(Data!$A$4:$A$60000,B52,Data!$W$4:$W$60000)) )</f>
        <v>0</v>
      </c>
      <c r="N52" s="128">
        <f>IF(ISBLANK(B52),"",SUMIF(Data!$A$4:$A$60000,B52,Data!$W$4:$W$60000))</f>
        <v>0</v>
      </c>
      <c r="O52" s="131">
        <f>IF(ISBLANK(B52),"",SUMIF(Data!$A$4:$A$60000,B52,Data!$X$4:$X$60000))</f>
        <v>0</v>
      </c>
    </row>
    <row r="53" spans="2:15" x14ac:dyDescent="0.2">
      <c r="B53" s="130">
        <v>3548</v>
      </c>
      <c r="C53" s="128">
        <f>IF(ISBLANK(B53),"",SUMIF(Data!$A$4:$A$60000,B53,Data!$C$4:$C$60000))</f>
        <v>0</v>
      </c>
      <c r="D53" s="128">
        <f>IF( ISBLANK(B53),"",  AVGIF(Data!$A$4:$A$60000,B53,Data!$C$4:$C$60000))</f>
        <v>0</v>
      </c>
      <c r="E53" s="128">
        <f>IF(ISBLANK(B53),"",SUMIF(Data!$A$4:$A$60000,B53,Data!$D$4:$D$60000))</f>
        <v>0</v>
      </c>
      <c r="F53" s="128">
        <f>IF(ISBLANK(B53),"",SUMIF(Data!$A$4:$A$60000,B53,Data!$E$4:$E$60000))</f>
        <v>0</v>
      </c>
      <c r="G53" s="128">
        <f>IF(ISBLANK(B53),"",SUMIF(Data!$A$4:$A$60000,B53,Data!$F$4:$F$60000))</f>
        <v>0</v>
      </c>
      <c r="H53" s="128">
        <f>IF( ISBLANK(B53),"",  AVGIF(Data!$A$4:$A$60000,B53,Data!$D$4:$D$60000)+ AVGIF(Data!$A$4:$A$60000,B53,Data!$E$4:$E$60000) +  AVGIF(Data!$A$4:$A$60000,B53,Data!$F$4:$F$60000))</f>
        <v>0</v>
      </c>
      <c r="I53" s="128">
        <f>IF(ISBLANK(B53),"",SUMIF(Data!$A$4:$A$60000,B53,Data!$J$4:$J$60000))</f>
        <v>0</v>
      </c>
      <c r="J53" s="128">
        <f>IF(ISBLANK(B53),"",SUMIF(Data!$A$4:$A$60000,B53,Data!$K$4:$K$60000))</f>
        <v>0</v>
      </c>
      <c r="K53" s="128">
        <f>IF(ISBLANK(B53),"",SUMIF(Data!$A$4:$A$60000,B53,Data!$L$4:$L$60000))</f>
        <v>0</v>
      </c>
      <c r="L53" s="128">
        <f>IF( ISBLANK(B53),"",  AVGIF(Data!$A$4:$A$60000,B53,Data!$J$4:$J$60000)+ AVGIF(Data!$A$4:$A$60000,B53,Data!$K$4:$K$60000) +  AVGIF(Data!$A$4:$A$60000,B53,Data!$L$4:$L$60000))</f>
        <v>0</v>
      </c>
      <c r="M53" s="128">
        <f>IF(ISBLANK(B53), "",  IF(SUMIF(Data!$A$4:$A$60000,B53,Data!$W$4:$W$60000)=0, 0,SUMIF(Data!$A$4:$A$60000,B53,Data!$V$4:$V$60000)/SUMIF(Data!$A$4:$A$60000,B53,Data!$W$4:$W$60000)) )</f>
        <v>0</v>
      </c>
      <c r="N53" s="128">
        <f>IF(ISBLANK(B53),"",SUMIF(Data!$A$4:$A$60000,B53,Data!$W$4:$W$60000))</f>
        <v>0</v>
      </c>
      <c r="O53" s="131">
        <f>IF(ISBLANK(B53),"",SUMIF(Data!$A$4:$A$60000,B53,Data!$X$4:$X$60000))</f>
        <v>0</v>
      </c>
    </row>
    <row r="54" spans="2:15" x14ac:dyDescent="0.2">
      <c r="B54" s="130">
        <v>3631</v>
      </c>
      <c r="C54" s="128">
        <f>IF(ISBLANK(B54),"",SUMIF(Data!$A$4:$A$60000,B54,Data!$C$4:$C$60000))</f>
        <v>0</v>
      </c>
      <c r="D54" s="128">
        <f>IF( ISBLANK(B54),"",  AVGIF(Data!$A$4:$A$60000,B54,Data!$C$4:$C$60000))</f>
        <v>0</v>
      </c>
      <c r="E54" s="128">
        <f>IF(ISBLANK(B54),"",SUMIF(Data!$A$4:$A$60000,B54,Data!$D$4:$D$60000))</f>
        <v>0</v>
      </c>
      <c r="F54" s="128">
        <f>IF(ISBLANK(B54),"",SUMIF(Data!$A$4:$A$60000,B54,Data!$E$4:$E$60000))</f>
        <v>0</v>
      </c>
      <c r="G54" s="128">
        <f>IF(ISBLANK(B54),"",SUMIF(Data!$A$4:$A$60000,B54,Data!$F$4:$F$60000))</f>
        <v>0</v>
      </c>
      <c r="H54" s="128">
        <f>IF( ISBLANK(B54),"",  AVGIF(Data!$A$4:$A$60000,B54,Data!$D$4:$D$60000)+ AVGIF(Data!$A$4:$A$60000,B54,Data!$E$4:$E$60000) +  AVGIF(Data!$A$4:$A$60000,B54,Data!$F$4:$F$60000))</f>
        <v>0</v>
      </c>
      <c r="I54" s="128">
        <f>IF(ISBLANK(B54),"",SUMIF(Data!$A$4:$A$60000,B54,Data!$J$4:$J$60000))</f>
        <v>0</v>
      </c>
      <c r="J54" s="128">
        <f>IF(ISBLANK(B54),"",SUMIF(Data!$A$4:$A$60000,B54,Data!$K$4:$K$60000))</f>
        <v>0</v>
      </c>
      <c r="K54" s="128">
        <f>IF(ISBLANK(B54),"",SUMIF(Data!$A$4:$A$60000,B54,Data!$L$4:$L$60000))</f>
        <v>0</v>
      </c>
      <c r="L54" s="128">
        <f>IF( ISBLANK(B54),"",  AVGIF(Data!$A$4:$A$60000,B54,Data!$J$4:$J$60000)+ AVGIF(Data!$A$4:$A$60000,B54,Data!$K$4:$K$60000) +  AVGIF(Data!$A$4:$A$60000,B54,Data!$L$4:$L$60000))</f>
        <v>0</v>
      </c>
      <c r="M54" s="128">
        <f>IF(ISBLANK(B54), "",  IF(SUMIF(Data!$A$4:$A$60000,B54,Data!$W$4:$W$60000)=0, 0,SUMIF(Data!$A$4:$A$60000,B54,Data!$V$4:$V$60000)/SUMIF(Data!$A$4:$A$60000,B54,Data!$W$4:$W$60000)) )</f>
        <v>0</v>
      </c>
      <c r="N54" s="128">
        <f>IF(ISBLANK(B54),"",SUMIF(Data!$A$4:$A$60000,B54,Data!$W$4:$W$60000))</f>
        <v>0</v>
      </c>
      <c r="O54" s="131">
        <f>IF(ISBLANK(B54),"",SUMIF(Data!$A$4:$A$60000,B54,Data!$X$4:$X$60000))</f>
        <v>0</v>
      </c>
    </row>
    <row r="55" spans="2:15" x14ac:dyDescent="0.2">
      <c r="B55" s="130">
        <v>3635</v>
      </c>
      <c r="C55" s="128">
        <f>IF(ISBLANK(B55),"",SUMIF(Data!$A$4:$A$60000,B55,Data!$C$4:$C$60000))</f>
        <v>0</v>
      </c>
      <c r="D55" s="128">
        <f>IF( ISBLANK(B55),"",  AVGIF(Data!$A$4:$A$60000,B55,Data!$C$4:$C$60000))</f>
        <v>0</v>
      </c>
      <c r="E55" s="128">
        <f>IF(ISBLANK(B55),"",SUMIF(Data!$A$4:$A$60000,B55,Data!$D$4:$D$60000))</f>
        <v>0</v>
      </c>
      <c r="F55" s="128">
        <f>IF(ISBLANK(B55),"",SUMIF(Data!$A$4:$A$60000,B55,Data!$E$4:$E$60000))</f>
        <v>0</v>
      </c>
      <c r="G55" s="128">
        <f>IF(ISBLANK(B55),"",SUMIF(Data!$A$4:$A$60000,B55,Data!$F$4:$F$60000))</f>
        <v>0</v>
      </c>
      <c r="H55" s="128">
        <f>IF( ISBLANK(B55),"",  AVGIF(Data!$A$4:$A$60000,B55,Data!$D$4:$D$60000)+ AVGIF(Data!$A$4:$A$60000,B55,Data!$E$4:$E$60000) +  AVGIF(Data!$A$4:$A$60000,B55,Data!$F$4:$F$60000))</f>
        <v>0</v>
      </c>
      <c r="I55" s="128">
        <f>IF(ISBLANK(B55),"",SUMIF(Data!$A$4:$A$60000,B55,Data!$J$4:$J$60000))</f>
        <v>0</v>
      </c>
      <c r="J55" s="128">
        <f>IF(ISBLANK(B55),"",SUMIF(Data!$A$4:$A$60000,B55,Data!$K$4:$K$60000))</f>
        <v>0</v>
      </c>
      <c r="K55" s="128">
        <f>IF(ISBLANK(B55),"",SUMIF(Data!$A$4:$A$60000,B55,Data!$L$4:$L$60000))</f>
        <v>0</v>
      </c>
      <c r="L55" s="128">
        <f>IF( ISBLANK(B55),"",  AVGIF(Data!$A$4:$A$60000,B55,Data!$J$4:$J$60000)+ AVGIF(Data!$A$4:$A$60000,B55,Data!$K$4:$K$60000) +  AVGIF(Data!$A$4:$A$60000,B55,Data!$L$4:$L$60000))</f>
        <v>0</v>
      </c>
      <c r="M55" s="128">
        <f>IF(ISBLANK(B55), "",  IF(SUMIF(Data!$A$4:$A$60000,B55,Data!$W$4:$W$60000)=0, 0,SUMIF(Data!$A$4:$A$60000,B55,Data!$V$4:$V$60000)/SUMIF(Data!$A$4:$A$60000,B55,Data!$W$4:$W$60000)) )</f>
        <v>0</v>
      </c>
      <c r="N55" s="128">
        <f>IF(ISBLANK(B55),"",SUMIF(Data!$A$4:$A$60000,B55,Data!$W$4:$W$60000))</f>
        <v>0</v>
      </c>
      <c r="O55" s="131">
        <f>IF(ISBLANK(B55),"",SUMIF(Data!$A$4:$A$60000,B55,Data!$X$4:$X$60000))</f>
        <v>0</v>
      </c>
    </row>
    <row r="56" spans="2:15" x14ac:dyDescent="0.2">
      <c r="B56" s="130">
        <v>3641</v>
      </c>
      <c r="C56" s="128">
        <f>IF(ISBLANK(B56),"",SUMIF(Data!$A$4:$A$60000,B56,Data!$C$4:$C$60000))</f>
        <v>0</v>
      </c>
      <c r="D56" s="128">
        <f>IF( ISBLANK(B56),"",  AVGIF(Data!$A$4:$A$60000,B56,Data!$C$4:$C$60000))</f>
        <v>0</v>
      </c>
      <c r="E56" s="128">
        <f>IF(ISBLANK(B56),"",SUMIF(Data!$A$4:$A$60000,B56,Data!$D$4:$D$60000))</f>
        <v>0</v>
      </c>
      <c r="F56" s="128">
        <f>IF(ISBLANK(B56),"",SUMIF(Data!$A$4:$A$60000,B56,Data!$E$4:$E$60000))</f>
        <v>0</v>
      </c>
      <c r="G56" s="128">
        <f>IF(ISBLANK(B56),"",SUMIF(Data!$A$4:$A$60000,B56,Data!$F$4:$F$60000))</f>
        <v>0</v>
      </c>
      <c r="H56" s="128">
        <f>IF( ISBLANK(B56),"",  AVGIF(Data!$A$4:$A$60000,B56,Data!$D$4:$D$60000)+ AVGIF(Data!$A$4:$A$60000,B56,Data!$E$4:$E$60000) +  AVGIF(Data!$A$4:$A$60000,B56,Data!$F$4:$F$60000))</f>
        <v>0</v>
      </c>
      <c r="I56" s="128">
        <f>IF(ISBLANK(B56),"",SUMIF(Data!$A$4:$A$60000,B56,Data!$J$4:$J$60000))</f>
        <v>0</v>
      </c>
      <c r="J56" s="128">
        <f>IF(ISBLANK(B56),"",SUMIF(Data!$A$4:$A$60000,B56,Data!$K$4:$K$60000))</f>
        <v>0</v>
      </c>
      <c r="K56" s="128">
        <f>IF(ISBLANK(B56),"",SUMIF(Data!$A$4:$A$60000,B56,Data!$L$4:$L$60000))</f>
        <v>0</v>
      </c>
      <c r="L56" s="128">
        <f>IF( ISBLANK(B56),"",  AVGIF(Data!$A$4:$A$60000,B56,Data!$J$4:$J$60000)+ AVGIF(Data!$A$4:$A$60000,B56,Data!$K$4:$K$60000) +  AVGIF(Data!$A$4:$A$60000,B56,Data!$L$4:$L$60000))</f>
        <v>0</v>
      </c>
      <c r="M56" s="128">
        <f>IF(ISBLANK(B56), "",  IF(SUMIF(Data!$A$4:$A$60000,B56,Data!$W$4:$W$60000)=0, 0,SUMIF(Data!$A$4:$A$60000,B56,Data!$V$4:$V$60000)/SUMIF(Data!$A$4:$A$60000,B56,Data!$W$4:$W$60000)) )</f>
        <v>0</v>
      </c>
      <c r="N56" s="128">
        <f>IF(ISBLANK(B56),"",SUMIF(Data!$A$4:$A$60000,B56,Data!$W$4:$W$60000))</f>
        <v>0</v>
      </c>
      <c r="O56" s="131">
        <f>IF(ISBLANK(B56),"",SUMIF(Data!$A$4:$A$60000,B56,Data!$X$4:$X$60000))</f>
        <v>0</v>
      </c>
    </row>
    <row r="57" spans="2:15" x14ac:dyDescent="0.2">
      <c r="B57" s="130">
        <v>3642</v>
      </c>
      <c r="C57" s="128">
        <f>IF(ISBLANK(B57),"",SUMIF(Data!$A$4:$A$60000,B57,Data!$C$4:$C$60000))</f>
        <v>0</v>
      </c>
      <c r="D57" s="128">
        <f>IF( ISBLANK(B57),"",  AVGIF(Data!$A$4:$A$60000,B57,Data!$C$4:$C$60000))</f>
        <v>0</v>
      </c>
      <c r="E57" s="128">
        <f>IF(ISBLANK(B57),"",SUMIF(Data!$A$4:$A$60000,B57,Data!$D$4:$D$60000))</f>
        <v>0</v>
      </c>
      <c r="F57" s="128">
        <f>IF(ISBLANK(B57),"",SUMIF(Data!$A$4:$A$60000,B57,Data!$E$4:$E$60000))</f>
        <v>0</v>
      </c>
      <c r="G57" s="128">
        <f>IF(ISBLANK(B57),"",SUMIF(Data!$A$4:$A$60000,B57,Data!$F$4:$F$60000))</f>
        <v>0</v>
      </c>
      <c r="H57" s="128">
        <f>IF( ISBLANK(B57),"",  AVGIF(Data!$A$4:$A$60000,B57,Data!$D$4:$D$60000)+ AVGIF(Data!$A$4:$A$60000,B57,Data!$E$4:$E$60000) +  AVGIF(Data!$A$4:$A$60000,B57,Data!$F$4:$F$60000))</f>
        <v>0</v>
      </c>
      <c r="I57" s="128">
        <f>IF(ISBLANK(B57),"",SUMIF(Data!$A$4:$A$60000,B57,Data!$J$4:$J$60000))</f>
        <v>0</v>
      </c>
      <c r="J57" s="128">
        <f>IF(ISBLANK(B57),"",SUMIF(Data!$A$4:$A$60000,B57,Data!$K$4:$K$60000))</f>
        <v>0</v>
      </c>
      <c r="K57" s="128">
        <f>IF(ISBLANK(B57),"",SUMIF(Data!$A$4:$A$60000,B57,Data!$L$4:$L$60000))</f>
        <v>0</v>
      </c>
      <c r="L57" s="128">
        <f>IF( ISBLANK(B57),"",  AVGIF(Data!$A$4:$A$60000,B57,Data!$J$4:$J$60000)+ AVGIF(Data!$A$4:$A$60000,B57,Data!$K$4:$K$60000) +  AVGIF(Data!$A$4:$A$60000,B57,Data!$L$4:$L$60000))</f>
        <v>0</v>
      </c>
      <c r="M57" s="128">
        <f>IF(ISBLANK(B57), "",  IF(SUMIF(Data!$A$4:$A$60000,B57,Data!$W$4:$W$60000)=0, 0,SUMIF(Data!$A$4:$A$60000,B57,Data!$V$4:$V$60000)/SUMIF(Data!$A$4:$A$60000,B57,Data!$W$4:$W$60000)) )</f>
        <v>0</v>
      </c>
      <c r="N57" s="128">
        <f>IF(ISBLANK(B57),"",SUMIF(Data!$A$4:$A$60000,B57,Data!$W$4:$W$60000))</f>
        <v>0</v>
      </c>
      <c r="O57" s="131">
        <f>IF(ISBLANK(B57),"",SUMIF(Data!$A$4:$A$60000,B57,Data!$X$4:$X$60000))</f>
        <v>0</v>
      </c>
    </row>
    <row r="58" spans="2:15" x14ac:dyDescent="0.2">
      <c r="B58" s="130">
        <v>3668</v>
      </c>
      <c r="C58" s="128">
        <f>IF(ISBLANK(B58),"",SUMIF(Data!$A$4:$A$60000,B58,Data!$C$4:$C$60000))</f>
        <v>0</v>
      </c>
      <c r="D58" s="128">
        <f>IF( ISBLANK(B58),"",  AVGIF(Data!$A$4:$A$60000,B58,Data!$C$4:$C$60000))</f>
        <v>0</v>
      </c>
      <c r="E58" s="128">
        <f>IF(ISBLANK(B58),"",SUMIF(Data!$A$4:$A$60000,B58,Data!$D$4:$D$60000))</f>
        <v>0</v>
      </c>
      <c r="F58" s="128">
        <f>IF(ISBLANK(B58),"",SUMIF(Data!$A$4:$A$60000,B58,Data!$E$4:$E$60000))</f>
        <v>0</v>
      </c>
      <c r="G58" s="128">
        <f>IF(ISBLANK(B58),"",SUMIF(Data!$A$4:$A$60000,B58,Data!$F$4:$F$60000))</f>
        <v>0</v>
      </c>
      <c r="H58" s="128">
        <f>IF( ISBLANK(B58),"",  AVGIF(Data!$A$4:$A$60000,B58,Data!$D$4:$D$60000)+ AVGIF(Data!$A$4:$A$60000,B58,Data!$E$4:$E$60000) +  AVGIF(Data!$A$4:$A$60000,B58,Data!$F$4:$F$60000))</f>
        <v>0</v>
      </c>
      <c r="I58" s="128">
        <f>IF(ISBLANK(B58),"",SUMIF(Data!$A$4:$A$60000,B58,Data!$J$4:$J$60000))</f>
        <v>0</v>
      </c>
      <c r="J58" s="128">
        <f>IF(ISBLANK(B58),"",SUMIF(Data!$A$4:$A$60000,B58,Data!$K$4:$K$60000))</f>
        <v>0</v>
      </c>
      <c r="K58" s="128">
        <f>IF(ISBLANK(B58),"",SUMIF(Data!$A$4:$A$60000,B58,Data!$L$4:$L$60000))</f>
        <v>0</v>
      </c>
      <c r="L58" s="128">
        <f>IF( ISBLANK(B58),"",  AVGIF(Data!$A$4:$A$60000,B58,Data!$J$4:$J$60000)+ AVGIF(Data!$A$4:$A$60000,B58,Data!$K$4:$K$60000) +  AVGIF(Data!$A$4:$A$60000,B58,Data!$L$4:$L$60000))</f>
        <v>0</v>
      </c>
      <c r="M58" s="128">
        <f>IF(ISBLANK(B58), "",  IF(SUMIF(Data!$A$4:$A$60000,B58,Data!$W$4:$W$60000)=0, 0,SUMIF(Data!$A$4:$A$60000,B58,Data!$V$4:$V$60000)/SUMIF(Data!$A$4:$A$60000,B58,Data!$W$4:$W$60000)) )</f>
        <v>0</v>
      </c>
      <c r="N58" s="128">
        <f>IF(ISBLANK(B58),"",SUMIF(Data!$A$4:$A$60000,B58,Data!$W$4:$W$60000))</f>
        <v>0</v>
      </c>
      <c r="O58" s="131">
        <f>IF(ISBLANK(B58),"",SUMIF(Data!$A$4:$A$60000,B58,Data!$X$4:$X$60000))</f>
        <v>0</v>
      </c>
    </row>
    <row r="59" spans="2:15" x14ac:dyDescent="0.2">
      <c r="B59" s="130"/>
      <c r="C59" s="128"/>
      <c r="D59" s="128"/>
      <c r="E59" s="128"/>
      <c r="F59" s="128"/>
      <c r="G59" s="128"/>
      <c r="H59" s="128"/>
      <c r="I59" s="128"/>
      <c r="J59" s="128"/>
      <c r="K59" s="128"/>
      <c r="L59" s="128"/>
      <c r="M59" s="128"/>
      <c r="N59" s="128"/>
      <c r="O59" s="131"/>
    </row>
    <row r="60" spans="2:15" x14ac:dyDescent="0.2">
      <c r="B60" s="130"/>
      <c r="C60" s="128"/>
      <c r="D60" s="128"/>
      <c r="E60" s="128"/>
      <c r="F60" s="128"/>
      <c r="G60" s="128"/>
      <c r="H60" s="128"/>
      <c r="I60" s="128"/>
      <c r="J60" s="128"/>
      <c r="K60" s="128"/>
      <c r="L60" s="128"/>
      <c r="M60" s="128"/>
      <c r="N60" s="128"/>
      <c r="O60" s="131"/>
    </row>
    <row r="61" spans="2:15" x14ac:dyDescent="0.2">
      <c r="B61" s="130"/>
      <c r="C61" s="128"/>
      <c r="D61" s="128"/>
      <c r="E61" s="128"/>
      <c r="F61" s="128"/>
      <c r="G61" s="128"/>
      <c r="H61" s="128"/>
      <c r="I61" s="128"/>
      <c r="J61" s="128"/>
      <c r="K61" s="128"/>
      <c r="L61" s="128"/>
      <c r="M61" s="128"/>
      <c r="N61" s="128"/>
      <c r="O61" s="131"/>
    </row>
    <row r="62" spans="2:15" x14ac:dyDescent="0.2">
      <c r="B62" s="130"/>
      <c r="C62" s="128"/>
      <c r="D62" s="128"/>
      <c r="E62" s="128"/>
      <c r="F62" s="128"/>
      <c r="G62" s="128"/>
      <c r="H62" s="128"/>
      <c r="I62" s="128"/>
      <c r="J62" s="128"/>
      <c r="K62" s="128"/>
      <c r="L62" s="128"/>
      <c r="M62" s="128"/>
      <c r="N62" s="128"/>
      <c r="O62" s="131"/>
    </row>
    <row r="63" spans="2:15" x14ac:dyDescent="0.2">
      <c r="B63" s="130"/>
      <c r="C63" s="128"/>
      <c r="D63" s="128"/>
      <c r="E63" s="128"/>
      <c r="F63" s="128"/>
      <c r="G63" s="128"/>
      <c r="H63" s="128"/>
      <c r="I63" s="128"/>
      <c r="J63" s="128"/>
      <c r="K63" s="128"/>
      <c r="L63" s="128"/>
      <c r="M63" s="128"/>
      <c r="N63" s="128"/>
      <c r="O63" s="131"/>
    </row>
    <row r="64" spans="2:15" x14ac:dyDescent="0.2">
      <c r="B64" s="130"/>
      <c r="C64" s="128"/>
      <c r="D64" s="128"/>
      <c r="E64" s="128"/>
      <c r="F64" s="128"/>
      <c r="G64" s="128"/>
      <c r="H64" s="128"/>
      <c r="I64" s="128"/>
      <c r="J64" s="128"/>
      <c r="K64" s="128"/>
      <c r="L64" s="128"/>
      <c r="M64" s="128"/>
      <c r="N64" s="128"/>
      <c r="O64" s="131"/>
    </row>
    <row r="65" spans="2:15" x14ac:dyDescent="0.2">
      <c r="B65" s="130"/>
      <c r="C65" s="128"/>
      <c r="D65" s="128"/>
      <c r="E65" s="128"/>
      <c r="F65" s="128"/>
      <c r="G65" s="128"/>
      <c r="H65" s="128"/>
      <c r="I65" s="128"/>
      <c r="J65" s="128"/>
      <c r="K65" s="128"/>
      <c r="L65" s="128"/>
      <c r="M65" s="128"/>
      <c r="N65" s="128"/>
      <c r="O65" s="131"/>
    </row>
    <row r="66" spans="2:15" x14ac:dyDescent="0.2">
      <c r="B66" s="130"/>
      <c r="C66" s="128"/>
      <c r="D66" s="128"/>
      <c r="E66" s="128"/>
      <c r="F66" s="128"/>
      <c r="G66" s="128"/>
      <c r="H66" s="128"/>
      <c r="I66" s="128"/>
      <c r="J66" s="128"/>
      <c r="K66" s="128"/>
      <c r="L66" s="128"/>
      <c r="M66" s="128"/>
      <c r="N66" s="128"/>
      <c r="O66" s="131"/>
    </row>
    <row r="67" spans="2:15" x14ac:dyDescent="0.2">
      <c r="B67" s="130"/>
      <c r="C67" s="128"/>
      <c r="D67" s="128"/>
      <c r="E67" s="128"/>
      <c r="F67" s="128"/>
      <c r="G67" s="128"/>
      <c r="H67" s="128"/>
      <c r="I67" s="128"/>
      <c r="J67" s="128"/>
      <c r="K67" s="128"/>
      <c r="L67" s="128"/>
      <c r="M67" s="128"/>
      <c r="N67" s="128"/>
      <c r="O67" s="131"/>
    </row>
    <row r="68" spans="2:15" x14ac:dyDescent="0.2">
      <c r="B68" s="130"/>
      <c r="C68" s="128"/>
      <c r="D68" s="128"/>
      <c r="E68" s="128"/>
      <c r="F68" s="128"/>
      <c r="G68" s="128"/>
      <c r="H68" s="128"/>
      <c r="I68" s="128"/>
      <c r="J68" s="128"/>
      <c r="K68" s="128"/>
      <c r="L68" s="128"/>
      <c r="M68" s="128"/>
      <c r="N68" s="128"/>
      <c r="O68" s="131"/>
    </row>
    <row r="69" spans="2:15" x14ac:dyDescent="0.2">
      <c r="B69" s="130"/>
      <c r="C69" s="128"/>
      <c r="D69" s="128"/>
      <c r="E69" s="128"/>
      <c r="F69" s="128"/>
      <c r="G69" s="128"/>
      <c r="H69" s="128"/>
      <c r="I69" s="128"/>
      <c r="J69" s="128"/>
      <c r="K69" s="128"/>
      <c r="L69" s="128"/>
      <c r="M69" s="128"/>
      <c r="N69" s="128"/>
      <c r="O69" s="131"/>
    </row>
    <row r="70" spans="2:15" x14ac:dyDescent="0.2">
      <c r="B70" s="130"/>
      <c r="C70" s="128"/>
      <c r="D70" s="128"/>
      <c r="E70" s="128"/>
      <c r="F70" s="128"/>
      <c r="G70" s="128"/>
      <c r="H70" s="128"/>
      <c r="I70" s="128"/>
      <c r="J70" s="128"/>
      <c r="K70" s="128"/>
      <c r="L70" s="128"/>
      <c r="M70" s="128"/>
      <c r="N70" s="128"/>
      <c r="O70" s="131"/>
    </row>
    <row r="71" spans="2:15" x14ac:dyDescent="0.2">
      <c r="B71" s="130"/>
      <c r="C71" s="128"/>
      <c r="D71" s="128"/>
      <c r="E71" s="128"/>
      <c r="F71" s="128"/>
      <c r="G71" s="128"/>
      <c r="H71" s="128"/>
      <c r="I71" s="128"/>
      <c r="J71" s="128"/>
      <c r="K71" s="128"/>
      <c r="L71" s="128"/>
      <c r="M71" s="128"/>
      <c r="N71" s="128"/>
      <c r="O71" s="131"/>
    </row>
    <row r="72" spans="2:15" x14ac:dyDescent="0.2">
      <c r="B72" s="130"/>
      <c r="C72" s="128"/>
      <c r="D72" s="128"/>
      <c r="E72" s="128"/>
      <c r="F72" s="128"/>
      <c r="G72" s="128"/>
      <c r="H72" s="128"/>
      <c r="I72" s="128"/>
      <c r="J72" s="128"/>
      <c r="K72" s="128"/>
      <c r="L72" s="128"/>
      <c r="M72" s="128"/>
      <c r="N72" s="128"/>
      <c r="O72" s="131"/>
    </row>
    <row r="73" spans="2:15" x14ac:dyDescent="0.2">
      <c r="B73" s="130"/>
      <c r="C73" s="128"/>
      <c r="D73" s="128"/>
      <c r="E73" s="128"/>
      <c r="F73" s="128"/>
      <c r="G73" s="128"/>
      <c r="H73" s="128"/>
      <c r="I73" s="128"/>
      <c r="J73" s="128"/>
      <c r="K73" s="128"/>
      <c r="L73" s="128"/>
      <c r="M73" s="128"/>
      <c r="N73" s="128"/>
      <c r="O73" s="131"/>
    </row>
    <row r="74" spans="2:15" x14ac:dyDescent="0.2">
      <c r="B74" s="130"/>
      <c r="C74" s="128"/>
      <c r="D74" s="128"/>
      <c r="E74" s="128"/>
      <c r="F74" s="128"/>
      <c r="G74" s="128"/>
      <c r="H74" s="128"/>
      <c r="I74" s="128"/>
      <c r="J74" s="128"/>
      <c r="K74" s="128"/>
      <c r="L74" s="128"/>
      <c r="M74" s="128"/>
      <c r="N74" s="128"/>
      <c r="O74" s="131"/>
    </row>
    <row r="75" spans="2:15" x14ac:dyDescent="0.2">
      <c r="B75" s="130"/>
      <c r="C75" s="128"/>
      <c r="D75" s="128"/>
      <c r="E75" s="128"/>
      <c r="F75" s="128"/>
      <c r="G75" s="128"/>
      <c r="H75" s="128"/>
      <c r="I75" s="128"/>
      <c r="J75" s="128"/>
      <c r="K75" s="128"/>
      <c r="L75" s="128"/>
      <c r="M75" s="128"/>
      <c r="N75" s="128"/>
      <c r="O75" s="131"/>
    </row>
    <row r="76" spans="2:15" x14ac:dyDescent="0.2">
      <c r="B76" s="130"/>
      <c r="C76" s="128"/>
      <c r="D76" s="128"/>
      <c r="E76" s="128"/>
      <c r="F76" s="128"/>
      <c r="G76" s="128"/>
      <c r="H76" s="128"/>
      <c r="I76" s="128"/>
      <c r="J76" s="128"/>
      <c r="K76" s="128"/>
      <c r="L76" s="128"/>
      <c r="M76" s="128"/>
      <c r="N76" s="128"/>
      <c r="O76" s="131"/>
    </row>
    <row r="77" spans="2:15" x14ac:dyDescent="0.2">
      <c r="B77" s="130"/>
      <c r="C77" s="128"/>
      <c r="D77" s="128"/>
      <c r="E77" s="128"/>
      <c r="F77" s="128"/>
      <c r="G77" s="128"/>
      <c r="H77" s="128"/>
      <c r="I77" s="128"/>
      <c r="J77" s="128"/>
      <c r="K77" s="128"/>
      <c r="L77" s="128"/>
      <c r="M77" s="128"/>
      <c r="N77" s="128"/>
      <c r="O77" s="131"/>
    </row>
    <row r="78" spans="2:15" x14ac:dyDescent="0.2">
      <c r="B78" s="130"/>
      <c r="C78" s="128"/>
      <c r="D78" s="128"/>
      <c r="E78" s="128"/>
      <c r="F78" s="128"/>
      <c r="G78" s="128"/>
      <c r="H78" s="128"/>
      <c r="I78" s="128"/>
      <c r="J78" s="128"/>
      <c r="K78" s="128"/>
      <c r="L78" s="128"/>
      <c r="M78" s="128"/>
      <c r="N78" s="128"/>
      <c r="O78" s="131"/>
    </row>
    <row r="79" spans="2:15" x14ac:dyDescent="0.2">
      <c r="B79" s="130"/>
      <c r="C79" s="128"/>
      <c r="D79" s="128"/>
      <c r="E79" s="128"/>
      <c r="F79" s="128"/>
      <c r="G79" s="128"/>
      <c r="H79" s="128"/>
      <c r="I79" s="128"/>
      <c r="J79" s="128"/>
      <c r="K79" s="128"/>
      <c r="L79" s="128"/>
      <c r="M79" s="128"/>
      <c r="N79" s="128"/>
      <c r="O79" s="131"/>
    </row>
    <row r="80" spans="2:15" x14ac:dyDescent="0.2">
      <c r="B80" s="130"/>
      <c r="C80" s="128"/>
      <c r="D80" s="128"/>
      <c r="E80" s="128"/>
      <c r="F80" s="128"/>
      <c r="G80" s="128"/>
      <c r="H80" s="128"/>
      <c r="I80" s="128"/>
      <c r="J80" s="128"/>
      <c r="K80" s="128"/>
      <c r="L80" s="128"/>
      <c r="M80" s="128"/>
      <c r="N80" s="128"/>
      <c r="O80" s="131"/>
    </row>
    <row r="81" spans="2:15" x14ac:dyDescent="0.2">
      <c r="B81" s="130"/>
      <c r="C81" s="128"/>
      <c r="D81" s="128"/>
      <c r="E81" s="128"/>
      <c r="F81" s="128"/>
      <c r="G81" s="128"/>
      <c r="H81" s="128"/>
      <c r="I81" s="128"/>
      <c r="J81" s="128"/>
      <c r="K81" s="128"/>
      <c r="L81" s="128"/>
      <c r="M81" s="128"/>
      <c r="N81" s="128"/>
      <c r="O81" s="131"/>
    </row>
    <row r="82" spans="2:15" x14ac:dyDescent="0.2">
      <c r="B82" s="130"/>
      <c r="C82" s="128"/>
      <c r="D82" s="128"/>
      <c r="E82" s="128"/>
      <c r="F82" s="128"/>
      <c r="G82" s="128"/>
      <c r="H82" s="128"/>
      <c r="I82" s="128"/>
      <c r="J82" s="128"/>
      <c r="K82" s="128"/>
      <c r="L82" s="128"/>
      <c r="M82" s="128"/>
      <c r="N82" s="128"/>
      <c r="O82" s="131"/>
    </row>
    <row r="83" spans="2:15" x14ac:dyDescent="0.2">
      <c r="B83" s="130"/>
      <c r="C83" s="128"/>
      <c r="D83" s="128"/>
      <c r="E83" s="128"/>
      <c r="F83" s="128"/>
      <c r="G83" s="128"/>
      <c r="H83" s="128"/>
      <c r="I83" s="128"/>
      <c r="J83" s="128"/>
      <c r="K83" s="128"/>
      <c r="L83" s="128"/>
      <c r="M83" s="128"/>
      <c r="N83" s="128"/>
      <c r="O83" s="131"/>
    </row>
    <row r="84" spans="2:15" x14ac:dyDescent="0.2">
      <c r="B84" s="130"/>
      <c r="C84" s="128"/>
      <c r="D84" s="128"/>
      <c r="E84" s="128"/>
      <c r="F84" s="128"/>
      <c r="G84" s="128"/>
      <c r="H84" s="128"/>
      <c r="I84" s="128"/>
      <c r="J84" s="128"/>
      <c r="K84" s="128"/>
      <c r="L84" s="128"/>
      <c r="M84" s="128"/>
      <c r="N84" s="128"/>
      <c r="O84" s="131"/>
    </row>
    <row r="85" spans="2:15" x14ac:dyDescent="0.2">
      <c r="B85" s="130"/>
      <c r="C85" s="128"/>
      <c r="D85" s="128"/>
      <c r="E85" s="128"/>
      <c r="F85" s="128"/>
      <c r="G85" s="128"/>
      <c r="H85" s="128"/>
      <c r="I85" s="128"/>
      <c r="J85" s="128"/>
      <c r="K85" s="128"/>
      <c r="L85" s="128"/>
      <c r="M85" s="128"/>
      <c r="N85" s="128"/>
      <c r="O85" s="131"/>
    </row>
    <row r="86" spans="2:15" x14ac:dyDescent="0.2">
      <c r="B86" s="130"/>
      <c r="C86" s="128"/>
      <c r="D86" s="128"/>
      <c r="E86" s="128"/>
      <c r="F86" s="128"/>
      <c r="G86" s="128"/>
      <c r="H86" s="128"/>
      <c r="I86" s="128"/>
      <c r="J86" s="128"/>
      <c r="K86" s="128"/>
      <c r="L86" s="128"/>
      <c r="M86" s="128"/>
      <c r="N86" s="128"/>
      <c r="O86" s="131"/>
    </row>
    <row r="87" spans="2:15" x14ac:dyDescent="0.2">
      <c r="B87" s="130"/>
      <c r="C87" s="128"/>
      <c r="D87" s="128"/>
      <c r="E87" s="128"/>
      <c r="F87" s="128"/>
      <c r="G87" s="128"/>
      <c r="H87" s="128"/>
      <c r="I87" s="128"/>
      <c r="J87" s="128"/>
      <c r="K87" s="128"/>
      <c r="L87" s="128"/>
      <c r="M87" s="128"/>
      <c r="N87" s="128"/>
      <c r="O87" s="131"/>
    </row>
    <row r="88" spans="2:15" x14ac:dyDescent="0.2">
      <c r="B88" s="130"/>
      <c r="C88" s="128"/>
      <c r="D88" s="128"/>
      <c r="E88" s="128"/>
      <c r="F88" s="128"/>
      <c r="G88" s="128"/>
      <c r="H88" s="128"/>
      <c r="I88" s="128"/>
      <c r="J88" s="128"/>
      <c r="K88" s="128"/>
      <c r="L88" s="128"/>
      <c r="M88" s="128"/>
      <c r="N88" s="128"/>
      <c r="O88" s="131"/>
    </row>
    <row r="89" spans="2:15" x14ac:dyDescent="0.2">
      <c r="B89" s="130"/>
      <c r="C89" s="128"/>
      <c r="D89" s="128"/>
      <c r="E89" s="128"/>
      <c r="F89" s="128"/>
      <c r="G89" s="128"/>
      <c r="H89" s="128"/>
      <c r="I89" s="128"/>
      <c r="J89" s="128"/>
      <c r="K89" s="128"/>
      <c r="L89" s="128"/>
      <c r="M89" s="128"/>
      <c r="N89" s="128"/>
      <c r="O89" s="131"/>
    </row>
    <row r="90" spans="2:15" x14ac:dyDescent="0.2">
      <c r="B90" s="130"/>
      <c r="C90" s="128"/>
      <c r="D90" s="128"/>
      <c r="E90" s="128"/>
      <c r="F90" s="128"/>
      <c r="G90" s="128"/>
      <c r="H90" s="128"/>
      <c r="I90" s="128"/>
      <c r="J90" s="128"/>
      <c r="K90" s="128"/>
      <c r="L90" s="128"/>
      <c r="M90" s="128"/>
      <c r="N90" s="128"/>
      <c r="O90" s="131"/>
    </row>
    <row r="91" spans="2:15" x14ac:dyDescent="0.2">
      <c r="B91" s="130"/>
      <c r="C91" s="128"/>
      <c r="D91" s="128"/>
      <c r="E91" s="128"/>
      <c r="F91" s="128"/>
      <c r="G91" s="128"/>
      <c r="H91" s="128"/>
      <c r="I91" s="128"/>
      <c r="J91" s="128"/>
      <c r="K91" s="128"/>
      <c r="L91" s="128"/>
      <c r="M91" s="128"/>
      <c r="N91" s="128"/>
      <c r="O91" s="131"/>
    </row>
    <row r="92" spans="2:15" x14ac:dyDescent="0.2">
      <c r="B92" s="130"/>
      <c r="C92" s="128"/>
      <c r="D92" s="128"/>
      <c r="E92" s="128"/>
      <c r="F92" s="128"/>
      <c r="G92" s="128"/>
      <c r="H92" s="128"/>
      <c r="I92" s="128"/>
      <c r="J92" s="128"/>
      <c r="K92" s="128"/>
      <c r="L92" s="128"/>
      <c r="M92" s="128"/>
      <c r="N92" s="128"/>
      <c r="O92" s="131"/>
    </row>
    <row r="93" spans="2:15" x14ac:dyDescent="0.2">
      <c r="B93" s="130"/>
      <c r="C93" s="128"/>
      <c r="D93" s="128"/>
      <c r="E93" s="128"/>
      <c r="F93" s="128"/>
      <c r="G93" s="128"/>
      <c r="H93" s="128"/>
      <c r="I93" s="128"/>
      <c r="J93" s="128"/>
      <c r="K93" s="128"/>
      <c r="L93" s="128"/>
      <c r="M93" s="128"/>
      <c r="N93" s="128"/>
      <c r="O93" s="131"/>
    </row>
    <row r="94" spans="2:15" x14ac:dyDescent="0.2">
      <c r="B94" s="130"/>
      <c r="C94" s="128"/>
      <c r="D94" s="128"/>
      <c r="E94" s="128"/>
      <c r="F94" s="128"/>
      <c r="G94" s="128"/>
      <c r="H94" s="128"/>
      <c r="I94" s="128"/>
      <c r="J94" s="128"/>
      <c r="K94" s="128"/>
      <c r="L94" s="128"/>
      <c r="M94" s="128"/>
      <c r="N94" s="128"/>
      <c r="O94" s="131"/>
    </row>
    <row r="95" spans="2:15" x14ac:dyDescent="0.2">
      <c r="B95" s="130"/>
      <c r="C95" s="128"/>
      <c r="D95" s="128"/>
      <c r="E95" s="128"/>
      <c r="F95" s="128"/>
      <c r="G95" s="128"/>
      <c r="H95" s="128"/>
      <c r="I95" s="128"/>
      <c r="J95" s="128"/>
      <c r="K95" s="128"/>
      <c r="L95" s="128"/>
      <c r="M95" s="128"/>
      <c r="N95" s="128"/>
      <c r="O95" s="131"/>
    </row>
    <row r="96" spans="2:15" x14ac:dyDescent="0.2">
      <c r="B96" s="130"/>
      <c r="C96" s="128"/>
      <c r="D96" s="128"/>
      <c r="E96" s="128"/>
      <c r="F96" s="128"/>
      <c r="G96" s="128"/>
      <c r="H96" s="128"/>
      <c r="I96" s="128"/>
      <c r="J96" s="128"/>
      <c r="K96" s="128"/>
      <c r="L96" s="128"/>
      <c r="M96" s="128"/>
      <c r="N96" s="128"/>
      <c r="O96" s="131"/>
    </row>
    <row r="97" spans="2:15" x14ac:dyDescent="0.2">
      <c r="B97" s="130"/>
      <c r="C97" s="128"/>
      <c r="D97" s="128"/>
      <c r="E97" s="128"/>
      <c r="F97" s="128"/>
      <c r="G97" s="128"/>
      <c r="H97" s="128"/>
      <c r="I97" s="128"/>
      <c r="J97" s="128"/>
      <c r="K97" s="128"/>
      <c r="L97" s="128"/>
      <c r="M97" s="128"/>
      <c r="N97" s="128"/>
      <c r="O97" s="131"/>
    </row>
    <row r="98" spans="2:15" x14ac:dyDescent="0.2">
      <c r="B98" s="130"/>
      <c r="C98" s="128"/>
      <c r="D98" s="128"/>
      <c r="E98" s="128"/>
      <c r="F98" s="128"/>
      <c r="G98" s="128"/>
      <c r="H98" s="128"/>
      <c r="I98" s="128"/>
      <c r="J98" s="128"/>
      <c r="K98" s="128"/>
      <c r="L98" s="128"/>
      <c r="M98" s="128"/>
      <c r="N98" s="128"/>
      <c r="O98" s="131"/>
    </row>
    <row r="99" spans="2:15" x14ac:dyDescent="0.2">
      <c r="B99" s="130"/>
      <c r="C99" s="128"/>
      <c r="D99" s="128"/>
      <c r="E99" s="128"/>
      <c r="F99" s="128"/>
      <c r="G99" s="128"/>
      <c r="H99" s="128"/>
      <c r="I99" s="128"/>
      <c r="J99" s="128"/>
      <c r="K99" s="128"/>
      <c r="L99" s="128"/>
      <c r="M99" s="128"/>
      <c r="N99" s="128"/>
      <c r="O99" s="131"/>
    </row>
    <row r="100" spans="2:15" ht="13.5" thickBot="1" x14ac:dyDescent="0.25">
      <c r="B100" s="132"/>
      <c r="C100" s="133"/>
      <c r="D100" s="133"/>
      <c r="E100" s="133"/>
      <c r="F100" s="133"/>
      <c r="G100" s="133"/>
      <c r="H100" s="133"/>
      <c r="I100" s="133"/>
      <c r="J100" s="133"/>
      <c r="K100" s="133"/>
      <c r="L100" s="133"/>
      <c r="M100" s="133"/>
      <c r="N100" s="133"/>
      <c r="O100" s="134"/>
    </row>
    <row r="101" spans="2:15" x14ac:dyDescent="0.2">
      <c r="B101" s="125"/>
      <c r="C101" s="126"/>
      <c r="D101" s="125"/>
      <c r="E101" s="125"/>
      <c r="F101" s="125"/>
      <c r="G101" s="125"/>
      <c r="H101" s="125"/>
      <c r="I101" s="125"/>
      <c r="J101" s="125"/>
      <c r="K101" s="125"/>
      <c r="L101" s="125"/>
      <c r="M101" s="125"/>
      <c r="N101" s="125"/>
      <c r="O101" s="125"/>
    </row>
    <row r="102" spans="2:15" x14ac:dyDescent="0.2">
      <c r="B102" s="125"/>
      <c r="C102" s="126"/>
      <c r="D102" s="125"/>
      <c r="E102" s="125"/>
      <c r="F102" s="125"/>
      <c r="G102" s="125"/>
      <c r="H102" s="125"/>
      <c r="I102" s="125"/>
      <c r="J102" s="125"/>
      <c r="K102" s="125"/>
      <c r="L102" s="125"/>
      <c r="M102" s="125"/>
      <c r="N102" s="125"/>
      <c r="O102" s="125"/>
    </row>
    <row r="103" spans="2:15" x14ac:dyDescent="0.2">
      <c r="B103" s="125"/>
      <c r="C103" s="126"/>
      <c r="D103" s="125"/>
      <c r="E103" s="125"/>
      <c r="F103" s="125"/>
      <c r="G103" s="125"/>
      <c r="H103" s="125"/>
      <c r="I103" s="125"/>
      <c r="J103" s="125"/>
      <c r="K103" s="125"/>
      <c r="L103" s="125"/>
      <c r="M103" s="125"/>
      <c r="N103" s="125"/>
      <c r="O103" s="125"/>
    </row>
    <row r="104" spans="2:15" x14ac:dyDescent="0.2">
      <c r="B104" s="125"/>
      <c r="C104" s="126"/>
      <c r="D104" s="125"/>
      <c r="E104" s="125"/>
      <c r="F104" s="125"/>
      <c r="G104" s="125"/>
      <c r="H104" s="125"/>
      <c r="I104" s="125"/>
      <c r="J104" s="125"/>
      <c r="K104" s="125"/>
      <c r="L104" s="125"/>
      <c r="M104" s="125"/>
      <c r="N104" s="125"/>
      <c r="O104" s="125"/>
    </row>
    <row r="105" spans="2:15" x14ac:dyDescent="0.2">
      <c r="B105" s="125"/>
      <c r="C105" s="126"/>
      <c r="D105" s="125"/>
      <c r="E105" s="125"/>
      <c r="F105" s="125"/>
      <c r="G105" s="125"/>
      <c r="H105" s="125"/>
      <c r="I105" s="125"/>
      <c r="J105" s="125"/>
      <c r="K105" s="125"/>
      <c r="L105" s="125"/>
      <c r="M105" s="125"/>
      <c r="N105" s="125"/>
      <c r="O105" s="125"/>
    </row>
    <row r="106" spans="2:15" x14ac:dyDescent="0.2">
      <c r="B106" s="125"/>
      <c r="C106" s="126"/>
      <c r="D106" s="125"/>
      <c r="E106" s="125"/>
      <c r="F106" s="125"/>
      <c r="G106" s="125"/>
      <c r="H106" s="125"/>
      <c r="I106" s="125"/>
      <c r="J106" s="125"/>
      <c r="K106" s="125"/>
      <c r="L106" s="125"/>
      <c r="M106" s="125"/>
      <c r="N106" s="125"/>
      <c r="O106" s="125"/>
    </row>
    <row r="107" spans="2:15" x14ac:dyDescent="0.2">
      <c r="B107" s="125"/>
      <c r="C107" s="126"/>
      <c r="D107" s="125"/>
      <c r="E107" s="125"/>
      <c r="F107" s="125"/>
      <c r="G107" s="125"/>
      <c r="H107" s="125"/>
      <c r="I107" s="125"/>
      <c r="J107" s="125"/>
      <c r="K107" s="125"/>
      <c r="L107" s="125"/>
      <c r="M107" s="125"/>
      <c r="N107" s="125"/>
      <c r="O107" s="125"/>
    </row>
    <row r="108" spans="2:15" x14ac:dyDescent="0.2">
      <c r="B108" s="125"/>
      <c r="C108" s="126"/>
      <c r="D108" s="125"/>
      <c r="E108" s="125"/>
      <c r="F108" s="125"/>
      <c r="G108" s="125"/>
      <c r="H108" s="125"/>
      <c r="I108" s="125"/>
      <c r="J108" s="125"/>
      <c r="K108" s="125"/>
      <c r="L108" s="125"/>
      <c r="M108" s="125"/>
      <c r="N108" s="125"/>
      <c r="O108" s="125"/>
    </row>
    <row r="109" spans="2:15" x14ac:dyDescent="0.2">
      <c r="B109" s="125"/>
      <c r="C109" s="126"/>
      <c r="D109" s="125"/>
      <c r="E109" s="125"/>
      <c r="F109" s="125"/>
      <c r="G109" s="125"/>
      <c r="H109" s="125"/>
      <c r="I109" s="125"/>
      <c r="J109" s="125"/>
      <c r="K109" s="125"/>
      <c r="L109" s="125"/>
      <c r="M109" s="125"/>
      <c r="N109" s="125"/>
      <c r="O109" s="125"/>
    </row>
    <row r="110" spans="2:15" x14ac:dyDescent="0.2">
      <c r="B110" s="125"/>
      <c r="C110" s="126"/>
      <c r="D110" s="125"/>
      <c r="E110" s="125"/>
      <c r="F110" s="125"/>
      <c r="G110" s="125"/>
      <c r="H110" s="125"/>
      <c r="I110" s="125"/>
      <c r="J110" s="125"/>
      <c r="K110" s="125"/>
      <c r="L110" s="125"/>
      <c r="M110" s="125"/>
      <c r="N110" s="125"/>
      <c r="O110" s="125"/>
    </row>
    <row r="111" spans="2:15" x14ac:dyDescent="0.2">
      <c r="B111" s="125"/>
      <c r="C111" s="126"/>
      <c r="D111" s="125"/>
      <c r="E111" s="125"/>
      <c r="F111" s="125"/>
      <c r="G111" s="125"/>
      <c r="H111" s="125"/>
      <c r="I111" s="125"/>
      <c r="J111" s="125"/>
      <c r="K111" s="125"/>
      <c r="L111" s="125"/>
      <c r="M111" s="125"/>
      <c r="N111" s="125"/>
      <c r="O111" s="125"/>
    </row>
    <row r="112" spans="2:15" x14ac:dyDescent="0.2">
      <c r="B112" s="125"/>
      <c r="C112" s="126"/>
      <c r="D112" s="125"/>
      <c r="E112" s="125"/>
      <c r="F112" s="125"/>
      <c r="G112" s="125"/>
      <c r="H112" s="125"/>
      <c r="I112" s="125"/>
      <c r="J112" s="125"/>
      <c r="K112" s="125"/>
      <c r="L112" s="125"/>
      <c r="M112" s="125"/>
      <c r="N112" s="125"/>
      <c r="O112" s="125"/>
    </row>
    <row r="113" spans="2:15" x14ac:dyDescent="0.2">
      <c r="B113" s="125"/>
      <c r="C113" s="126"/>
      <c r="D113" s="125"/>
      <c r="E113" s="125"/>
      <c r="F113" s="125"/>
      <c r="G113" s="125"/>
      <c r="H113" s="125"/>
      <c r="I113" s="125"/>
      <c r="J113" s="125"/>
      <c r="K113" s="125"/>
      <c r="L113" s="125"/>
      <c r="M113" s="125"/>
      <c r="N113" s="125"/>
      <c r="O113" s="125"/>
    </row>
    <row r="114" spans="2:15" x14ac:dyDescent="0.2">
      <c r="B114" s="125"/>
      <c r="C114" s="126"/>
      <c r="D114" s="125"/>
      <c r="E114" s="125"/>
      <c r="F114" s="125"/>
      <c r="G114" s="125"/>
      <c r="H114" s="125"/>
      <c r="I114" s="125"/>
      <c r="J114" s="125"/>
      <c r="K114" s="125"/>
      <c r="L114" s="125"/>
      <c r="M114" s="125"/>
      <c r="N114" s="125"/>
      <c r="O114" s="125"/>
    </row>
    <row r="115" spans="2:15" x14ac:dyDescent="0.2">
      <c r="B115" s="125"/>
      <c r="C115" s="126"/>
      <c r="D115" s="125"/>
      <c r="E115" s="125"/>
      <c r="F115" s="125"/>
      <c r="G115" s="125"/>
      <c r="H115" s="125"/>
      <c r="I115" s="125"/>
      <c r="J115" s="125"/>
      <c r="K115" s="125"/>
      <c r="L115" s="125"/>
      <c r="M115" s="125"/>
      <c r="N115" s="125"/>
      <c r="O115" s="125"/>
    </row>
    <row r="116" spans="2:15" x14ac:dyDescent="0.2">
      <c r="B116" s="125"/>
      <c r="C116" s="126"/>
      <c r="D116" s="125"/>
      <c r="E116" s="125"/>
      <c r="F116" s="125"/>
      <c r="G116" s="125"/>
      <c r="H116" s="125"/>
      <c r="I116" s="125"/>
      <c r="J116" s="125"/>
      <c r="K116" s="125"/>
      <c r="L116" s="125"/>
      <c r="M116" s="125"/>
      <c r="N116" s="125"/>
      <c r="O116" s="125"/>
    </row>
    <row r="117" spans="2:15" x14ac:dyDescent="0.2">
      <c r="B117" s="125"/>
      <c r="C117" s="126"/>
      <c r="D117" s="125"/>
      <c r="E117" s="125"/>
      <c r="F117" s="125"/>
      <c r="G117" s="125"/>
      <c r="H117" s="125"/>
      <c r="I117" s="125"/>
      <c r="J117" s="125"/>
      <c r="K117" s="125"/>
      <c r="L117" s="125"/>
      <c r="M117" s="125"/>
      <c r="N117" s="125"/>
      <c r="O117" s="125"/>
    </row>
    <row r="118" spans="2:15" x14ac:dyDescent="0.2">
      <c r="B118" s="125"/>
      <c r="C118" s="126"/>
      <c r="D118" s="125"/>
      <c r="E118" s="125"/>
      <c r="F118" s="125"/>
      <c r="G118" s="125"/>
      <c r="H118" s="125"/>
      <c r="I118" s="125"/>
      <c r="J118" s="125"/>
      <c r="K118" s="125"/>
      <c r="L118" s="125"/>
      <c r="M118" s="125"/>
      <c r="N118" s="125"/>
      <c r="O118" s="125"/>
    </row>
    <row r="119" spans="2:15" x14ac:dyDescent="0.2">
      <c r="B119" s="125"/>
      <c r="C119" s="126"/>
      <c r="D119" s="125"/>
      <c r="E119" s="125"/>
      <c r="F119" s="125"/>
      <c r="G119" s="125"/>
      <c r="H119" s="125"/>
      <c r="I119" s="125"/>
      <c r="J119" s="125"/>
      <c r="K119" s="125"/>
      <c r="L119" s="125"/>
      <c r="M119" s="125"/>
      <c r="N119" s="125"/>
      <c r="O119" s="125"/>
    </row>
    <row r="120" spans="2:15" x14ac:dyDescent="0.2">
      <c r="B120" s="125"/>
      <c r="C120" s="126"/>
      <c r="D120" s="125"/>
      <c r="E120" s="125"/>
      <c r="F120" s="125"/>
      <c r="G120" s="125"/>
      <c r="H120" s="125"/>
      <c r="I120" s="125"/>
      <c r="J120" s="125"/>
      <c r="K120" s="125"/>
      <c r="L120" s="125"/>
      <c r="M120" s="125"/>
      <c r="N120" s="125"/>
      <c r="O120" s="125"/>
    </row>
    <row r="121" spans="2:15" x14ac:dyDescent="0.2">
      <c r="B121" s="125"/>
      <c r="C121" s="126"/>
      <c r="D121" s="125"/>
      <c r="E121" s="125"/>
      <c r="F121" s="125"/>
      <c r="G121" s="125"/>
      <c r="H121" s="125"/>
      <c r="I121" s="125"/>
      <c r="J121" s="125"/>
      <c r="K121" s="125"/>
      <c r="L121" s="125"/>
      <c r="M121" s="125"/>
      <c r="N121" s="125"/>
      <c r="O121" s="125"/>
    </row>
    <row r="122" spans="2:15" x14ac:dyDescent="0.2">
      <c r="B122" s="125"/>
      <c r="C122" s="126"/>
      <c r="D122" s="125"/>
      <c r="E122" s="125"/>
      <c r="F122" s="125"/>
      <c r="G122" s="125"/>
      <c r="H122" s="125"/>
      <c r="I122" s="125"/>
      <c r="J122" s="125"/>
      <c r="K122" s="125"/>
      <c r="L122" s="125"/>
      <c r="M122" s="125"/>
      <c r="N122" s="125"/>
      <c r="O122" s="125"/>
    </row>
    <row r="123" spans="2:15" x14ac:dyDescent="0.2">
      <c r="B123" s="125"/>
      <c r="C123" s="126"/>
      <c r="D123" s="125"/>
      <c r="E123" s="125"/>
      <c r="F123" s="125"/>
      <c r="G123" s="125"/>
      <c r="H123" s="125"/>
      <c r="I123" s="125"/>
      <c r="J123" s="125"/>
      <c r="K123" s="125"/>
      <c r="L123" s="125"/>
      <c r="M123" s="125"/>
      <c r="N123" s="125"/>
      <c r="O123" s="125"/>
    </row>
    <row r="124" spans="2:15" x14ac:dyDescent="0.2">
      <c r="B124" s="125"/>
      <c r="C124" s="126"/>
      <c r="D124" s="125"/>
      <c r="E124" s="125"/>
      <c r="F124" s="125"/>
      <c r="G124" s="125"/>
      <c r="H124" s="125"/>
      <c r="I124" s="125"/>
      <c r="J124" s="125"/>
      <c r="K124" s="125"/>
      <c r="L124" s="125"/>
      <c r="M124" s="125"/>
      <c r="N124" s="125"/>
      <c r="O124" s="125"/>
    </row>
    <row r="125" spans="2:15" x14ac:dyDescent="0.2">
      <c r="B125" s="125"/>
      <c r="C125" s="126"/>
      <c r="D125" s="125"/>
      <c r="E125" s="125"/>
      <c r="F125" s="125"/>
      <c r="G125" s="125"/>
      <c r="H125" s="125"/>
      <c r="I125" s="125"/>
      <c r="J125" s="125"/>
      <c r="K125" s="125"/>
      <c r="L125" s="125"/>
      <c r="M125" s="125"/>
      <c r="N125" s="125"/>
      <c r="O125" s="125"/>
    </row>
    <row r="126" spans="2:15" x14ac:dyDescent="0.2">
      <c r="B126" s="125"/>
      <c r="C126" s="126"/>
      <c r="D126" s="125"/>
      <c r="E126" s="125"/>
      <c r="F126" s="125"/>
      <c r="G126" s="125"/>
      <c r="H126" s="125"/>
      <c r="I126" s="125"/>
      <c r="J126" s="125"/>
      <c r="K126" s="125"/>
      <c r="L126" s="125"/>
      <c r="M126" s="125"/>
      <c r="N126" s="125"/>
      <c r="O126" s="125"/>
    </row>
    <row r="127" spans="2:15" x14ac:dyDescent="0.2">
      <c r="B127" s="125"/>
      <c r="C127" s="126"/>
      <c r="D127" s="125"/>
      <c r="E127" s="125"/>
      <c r="F127" s="125"/>
      <c r="G127" s="125"/>
      <c r="H127" s="125"/>
      <c r="I127" s="125"/>
      <c r="J127" s="125"/>
      <c r="K127" s="125"/>
      <c r="L127" s="125"/>
      <c r="M127" s="125"/>
      <c r="N127" s="125"/>
      <c r="O127" s="125"/>
    </row>
    <row r="128" spans="2:15" x14ac:dyDescent="0.2">
      <c r="B128" s="125"/>
      <c r="C128" s="126"/>
      <c r="D128" s="125"/>
      <c r="E128" s="125"/>
      <c r="F128" s="125"/>
      <c r="G128" s="125"/>
      <c r="H128" s="125"/>
      <c r="I128" s="125"/>
      <c r="J128" s="125"/>
      <c r="K128" s="125"/>
      <c r="L128" s="125"/>
      <c r="M128" s="125"/>
      <c r="N128" s="125"/>
      <c r="O128" s="125"/>
    </row>
    <row r="129" spans="2:15" x14ac:dyDescent="0.2">
      <c r="B129" s="125"/>
      <c r="C129" s="126"/>
      <c r="D129" s="125"/>
      <c r="E129" s="125"/>
      <c r="F129" s="125"/>
      <c r="G129" s="125"/>
      <c r="H129" s="125"/>
      <c r="I129" s="125"/>
      <c r="J129" s="125"/>
      <c r="K129" s="125"/>
      <c r="L129" s="125"/>
      <c r="M129" s="125"/>
      <c r="N129" s="125"/>
      <c r="O129" s="125"/>
    </row>
    <row r="130" spans="2:15" x14ac:dyDescent="0.2">
      <c r="B130" s="125"/>
      <c r="C130" s="126"/>
      <c r="D130" s="125"/>
      <c r="E130" s="125"/>
      <c r="F130" s="125"/>
      <c r="G130" s="125"/>
      <c r="H130" s="125"/>
      <c r="I130" s="125"/>
      <c r="J130" s="125"/>
      <c r="K130" s="125"/>
      <c r="L130" s="125"/>
      <c r="M130" s="125"/>
      <c r="N130" s="125"/>
      <c r="O130" s="125"/>
    </row>
    <row r="131" spans="2:15" x14ac:dyDescent="0.2">
      <c r="B131" s="125"/>
      <c r="C131" s="126"/>
      <c r="D131" s="125"/>
      <c r="E131" s="125"/>
      <c r="F131" s="125"/>
      <c r="G131" s="125"/>
      <c r="H131" s="125"/>
      <c r="I131" s="125"/>
      <c r="J131" s="125"/>
      <c r="K131" s="125"/>
      <c r="L131" s="125"/>
      <c r="M131" s="125"/>
      <c r="N131" s="125"/>
      <c r="O131" s="125"/>
    </row>
    <row r="132" spans="2:15" x14ac:dyDescent="0.2">
      <c r="B132" s="125"/>
      <c r="C132" s="126"/>
      <c r="D132" s="125"/>
      <c r="E132" s="125"/>
      <c r="F132" s="125"/>
      <c r="G132" s="125"/>
      <c r="H132" s="125"/>
      <c r="I132" s="125"/>
      <c r="J132" s="125"/>
      <c r="K132" s="125"/>
      <c r="L132" s="125"/>
      <c r="M132" s="125"/>
      <c r="N132" s="125"/>
      <c r="O132" s="125"/>
    </row>
    <row r="133" spans="2:15" x14ac:dyDescent="0.2">
      <c r="B133" s="125"/>
      <c r="C133" s="126"/>
      <c r="D133" s="125"/>
      <c r="E133" s="125"/>
      <c r="F133" s="125"/>
      <c r="G133" s="125"/>
      <c r="H133" s="125"/>
      <c r="I133" s="125"/>
      <c r="J133" s="125"/>
      <c r="K133" s="125"/>
      <c r="L133" s="125"/>
      <c r="M133" s="125"/>
      <c r="N133" s="125"/>
      <c r="O133" s="125"/>
    </row>
    <row r="134" spans="2:15" x14ac:dyDescent="0.2">
      <c r="B134" s="125"/>
      <c r="C134" s="126"/>
      <c r="D134" s="125"/>
      <c r="E134" s="125"/>
      <c r="F134" s="125"/>
      <c r="G134" s="125"/>
      <c r="H134" s="125"/>
      <c r="I134" s="125"/>
      <c r="J134" s="125"/>
      <c r="K134" s="125"/>
      <c r="L134" s="125"/>
      <c r="M134" s="125"/>
      <c r="N134" s="125"/>
      <c r="O134" s="125"/>
    </row>
    <row r="135" spans="2:15" x14ac:dyDescent="0.2">
      <c r="B135" s="125"/>
      <c r="C135" s="126"/>
      <c r="D135" s="125"/>
      <c r="E135" s="125"/>
      <c r="F135" s="125"/>
      <c r="G135" s="125"/>
      <c r="H135" s="125"/>
      <c r="I135" s="125"/>
      <c r="J135" s="125"/>
      <c r="K135" s="125"/>
      <c r="L135" s="125"/>
      <c r="M135" s="125"/>
      <c r="N135" s="125"/>
      <c r="O135" s="125"/>
    </row>
    <row r="136" spans="2:15" x14ac:dyDescent="0.2">
      <c r="B136" s="125"/>
      <c r="C136" s="126"/>
      <c r="D136" s="125"/>
      <c r="E136" s="125"/>
      <c r="F136" s="125"/>
      <c r="G136" s="125"/>
      <c r="H136" s="125"/>
      <c r="I136" s="125"/>
      <c r="J136" s="125"/>
      <c r="K136" s="125"/>
      <c r="L136" s="125"/>
      <c r="M136" s="125"/>
      <c r="N136" s="125"/>
      <c r="O136" s="125"/>
    </row>
    <row r="137" spans="2:15" x14ac:dyDescent="0.2">
      <c r="B137" s="125"/>
      <c r="C137" s="126"/>
      <c r="D137" s="125"/>
      <c r="E137" s="125"/>
      <c r="F137" s="125"/>
      <c r="G137" s="125"/>
      <c r="H137" s="125"/>
      <c r="I137" s="125"/>
      <c r="J137" s="125"/>
      <c r="K137" s="125"/>
      <c r="L137" s="125"/>
      <c r="M137" s="125"/>
      <c r="N137" s="125"/>
      <c r="O137" s="125"/>
    </row>
    <row r="138" spans="2:15" x14ac:dyDescent="0.2">
      <c r="B138" s="125"/>
      <c r="C138" s="126"/>
      <c r="D138" s="125"/>
      <c r="E138" s="125"/>
      <c r="F138" s="125"/>
      <c r="G138" s="125"/>
      <c r="H138" s="125"/>
      <c r="I138" s="125"/>
      <c r="J138" s="125"/>
      <c r="K138" s="125"/>
      <c r="L138" s="125"/>
      <c r="M138" s="125"/>
      <c r="N138" s="125"/>
      <c r="O138" s="125"/>
    </row>
    <row r="139" spans="2:15" x14ac:dyDescent="0.2">
      <c r="B139" s="125"/>
      <c r="C139" s="126"/>
      <c r="D139" s="125"/>
      <c r="E139" s="125"/>
      <c r="F139" s="125"/>
      <c r="G139" s="125"/>
      <c r="H139" s="125"/>
      <c r="I139" s="125"/>
      <c r="J139" s="125"/>
      <c r="K139" s="125"/>
      <c r="L139" s="125"/>
      <c r="M139" s="125"/>
      <c r="N139" s="125"/>
      <c r="O139" s="125"/>
    </row>
    <row r="140" spans="2:15" x14ac:dyDescent="0.2">
      <c r="B140" s="125"/>
      <c r="C140" s="126"/>
      <c r="D140" s="125"/>
      <c r="E140" s="125"/>
      <c r="F140" s="125"/>
      <c r="G140" s="125"/>
      <c r="H140" s="125"/>
      <c r="I140" s="125"/>
      <c r="J140" s="125"/>
      <c r="K140" s="125"/>
      <c r="L140" s="125"/>
      <c r="M140" s="125"/>
      <c r="N140" s="125"/>
      <c r="O140" s="125"/>
    </row>
    <row r="141" spans="2:15" x14ac:dyDescent="0.2">
      <c r="B141" s="125"/>
      <c r="C141" s="126"/>
      <c r="D141" s="125"/>
      <c r="E141" s="125"/>
      <c r="F141" s="125"/>
      <c r="G141" s="125"/>
      <c r="H141" s="125"/>
      <c r="I141" s="125"/>
      <c r="J141" s="125"/>
      <c r="K141" s="125"/>
      <c r="L141" s="125"/>
      <c r="M141" s="125"/>
      <c r="N141" s="125"/>
      <c r="O141" s="125"/>
    </row>
    <row r="142" spans="2:15" x14ac:dyDescent="0.2">
      <c r="B142" s="125"/>
      <c r="C142" s="126"/>
      <c r="D142" s="125"/>
      <c r="E142" s="125"/>
      <c r="F142" s="125"/>
      <c r="G142" s="125"/>
      <c r="H142" s="125"/>
      <c r="I142" s="125"/>
      <c r="J142" s="125"/>
      <c r="K142" s="125"/>
      <c r="L142" s="125"/>
      <c r="M142" s="125"/>
      <c r="N142" s="125"/>
      <c r="O142" s="125"/>
    </row>
    <row r="143" spans="2:15" x14ac:dyDescent="0.2">
      <c r="B143" s="125"/>
      <c r="C143" s="126"/>
      <c r="D143" s="125"/>
      <c r="E143" s="125"/>
      <c r="F143" s="125"/>
      <c r="G143" s="125"/>
      <c r="H143" s="125"/>
      <c r="I143" s="125"/>
      <c r="J143" s="125"/>
      <c r="K143" s="125"/>
      <c r="L143" s="125"/>
      <c r="M143" s="125"/>
      <c r="N143" s="125"/>
      <c r="O143" s="125"/>
    </row>
    <row r="144" spans="2:15" x14ac:dyDescent="0.2">
      <c r="B144" s="125"/>
      <c r="C144" s="126"/>
      <c r="D144" s="125"/>
      <c r="E144" s="125"/>
      <c r="F144" s="125"/>
      <c r="G144" s="125"/>
      <c r="H144" s="125"/>
      <c r="I144" s="125"/>
      <c r="J144" s="125"/>
      <c r="K144" s="125"/>
      <c r="L144" s="125"/>
      <c r="M144" s="125"/>
      <c r="N144" s="125"/>
      <c r="O144" s="125"/>
    </row>
    <row r="145" spans="2:15" x14ac:dyDescent="0.2">
      <c r="B145" s="125"/>
      <c r="C145" s="126"/>
      <c r="D145" s="125"/>
      <c r="E145" s="125"/>
      <c r="F145" s="125"/>
      <c r="G145" s="125"/>
      <c r="H145" s="125"/>
      <c r="I145" s="125"/>
      <c r="J145" s="125"/>
      <c r="K145" s="125"/>
      <c r="L145" s="125"/>
      <c r="M145" s="125"/>
      <c r="N145" s="125"/>
      <c r="O145" s="125"/>
    </row>
    <row r="146" spans="2:15" x14ac:dyDescent="0.2">
      <c r="B146" s="125"/>
      <c r="C146" s="126"/>
      <c r="D146" s="125"/>
      <c r="E146" s="125"/>
      <c r="F146" s="125"/>
      <c r="G146" s="125"/>
      <c r="H146" s="125"/>
      <c r="I146" s="125"/>
      <c r="J146" s="125"/>
      <c r="K146" s="125"/>
      <c r="L146" s="125"/>
      <c r="M146" s="125"/>
      <c r="N146" s="125"/>
      <c r="O146" s="125"/>
    </row>
    <row r="147" spans="2:15" x14ac:dyDescent="0.2">
      <c r="B147" s="125"/>
      <c r="C147" s="126"/>
      <c r="D147" s="125"/>
      <c r="E147" s="125"/>
      <c r="F147" s="125"/>
      <c r="G147" s="125"/>
      <c r="H147" s="125"/>
      <c r="I147" s="125"/>
      <c r="J147" s="125"/>
      <c r="K147" s="125"/>
      <c r="L147" s="125"/>
      <c r="M147" s="125"/>
      <c r="N147" s="125"/>
      <c r="O147" s="125"/>
    </row>
    <row r="148" spans="2:15" x14ac:dyDescent="0.2">
      <c r="B148" s="125"/>
      <c r="C148" s="126"/>
      <c r="D148" s="125"/>
      <c r="E148" s="125"/>
      <c r="F148" s="125"/>
      <c r="G148" s="125"/>
      <c r="H148" s="125"/>
      <c r="I148" s="125"/>
      <c r="J148" s="125"/>
      <c r="K148" s="125"/>
      <c r="L148" s="125"/>
      <c r="M148" s="125"/>
      <c r="N148" s="125"/>
      <c r="O148" s="125"/>
    </row>
    <row r="149" spans="2:15" x14ac:dyDescent="0.2">
      <c r="B149" s="125"/>
      <c r="C149" s="126"/>
      <c r="D149" s="125"/>
      <c r="E149" s="125"/>
      <c r="F149" s="125"/>
      <c r="G149" s="125"/>
      <c r="H149" s="125"/>
      <c r="I149" s="125"/>
      <c r="J149" s="125"/>
      <c r="K149" s="125"/>
      <c r="L149" s="125"/>
      <c r="M149" s="125"/>
      <c r="N149" s="125"/>
      <c r="O149" s="125"/>
    </row>
    <row r="150" spans="2:15" x14ac:dyDescent="0.2">
      <c r="B150" s="125"/>
      <c r="C150" s="126"/>
      <c r="D150" s="125"/>
      <c r="E150" s="125"/>
      <c r="F150" s="125"/>
      <c r="G150" s="125"/>
      <c r="H150" s="125"/>
      <c r="I150" s="125"/>
      <c r="J150" s="125"/>
      <c r="K150" s="125"/>
      <c r="L150" s="125"/>
      <c r="M150" s="125"/>
      <c r="N150" s="125"/>
      <c r="O150" s="125"/>
    </row>
    <row r="151" spans="2:15" x14ac:dyDescent="0.2">
      <c r="B151" s="125"/>
      <c r="C151" s="126"/>
      <c r="D151" s="125"/>
      <c r="E151" s="125"/>
      <c r="F151" s="125"/>
      <c r="G151" s="125"/>
      <c r="H151" s="125"/>
      <c r="I151" s="125"/>
      <c r="J151" s="125"/>
      <c r="K151" s="125"/>
      <c r="L151" s="125"/>
      <c r="M151" s="125"/>
      <c r="N151" s="125"/>
      <c r="O151" s="125"/>
    </row>
    <row r="152" spans="2:15" x14ac:dyDescent="0.2">
      <c r="B152" s="125"/>
      <c r="C152" s="126"/>
      <c r="D152" s="125"/>
      <c r="E152" s="125"/>
      <c r="F152" s="125"/>
      <c r="G152" s="125"/>
      <c r="H152" s="125"/>
      <c r="I152" s="125"/>
      <c r="J152" s="125"/>
      <c r="K152" s="125"/>
      <c r="L152" s="125"/>
      <c r="M152" s="125"/>
      <c r="N152" s="125"/>
      <c r="O152" s="125"/>
    </row>
    <row r="153" spans="2:15" x14ac:dyDescent="0.2">
      <c r="B153" s="125"/>
      <c r="C153" s="126"/>
      <c r="D153" s="125"/>
      <c r="E153" s="125"/>
      <c r="F153" s="125"/>
      <c r="G153" s="125"/>
      <c r="H153" s="125"/>
      <c r="I153" s="125"/>
      <c r="J153" s="125"/>
      <c r="K153" s="125"/>
      <c r="L153" s="125"/>
      <c r="M153" s="125"/>
      <c r="N153" s="125"/>
      <c r="O153" s="125"/>
    </row>
    <row r="154" spans="2:15" x14ac:dyDescent="0.2">
      <c r="B154" s="125"/>
      <c r="C154" s="126"/>
      <c r="D154" s="125"/>
      <c r="E154" s="125"/>
      <c r="F154" s="125"/>
      <c r="G154" s="125"/>
      <c r="H154" s="125"/>
      <c r="I154" s="125"/>
      <c r="J154" s="125"/>
      <c r="K154" s="125"/>
      <c r="L154" s="125"/>
      <c r="M154" s="125"/>
      <c r="N154" s="125"/>
      <c r="O154" s="125"/>
    </row>
    <row r="155" spans="2:15" x14ac:dyDescent="0.2">
      <c r="B155" s="125"/>
      <c r="C155" s="126"/>
      <c r="D155" s="125"/>
      <c r="E155" s="125"/>
      <c r="F155" s="125"/>
      <c r="G155" s="125"/>
      <c r="H155" s="125"/>
      <c r="I155" s="125"/>
      <c r="J155" s="125"/>
      <c r="K155" s="125"/>
      <c r="L155" s="125"/>
      <c r="M155" s="125"/>
      <c r="N155" s="125"/>
      <c r="O155" s="125"/>
    </row>
    <row r="156" spans="2:15" x14ac:dyDescent="0.2">
      <c r="B156" s="125"/>
      <c r="C156" s="126"/>
      <c r="D156" s="125"/>
      <c r="E156" s="125"/>
      <c r="F156" s="125"/>
      <c r="G156" s="125"/>
      <c r="H156" s="125"/>
      <c r="I156" s="125"/>
      <c r="J156" s="125"/>
      <c r="K156" s="125"/>
      <c r="L156" s="125"/>
      <c r="M156" s="125"/>
      <c r="N156" s="125"/>
      <c r="O156" s="125"/>
    </row>
    <row r="157" spans="2:15" x14ac:dyDescent="0.2">
      <c r="B157" s="125"/>
      <c r="C157" s="126"/>
      <c r="D157" s="125"/>
      <c r="E157" s="125"/>
      <c r="F157" s="125"/>
      <c r="G157" s="125"/>
      <c r="H157" s="125"/>
      <c r="I157" s="125"/>
      <c r="J157" s="125"/>
      <c r="K157" s="125"/>
      <c r="L157" s="125"/>
      <c r="M157" s="125"/>
      <c r="N157" s="125"/>
      <c r="O157" s="125"/>
    </row>
    <row r="158" spans="2:15" x14ac:dyDescent="0.2">
      <c r="B158" s="125"/>
      <c r="C158" s="126"/>
      <c r="D158" s="125"/>
      <c r="E158" s="125"/>
      <c r="F158" s="125"/>
      <c r="G158" s="125"/>
      <c r="H158" s="125"/>
      <c r="I158" s="125"/>
      <c r="J158" s="125"/>
      <c r="K158" s="125"/>
      <c r="L158" s="125"/>
      <c r="M158" s="125"/>
      <c r="N158" s="125"/>
      <c r="O158" s="125"/>
    </row>
    <row r="159" spans="2:15" x14ac:dyDescent="0.2">
      <c r="B159" s="125"/>
      <c r="C159" s="126"/>
      <c r="D159" s="125"/>
      <c r="E159" s="125"/>
      <c r="F159" s="125"/>
      <c r="G159" s="125"/>
      <c r="H159" s="125"/>
      <c r="I159" s="125"/>
      <c r="J159" s="125"/>
      <c r="K159" s="125"/>
      <c r="L159" s="125"/>
      <c r="M159" s="125"/>
      <c r="N159" s="125"/>
      <c r="O159" s="125"/>
    </row>
    <row r="160" spans="2:15" x14ac:dyDescent="0.2">
      <c r="B160" s="125"/>
      <c r="C160" s="126"/>
      <c r="D160" s="125"/>
      <c r="E160" s="125"/>
      <c r="F160" s="125"/>
      <c r="G160" s="125"/>
      <c r="H160" s="125"/>
      <c r="I160" s="125"/>
      <c r="J160" s="125"/>
      <c r="K160" s="125"/>
      <c r="L160" s="125"/>
      <c r="M160" s="125"/>
      <c r="N160" s="125"/>
      <c r="O160" s="125"/>
    </row>
    <row r="161" spans="2:15" x14ac:dyDescent="0.2">
      <c r="B161" s="125"/>
      <c r="C161" s="126"/>
      <c r="D161" s="125"/>
      <c r="E161" s="125"/>
      <c r="F161" s="125"/>
      <c r="G161" s="125"/>
      <c r="H161" s="125"/>
      <c r="I161" s="125"/>
      <c r="J161" s="125"/>
      <c r="K161" s="125"/>
      <c r="L161" s="125"/>
      <c r="M161" s="125"/>
      <c r="N161" s="125"/>
      <c r="O161" s="125"/>
    </row>
    <row r="162" spans="2:15" x14ac:dyDescent="0.2">
      <c r="B162" s="125"/>
      <c r="C162" s="126"/>
      <c r="D162" s="125"/>
      <c r="E162" s="125"/>
      <c r="F162" s="125"/>
      <c r="G162" s="125"/>
      <c r="H162" s="125"/>
      <c r="I162" s="125"/>
      <c r="J162" s="125"/>
      <c r="K162" s="125"/>
      <c r="L162" s="125"/>
      <c r="M162" s="125"/>
      <c r="N162" s="125"/>
      <c r="O162" s="125"/>
    </row>
    <row r="163" spans="2:15" x14ac:dyDescent="0.2">
      <c r="B163" s="125"/>
      <c r="C163" s="126"/>
      <c r="D163" s="125"/>
      <c r="E163" s="125"/>
      <c r="F163" s="125"/>
      <c r="G163" s="125"/>
      <c r="H163" s="125"/>
      <c r="I163" s="125"/>
      <c r="J163" s="125"/>
      <c r="K163" s="125"/>
      <c r="L163" s="125"/>
      <c r="M163" s="125"/>
      <c r="N163" s="125"/>
      <c r="O163" s="125"/>
    </row>
    <row r="164" spans="2:15" x14ac:dyDescent="0.2">
      <c r="B164" s="125"/>
      <c r="C164" s="126"/>
      <c r="D164" s="125"/>
      <c r="E164" s="125"/>
      <c r="F164" s="125"/>
      <c r="G164" s="125"/>
      <c r="H164" s="125"/>
      <c r="I164" s="125"/>
      <c r="J164" s="125"/>
      <c r="K164" s="125"/>
      <c r="L164" s="125"/>
      <c r="M164" s="125"/>
      <c r="N164" s="125"/>
      <c r="O164" s="125"/>
    </row>
    <row r="165" spans="2:15" x14ac:dyDescent="0.2">
      <c r="B165" s="125"/>
      <c r="C165" s="126"/>
      <c r="D165" s="125"/>
      <c r="E165" s="125"/>
      <c r="F165" s="125"/>
      <c r="G165" s="125"/>
      <c r="H165" s="125"/>
      <c r="I165" s="125"/>
      <c r="J165" s="125"/>
      <c r="K165" s="125"/>
      <c r="L165" s="125"/>
      <c r="M165" s="125"/>
      <c r="N165" s="125"/>
      <c r="O165" s="125"/>
    </row>
    <row r="166" spans="2:15" x14ac:dyDescent="0.2">
      <c r="B166" s="125"/>
      <c r="C166" s="126"/>
      <c r="D166" s="125"/>
      <c r="E166" s="125"/>
      <c r="F166" s="125"/>
      <c r="G166" s="125"/>
      <c r="H166" s="125"/>
      <c r="I166" s="125"/>
      <c r="J166" s="125"/>
      <c r="K166" s="125"/>
      <c r="L166" s="125"/>
      <c r="M166" s="125"/>
      <c r="N166" s="125"/>
      <c r="O166" s="125"/>
    </row>
    <row r="167" spans="2:15" x14ac:dyDescent="0.2">
      <c r="B167" s="125"/>
      <c r="C167" s="126"/>
      <c r="D167" s="125"/>
      <c r="E167" s="125"/>
      <c r="F167" s="125"/>
      <c r="G167" s="125"/>
      <c r="H167" s="125"/>
      <c r="I167" s="125"/>
      <c r="J167" s="125"/>
      <c r="K167" s="125"/>
      <c r="L167" s="125"/>
      <c r="M167" s="125"/>
      <c r="N167" s="125"/>
      <c r="O167" s="125"/>
    </row>
    <row r="168" spans="2:15" x14ac:dyDescent="0.2">
      <c r="B168" s="125"/>
      <c r="C168" s="126"/>
      <c r="D168" s="125"/>
      <c r="E168" s="125"/>
      <c r="F168" s="125"/>
      <c r="G168" s="125"/>
      <c r="H168" s="125"/>
      <c r="I168" s="125"/>
      <c r="J168" s="125"/>
      <c r="K168" s="125"/>
      <c r="L168" s="125"/>
      <c r="M168" s="125"/>
      <c r="N168" s="125"/>
      <c r="O168" s="125"/>
    </row>
    <row r="169" spans="2:15" x14ac:dyDescent="0.2">
      <c r="B169" s="125"/>
      <c r="C169" s="126"/>
      <c r="D169" s="125"/>
      <c r="E169" s="125"/>
      <c r="F169" s="125"/>
      <c r="G169" s="125"/>
      <c r="H169" s="125"/>
      <c r="I169" s="125"/>
      <c r="J169" s="125"/>
      <c r="K169" s="125"/>
      <c r="L169" s="125"/>
      <c r="M169" s="125"/>
      <c r="N169" s="125"/>
      <c r="O169" s="125"/>
    </row>
    <row r="170" spans="2:15" x14ac:dyDescent="0.2">
      <c r="B170" s="125"/>
      <c r="C170" s="126"/>
      <c r="D170" s="125"/>
      <c r="E170" s="125"/>
      <c r="F170" s="125"/>
      <c r="G170" s="125"/>
      <c r="H170" s="125"/>
      <c r="I170" s="125"/>
      <c r="J170" s="125"/>
      <c r="K170" s="125"/>
      <c r="L170" s="125"/>
      <c r="M170" s="125"/>
      <c r="N170" s="125"/>
      <c r="O170" s="125"/>
    </row>
    <row r="171" spans="2:15" x14ac:dyDescent="0.2">
      <c r="B171" s="125"/>
      <c r="C171" s="126"/>
      <c r="D171" s="125"/>
      <c r="E171" s="125"/>
      <c r="F171" s="125"/>
      <c r="G171" s="125"/>
      <c r="H171" s="125"/>
      <c r="I171" s="125"/>
      <c r="J171" s="125"/>
      <c r="K171" s="125"/>
      <c r="L171" s="125"/>
      <c r="M171" s="125"/>
      <c r="N171" s="125"/>
      <c r="O171" s="125"/>
    </row>
    <row r="172" spans="2:15" x14ac:dyDescent="0.2">
      <c r="B172" s="125"/>
      <c r="C172" s="126"/>
      <c r="D172" s="125"/>
      <c r="E172" s="125"/>
      <c r="F172" s="125"/>
      <c r="G172" s="125"/>
      <c r="H172" s="125"/>
      <c r="I172" s="125"/>
      <c r="J172" s="125"/>
      <c r="K172" s="125"/>
      <c r="L172" s="125"/>
      <c r="M172" s="125"/>
      <c r="N172" s="125"/>
      <c r="O172" s="125"/>
    </row>
    <row r="173" spans="2:15" x14ac:dyDescent="0.2">
      <c r="B173" s="125"/>
      <c r="C173" s="126"/>
      <c r="D173" s="125"/>
      <c r="E173" s="125"/>
      <c r="F173" s="125"/>
      <c r="G173" s="125"/>
      <c r="H173" s="125"/>
      <c r="I173" s="125"/>
      <c r="J173" s="125"/>
      <c r="K173" s="125"/>
      <c r="L173" s="125"/>
      <c r="M173" s="125"/>
      <c r="N173" s="125"/>
      <c r="O173" s="125"/>
    </row>
    <row r="174" spans="2:15" x14ac:dyDescent="0.2">
      <c r="B174" s="125"/>
      <c r="C174" s="126"/>
      <c r="D174" s="125"/>
      <c r="E174" s="125"/>
      <c r="F174" s="125"/>
      <c r="G174" s="125"/>
      <c r="H174" s="125"/>
      <c r="I174" s="125"/>
      <c r="J174" s="125"/>
      <c r="K174" s="125"/>
      <c r="L174" s="125"/>
      <c r="M174" s="125"/>
      <c r="N174" s="125"/>
      <c r="O174" s="125"/>
    </row>
    <row r="175" spans="2:15" x14ac:dyDescent="0.2">
      <c r="B175" s="125"/>
      <c r="C175" s="126"/>
      <c r="D175" s="125"/>
      <c r="E175" s="125"/>
      <c r="F175" s="125"/>
      <c r="G175" s="125"/>
      <c r="H175" s="125"/>
      <c r="I175" s="125"/>
      <c r="J175" s="125"/>
      <c r="K175" s="125"/>
      <c r="L175" s="125"/>
      <c r="M175" s="125"/>
      <c r="N175" s="125"/>
      <c r="O175" s="125"/>
    </row>
    <row r="176" spans="2:15" x14ac:dyDescent="0.2">
      <c r="B176" s="125"/>
      <c r="C176" s="126"/>
      <c r="D176" s="125"/>
      <c r="E176" s="125"/>
      <c r="F176" s="125"/>
      <c r="G176" s="125"/>
      <c r="H176" s="125"/>
      <c r="I176" s="125"/>
      <c r="J176" s="125"/>
      <c r="K176" s="125"/>
      <c r="L176" s="125"/>
      <c r="M176" s="125"/>
      <c r="N176" s="125"/>
      <c r="O176" s="125"/>
    </row>
    <row r="177" spans="2:15" x14ac:dyDescent="0.2">
      <c r="B177" s="125"/>
      <c r="C177" s="126"/>
      <c r="D177" s="125"/>
      <c r="E177" s="125"/>
      <c r="F177" s="125"/>
      <c r="G177" s="125"/>
      <c r="H177" s="125"/>
      <c r="I177" s="125"/>
      <c r="J177" s="125"/>
      <c r="K177" s="125"/>
      <c r="L177" s="125"/>
      <c r="M177" s="125"/>
      <c r="N177" s="125"/>
      <c r="O177" s="125"/>
    </row>
    <row r="178" spans="2:15" x14ac:dyDescent="0.2">
      <c r="B178" s="125"/>
      <c r="C178" s="126"/>
      <c r="D178" s="125"/>
      <c r="E178" s="125"/>
      <c r="F178" s="125"/>
      <c r="G178" s="125"/>
      <c r="H178" s="125"/>
      <c r="I178" s="125"/>
      <c r="J178" s="125"/>
      <c r="K178" s="125"/>
      <c r="L178" s="125"/>
      <c r="M178" s="125"/>
      <c r="N178" s="125"/>
      <c r="O178" s="125"/>
    </row>
    <row r="179" spans="2:15" x14ac:dyDescent="0.2">
      <c r="B179" s="125"/>
      <c r="C179" s="126"/>
      <c r="D179" s="125"/>
      <c r="E179" s="125"/>
      <c r="F179" s="125"/>
      <c r="G179" s="125"/>
      <c r="H179" s="125"/>
      <c r="I179" s="125"/>
      <c r="J179" s="125"/>
      <c r="K179" s="125"/>
      <c r="L179" s="125"/>
      <c r="M179" s="125"/>
      <c r="N179" s="125"/>
      <c r="O179" s="125"/>
    </row>
    <row r="180" spans="2:15" x14ac:dyDescent="0.2">
      <c r="B180" s="125"/>
      <c r="C180" s="126"/>
      <c r="D180" s="125"/>
      <c r="E180" s="125"/>
      <c r="F180" s="125"/>
      <c r="G180" s="125"/>
      <c r="H180" s="125"/>
      <c r="I180" s="125"/>
      <c r="J180" s="125"/>
      <c r="K180" s="125"/>
      <c r="L180" s="125"/>
      <c r="M180" s="125"/>
      <c r="N180" s="125"/>
      <c r="O180" s="125"/>
    </row>
    <row r="181" spans="2:15" x14ac:dyDescent="0.2">
      <c r="B181" s="125"/>
      <c r="C181" s="126"/>
      <c r="D181" s="125"/>
      <c r="E181" s="125"/>
      <c r="F181" s="125"/>
      <c r="G181" s="125"/>
      <c r="H181" s="125"/>
      <c r="I181" s="125"/>
      <c r="J181" s="125"/>
      <c r="K181" s="125"/>
      <c r="L181" s="125"/>
      <c r="M181" s="125"/>
      <c r="N181" s="125"/>
      <c r="O181" s="125"/>
    </row>
    <row r="182" spans="2:15" x14ac:dyDescent="0.2">
      <c r="B182" s="125"/>
      <c r="C182" s="126"/>
      <c r="D182" s="125"/>
      <c r="E182" s="125"/>
      <c r="F182" s="125"/>
      <c r="G182" s="125"/>
      <c r="H182" s="125"/>
      <c r="I182" s="125"/>
      <c r="J182" s="125"/>
      <c r="K182" s="125"/>
      <c r="L182" s="125"/>
      <c r="M182" s="125"/>
      <c r="N182" s="125"/>
      <c r="O182" s="125"/>
    </row>
    <row r="183" spans="2:15" x14ac:dyDescent="0.2">
      <c r="B183" s="125"/>
      <c r="C183" s="126"/>
      <c r="D183" s="125"/>
      <c r="E183" s="125"/>
      <c r="F183" s="125"/>
      <c r="G183" s="125"/>
      <c r="H183" s="125"/>
      <c r="I183" s="125"/>
      <c r="J183" s="125"/>
      <c r="K183" s="125"/>
      <c r="L183" s="125"/>
      <c r="M183" s="125"/>
      <c r="N183" s="125"/>
      <c r="O183" s="125"/>
    </row>
    <row r="184" spans="2:15" x14ac:dyDescent="0.2">
      <c r="B184" s="125"/>
      <c r="C184" s="126"/>
      <c r="D184" s="125"/>
      <c r="E184" s="125"/>
      <c r="F184" s="125"/>
      <c r="G184" s="125"/>
      <c r="H184" s="125"/>
      <c r="I184" s="125"/>
      <c r="J184" s="125"/>
      <c r="K184" s="125"/>
      <c r="L184" s="125"/>
      <c r="M184" s="125"/>
      <c r="N184" s="125"/>
      <c r="O184" s="125"/>
    </row>
    <row r="185" spans="2:15" x14ac:dyDescent="0.2">
      <c r="B185" s="125"/>
      <c r="C185" s="126"/>
      <c r="D185" s="125"/>
      <c r="E185" s="125"/>
      <c r="F185" s="125"/>
      <c r="G185" s="125"/>
      <c r="H185" s="125"/>
      <c r="I185" s="125"/>
      <c r="J185" s="125"/>
      <c r="K185" s="125"/>
      <c r="L185" s="125"/>
      <c r="M185" s="125"/>
      <c r="N185" s="125"/>
      <c r="O185" s="125"/>
    </row>
    <row r="186" spans="2:15" x14ac:dyDescent="0.2">
      <c r="B186" s="125"/>
      <c r="C186" s="126"/>
      <c r="D186" s="125"/>
      <c r="E186" s="125"/>
      <c r="F186" s="125"/>
      <c r="G186" s="125"/>
      <c r="H186" s="125"/>
      <c r="I186" s="125"/>
      <c r="J186" s="125"/>
      <c r="K186" s="125"/>
      <c r="L186" s="125"/>
      <c r="M186" s="125"/>
      <c r="N186" s="125"/>
      <c r="O186" s="125"/>
    </row>
    <row r="187" spans="2:15" x14ac:dyDescent="0.2">
      <c r="B187" s="125"/>
      <c r="C187" s="126"/>
      <c r="D187" s="125"/>
      <c r="E187" s="125"/>
      <c r="F187" s="125"/>
      <c r="G187" s="125"/>
      <c r="H187" s="125"/>
      <c r="I187" s="125"/>
      <c r="J187" s="125"/>
      <c r="K187" s="125"/>
      <c r="L187" s="125"/>
      <c r="M187" s="125"/>
      <c r="N187" s="125"/>
      <c r="O187" s="125"/>
    </row>
    <row r="188" spans="2:15" x14ac:dyDescent="0.2">
      <c r="B188" s="125"/>
      <c r="C188" s="126"/>
      <c r="D188" s="125"/>
      <c r="E188" s="125"/>
      <c r="F188" s="125"/>
      <c r="G188" s="125"/>
      <c r="H188" s="125"/>
      <c r="I188" s="125"/>
      <c r="J188" s="125"/>
      <c r="K188" s="125"/>
      <c r="L188" s="125"/>
      <c r="M188" s="125"/>
      <c r="N188" s="125"/>
      <c r="O188" s="125"/>
    </row>
    <row r="189" spans="2:15" x14ac:dyDescent="0.2">
      <c r="B189" s="125"/>
      <c r="C189" s="126"/>
      <c r="D189" s="125"/>
      <c r="E189" s="125"/>
      <c r="F189" s="125"/>
      <c r="G189" s="125"/>
      <c r="H189" s="125"/>
      <c r="I189" s="125"/>
      <c r="J189" s="125"/>
      <c r="K189" s="125"/>
      <c r="L189" s="125"/>
      <c r="M189" s="125"/>
      <c r="N189" s="125"/>
      <c r="O189" s="125"/>
    </row>
    <row r="190" spans="2:15" x14ac:dyDescent="0.2">
      <c r="B190" s="125"/>
      <c r="C190" s="126"/>
      <c r="D190" s="125"/>
      <c r="E190" s="125"/>
      <c r="F190" s="125"/>
      <c r="G190" s="125"/>
      <c r="H190" s="125"/>
      <c r="I190" s="125"/>
      <c r="J190" s="125"/>
      <c r="K190" s="125"/>
      <c r="L190" s="125"/>
      <c r="M190" s="125"/>
      <c r="N190" s="125"/>
      <c r="O190" s="125"/>
    </row>
    <row r="191" spans="2:15" x14ac:dyDescent="0.2">
      <c r="B191" s="125"/>
      <c r="C191" s="126"/>
      <c r="D191" s="125"/>
      <c r="E191" s="125"/>
      <c r="F191" s="125"/>
      <c r="G191" s="125"/>
      <c r="H191" s="125"/>
      <c r="I191" s="125"/>
      <c r="J191" s="125"/>
      <c r="K191" s="125"/>
      <c r="L191" s="125"/>
      <c r="M191" s="125"/>
      <c r="N191" s="125"/>
      <c r="O191" s="125"/>
    </row>
    <row r="192" spans="2:15" x14ac:dyDescent="0.2">
      <c r="B192" s="125"/>
      <c r="C192" s="126"/>
      <c r="D192" s="125"/>
      <c r="E192" s="125"/>
      <c r="F192" s="125"/>
      <c r="G192" s="125"/>
      <c r="H192" s="125"/>
      <c r="I192" s="125"/>
      <c r="J192" s="125"/>
      <c r="K192" s="125"/>
      <c r="L192" s="125"/>
      <c r="M192" s="125"/>
      <c r="N192" s="125"/>
      <c r="O192" s="125"/>
    </row>
    <row r="193" spans="2:15" x14ac:dyDescent="0.2">
      <c r="B193" s="125"/>
      <c r="C193" s="126"/>
      <c r="D193" s="125"/>
      <c r="E193" s="125"/>
      <c r="F193" s="125"/>
      <c r="G193" s="125"/>
      <c r="H193" s="125"/>
      <c r="I193" s="125"/>
      <c r="J193" s="125"/>
      <c r="K193" s="125"/>
      <c r="L193" s="125"/>
      <c r="M193" s="125"/>
      <c r="N193" s="125"/>
      <c r="O193" s="125"/>
    </row>
    <row r="194" spans="2:15" x14ac:dyDescent="0.2">
      <c r="B194" s="125"/>
      <c r="C194" s="126"/>
      <c r="D194" s="125"/>
      <c r="E194" s="125"/>
      <c r="F194" s="125"/>
      <c r="G194" s="125"/>
      <c r="H194" s="125"/>
      <c r="I194" s="125"/>
      <c r="J194" s="125"/>
      <c r="K194" s="125"/>
      <c r="L194" s="125"/>
      <c r="M194" s="125"/>
      <c r="N194" s="125"/>
      <c r="O194" s="125"/>
    </row>
    <row r="195" spans="2:15" x14ac:dyDescent="0.2">
      <c r="B195" s="125"/>
      <c r="C195" s="126"/>
      <c r="D195" s="125"/>
      <c r="E195" s="125"/>
      <c r="F195" s="125"/>
      <c r="G195" s="125"/>
      <c r="H195" s="125"/>
      <c r="I195" s="125"/>
      <c r="J195" s="125"/>
      <c r="K195" s="125"/>
      <c r="L195" s="125"/>
      <c r="M195" s="125"/>
      <c r="N195" s="125"/>
      <c r="O195" s="125"/>
    </row>
    <row r="196" spans="2:15" x14ac:dyDescent="0.2">
      <c r="B196" s="125"/>
      <c r="C196" s="126"/>
      <c r="D196" s="125"/>
      <c r="E196" s="125"/>
      <c r="F196" s="125"/>
      <c r="G196" s="125"/>
      <c r="H196" s="125"/>
      <c r="I196" s="125"/>
      <c r="J196" s="125"/>
      <c r="K196" s="125"/>
      <c r="L196" s="125"/>
      <c r="M196" s="125"/>
      <c r="N196" s="125"/>
      <c r="O196" s="125"/>
    </row>
    <row r="197" spans="2:15" x14ac:dyDescent="0.2">
      <c r="B197" s="125"/>
      <c r="C197" s="126"/>
      <c r="D197" s="125"/>
      <c r="E197" s="125"/>
      <c r="F197" s="125"/>
      <c r="G197" s="125"/>
      <c r="H197" s="125"/>
      <c r="I197" s="125"/>
      <c r="J197" s="125"/>
      <c r="K197" s="125"/>
      <c r="L197" s="125"/>
      <c r="M197" s="125"/>
      <c r="N197" s="125"/>
      <c r="O197" s="125"/>
    </row>
    <row r="198" spans="2:15" x14ac:dyDescent="0.2">
      <c r="B198" s="125"/>
      <c r="C198" s="126"/>
      <c r="D198" s="125"/>
      <c r="E198" s="125"/>
      <c r="F198" s="125"/>
      <c r="G198" s="125"/>
      <c r="H198" s="125"/>
      <c r="I198" s="125"/>
      <c r="J198" s="125"/>
      <c r="K198" s="125"/>
      <c r="L198" s="125"/>
      <c r="M198" s="125"/>
      <c r="N198" s="125"/>
      <c r="O198" s="125"/>
    </row>
    <row r="199" spans="2:15" x14ac:dyDescent="0.2">
      <c r="B199" s="125"/>
      <c r="C199" s="126"/>
      <c r="D199" s="125"/>
      <c r="E199" s="125"/>
      <c r="F199" s="125"/>
      <c r="G199" s="125"/>
      <c r="H199" s="125"/>
      <c r="I199" s="125"/>
      <c r="J199" s="125"/>
      <c r="K199" s="125"/>
      <c r="L199" s="125"/>
      <c r="M199" s="125"/>
      <c r="N199" s="125"/>
      <c r="O199" s="125"/>
    </row>
    <row r="200" spans="2:15" x14ac:dyDescent="0.2">
      <c r="B200" s="125"/>
      <c r="C200" s="126"/>
      <c r="D200" s="125"/>
      <c r="E200" s="125"/>
      <c r="F200" s="125"/>
      <c r="G200" s="125"/>
      <c r="H200" s="125"/>
      <c r="I200" s="125"/>
      <c r="J200" s="125"/>
      <c r="K200" s="125"/>
      <c r="L200" s="125"/>
      <c r="M200" s="125"/>
      <c r="N200" s="125"/>
      <c r="O200" s="125"/>
    </row>
    <row r="201" spans="2:15" x14ac:dyDescent="0.2">
      <c r="B201" s="125"/>
      <c r="C201" s="126"/>
      <c r="D201" s="125"/>
      <c r="E201" s="125"/>
      <c r="F201" s="125"/>
      <c r="G201" s="125"/>
      <c r="H201" s="125"/>
      <c r="I201" s="125"/>
      <c r="J201" s="125"/>
      <c r="K201" s="125"/>
      <c r="L201" s="125"/>
      <c r="M201" s="125"/>
      <c r="N201" s="125"/>
      <c r="O201" s="125"/>
    </row>
    <row r="202" spans="2:15" x14ac:dyDescent="0.2">
      <c r="B202" s="125"/>
      <c r="C202" s="126"/>
      <c r="D202" s="125"/>
      <c r="E202" s="125"/>
      <c r="F202" s="125"/>
      <c r="G202" s="125"/>
      <c r="H202" s="125"/>
      <c r="I202" s="125"/>
      <c r="J202" s="125"/>
      <c r="K202" s="125"/>
      <c r="L202" s="125"/>
      <c r="M202" s="125"/>
      <c r="N202" s="125"/>
      <c r="O202" s="125"/>
    </row>
    <row r="203" spans="2:15" x14ac:dyDescent="0.2">
      <c r="B203" s="125"/>
      <c r="C203" s="126"/>
      <c r="D203" s="125"/>
      <c r="E203" s="125"/>
      <c r="F203" s="125"/>
      <c r="G203" s="125"/>
      <c r="H203" s="125"/>
      <c r="I203" s="125"/>
      <c r="J203" s="125"/>
      <c r="K203" s="125"/>
      <c r="L203" s="125"/>
      <c r="M203" s="125"/>
      <c r="N203" s="125"/>
      <c r="O203" s="125"/>
    </row>
    <row r="204" spans="2:15" x14ac:dyDescent="0.2">
      <c r="B204" s="125"/>
      <c r="C204" s="126"/>
      <c r="D204" s="125"/>
      <c r="E204" s="125"/>
      <c r="F204" s="125"/>
      <c r="G204" s="125"/>
      <c r="H204" s="125"/>
      <c r="I204" s="125"/>
      <c r="J204" s="125"/>
      <c r="K204" s="125"/>
      <c r="L204" s="125"/>
      <c r="M204" s="125"/>
      <c r="N204" s="125"/>
      <c r="O204" s="125"/>
    </row>
    <row r="205" spans="2:15" x14ac:dyDescent="0.2">
      <c r="B205" s="125"/>
      <c r="C205" s="126"/>
      <c r="D205" s="125"/>
      <c r="E205" s="125"/>
      <c r="F205" s="125"/>
      <c r="G205" s="125"/>
      <c r="H205" s="125"/>
      <c r="I205" s="125"/>
      <c r="J205" s="125"/>
      <c r="K205" s="125"/>
      <c r="L205" s="125"/>
      <c r="M205" s="125"/>
      <c r="N205" s="125"/>
      <c r="O205" s="125"/>
    </row>
    <row r="206" spans="2:15" x14ac:dyDescent="0.2">
      <c r="B206" s="125"/>
      <c r="C206" s="126"/>
      <c r="D206" s="125"/>
      <c r="E206" s="125"/>
      <c r="F206" s="125"/>
      <c r="G206" s="125"/>
      <c r="H206" s="125"/>
      <c r="I206" s="125"/>
      <c r="J206" s="125"/>
      <c r="K206" s="125"/>
      <c r="L206" s="125"/>
      <c r="M206" s="125"/>
      <c r="N206" s="125"/>
      <c r="O206" s="125"/>
    </row>
    <row r="207" spans="2:15" x14ac:dyDescent="0.2">
      <c r="B207" s="125"/>
      <c r="C207" s="126"/>
      <c r="D207" s="125"/>
      <c r="E207" s="125"/>
      <c r="F207" s="125"/>
      <c r="G207" s="125"/>
      <c r="H207" s="125"/>
      <c r="I207" s="125"/>
      <c r="J207" s="125"/>
      <c r="K207" s="125"/>
      <c r="L207" s="125"/>
      <c r="M207" s="125"/>
      <c r="N207" s="125"/>
      <c r="O207" s="125"/>
    </row>
    <row r="208" spans="2:15" x14ac:dyDescent="0.2">
      <c r="B208" s="125"/>
      <c r="C208" s="126"/>
      <c r="D208" s="125"/>
      <c r="E208" s="125"/>
      <c r="F208" s="125"/>
      <c r="G208" s="125"/>
      <c r="H208" s="125"/>
      <c r="I208" s="125"/>
      <c r="J208" s="125"/>
      <c r="K208" s="125"/>
      <c r="L208" s="125"/>
      <c r="M208" s="125"/>
      <c r="N208" s="125"/>
      <c r="O208" s="125"/>
    </row>
    <row r="209" spans="2:15" x14ac:dyDescent="0.2">
      <c r="B209" s="125"/>
      <c r="C209" s="126"/>
      <c r="D209" s="125"/>
      <c r="E209" s="125"/>
      <c r="F209" s="125"/>
      <c r="G209" s="125"/>
      <c r="H209" s="125"/>
      <c r="I209" s="125"/>
      <c r="J209" s="125"/>
      <c r="K209" s="125"/>
      <c r="L209" s="125"/>
      <c r="M209" s="125"/>
      <c r="N209" s="125"/>
      <c r="O209" s="125"/>
    </row>
    <row r="210" spans="2:15" x14ac:dyDescent="0.2">
      <c r="B210" s="125"/>
      <c r="C210" s="126"/>
      <c r="D210" s="125"/>
      <c r="E210" s="125"/>
      <c r="F210" s="125"/>
      <c r="G210" s="125"/>
      <c r="H210" s="125"/>
      <c r="I210" s="125"/>
      <c r="J210" s="125"/>
      <c r="K210" s="125"/>
      <c r="L210" s="125"/>
      <c r="M210" s="125"/>
      <c r="N210" s="125"/>
      <c r="O210" s="125"/>
    </row>
    <row r="211" spans="2:15" x14ac:dyDescent="0.2">
      <c r="B211" s="125"/>
      <c r="C211" s="126"/>
      <c r="D211" s="125"/>
      <c r="E211" s="125"/>
      <c r="F211" s="125"/>
      <c r="G211" s="125"/>
      <c r="H211" s="125"/>
      <c r="I211" s="125"/>
      <c r="J211" s="125"/>
      <c r="K211" s="125"/>
      <c r="L211" s="125"/>
      <c r="M211" s="125"/>
      <c r="N211" s="125"/>
      <c r="O211" s="125"/>
    </row>
    <row r="212" spans="2:15" x14ac:dyDescent="0.2">
      <c r="B212" s="125"/>
      <c r="C212" s="126"/>
      <c r="D212" s="125"/>
      <c r="E212" s="125"/>
      <c r="F212" s="125"/>
      <c r="G212" s="125"/>
      <c r="H212" s="125"/>
      <c r="I212" s="125"/>
      <c r="J212" s="125"/>
      <c r="K212" s="125"/>
      <c r="L212" s="125"/>
      <c r="M212" s="125"/>
      <c r="N212" s="125"/>
      <c r="O212" s="125"/>
    </row>
    <row r="213" spans="2:15" x14ac:dyDescent="0.2">
      <c r="B213" s="125"/>
      <c r="C213" s="126"/>
      <c r="D213" s="125"/>
      <c r="E213" s="125"/>
      <c r="F213" s="125"/>
      <c r="G213" s="125"/>
      <c r="H213" s="125"/>
      <c r="I213" s="125"/>
      <c r="J213" s="125"/>
      <c r="K213" s="125"/>
      <c r="L213" s="125"/>
      <c r="M213" s="125"/>
      <c r="N213" s="125"/>
      <c r="O213" s="125"/>
    </row>
    <row r="214" spans="2:15" x14ac:dyDescent="0.2">
      <c r="B214" s="125"/>
      <c r="C214" s="126"/>
      <c r="D214" s="125"/>
      <c r="E214" s="125"/>
      <c r="F214" s="125"/>
      <c r="G214" s="125"/>
      <c r="H214" s="125"/>
      <c r="I214" s="125"/>
      <c r="J214" s="125"/>
      <c r="K214" s="125"/>
      <c r="L214" s="125"/>
      <c r="M214" s="125"/>
      <c r="N214" s="125"/>
      <c r="O214" s="125"/>
    </row>
    <row r="215" spans="2:15" x14ac:dyDescent="0.2">
      <c r="B215" s="125"/>
      <c r="C215" s="126"/>
      <c r="D215" s="125"/>
      <c r="E215" s="125"/>
      <c r="F215" s="125"/>
      <c r="G215" s="125"/>
      <c r="H215" s="125"/>
      <c r="I215" s="125"/>
      <c r="J215" s="125"/>
      <c r="K215" s="125"/>
      <c r="L215" s="125"/>
      <c r="M215" s="125"/>
      <c r="N215" s="125"/>
      <c r="O215" s="125"/>
    </row>
    <row r="216" spans="2:15" x14ac:dyDescent="0.2">
      <c r="B216" s="125"/>
      <c r="C216" s="126"/>
      <c r="D216" s="125"/>
      <c r="E216" s="125"/>
      <c r="F216" s="125"/>
      <c r="G216" s="125"/>
      <c r="H216" s="125"/>
      <c r="I216" s="125"/>
      <c r="J216" s="125"/>
      <c r="K216" s="125"/>
      <c r="L216" s="125"/>
      <c r="M216" s="125"/>
      <c r="N216" s="125"/>
      <c r="O216" s="125"/>
    </row>
    <row r="217" spans="2:15" x14ac:dyDescent="0.2">
      <c r="B217" s="125"/>
      <c r="C217" s="126"/>
      <c r="D217" s="125"/>
      <c r="E217" s="125"/>
      <c r="F217" s="125"/>
      <c r="G217" s="125"/>
      <c r="H217" s="125"/>
      <c r="I217" s="125"/>
      <c r="J217" s="125"/>
      <c r="K217" s="125"/>
      <c r="L217" s="125"/>
      <c r="M217" s="125"/>
      <c r="N217" s="125"/>
      <c r="O217" s="125"/>
    </row>
    <row r="218" spans="2:15" x14ac:dyDescent="0.2">
      <c r="B218" s="125"/>
      <c r="C218" s="126"/>
      <c r="D218" s="125"/>
      <c r="E218" s="125"/>
      <c r="F218" s="125"/>
      <c r="G218" s="125"/>
      <c r="H218" s="125"/>
      <c r="I218" s="125"/>
      <c r="J218" s="125"/>
      <c r="K218" s="125"/>
      <c r="L218" s="125"/>
      <c r="M218" s="125"/>
      <c r="N218" s="125"/>
      <c r="O218" s="125"/>
    </row>
    <row r="219" spans="2:15" x14ac:dyDescent="0.2">
      <c r="B219" s="125"/>
      <c r="C219" s="126"/>
      <c r="D219" s="125"/>
      <c r="E219" s="125"/>
      <c r="F219" s="125"/>
      <c r="G219" s="125"/>
      <c r="H219" s="125"/>
      <c r="I219" s="125"/>
      <c r="J219" s="125"/>
      <c r="K219" s="125"/>
      <c r="L219" s="125"/>
      <c r="M219" s="125"/>
      <c r="N219" s="125"/>
      <c r="O219" s="125"/>
    </row>
    <row r="220" spans="2:15" x14ac:dyDescent="0.2">
      <c r="B220" s="125"/>
      <c r="C220" s="126"/>
      <c r="D220" s="125"/>
      <c r="E220" s="125"/>
      <c r="F220" s="125"/>
      <c r="G220" s="125"/>
      <c r="H220" s="125"/>
      <c r="I220" s="125"/>
      <c r="J220" s="125"/>
      <c r="K220" s="125"/>
      <c r="L220" s="125"/>
      <c r="M220" s="125"/>
      <c r="N220" s="125"/>
      <c r="O220" s="125"/>
    </row>
    <row r="221" spans="2:15" x14ac:dyDescent="0.2">
      <c r="B221" s="138"/>
      <c r="C221" s="126"/>
      <c r="D221" s="138"/>
      <c r="E221" s="138"/>
      <c r="F221" s="138"/>
      <c r="G221" s="138"/>
      <c r="H221" s="138"/>
      <c r="I221" s="138"/>
      <c r="J221" s="138"/>
      <c r="K221" s="138"/>
      <c r="L221" s="138"/>
      <c r="M221" s="138"/>
      <c r="N221" s="138"/>
      <c r="O221" s="138"/>
    </row>
    <row r="222" spans="2:15" x14ac:dyDescent="0.2">
      <c r="B222" s="138"/>
      <c r="C222" s="126"/>
      <c r="D222" s="138"/>
      <c r="E222" s="138"/>
      <c r="F222" s="138"/>
      <c r="G222" s="138"/>
      <c r="H222" s="138"/>
      <c r="I222" s="138"/>
      <c r="J222" s="138"/>
      <c r="K222" s="138"/>
      <c r="L222" s="138"/>
      <c r="M222" s="138"/>
      <c r="N222" s="138"/>
      <c r="O222" s="138"/>
    </row>
    <row r="223" spans="2:15" x14ac:dyDescent="0.2">
      <c r="B223" s="138"/>
      <c r="C223" s="126"/>
      <c r="D223" s="138"/>
      <c r="E223" s="138"/>
      <c r="F223" s="138"/>
      <c r="G223" s="138"/>
      <c r="H223" s="138"/>
      <c r="I223" s="138"/>
      <c r="J223" s="138"/>
      <c r="K223" s="138"/>
      <c r="L223" s="138"/>
      <c r="M223" s="138"/>
      <c r="N223" s="138"/>
      <c r="O223" s="138"/>
    </row>
    <row r="224" spans="2:15" x14ac:dyDescent="0.2">
      <c r="B224" s="138"/>
      <c r="C224" s="126"/>
      <c r="D224" s="138"/>
      <c r="E224" s="138"/>
      <c r="F224" s="138"/>
      <c r="G224" s="138"/>
      <c r="H224" s="138"/>
      <c r="I224" s="138"/>
      <c r="J224" s="138"/>
      <c r="K224" s="138"/>
      <c r="L224" s="138"/>
      <c r="M224" s="138"/>
      <c r="N224" s="138"/>
      <c r="O224" s="138"/>
    </row>
    <row r="225" spans="2:15" x14ac:dyDescent="0.2">
      <c r="B225" s="138"/>
      <c r="C225" s="126"/>
      <c r="D225" s="138"/>
      <c r="E225" s="138"/>
      <c r="F225" s="138"/>
      <c r="G225" s="138"/>
      <c r="H225" s="138"/>
      <c r="I225" s="138"/>
      <c r="J225" s="138"/>
      <c r="K225" s="138"/>
      <c r="L225" s="138"/>
      <c r="M225" s="138"/>
      <c r="N225" s="138"/>
      <c r="O225" s="138"/>
    </row>
    <row r="226" spans="2:15" x14ac:dyDescent="0.2">
      <c r="B226" s="138"/>
      <c r="C226" s="126"/>
      <c r="D226" s="138"/>
      <c r="E226" s="138"/>
      <c r="F226" s="138"/>
      <c r="G226" s="138"/>
      <c r="H226" s="138"/>
      <c r="I226" s="138"/>
      <c r="J226" s="138"/>
      <c r="K226" s="138"/>
      <c r="L226" s="138"/>
      <c r="M226" s="138"/>
      <c r="N226" s="138"/>
      <c r="O226" s="138"/>
    </row>
    <row r="227" spans="2:15" x14ac:dyDescent="0.2">
      <c r="B227" s="138"/>
      <c r="C227" s="126"/>
      <c r="D227" s="138"/>
      <c r="E227" s="138"/>
      <c r="F227" s="138"/>
      <c r="G227" s="138"/>
      <c r="H227" s="138"/>
      <c r="I227" s="138"/>
      <c r="J227" s="138"/>
      <c r="K227" s="138"/>
      <c r="L227" s="138"/>
      <c r="M227" s="138"/>
      <c r="N227" s="138"/>
      <c r="O227" s="138"/>
    </row>
    <row r="228" spans="2:15" x14ac:dyDescent="0.2">
      <c r="B228" s="138"/>
      <c r="C228" s="126"/>
      <c r="D228" s="138"/>
      <c r="E228" s="138"/>
      <c r="F228" s="138"/>
      <c r="G228" s="138"/>
      <c r="H228" s="138"/>
      <c r="I228" s="138"/>
      <c r="J228" s="138"/>
      <c r="K228" s="138"/>
      <c r="L228" s="138"/>
      <c r="M228" s="138"/>
      <c r="N228" s="138"/>
      <c r="O228" s="138"/>
    </row>
    <row r="229" spans="2:15" x14ac:dyDescent="0.2">
      <c r="B229" s="138"/>
      <c r="C229" s="126"/>
      <c r="D229" s="138"/>
      <c r="E229" s="138"/>
      <c r="F229" s="138"/>
      <c r="G229" s="138"/>
      <c r="H229" s="138"/>
      <c r="I229" s="138"/>
      <c r="J229" s="138"/>
      <c r="K229" s="138"/>
      <c r="L229" s="138"/>
      <c r="M229" s="138"/>
      <c r="N229" s="138"/>
      <c r="O229" s="138"/>
    </row>
    <row r="230" spans="2:15" x14ac:dyDescent="0.2">
      <c r="B230" s="138"/>
      <c r="C230" s="126"/>
      <c r="D230" s="138"/>
      <c r="E230" s="138"/>
      <c r="F230" s="138"/>
      <c r="G230" s="138"/>
      <c r="H230" s="138"/>
      <c r="I230" s="138"/>
      <c r="J230" s="138"/>
      <c r="K230" s="138"/>
      <c r="L230" s="138"/>
      <c r="M230" s="138"/>
      <c r="N230" s="138"/>
      <c r="O230" s="138"/>
    </row>
    <row r="231" spans="2:15" x14ac:dyDescent="0.2">
      <c r="B231" s="138"/>
      <c r="C231" s="126"/>
      <c r="D231" s="138"/>
      <c r="E231" s="138"/>
      <c r="F231" s="138"/>
      <c r="G231" s="138"/>
      <c r="H231" s="138"/>
      <c r="I231" s="138"/>
      <c r="J231" s="138"/>
      <c r="K231" s="138"/>
      <c r="L231" s="138"/>
      <c r="M231" s="138"/>
      <c r="N231" s="138"/>
      <c r="O231" s="138"/>
    </row>
    <row r="232" spans="2:15" x14ac:dyDescent="0.2">
      <c r="B232" s="138"/>
      <c r="C232" s="126"/>
      <c r="D232" s="138"/>
      <c r="E232" s="138"/>
      <c r="F232" s="138"/>
      <c r="G232" s="138"/>
      <c r="H232" s="138"/>
      <c r="I232" s="138"/>
      <c r="J232" s="138"/>
      <c r="K232" s="138"/>
      <c r="L232" s="138"/>
      <c r="M232" s="138"/>
      <c r="N232" s="138"/>
      <c r="O232" s="138"/>
    </row>
    <row r="233" spans="2:15" x14ac:dyDescent="0.2">
      <c r="B233" s="138"/>
      <c r="C233" s="126"/>
      <c r="D233" s="138"/>
      <c r="E233" s="138"/>
      <c r="F233" s="138"/>
      <c r="G233" s="138"/>
      <c r="H233" s="138"/>
      <c r="I233" s="138"/>
      <c r="J233" s="138"/>
      <c r="K233" s="138"/>
      <c r="L233" s="138"/>
      <c r="M233" s="138"/>
      <c r="N233" s="138"/>
      <c r="O233" s="138"/>
    </row>
    <row r="234" spans="2:15" x14ac:dyDescent="0.2">
      <c r="B234" s="138"/>
      <c r="C234" s="126"/>
      <c r="D234" s="138"/>
      <c r="E234" s="138"/>
      <c r="F234" s="138"/>
      <c r="G234" s="138"/>
      <c r="H234" s="138"/>
      <c r="I234" s="138"/>
      <c r="J234" s="138"/>
      <c r="K234" s="138"/>
      <c r="L234" s="138"/>
      <c r="M234" s="138"/>
      <c r="N234" s="138"/>
      <c r="O234" s="138"/>
    </row>
    <row r="235" spans="2:15" x14ac:dyDescent="0.2">
      <c r="B235" s="138"/>
      <c r="C235" s="126"/>
      <c r="D235" s="138"/>
      <c r="E235" s="138"/>
      <c r="F235" s="138"/>
      <c r="G235" s="138"/>
      <c r="H235" s="138"/>
      <c r="I235" s="138"/>
      <c r="J235" s="138"/>
      <c r="K235" s="138"/>
      <c r="L235" s="138"/>
      <c r="M235" s="138"/>
      <c r="N235" s="138"/>
      <c r="O235" s="138"/>
    </row>
    <row r="236" spans="2:15" x14ac:dyDescent="0.2">
      <c r="B236" s="138"/>
      <c r="C236" s="126"/>
      <c r="D236" s="138"/>
      <c r="E236" s="138"/>
      <c r="F236" s="138"/>
      <c r="G236" s="138"/>
      <c r="H236" s="138"/>
      <c r="I236" s="138"/>
      <c r="J236" s="138"/>
      <c r="K236" s="138"/>
      <c r="L236" s="138"/>
      <c r="M236" s="138"/>
      <c r="N236" s="138"/>
      <c r="O236" s="138"/>
    </row>
    <row r="237" spans="2:15" x14ac:dyDescent="0.2">
      <c r="B237" s="138"/>
      <c r="C237" s="126"/>
      <c r="D237" s="138"/>
      <c r="E237" s="138"/>
      <c r="F237" s="138"/>
      <c r="G237" s="138"/>
      <c r="H237" s="138"/>
      <c r="I237" s="138"/>
      <c r="J237" s="138"/>
      <c r="K237" s="138"/>
      <c r="L237" s="138"/>
      <c r="M237" s="138"/>
      <c r="N237" s="138"/>
      <c r="O237" s="138"/>
    </row>
    <row r="238" spans="2:15" x14ac:dyDescent="0.2">
      <c r="B238" s="138"/>
      <c r="C238" s="126"/>
      <c r="D238" s="138"/>
      <c r="E238" s="138"/>
      <c r="F238" s="138"/>
      <c r="G238" s="138"/>
      <c r="H238" s="138"/>
      <c r="I238" s="138"/>
      <c r="J238" s="138"/>
      <c r="K238" s="138"/>
      <c r="L238" s="138"/>
      <c r="M238" s="138"/>
      <c r="N238" s="138"/>
      <c r="O238" s="138"/>
    </row>
    <row r="239" spans="2:15" x14ac:dyDescent="0.2">
      <c r="B239" s="138"/>
      <c r="C239" s="126"/>
      <c r="D239" s="138"/>
      <c r="E239" s="138"/>
      <c r="F239" s="138"/>
      <c r="G239" s="138"/>
      <c r="H239" s="138"/>
      <c r="I239" s="138"/>
      <c r="J239" s="138"/>
      <c r="K239" s="138"/>
      <c r="L239" s="138"/>
      <c r="M239" s="138"/>
      <c r="N239" s="138"/>
      <c r="O239" s="138"/>
    </row>
    <row r="240" spans="2:15" x14ac:dyDescent="0.2">
      <c r="B240" s="138"/>
      <c r="C240" s="126"/>
      <c r="D240" s="138"/>
      <c r="E240" s="138"/>
      <c r="F240" s="138"/>
      <c r="G240" s="138"/>
      <c r="H240" s="138"/>
      <c r="I240" s="138"/>
      <c r="J240" s="138"/>
      <c r="K240" s="138"/>
      <c r="L240" s="138"/>
      <c r="M240" s="138"/>
      <c r="N240" s="138"/>
      <c r="O240" s="138"/>
    </row>
    <row r="241" spans="2:15" x14ac:dyDescent="0.2">
      <c r="B241" s="138"/>
      <c r="C241" s="126"/>
      <c r="D241" s="138"/>
      <c r="E241" s="138"/>
      <c r="F241" s="138"/>
      <c r="G241" s="138"/>
      <c r="H241" s="138"/>
      <c r="I241" s="138"/>
      <c r="J241" s="138"/>
      <c r="K241" s="138"/>
      <c r="L241" s="138"/>
      <c r="M241" s="138"/>
      <c r="N241" s="138"/>
      <c r="O241" s="138"/>
    </row>
    <row r="242" spans="2:15" x14ac:dyDescent="0.2">
      <c r="B242" s="138"/>
      <c r="C242" s="126"/>
      <c r="D242" s="138"/>
      <c r="E242" s="138"/>
      <c r="F242" s="138"/>
      <c r="G242" s="138"/>
      <c r="H242" s="138"/>
      <c r="I242" s="138"/>
      <c r="J242" s="138"/>
      <c r="K242" s="138"/>
      <c r="L242" s="138"/>
      <c r="M242" s="138"/>
      <c r="N242" s="138"/>
      <c r="O242" s="138"/>
    </row>
    <row r="243" spans="2:15" x14ac:dyDescent="0.2">
      <c r="B243" s="138"/>
      <c r="C243" s="126"/>
      <c r="D243" s="138"/>
      <c r="E243" s="138"/>
      <c r="F243" s="138"/>
      <c r="G243" s="138"/>
      <c r="H243" s="138"/>
      <c r="I243" s="138"/>
      <c r="J243" s="138"/>
      <c r="K243" s="138"/>
      <c r="L243" s="138"/>
      <c r="M243" s="138"/>
      <c r="N243" s="138"/>
      <c r="O243" s="138"/>
    </row>
    <row r="244" spans="2:15" x14ac:dyDescent="0.2">
      <c r="B244" s="138"/>
      <c r="C244" s="126"/>
      <c r="D244" s="138"/>
      <c r="E244" s="138"/>
      <c r="F244" s="138"/>
      <c r="G244" s="138"/>
      <c r="H244" s="138"/>
      <c r="I244" s="138"/>
      <c r="J244" s="138"/>
      <c r="K244" s="138"/>
      <c r="L244" s="138"/>
      <c r="M244" s="138"/>
      <c r="N244" s="138"/>
      <c r="O244" s="138"/>
    </row>
    <row r="245" spans="2:15" x14ac:dyDescent="0.2">
      <c r="B245" s="138"/>
      <c r="C245" s="126"/>
      <c r="D245" s="138"/>
      <c r="E245" s="138"/>
      <c r="F245" s="138"/>
      <c r="G245" s="138"/>
      <c r="H245" s="138"/>
      <c r="I245" s="138"/>
      <c r="J245" s="138"/>
      <c r="K245" s="138"/>
      <c r="L245" s="138"/>
      <c r="M245" s="138"/>
      <c r="N245" s="138"/>
      <c r="O245" s="138"/>
    </row>
    <row r="246" spans="2:15" x14ac:dyDescent="0.2">
      <c r="B246" s="138"/>
      <c r="C246" s="126"/>
      <c r="D246" s="138"/>
      <c r="E246" s="138"/>
      <c r="F246" s="138"/>
      <c r="G246" s="138"/>
      <c r="H246" s="138"/>
      <c r="I246" s="138"/>
      <c r="J246" s="138"/>
      <c r="K246" s="138"/>
      <c r="L246" s="138"/>
      <c r="M246" s="138"/>
      <c r="N246" s="138"/>
      <c r="O246" s="138"/>
    </row>
    <row r="247" spans="2:15" x14ac:dyDescent="0.2">
      <c r="B247" s="138"/>
      <c r="C247" s="126"/>
      <c r="D247" s="138"/>
      <c r="E247" s="138"/>
      <c r="F247" s="138"/>
      <c r="G247" s="138"/>
      <c r="H247" s="138"/>
      <c r="I247" s="138"/>
      <c r="J247" s="138"/>
      <c r="K247" s="138"/>
      <c r="L247" s="138"/>
      <c r="M247" s="138"/>
      <c r="N247" s="138"/>
      <c r="O247" s="138"/>
    </row>
    <row r="248" spans="2:15" x14ac:dyDescent="0.2">
      <c r="B248" s="138"/>
      <c r="C248" s="126"/>
      <c r="D248" s="138"/>
      <c r="E248" s="138"/>
      <c r="F248" s="138"/>
      <c r="G248" s="138"/>
      <c r="H248" s="138"/>
      <c r="I248" s="138"/>
      <c r="J248" s="138"/>
      <c r="K248" s="138"/>
      <c r="L248" s="138"/>
      <c r="M248" s="138"/>
      <c r="N248" s="138"/>
      <c r="O248" s="138"/>
    </row>
    <row r="249" spans="2:15" x14ac:dyDescent="0.2">
      <c r="B249" s="138"/>
      <c r="C249" s="126"/>
      <c r="D249" s="138"/>
      <c r="E249" s="138"/>
      <c r="F249" s="138"/>
      <c r="G249" s="138"/>
      <c r="H249" s="138"/>
      <c r="I249" s="138"/>
      <c r="J249" s="138"/>
      <c r="K249" s="138"/>
      <c r="L249" s="138"/>
      <c r="M249" s="138"/>
      <c r="N249" s="138"/>
      <c r="O249" s="138"/>
    </row>
    <row r="250" spans="2:15" x14ac:dyDescent="0.2">
      <c r="B250" s="138"/>
      <c r="C250" s="126"/>
      <c r="D250" s="138"/>
      <c r="E250" s="138"/>
      <c r="F250" s="138"/>
      <c r="G250" s="138"/>
      <c r="H250" s="138"/>
      <c r="I250" s="138"/>
      <c r="J250" s="138"/>
      <c r="K250" s="138"/>
      <c r="L250" s="138"/>
      <c r="M250" s="138"/>
      <c r="N250" s="138"/>
      <c r="O250" s="138"/>
    </row>
    <row r="251" spans="2:15" x14ac:dyDescent="0.2">
      <c r="B251" s="138"/>
      <c r="C251" s="126"/>
      <c r="D251" s="138"/>
      <c r="E251" s="138"/>
      <c r="F251" s="138"/>
      <c r="G251" s="138"/>
      <c r="H251" s="138"/>
      <c r="I251" s="138"/>
      <c r="J251" s="138"/>
      <c r="K251" s="138"/>
      <c r="L251" s="138"/>
      <c r="M251" s="138"/>
      <c r="N251" s="138"/>
      <c r="O251" s="138"/>
    </row>
    <row r="252" spans="2:15" x14ac:dyDescent="0.2">
      <c r="B252" s="138"/>
      <c r="C252" s="126"/>
      <c r="D252" s="138"/>
      <c r="E252" s="138"/>
      <c r="F252" s="138"/>
      <c r="G252" s="138"/>
      <c r="H252" s="138"/>
      <c r="I252" s="138"/>
      <c r="J252" s="138"/>
      <c r="K252" s="138"/>
      <c r="L252" s="138"/>
      <c r="M252" s="138"/>
      <c r="N252" s="138"/>
      <c r="O252" s="138"/>
    </row>
    <row r="253" spans="2:15" x14ac:dyDescent="0.2">
      <c r="B253" s="138"/>
      <c r="C253" s="126"/>
      <c r="D253" s="138"/>
      <c r="E253" s="138"/>
      <c r="F253" s="138"/>
      <c r="G253" s="138"/>
      <c r="H253" s="138"/>
      <c r="I253" s="138"/>
      <c r="J253" s="138"/>
      <c r="K253" s="138"/>
      <c r="L253" s="138"/>
      <c r="M253" s="138"/>
      <c r="N253" s="138"/>
      <c r="O253" s="138"/>
    </row>
    <row r="254" spans="2:15" x14ac:dyDescent="0.2">
      <c r="B254" s="138"/>
      <c r="C254" s="126"/>
      <c r="D254" s="138"/>
      <c r="E254" s="138"/>
      <c r="F254" s="138"/>
      <c r="G254" s="138"/>
      <c r="H254" s="138"/>
      <c r="I254" s="138"/>
      <c r="J254" s="138"/>
      <c r="K254" s="138"/>
      <c r="L254" s="138"/>
      <c r="M254" s="138"/>
      <c r="N254" s="138"/>
      <c r="O254" s="138"/>
    </row>
    <row r="255" spans="2:15" x14ac:dyDescent="0.2">
      <c r="B255" s="138"/>
      <c r="C255" s="126"/>
      <c r="D255" s="138"/>
      <c r="E255" s="138"/>
      <c r="F255" s="138"/>
      <c r="G255" s="138"/>
      <c r="H255" s="138"/>
      <c r="I255" s="138"/>
      <c r="J255" s="138"/>
      <c r="K255" s="138"/>
      <c r="L255" s="138"/>
      <c r="M255" s="138"/>
      <c r="N255" s="138"/>
      <c r="O255" s="138"/>
    </row>
    <row r="256" spans="2:15" x14ac:dyDescent="0.2">
      <c r="B256" s="138"/>
      <c r="C256" s="126"/>
      <c r="D256" s="138"/>
      <c r="E256" s="138"/>
      <c r="F256" s="138"/>
      <c r="G256" s="138"/>
      <c r="H256" s="138"/>
      <c r="I256" s="138"/>
      <c r="J256" s="138"/>
      <c r="K256" s="138"/>
      <c r="L256" s="138"/>
      <c r="M256" s="138"/>
      <c r="N256" s="138"/>
      <c r="O256" s="138"/>
    </row>
    <row r="257" spans="2:15" x14ac:dyDescent="0.2">
      <c r="B257" s="138"/>
      <c r="C257" s="126"/>
      <c r="D257" s="138"/>
      <c r="E257" s="138"/>
      <c r="F257" s="138"/>
      <c r="G257" s="138"/>
      <c r="H257" s="138"/>
      <c r="I257" s="138"/>
      <c r="J257" s="138"/>
      <c r="K257" s="138"/>
      <c r="L257" s="138"/>
      <c r="M257" s="138"/>
      <c r="N257" s="138"/>
      <c r="O257" s="138"/>
    </row>
    <row r="258" spans="2:15" x14ac:dyDescent="0.2">
      <c r="B258" s="138"/>
      <c r="C258" s="126"/>
      <c r="D258" s="138"/>
      <c r="E258" s="138"/>
      <c r="F258" s="138"/>
      <c r="G258" s="138"/>
      <c r="H258" s="138"/>
      <c r="I258" s="138"/>
      <c r="J258" s="138"/>
      <c r="K258" s="138"/>
      <c r="L258" s="138"/>
      <c r="M258" s="138"/>
      <c r="N258" s="138"/>
      <c r="O258" s="138"/>
    </row>
    <row r="259" spans="2:15" x14ac:dyDescent="0.2">
      <c r="B259" s="138"/>
      <c r="C259" s="126"/>
      <c r="D259" s="138"/>
      <c r="E259" s="138"/>
      <c r="F259" s="138"/>
      <c r="G259" s="138"/>
      <c r="H259" s="138"/>
      <c r="I259" s="138"/>
      <c r="J259" s="138"/>
      <c r="K259" s="138"/>
      <c r="L259" s="138"/>
      <c r="M259" s="138"/>
      <c r="N259" s="138"/>
      <c r="O259" s="138"/>
    </row>
    <row r="260" spans="2:15" x14ac:dyDescent="0.2">
      <c r="B260" s="138"/>
      <c r="C260" s="126"/>
      <c r="D260" s="138"/>
      <c r="E260" s="138"/>
      <c r="F260" s="138"/>
      <c r="G260" s="138"/>
      <c r="H260" s="138"/>
      <c r="I260" s="138"/>
      <c r="J260" s="138"/>
      <c r="K260" s="138"/>
      <c r="L260" s="138"/>
      <c r="M260" s="138"/>
      <c r="N260" s="138"/>
      <c r="O260" s="138"/>
    </row>
    <row r="261" spans="2:15" x14ac:dyDescent="0.2">
      <c r="B261" s="138"/>
      <c r="C261" s="126"/>
      <c r="D261" s="138"/>
      <c r="E261" s="138"/>
      <c r="F261" s="138"/>
      <c r="G261" s="138"/>
      <c r="H261" s="138"/>
      <c r="I261" s="138"/>
      <c r="J261" s="138"/>
      <c r="K261" s="138"/>
      <c r="L261" s="138"/>
      <c r="M261" s="138"/>
      <c r="N261" s="138"/>
      <c r="O261" s="138"/>
    </row>
    <row r="262" spans="2:15" x14ac:dyDescent="0.2">
      <c r="B262" s="138"/>
      <c r="C262" s="126"/>
      <c r="D262" s="138"/>
      <c r="E262" s="138"/>
      <c r="F262" s="138"/>
      <c r="G262" s="138"/>
      <c r="H262" s="138"/>
      <c r="I262" s="138"/>
      <c r="J262" s="138"/>
      <c r="K262" s="138"/>
      <c r="L262" s="138"/>
      <c r="M262" s="138"/>
      <c r="N262" s="138"/>
      <c r="O262" s="138"/>
    </row>
    <row r="263" spans="2:15" x14ac:dyDescent="0.2">
      <c r="B263" s="138"/>
      <c r="C263" s="126"/>
      <c r="D263" s="138"/>
      <c r="E263" s="138"/>
      <c r="F263" s="138"/>
      <c r="G263" s="138"/>
      <c r="H263" s="138"/>
      <c r="I263" s="138"/>
      <c r="J263" s="138"/>
      <c r="K263" s="138"/>
      <c r="L263" s="138"/>
      <c r="M263" s="138"/>
      <c r="N263" s="138"/>
      <c r="O263" s="138"/>
    </row>
    <row r="264" spans="2:15" x14ac:dyDescent="0.2">
      <c r="B264" s="138"/>
      <c r="C264" s="126"/>
      <c r="D264" s="138"/>
      <c r="E264" s="138"/>
      <c r="F264" s="138"/>
      <c r="G264" s="138"/>
      <c r="H264" s="138"/>
      <c r="I264" s="138"/>
      <c r="J264" s="138"/>
      <c r="K264" s="138"/>
      <c r="L264" s="138"/>
      <c r="M264" s="138"/>
      <c r="N264" s="138"/>
      <c r="O264" s="138"/>
    </row>
    <row r="265" spans="2:15" x14ac:dyDescent="0.2">
      <c r="B265" s="138"/>
      <c r="C265" s="126"/>
      <c r="D265" s="138"/>
      <c r="E265" s="138"/>
      <c r="F265" s="138"/>
      <c r="G265" s="138"/>
      <c r="H265" s="138"/>
      <c r="I265" s="138"/>
      <c r="J265" s="138"/>
      <c r="K265" s="138"/>
      <c r="L265" s="138"/>
      <c r="M265" s="138"/>
      <c r="N265" s="138"/>
      <c r="O265" s="138"/>
    </row>
    <row r="266" spans="2:15" x14ac:dyDescent="0.2">
      <c r="B266" s="138"/>
      <c r="C266" s="126"/>
      <c r="D266" s="138"/>
      <c r="E266" s="138"/>
      <c r="F266" s="138"/>
      <c r="G266" s="138"/>
      <c r="H266" s="138"/>
      <c r="I266" s="138"/>
      <c r="J266" s="138"/>
      <c r="K266" s="138"/>
      <c r="L266" s="138"/>
      <c r="M266" s="138"/>
      <c r="N266" s="138"/>
      <c r="O266" s="138"/>
    </row>
    <row r="267" spans="2:15" x14ac:dyDescent="0.2">
      <c r="B267" s="138"/>
      <c r="C267" s="126"/>
      <c r="D267" s="138"/>
      <c r="E267" s="138"/>
      <c r="F267" s="138"/>
      <c r="G267" s="138"/>
      <c r="H267" s="138"/>
      <c r="I267" s="138"/>
      <c r="J267" s="138"/>
      <c r="K267" s="138"/>
      <c r="L267" s="138"/>
      <c r="M267" s="138"/>
      <c r="N267" s="138"/>
      <c r="O267" s="138"/>
    </row>
    <row r="268" spans="2:15" x14ac:dyDescent="0.2">
      <c r="B268" s="138"/>
      <c r="C268" s="126"/>
      <c r="D268" s="138"/>
      <c r="E268" s="138"/>
      <c r="F268" s="138"/>
      <c r="G268" s="138"/>
      <c r="H268" s="138"/>
      <c r="I268" s="138"/>
      <c r="J268" s="138"/>
      <c r="K268" s="138"/>
      <c r="L268" s="138"/>
      <c r="M268" s="138"/>
      <c r="N268" s="138"/>
      <c r="O268" s="138"/>
    </row>
    <row r="269" spans="2:15" x14ac:dyDescent="0.2">
      <c r="B269" s="138"/>
      <c r="C269" s="126"/>
      <c r="D269" s="138"/>
      <c r="E269" s="138"/>
      <c r="F269" s="138"/>
      <c r="G269" s="138"/>
      <c r="H269" s="138"/>
      <c r="I269" s="138"/>
      <c r="J269" s="138"/>
      <c r="K269" s="138"/>
      <c r="L269" s="138"/>
      <c r="M269" s="138"/>
      <c r="N269" s="138"/>
      <c r="O269" s="138"/>
    </row>
    <row r="270" spans="2:15" x14ac:dyDescent="0.2">
      <c r="B270" s="138"/>
      <c r="C270" s="126"/>
      <c r="D270" s="138"/>
      <c r="E270" s="138"/>
      <c r="F270" s="138"/>
      <c r="G270" s="138"/>
      <c r="H270" s="138"/>
      <c r="I270" s="138"/>
      <c r="J270" s="138"/>
      <c r="K270" s="138"/>
      <c r="L270" s="138"/>
      <c r="M270" s="138"/>
      <c r="N270" s="138"/>
      <c r="O270" s="138"/>
    </row>
    <row r="271" spans="2:15" x14ac:dyDescent="0.2">
      <c r="B271" s="138"/>
      <c r="C271" s="126"/>
      <c r="D271" s="138"/>
      <c r="E271" s="138"/>
      <c r="F271" s="138"/>
      <c r="G271" s="138"/>
      <c r="H271" s="138"/>
      <c r="I271" s="138"/>
      <c r="J271" s="138"/>
      <c r="K271" s="138"/>
      <c r="L271" s="138"/>
      <c r="M271" s="138"/>
      <c r="N271" s="138"/>
      <c r="O271" s="138"/>
    </row>
    <row r="272" spans="2:15" x14ac:dyDescent="0.2">
      <c r="B272" s="138"/>
      <c r="C272" s="126"/>
      <c r="D272" s="138"/>
      <c r="E272" s="138"/>
      <c r="F272" s="138"/>
      <c r="G272" s="138"/>
      <c r="H272" s="138"/>
      <c r="I272" s="138"/>
      <c r="J272" s="138"/>
      <c r="K272" s="138"/>
      <c r="L272" s="138"/>
      <c r="M272" s="138"/>
      <c r="N272" s="138"/>
      <c r="O272" s="138"/>
    </row>
    <row r="273" spans="2:15" x14ac:dyDescent="0.2">
      <c r="B273" s="138"/>
      <c r="C273" s="126"/>
      <c r="D273" s="138"/>
      <c r="E273" s="138"/>
      <c r="F273" s="138"/>
      <c r="G273" s="138"/>
      <c r="H273" s="138"/>
      <c r="I273" s="138"/>
      <c r="J273" s="138"/>
      <c r="K273" s="138"/>
      <c r="L273" s="138"/>
      <c r="M273" s="138"/>
      <c r="N273" s="138"/>
      <c r="O273" s="138"/>
    </row>
    <row r="274" spans="2:15" x14ac:dyDescent="0.2">
      <c r="B274" s="138"/>
      <c r="C274" s="126"/>
      <c r="D274" s="138"/>
      <c r="E274" s="138"/>
      <c r="F274" s="138"/>
      <c r="G274" s="138"/>
      <c r="H274" s="138"/>
      <c r="I274" s="138"/>
      <c r="J274" s="138"/>
      <c r="K274" s="138"/>
      <c r="L274" s="138"/>
      <c r="M274" s="138"/>
      <c r="N274" s="138"/>
      <c r="O274" s="138"/>
    </row>
    <row r="275" spans="2:15" x14ac:dyDescent="0.2">
      <c r="B275" s="138"/>
      <c r="C275" s="126"/>
      <c r="D275" s="138"/>
      <c r="E275" s="138"/>
      <c r="F275" s="138"/>
      <c r="G275" s="138"/>
      <c r="H275" s="138"/>
      <c r="I275" s="138"/>
      <c r="J275" s="138"/>
      <c r="K275" s="138"/>
      <c r="L275" s="138"/>
      <c r="M275" s="138"/>
      <c r="N275" s="138"/>
      <c r="O275" s="138"/>
    </row>
    <row r="276" spans="2:15" x14ac:dyDescent="0.2">
      <c r="B276" s="138"/>
      <c r="C276" s="126"/>
      <c r="D276" s="138"/>
      <c r="E276" s="138"/>
      <c r="F276" s="138"/>
      <c r="G276" s="138"/>
      <c r="H276" s="138"/>
      <c r="I276" s="138"/>
      <c r="J276" s="138"/>
      <c r="K276" s="138"/>
      <c r="L276" s="138"/>
      <c r="M276" s="138"/>
      <c r="N276" s="138"/>
      <c r="O276" s="138"/>
    </row>
    <row r="277" spans="2:15" x14ac:dyDescent="0.2">
      <c r="B277" s="138"/>
      <c r="C277" s="126"/>
      <c r="D277" s="138"/>
      <c r="E277" s="138"/>
      <c r="F277" s="138"/>
      <c r="G277" s="138"/>
      <c r="H277" s="138"/>
      <c r="I277" s="138"/>
      <c r="J277" s="138"/>
      <c r="K277" s="138"/>
      <c r="L277" s="138"/>
      <c r="M277" s="138"/>
      <c r="N277" s="138"/>
      <c r="O277" s="138"/>
    </row>
    <row r="278" spans="2:15" x14ac:dyDescent="0.2">
      <c r="B278" s="138"/>
      <c r="C278" s="126"/>
      <c r="D278" s="138"/>
      <c r="E278" s="138"/>
      <c r="F278" s="138"/>
      <c r="G278" s="138"/>
      <c r="H278" s="138"/>
      <c r="I278" s="138"/>
      <c r="J278" s="138"/>
      <c r="K278" s="138"/>
      <c r="L278" s="138"/>
      <c r="M278" s="138"/>
      <c r="N278" s="138"/>
      <c r="O278" s="138"/>
    </row>
    <row r="279" spans="2:15" x14ac:dyDescent="0.2">
      <c r="B279" s="138"/>
      <c r="C279" s="126"/>
      <c r="D279" s="138"/>
      <c r="E279" s="138"/>
      <c r="F279" s="138"/>
      <c r="G279" s="138"/>
      <c r="H279" s="138"/>
      <c r="I279" s="138"/>
      <c r="J279" s="138"/>
      <c r="K279" s="138"/>
      <c r="L279" s="138"/>
      <c r="M279" s="138"/>
      <c r="N279" s="138"/>
      <c r="O279" s="138"/>
    </row>
    <row r="280" spans="2:15" x14ac:dyDescent="0.2">
      <c r="B280" s="138"/>
      <c r="C280" s="126"/>
      <c r="D280" s="138"/>
      <c r="E280" s="138"/>
      <c r="F280" s="138"/>
      <c r="G280" s="138"/>
      <c r="H280" s="138"/>
      <c r="I280" s="138"/>
      <c r="J280" s="138"/>
      <c r="K280" s="138"/>
      <c r="L280" s="138"/>
      <c r="M280" s="138"/>
      <c r="N280" s="138"/>
      <c r="O280" s="138"/>
    </row>
    <row r="281" spans="2:15" x14ac:dyDescent="0.2">
      <c r="B281" s="138"/>
      <c r="C281" s="126"/>
      <c r="D281" s="138"/>
      <c r="E281" s="138"/>
      <c r="F281" s="138"/>
      <c r="G281" s="138"/>
      <c r="H281" s="138"/>
      <c r="I281" s="138"/>
      <c r="J281" s="138"/>
      <c r="K281" s="138"/>
      <c r="L281" s="138"/>
      <c r="M281" s="138"/>
      <c r="N281" s="138"/>
      <c r="O281" s="138"/>
    </row>
    <row r="282" spans="2:15" x14ac:dyDescent="0.2">
      <c r="B282" s="138"/>
      <c r="C282" s="126"/>
      <c r="D282" s="138"/>
      <c r="E282" s="138"/>
      <c r="F282" s="138"/>
      <c r="G282" s="138"/>
      <c r="H282" s="138"/>
      <c r="I282" s="138"/>
      <c r="J282" s="138"/>
      <c r="K282" s="138"/>
      <c r="L282" s="138"/>
      <c r="M282" s="138"/>
      <c r="N282" s="138"/>
      <c r="O282" s="138"/>
    </row>
    <row r="283" spans="2:15" x14ac:dyDescent="0.2">
      <c r="B283" s="138"/>
      <c r="C283" s="126"/>
      <c r="D283" s="138"/>
      <c r="E283" s="138"/>
      <c r="F283" s="138"/>
      <c r="G283" s="138"/>
      <c r="H283" s="138"/>
      <c r="I283" s="138"/>
      <c r="J283" s="138"/>
      <c r="K283" s="138"/>
      <c r="L283" s="138"/>
      <c r="M283" s="138"/>
      <c r="N283" s="138"/>
      <c r="O283" s="138"/>
    </row>
    <row r="284" spans="2:15" x14ac:dyDescent="0.2">
      <c r="B284" s="138"/>
      <c r="C284" s="126"/>
      <c r="D284" s="138"/>
      <c r="E284" s="138"/>
      <c r="F284" s="138"/>
      <c r="G284" s="138"/>
      <c r="H284" s="138"/>
      <c r="I284" s="138"/>
      <c r="J284" s="138"/>
      <c r="K284" s="138"/>
      <c r="L284" s="138"/>
      <c r="M284" s="138"/>
      <c r="N284" s="138"/>
      <c r="O284" s="138"/>
    </row>
    <row r="285" spans="2:15" x14ac:dyDescent="0.2">
      <c r="B285" s="138"/>
      <c r="C285" s="126"/>
      <c r="D285" s="138"/>
      <c r="E285" s="138"/>
      <c r="F285" s="138"/>
      <c r="G285" s="138"/>
      <c r="H285" s="138"/>
      <c r="I285" s="138"/>
      <c r="J285" s="138"/>
      <c r="K285" s="138"/>
      <c r="L285" s="138"/>
      <c r="M285" s="138"/>
      <c r="N285" s="138"/>
      <c r="O285" s="138"/>
    </row>
    <row r="286" spans="2:15" x14ac:dyDescent="0.2">
      <c r="B286" s="138"/>
      <c r="C286" s="126"/>
      <c r="D286" s="138"/>
      <c r="E286" s="138"/>
      <c r="F286" s="138"/>
      <c r="G286" s="138"/>
      <c r="H286" s="138"/>
      <c r="I286" s="138"/>
      <c r="J286" s="138"/>
      <c r="K286" s="138"/>
      <c r="L286" s="138"/>
      <c r="M286" s="138"/>
      <c r="N286" s="138"/>
      <c r="O286" s="138"/>
    </row>
    <row r="287" spans="2:15" x14ac:dyDescent="0.2">
      <c r="B287" s="138"/>
      <c r="C287" s="126"/>
      <c r="D287" s="138"/>
      <c r="E287" s="138"/>
      <c r="F287" s="138"/>
      <c r="G287" s="138"/>
      <c r="H287" s="138"/>
      <c r="I287" s="138"/>
      <c r="J287" s="138"/>
      <c r="K287" s="138"/>
      <c r="L287" s="138"/>
      <c r="M287" s="138"/>
      <c r="N287" s="138"/>
      <c r="O287" s="138"/>
    </row>
    <row r="288" spans="2:15" x14ac:dyDescent="0.2">
      <c r="B288" s="138"/>
      <c r="C288" s="126"/>
      <c r="D288" s="138"/>
      <c r="E288" s="138"/>
      <c r="F288" s="138"/>
      <c r="G288" s="138"/>
      <c r="H288" s="138"/>
      <c r="I288" s="138"/>
      <c r="J288" s="138"/>
      <c r="K288" s="138"/>
      <c r="L288" s="138"/>
      <c r="M288" s="138"/>
      <c r="N288" s="138"/>
      <c r="O288" s="138"/>
    </row>
    <row r="289" spans="2:15" x14ac:dyDescent="0.2">
      <c r="B289" s="138"/>
      <c r="C289" s="126"/>
      <c r="D289" s="138"/>
      <c r="E289" s="138"/>
      <c r="F289" s="138"/>
      <c r="G289" s="138"/>
      <c r="H289" s="138"/>
      <c r="I289" s="138"/>
      <c r="J289" s="138"/>
      <c r="K289" s="138"/>
      <c r="L289" s="138"/>
      <c r="M289" s="138"/>
      <c r="N289" s="138"/>
      <c r="O289" s="138"/>
    </row>
    <row r="290" spans="2:15" x14ac:dyDescent="0.2">
      <c r="B290" s="138"/>
      <c r="C290" s="126"/>
      <c r="D290" s="138"/>
      <c r="E290" s="138"/>
      <c r="F290" s="138"/>
      <c r="G290" s="138"/>
      <c r="H290" s="138"/>
      <c r="I290" s="138"/>
      <c r="J290" s="138"/>
      <c r="K290" s="138"/>
      <c r="L290" s="138"/>
      <c r="M290" s="138"/>
      <c r="N290" s="138"/>
      <c r="O290" s="138"/>
    </row>
    <row r="291" spans="2:15" x14ac:dyDescent="0.2">
      <c r="B291" s="138"/>
      <c r="C291" s="126"/>
      <c r="D291" s="138"/>
      <c r="E291" s="138"/>
      <c r="F291" s="138"/>
      <c r="G291" s="138"/>
      <c r="H291" s="138"/>
      <c r="I291" s="138"/>
      <c r="J291" s="138"/>
      <c r="K291" s="138"/>
      <c r="L291" s="138"/>
      <c r="M291" s="138"/>
      <c r="N291" s="138"/>
      <c r="O291" s="138"/>
    </row>
    <row r="292" spans="2:15" x14ac:dyDescent="0.2">
      <c r="B292" s="138"/>
      <c r="C292" s="126"/>
      <c r="D292" s="138"/>
      <c r="E292" s="138"/>
      <c r="F292" s="138"/>
      <c r="G292" s="138"/>
      <c r="H292" s="138"/>
      <c r="I292" s="138"/>
      <c r="J292" s="138"/>
      <c r="K292" s="138"/>
      <c r="L292" s="138"/>
      <c r="M292" s="138"/>
      <c r="N292" s="138"/>
      <c r="O292" s="138"/>
    </row>
    <row r="293" spans="2:15" x14ac:dyDescent="0.2">
      <c r="B293" s="138"/>
      <c r="C293" s="126"/>
      <c r="D293" s="138"/>
      <c r="E293" s="138"/>
      <c r="F293" s="138"/>
      <c r="G293" s="138"/>
      <c r="H293" s="138"/>
      <c r="I293" s="138"/>
      <c r="J293" s="138"/>
      <c r="K293" s="138"/>
      <c r="L293" s="138"/>
      <c r="M293" s="138"/>
      <c r="N293" s="138"/>
      <c r="O293" s="138"/>
    </row>
    <row r="294" spans="2:15" x14ac:dyDescent="0.2">
      <c r="B294" s="138"/>
      <c r="C294" s="126"/>
      <c r="D294" s="138"/>
      <c r="E294" s="138"/>
      <c r="F294" s="138"/>
      <c r="G294" s="138"/>
      <c r="H294" s="138"/>
      <c r="I294" s="138"/>
      <c r="J294" s="138"/>
      <c r="K294" s="138"/>
      <c r="L294" s="138"/>
      <c r="M294" s="138"/>
      <c r="N294" s="138"/>
      <c r="O294" s="138"/>
    </row>
    <row r="295" spans="2:15" x14ac:dyDescent="0.2">
      <c r="B295" s="138"/>
      <c r="C295" s="126"/>
      <c r="D295" s="138"/>
      <c r="E295" s="138"/>
      <c r="F295" s="138"/>
      <c r="G295" s="138"/>
      <c r="H295" s="138"/>
      <c r="I295" s="138"/>
      <c r="J295" s="138"/>
      <c r="K295" s="138"/>
      <c r="L295" s="138"/>
      <c r="M295" s="138"/>
      <c r="N295" s="138"/>
      <c r="O295" s="138"/>
    </row>
    <row r="296" spans="2:15" x14ac:dyDescent="0.2">
      <c r="B296" s="138"/>
      <c r="C296" s="126"/>
      <c r="D296" s="138"/>
      <c r="E296" s="138"/>
      <c r="F296" s="138"/>
      <c r="G296" s="138"/>
      <c r="H296" s="138"/>
      <c r="I296" s="138"/>
      <c r="J296" s="138"/>
      <c r="K296" s="138"/>
      <c r="L296" s="138"/>
      <c r="M296" s="138"/>
      <c r="N296" s="138"/>
      <c r="O296" s="138"/>
    </row>
    <row r="297" spans="2:15" x14ac:dyDescent="0.2">
      <c r="B297" s="138"/>
      <c r="C297" s="126"/>
      <c r="D297" s="138"/>
      <c r="E297" s="138"/>
      <c r="F297" s="138"/>
      <c r="G297" s="138"/>
      <c r="H297" s="138"/>
      <c r="I297" s="138"/>
      <c r="J297" s="138"/>
      <c r="K297" s="138"/>
      <c r="L297" s="138"/>
      <c r="M297" s="138"/>
      <c r="N297" s="138"/>
      <c r="O297" s="138"/>
    </row>
    <row r="298" spans="2:15" x14ac:dyDescent="0.2">
      <c r="B298" s="138"/>
      <c r="C298" s="126"/>
      <c r="D298" s="138"/>
      <c r="E298" s="138"/>
      <c r="F298" s="138"/>
      <c r="G298" s="138"/>
      <c r="H298" s="138"/>
      <c r="I298" s="138"/>
      <c r="J298" s="138"/>
      <c r="K298" s="138"/>
      <c r="L298" s="138"/>
      <c r="M298" s="138"/>
      <c r="N298" s="138"/>
      <c r="O298" s="138"/>
    </row>
    <row r="299" spans="2:15" x14ac:dyDescent="0.2">
      <c r="B299" s="138"/>
      <c r="C299" s="126"/>
      <c r="D299" s="138"/>
      <c r="E299" s="138"/>
      <c r="F299" s="138"/>
      <c r="G299" s="138"/>
      <c r="H299" s="138"/>
      <c r="I299" s="138"/>
      <c r="J299" s="138"/>
      <c r="K299" s="138"/>
      <c r="L299" s="138"/>
      <c r="M299" s="138"/>
      <c r="N299" s="138"/>
      <c r="O299" s="138"/>
    </row>
    <row r="300" spans="2:15" x14ac:dyDescent="0.2">
      <c r="B300" s="138"/>
      <c r="C300" s="126"/>
      <c r="D300" s="138"/>
      <c r="E300" s="138"/>
      <c r="F300" s="138"/>
      <c r="G300" s="138"/>
      <c r="H300" s="138"/>
      <c r="I300" s="138"/>
      <c r="J300" s="138"/>
      <c r="K300" s="138"/>
      <c r="L300" s="138"/>
      <c r="M300" s="138"/>
      <c r="N300" s="138"/>
      <c r="O300" s="138"/>
    </row>
    <row r="301" spans="2:15" x14ac:dyDescent="0.2">
      <c r="B301" s="138"/>
      <c r="C301" s="126"/>
      <c r="D301" s="138"/>
      <c r="E301" s="138"/>
      <c r="F301" s="138"/>
      <c r="G301" s="138"/>
      <c r="H301" s="138"/>
      <c r="I301" s="138"/>
      <c r="J301" s="138"/>
      <c r="K301" s="138"/>
      <c r="L301" s="138"/>
      <c r="M301" s="138"/>
      <c r="N301" s="138"/>
      <c r="O301" s="138"/>
    </row>
    <row r="302" spans="2:15" x14ac:dyDescent="0.2">
      <c r="B302" s="138"/>
      <c r="C302" s="126"/>
      <c r="D302" s="138"/>
      <c r="E302" s="138"/>
      <c r="F302" s="138"/>
      <c r="G302" s="138"/>
      <c r="H302" s="138"/>
      <c r="I302" s="138"/>
      <c r="J302" s="138"/>
      <c r="K302" s="138"/>
      <c r="L302" s="138"/>
      <c r="M302" s="138"/>
      <c r="N302" s="138"/>
      <c r="O302" s="138"/>
    </row>
    <row r="303" spans="2:15" x14ac:dyDescent="0.2">
      <c r="B303" s="138"/>
      <c r="C303" s="126"/>
      <c r="D303" s="138"/>
      <c r="E303" s="138"/>
      <c r="F303" s="138"/>
      <c r="G303" s="138"/>
      <c r="H303" s="138"/>
      <c r="I303" s="138"/>
      <c r="J303" s="138"/>
      <c r="K303" s="138"/>
      <c r="L303" s="138"/>
      <c r="M303" s="138"/>
      <c r="N303" s="138"/>
      <c r="O303" s="138"/>
    </row>
    <row r="304" spans="2:15" x14ac:dyDescent="0.2">
      <c r="B304" s="138"/>
      <c r="C304" s="126"/>
      <c r="D304" s="138"/>
      <c r="E304" s="138"/>
      <c r="F304" s="138"/>
      <c r="G304" s="138"/>
      <c r="H304" s="138"/>
      <c r="I304" s="138"/>
      <c r="J304" s="138"/>
      <c r="K304" s="138"/>
      <c r="L304" s="138"/>
      <c r="M304" s="138"/>
      <c r="N304" s="138"/>
      <c r="O304" s="138"/>
    </row>
    <row r="305" spans="2:15" x14ac:dyDescent="0.2">
      <c r="B305" s="138"/>
      <c r="C305" s="126"/>
      <c r="D305" s="138"/>
      <c r="E305" s="138"/>
      <c r="F305" s="138"/>
      <c r="G305" s="138"/>
      <c r="H305" s="138"/>
      <c r="I305" s="138"/>
      <c r="J305" s="138"/>
      <c r="K305" s="138"/>
      <c r="L305" s="138"/>
      <c r="M305" s="138"/>
      <c r="N305" s="138"/>
      <c r="O305" s="138"/>
    </row>
    <row r="306" spans="2:15" x14ac:dyDescent="0.2">
      <c r="B306" s="138"/>
      <c r="C306" s="126"/>
      <c r="D306" s="138"/>
      <c r="E306" s="138"/>
      <c r="F306" s="138"/>
      <c r="G306" s="138"/>
      <c r="H306" s="138"/>
      <c r="I306" s="138"/>
      <c r="J306" s="138"/>
      <c r="K306" s="138"/>
      <c r="L306" s="138"/>
      <c r="M306" s="138"/>
      <c r="N306" s="138"/>
      <c r="O306" s="138"/>
    </row>
    <row r="307" spans="2:15" x14ac:dyDescent="0.2">
      <c r="B307" s="138"/>
      <c r="C307" s="126"/>
      <c r="D307" s="138"/>
      <c r="E307" s="138"/>
      <c r="F307" s="138"/>
      <c r="G307" s="138"/>
      <c r="H307" s="138"/>
      <c r="I307" s="138"/>
      <c r="J307" s="138"/>
      <c r="K307" s="138"/>
      <c r="L307" s="138"/>
      <c r="M307" s="138"/>
      <c r="N307" s="138"/>
      <c r="O307" s="138"/>
    </row>
    <row r="308" spans="2:15" x14ac:dyDescent="0.2">
      <c r="B308" s="138"/>
      <c r="C308" s="126"/>
      <c r="D308" s="138"/>
      <c r="E308" s="138"/>
      <c r="F308" s="138"/>
      <c r="G308" s="138"/>
      <c r="H308" s="138"/>
      <c r="I308" s="138"/>
      <c r="J308" s="138"/>
      <c r="K308" s="138"/>
      <c r="L308" s="138"/>
      <c r="M308" s="138"/>
      <c r="N308" s="138"/>
      <c r="O308" s="138"/>
    </row>
    <row r="309" spans="2:15" x14ac:dyDescent="0.2">
      <c r="B309" s="138"/>
      <c r="C309" s="126"/>
      <c r="D309" s="138"/>
      <c r="E309" s="138"/>
      <c r="F309" s="138"/>
      <c r="G309" s="138"/>
      <c r="H309" s="138"/>
      <c r="I309" s="138"/>
      <c r="J309" s="138"/>
      <c r="K309" s="138"/>
      <c r="L309" s="138"/>
      <c r="M309" s="138"/>
      <c r="N309" s="138"/>
      <c r="O309" s="138"/>
    </row>
    <row r="310" spans="2:15" x14ac:dyDescent="0.2">
      <c r="B310" s="138"/>
      <c r="C310" s="126"/>
      <c r="D310" s="138"/>
      <c r="E310" s="138"/>
      <c r="F310" s="138"/>
      <c r="G310" s="138"/>
      <c r="H310" s="138"/>
      <c r="I310" s="138"/>
      <c r="J310" s="138"/>
      <c r="K310" s="138"/>
      <c r="L310" s="138"/>
      <c r="M310" s="138"/>
      <c r="N310" s="138"/>
      <c r="O310" s="138"/>
    </row>
    <row r="311" spans="2:15" x14ac:dyDescent="0.2">
      <c r="B311" s="138"/>
      <c r="C311" s="126"/>
      <c r="D311" s="138"/>
      <c r="E311" s="138"/>
      <c r="F311" s="138"/>
      <c r="G311" s="138"/>
      <c r="H311" s="138"/>
      <c r="I311" s="138"/>
      <c r="J311" s="138"/>
      <c r="K311" s="138"/>
      <c r="L311" s="138"/>
      <c r="M311" s="138"/>
      <c r="N311" s="138"/>
      <c r="O311" s="138"/>
    </row>
    <row r="312" spans="2:15" x14ac:dyDescent="0.2">
      <c r="B312" s="138"/>
      <c r="C312" s="126"/>
      <c r="D312" s="138"/>
      <c r="E312" s="138"/>
      <c r="F312" s="138"/>
      <c r="G312" s="138"/>
      <c r="H312" s="138"/>
      <c r="I312" s="138"/>
      <c r="J312" s="138"/>
      <c r="K312" s="138"/>
      <c r="L312" s="138"/>
      <c r="M312" s="138"/>
      <c r="N312" s="138"/>
      <c r="O312" s="138"/>
    </row>
    <row r="313" spans="2:15" x14ac:dyDescent="0.2">
      <c r="B313" s="138"/>
      <c r="C313" s="126"/>
      <c r="D313" s="138"/>
      <c r="E313" s="138"/>
      <c r="F313" s="138"/>
      <c r="G313" s="138"/>
      <c r="H313" s="138"/>
      <c r="I313" s="138"/>
      <c r="J313" s="138"/>
      <c r="K313" s="138"/>
      <c r="L313" s="138"/>
      <c r="M313" s="138"/>
      <c r="N313" s="138"/>
      <c r="O313" s="138"/>
    </row>
    <row r="314" spans="2:15" x14ac:dyDescent="0.2">
      <c r="B314" s="138"/>
      <c r="C314" s="126"/>
      <c r="D314" s="138"/>
      <c r="E314" s="138"/>
      <c r="F314" s="138"/>
      <c r="G314" s="138"/>
      <c r="H314" s="138"/>
      <c r="I314" s="138"/>
      <c r="J314" s="138"/>
      <c r="K314" s="138"/>
      <c r="L314" s="138"/>
      <c r="M314" s="138"/>
      <c r="N314" s="138"/>
      <c r="O314" s="138"/>
    </row>
    <row r="315" spans="2:15" x14ac:dyDescent="0.2">
      <c r="B315" s="138"/>
      <c r="C315" s="126"/>
      <c r="D315" s="138"/>
      <c r="E315" s="138"/>
      <c r="F315" s="138"/>
      <c r="G315" s="138"/>
      <c r="H315" s="138"/>
      <c r="I315" s="138"/>
      <c r="J315" s="138"/>
      <c r="K315" s="138"/>
      <c r="L315" s="138"/>
      <c r="M315" s="138"/>
      <c r="N315" s="138"/>
      <c r="O315" s="138"/>
    </row>
    <row r="316" spans="2:15" x14ac:dyDescent="0.2">
      <c r="B316" s="138"/>
      <c r="C316" s="126"/>
      <c r="D316" s="138"/>
      <c r="E316" s="138"/>
      <c r="F316" s="138"/>
      <c r="G316" s="138"/>
      <c r="H316" s="138"/>
      <c r="I316" s="138"/>
      <c r="J316" s="138"/>
      <c r="K316" s="138"/>
      <c r="L316" s="138"/>
      <c r="M316" s="138"/>
      <c r="N316" s="138"/>
      <c r="O316" s="138"/>
    </row>
    <row r="317" spans="2:15" x14ac:dyDescent="0.2">
      <c r="B317" s="138"/>
      <c r="C317" s="126"/>
      <c r="D317" s="138"/>
      <c r="E317" s="138"/>
      <c r="F317" s="138"/>
      <c r="G317" s="138"/>
      <c r="H317" s="138"/>
      <c r="I317" s="138"/>
      <c r="J317" s="138"/>
      <c r="K317" s="138"/>
      <c r="L317" s="138"/>
      <c r="M317" s="138"/>
      <c r="N317" s="138"/>
      <c r="O317" s="138"/>
    </row>
    <row r="318" spans="2:15" x14ac:dyDescent="0.2">
      <c r="B318" s="138"/>
      <c r="C318" s="126"/>
      <c r="D318" s="138"/>
      <c r="E318" s="138"/>
      <c r="F318" s="138"/>
      <c r="G318" s="138"/>
      <c r="H318" s="138"/>
      <c r="I318" s="138"/>
      <c r="J318" s="138"/>
      <c r="K318" s="138"/>
      <c r="L318" s="138"/>
      <c r="M318" s="138"/>
      <c r="N318" s="138"/>
      <c r="O318" s="138"/>
    </row>
    <row r="319" spans="2:15" x14ac:dyDescent="0.2">
      <c r="B319" s="138"/>
      <c r="C319" s="126"/>
      <c r="D319" s="138"/>
      <c r="E319" s="138"/>
      <c r="F319" s="138"/>
      <c r="G319" s="138"/>
      <c r="H319" s="138"/>
      <c r="I319" s="138"/>
      <c r="J319" s="138"/>
      <c r="K319" s="138"/>
      <c r="L319" s="138"/>
      <c r="M319" s="138"/>
      <c r="N319" s="138"/>
      <c r="O319" s="138"/>
    </row>
    <row r="320" spans="2:15" x14ac:dyDescent="0.2">
      <c r="B320" s="138"/>
      <c r="C320" s="126"/>
      <c r="D320" s="138"/>
      <c r="E320" s="138"/>
      <c r="F320" s="138"/>
      <c r="G320" s="138"/>
      <c r="H320" s="138"/>
      <c r="I320" s="138"/>
      <c r="J320" s="138"/>
      <c r="K320" s="138"/>
      <c r="L320" s="138"/>
      <c r="M320" s="138"/>
      <c r="N320" s="138"/>
      <c r="O320" s="138"/>
    </row>
    <row r="321" spans="2:15" x14ac:dyDescent="0.2">
      <c r="B321" s="138"/>
      <c r="C321" s="126"/>
      <c r="D321" s="138"/>
      <c r="E321" s="138"/>
      <c r="F321" s="138"/>
      <c r="G321" s="138"/>
      <c r="H321" s="138"/>
      <c r="I321" s="138"/>
      <c r="J321" s="138"/>
      <c r="K321" s="138"/>
      <c r="L321" s="138"/>
      <c r="M321" s="138"/>
      <c r="N321" s="138"/>
      <c r="O321" s="138"/>
    </row>
    <row r="322" spans="2:15" x14ac:dyDescent="0.2">
      <c r="B322" s="138"/>
      <c r="C322" s="126"/>
      <c r="D322" s="138"/>
      <c r="E322" s="138"/>
      <c r="F322" s="138"/>
      <c r="G322" s="138"/>
      <c r="H322" s="138"/>
      <c r="I322" s="138"/>
      <c r="J322" s="138"/>
      <c r="K322" s="138"/>
      <c r="L322" s="138"/>
      <c r="M322" s="138"/>
      <c r="N322" s="138"/>
      <c r="O322" s="138"/>
    </row>
    <row r="323" spans="2:15" x14ac:dyDescent="0.2">
      <c r="B323" s="138"/>
      <c r="C323" s="126"/>
      <c r="D323" s="138"/>
      <c r="E323" s="138"/>
      <c r="F323" s="138"/>
      <c r="G323" s="138"/>
      <c r="H323" s="138"/>
      <c r="I323" s="138"/>
      <c r="J323" s="138"/>
      <c r="K323" s="138"/>
      <c r="L323" s="138"/>
      <c r="M323" s="138"/>
      <c r="N323" s="138"/>
      <c r="O323" s="138"/>
    </row>
    <row r="324" spans="2:15" x14ac:dyDescent="0.2">
      <c r="B324" s="138"/>
      <c r="C324" s="126"/>
      <c r="D324" s="138"/>
      <c r="E324" s="138"/>
      <c r="F324" s="138"/>
      <c r="G324" s="138"/>
      <c r="H324" s="138"/>
      <c r="I324" s="138"/>
      <c r="J324" s="138"/>
      <c r="K324" s="138"/>
      <c r="L324" s="138"/>
      <c r="M324" s="138"/>
      <c r="N324" s="138"/>
      <c r="O324" s="138"/>
    </row>
    <row r="325" spans="2:15" x14ac:dyDescent="0.2">
      <c r="B325" s="138"/>
      <c r="C325" s="126"/>
      <c r="D325" s="138"/>
      <c r="E325" s="138"/>
      <c r="F325" s="138"/>
      <c r="G325" s="138"/>
      <c r="H325" s="138"/>
      <c r="I325" s="138"/>
      <c r="J325" s="138"/>
      <c r="K325" s="138"/>
      <c r="L325" s="138"/>
      <c r="M325" s="138"/>
      <c r="N325" s="138"/>
      <c r="O325" s="138"/>
    </row>
    <row r="326" spans="2:15" x14ac:dyDescent="0.2">
      <c r="B326" s="138"/>
      <c r="C326" s="126"/>
      <c r="D326" s="138"/>
      <c r="E326" s="138"/>
      <c r="F326" s="138"/>
      <c r="G326" s="138"/>
      <c r="H326" s="138"/>
      <c r="I326" s="138"/>
      <c r="J326" s="138"/>
      <c r="K326" s="138"/>
      <c r="L326" s="138"/>
      <c r="M326" s="138"/>
      <c r="N326" s="138"/>
      <c r="O326" s="138"/>
    </row>
    <row r="327" spans="2:15" x14ac:dyDescent="0.2">
      <c r="B327" s="138"/>
      <c r="C327" s="126"/>
      <c r="D327" s="138"/>
      <c r="E327" s="138"/>
      <c r="F327" s="138"/>
      <c r="G327" s="138"/>
      <c r="H327" s="138"/>
      <c r="I327" s="138"/>
      <c r="J327" s="138"/>
      <c r="K327" s="138"/>
      <c r="L327" s="138"/>
      <c r="M327" s="138"/>
      <c r="N327" s="138"/>
      <c r="O327" s="138"/>
    </row>
    <row r="328" spans="2:15" x14ac:dyDescent="0.2">
      <c r="B328" s="138"/>
      <c r="C328" s="126"/>
      <c r="D328" s="138"/>
      <c r="E328" s="138"/>
      <c r="F328" s="138"/>
      <c r="G328" s="138"/>
      <c r="H328" s="138"/>
      <c r="I328" s="138"/>
      <c r="J328" s="138"/>
      <c r="K328" s="138"/>
      <c r="L328" s="138"/>
      <c r="M328" s="138"/>
      <c r="N328" s="138"/>
      <c r="O328" s="138"/>
    </row>
    <row r="329" spans="2:15" x14ac:dyDescent="0.2">
      <c r="B329" s="138"/>
      <c r="C329" s="126"/>
      <c r="D329" s="138"/>
      <c r="E329" s="138"/>
      <c r="F329" s="138"/>
      <c r="G329" s="138"/>
      <c r="H329" s="138"/>
      <c r="I329" s="138"/>
      <c r="J329" s="138"/>
      <c r="K329" s="138"/>
      <c r="L329" s="138"/>
      <c r="M329" s="138"/>
      <c r="N329" s="138"/>
      <c r="O329" s="138"/>
    </row>
    <row r="330" spans="2:15" x14ac:dyDescent="0.2">
      <c r="B330" s="138"/>
      <c r="C330" s="126"/>
      <c r="D330" s="138"/>
      <c r="E330" s="138"/>
      <c r="F330" s="138"/>
      <c r="G330" s="138"/>
      <c r="H330" s="138"/>
      <c r="I330" s="138"/>
      <c r="J330" s="138"/>
      <c r="K330" s="138"/>
      <c r="L330" s="138"/>
      <c r="M330" s="138"/>
      <c r="N330" s="138"/>
      <c r="O330" s="138"/>
    </row>
    <row r="331" spans="2:15" x14ac:dyDescent="0.2">
      <c r="B331" s="138"/>
      <c r="C331" s="126"/>
      <c r="D331" s="138"/>
      <c r="E331" s="138"/>
      <c r="F331" s="138"/>
      <c r="G331" s="138"/>
      <c r="H331" s="138"/>
      <c r="I331" s="138"/>
      <c r="J331" s="138"/>
      <c r="K331" s="138"/>
      <c r="L331" s="138"/>
      <c r="M331" s="138"/>
      <c r="N331" s="138"/>
      <c r="O331" s="138"/>
    </row>
    <row r="332" spans="2:15" x14ac:dyDescent="0.2">
      <c r="B332" s="138"/>
      <c r="C332" s="126"/>
      <c r="D332" s="138"/>
      <c r="E332" s="138"/>
      <c r="F332" s="138"/>
      <c r="G332" s="138"/>
      <c r="H332" s="138"/>
      <c r="I332" s="138"/>
      <c r="J332" s="138"/>
      <c r="K332" s="138"/>
      <c r="L332" s="138"/>
      <c r="M332" s="138"/>
      <c r="N332" s="138"/>
      <c r="O332" s="138"/>
    </row>
    <row r="333" spans="2:15" x14ac:dyDescent="0.2">
      <c r="B333" s="138"/>
      <c r="C333" s="126"/>
      <c r="D333" s="138"/>
      <c r="E333" s="138"/>
      <c r="F333" s="138"/>
      <c r="G333" s="138"/>
      <c r="H333" s="138"/>
      <c r="I333" s="138"/>
      <c r="J333" s="138"/>
      <c r="K333" s="138"/>
      <c r="L333" s="138"/>
      <c r="M333" s="138"/>
      <c r="N333" s="138"/>
      <c r="O333" s="138"/>
    </row>
    <row r="334" spans="2:15" x14ac:dyDescent="0.2">
      <c r="B334" s="138"/>
      <c r="C334" s="126"/>
      <c r="D334" s="138"/>
      <c r="E334" s="138"/>
      <c r="F334" s="138"/>
      <c r="G334" s="138"/>
      <c r="H334" s="138"/>
      <c r="I334" s="138"/>
      <c r="J334" s="138"/>
      <c r="K334" s="138"/>
      <c r="L334" s="138"/>
      <c r="M334" s="138"/>
      <c r="N334" s="138"/>
      <c r="O334" s="138"/>
    </row>
    <row r="335" spans="2:15" x14ac:dyDescent="0.2">
      <c r="B335" s="138"/>
      <c r="C335" s="126"/>
      <c r="D335" s="138"/>
      <c r="E335" s="138"/>
      <c r="F335" s="138"/>
      <c r="G335" s="138"/>
      <c r="H335" s="138"/>
      <c r="I335" s="138"/>
      <c r="J335" s="138"/>
      <c r="K335" s="138"/>
      <c r="L335" s="138"/>
      <c r="M335" s="138"/>
      <c r="N335" s="138"/>
      <c r="O335" s="138"/>
    </row>
    <row r="336" spans="2:15" x14ac:dyDescent="0.2">
      <c r="B336" s="138"/>
      <c r="C336" s="126"/>
      <c r="D336" s="138"/>
      <c r="E336" s="138"/>
      <c r="F336" s="138"/>
      <c r="G336" s="138"/>
      <c r="H336" s="138"/>
      <c r="I336" s="138"/>
      <c r="J336" s="138"/>
      <c r="K336" s="138"/>
      <c r="L336" s="138"/>
      <c r="M336" s="138"/>
      <c r="N336" s="138"/>
      <c r="O336" s="138"/>
    </row>
    <row r="337" spans="2:15" x14ac:dyDescent="0.2">
      <c r="B337" s="138"/>
      <c r="C337" s="126"/>
      <c r="D337" s="138"/>
      <c r="E337" s="138"/>
      <c r="F337" s="138"/>
      <c r="G337" s="138"/>
      <c r="H337" s="138"/>
      <c r="I337" s="138"/>
      <c r="J337" s="138"/>
      <c r="K337" s="138"/>
      <c r="L337" s="138"/>
      <c r="M337" s="138"/>
      <c r="N337" s="138"/>
      <c r="O337" s="138"/>
    </row>
    <row r="338" spans="2:15" x14ac:dyDescent="0.2">
      <c r="B338" s="138"/>
      <c r="C338" s="126"/>
      <c r="D338" s="138"/>
      <c r="E338" s="138"/>
      <c r="F338" s="138"/>
      <c r="G338" s="138"/>
      <c r="H338" s="138"/>
      <c r="I338" s="138"/>
      <c r="J338" s="138"/>
      <c r="K338" s="138"/>
      <c r="L338" s="138"/>
      <c r="M338" s="138"/>
      <c r="N338" s="138"/>
      <c r="O338" s="138"/>
    </row>
    <row r="339" spans="2:15" x14ac:dyDescent="0.2">
      <c r="B339" s="138"/>
      <c r="C339" s="126"/>
      <c r="D339" s="138"/>
      <c r="E339" s="138"/>
      <c r="F339" s="138"/>
      <c r="G339" s="138"/>
      <c r="H339" s="138"/>
      <c r="I339" s="138"/>
      <c r="J339" s="138"/>
      <c r="K339" s="138"/>
      <c r="L339" s="138"/>
      <c r="M339" s="138"/>
      <c r="N339" s="138"/>
      <c r="O339" s="138"/>
    </row>
    <row r="340" spans="2:15" x14ac:dyDescent="0.2">
      <c r="B340" s="138"/>
      <c r="C340" s="126"/>
      <c r="D340" s="138"/>
      <c r="E340" s="138"/>
      <c r="F340" s="138"/>
      <c r="G340" s="138"/>
      <c r="H340" s="138"/>
      <c r="I340" s="138"/>
      <c r="J340" s="138"/>
      <c r="K340" s="138"/>
      <c r="L340" s="138"/>
      <c r="M340" s="138"/>
      <c r="N340" s="138"/>
      <c r="O340" s="138"/>
    </row>
    <row r="341" spans="2:15" x14ac:dyDescent="0.2">
      <c r="B341" s="138"/>
      <c r="C341" s="126"/>
      <c r="D341" s="138"/>
      <c r="E341" s="138"/>
      <c r="F341" s="138"/>
      <c r="G341" s="138"/>
      <c r="H341" s="138"/>
      <c r="I341" s="138"/>
      <c r="J341" s="138"/>
      <c r="K341" s="138"/>
      <c r="L341" s="138"/>
      <c r="M341" s="138"/>
      <c r="N341" s="138"/>
      <c r="O341" s="138"/>
    </row>
    <row r="342" spans="2:15" x14ac:dyDescent="0.2">
      <c r="B342" s="138"/>
      <c r="C342" s="126"/>
      <c r="D342" s="138"/>
      <c r="E342" s="138"/>
      <c r="F342" s="138"/>
      <c r="G342" s="138"/>
      <c r="H342" s="138"/>
      <c r="I342" s="138"/>
      <c r="J342" s="138"/>
      <c r="K342" s="138"/>
      <c r="L342" s="138"/>
      <c r="M342" s="138"/>
      <c r="N342" s="138"/>
      <c r="O342" s="138"/>
    </row>
    <row r="343" spans="2:15" x14ac:dyDescent="0.2">
      <c r="B343" s="138"/>
      <c r="C343" s="126"/>
      <c r="D343" s="138"/>
      <c r="E343" s="138"/>
      <c r="F343" s="138"/>
      <c r="G343" s="138"/>
      <c r="H343" s="138"/>
      <c r="I343" s="138"/>
      <c r="J343" s="138"/>
      <c r="K343" s="138"/>
      <c r="L343" s="138"/>
      <c r="M343" s="138"/>
      <c r="N343" s="138"/>
      <c r="O343" s="138"/>
    </row>
    <row r="344" spans="2:15" x14ac:dyDescent="0.2">
      <c r="B344" s="138"/>
      <c r="C344" s="126"/>
      <c r="D344" s="138"/>
      <c r="E344" s="138"/>
      <c r="F344" s="138"/>
      <c r="G344" s="138"/>
      <c r="H344" s="138"/>
      <c r="I344" s="138"/>
      <c r="J344" s="138"/>
      <c r="K344" s="138"/>
      <c r="L344" s="138"/>
      <c r="M344" s="138"/>
      <c r="N344" s="138"/>
      <c r="O344" s="138"/>
    </row>
    <row r="345" spans="2:15" x14ac:dyDescent="0.2">
      <c r="B345" s="138"/>
      <c r="C345" s="126"/>
      <c r="D345" s="138"/>
      <c r="E345" s="138"/>
      <c r="F345" s="138"/>
      <c r="G345" s="138"/>
      <c r="H345" s="138"/>
      <c r="I345" s="138"/>
      <c r="J345" s="138"/>
      <c r="K345" s="138"/>
      <c r="L345" s="138"/>
      <c r="M345" s="138"/>
      <c r="N345" s="138"/>
      <c r="O345" s="138"/>
    </row>
    <row r="346" spans="2:15" x14ac:dyDescent="0.2">
      <c r="B346" s="138"/>
      <c r="C346" s="126"/>
      <c r="D346" s="138"/>
      <c r="E346" s="138"/>
      <c r="F346" s="138"/>
      <c r="G346" s="138"/>
      <c r="H346" s="138"/>
      <c r="I346" s="138"/>
      <c r="J346" s="138"/>
      <c r="K346" s="138"/>
      <c r="L346" s="138"/>
      <c r="M346" s="138"/>
      <c r="N346" s="138"/>
      <c r="O346" s="138"/>
    </row>
    <row r="347" spans="2:15" x14ac:dyDescent="0.2">
      <c r="B347" s="138"/>
      <c r="C347" s="126"/>
      <c r="D347" s="138"/>
      <c r="E347" s="138"/>
      <c r="F347" s="138"/>
      <c r="G347" s="138"/>
      <c r="H347" s="138"/>
      <c r="I347" s="138"/>
      <c r="J347" s="138"/>
      <c r="K347" s="138"/>
      <c r="L347" s="138"/>
      <c r="M347" s="138"/>
      <c r="N347" s="138"/>
      <c r="O347" s="138"/>
    </row>
    <row r="348" spans="2:15" x14ac:dyDescent="0.2">
      <c r="B348" s="138"/>
      <c r="C348" s="126"/>
      <c r="D348" s="138"/>
      <c r="E348" s="138"/>
      <c r="F348" s="138"/>
      <c r="G348" s="138"/>
      <c r="H348" s="138"/>
      <c r="I348" s="138"/>
      <c r="J348" s="138"/>
      <c r="K348" s="138"/>
      <c r="L348" s="138"/>
      <c r="M348" s="138"/>
      <c r="N348" s="138"/>
      <c r="O348" s="138"/>
    </row>
    <row r="349" spans="2:15" x14ac:dyDescent="0.2">
      <c r="B349" s="138"/>
      <c r="C349" s="126"/>
      <c r="D349" s="138"/>
      <c r="E349" s="138"/>
      <c r="F349" s="138"/>
      <c r="G349" s="138"/>
      <c r="H349" s="138"/>
      <c r="I349" s="138"/>
      <c r="J349" s="138"/>
      <c r="K349" s="138"/>
      <c r="L349" s="138"/>
      <c r="M349" s="138"/>
      <c r="N349" s="138"/>
      <c r="O349" s="138"/>
    </row>
    <row r="350" spans="2:15" x14ac:dyDescent="0.2">
      <c r="B350" s="138"/>
      <c r="C350" s="126"/>
      <c r="D350" s="138"/>
      <c r="E350" s="138"/>
      <c r="F350" s="138"/>
      <c r="G350" s="138"/>
      <c r="H350" s="138"/>
      <c r="I350" s="138"/>
      <c r="J350" s="138"/>
      <c r="K350" s="138"/>
      <c r="L350" s="138"/>
      <c r="M350" s="138"/>
      <c r="N350" s="138"/>
      <c r="O350" s="138"/>
    </row>
    <row r="351" spans="2:15" x14ac:dyDescent="0.2">
      <c r="B351" s="138"/>
      <c r="C351" s="126"/>
      <c r="D351" s="138"/>
      <c r="E351" s="138"/>
      <c r="F351" s="138"/>
      <c r="G351" s="138"/>
      <c r="H351" s="138"/>
      <c r="I351" s="138"/>
      <c r="J351" s="138"/>
      <c r="K351" s="138"/>
      <c r="L351" s="138"/>
      <c r="M351" s="138"/>
      <c r="N351" s="138"/>
      <c r="O351" s="138"/>
    </row>
    <row r="352" spans="2:15" x14ac:dyDescent="0.2">
      <c r="B352" s="138"/>
      <c r="C352" s="126"/>
      <c r="D352" s="138"/>
      <c r="E352" s="138"/>
      <c r="F352" s="138"/>
      <c r="G352" s="138"/>
      <c r="H352" s="138"/>
      <c r="I352" s="138"/>
      <c r="J352" s="138"/>
      <c r="K352" s="138"/>
      <c r="L352" s="138"/>
      <c r="M352" s="138"/>
      <c r="N352" s="138"/>
      <c r="O352" s="138"/>
    </row>
    <row r="353" spans="2:15" x14ac:dyDescent="0.2">
      <c r="B353" s="138"/>
      <c r="C353" s="126"/>
      <c r="D353" s="138"/>
      <c r="E353" s="138"/>
      <c r="F353" s="138"/>
      <c r="G353" s="138"/>
      <c r="H353" s="138"/>
      <c r="I353" s="138"/>
      <c r="J353" s="138"/>
      <c r="K353" s="138"/>
      <c r="L353" s="138"/>
      <c r="M353" s="138"/>
      <c r="N353" s="138"/>
      <c r="O353" s="138"/>
    </row>
    <row r="354" spans="2:15" x14ac:dyDescent="0.2">
      <c r="B354" s="138"/>
      <c r="C354" s="126"/>
      <c r="D354" s="138"/>
      <c r="E354" s="138"/>
      <c r="F354" s="138"/>
      <c r="G354" s="138"/>
      <c r="H354" s="138"/>
      <c r="I354" s="138"/>
      <c r="J354" s="138"/>
      <c r="K354" s="138"/>
      <c r="L354" s="138"/>
      <c r="M354" s="138"/>
      <c r="N354" s="138"/>
      <c r="O354" s="138"/>
    </row>
    <row r="355" spans="2:15" x14ac:dyDescent="0.2">
      <c r="B355" s="138"/>
      <c r="C355" s="126"/>
      <c r="D355" s="138"/>
      <c r="E355" s="138"/>
      <c r="F355" s="138"/>
      <c r="G355" s="138"/>
      <c r="H355" s="138"/>
      <c r="I355" s="138"/>
      <c r="J355" s="138"/>
      <c r="K355" s="138"/>
      <c r="L355" s="138"/>
      <c r="M355" s="138"/>
      <c r="N355" s="138"/>
      <c r="O355" s="138"/>
    </row>
    <row r="356" spans="2:15" x14ac:dyDescent="0.2">
      <c r="B356" s="138"/>
      <c r="C356" s="126"/>
      <c r="D356" s="138"/>
      <c r="E356" s="138"/>
      <c r="F356" s="138"/>
      <c r="G356" s="138"/>
      <c r="H356" s="138"/>
      <c r="I356" s="138"/>
      <c r="J356" s="138"/>
      <c r="K356" s="138"/>
      <c r="L356" s="138"/>
      <c r="M356" s="138"/>
      <c r="N356" s="138"/>
      <c r="O356" s="138"/>
    </row>
    <row r="357" spans="2:15" x14ac:dyDescent="0.2">
      <c r="B357" s="138"/>
      <c r="C357" s="126"/>
      <c r="D357" s="138"/>
      <c r="E357" s="138"/>
      <c r="F357" s="138"/>
      <c r="G357" s="138"/>
      <c r="H357" s="138"/>
      <c r="I357" s="138"/>
      <c r="J357" s="138"/>
      <c r="K357" s="138"/>
      <c r="L357" s="138"/>
      <c r="M357" s="138"/>
      <c r="N357" s="138"/>
      <c r="O357" s="138"/>
    </row>
    <row r="358" spans="2:15" x14ac:dyDescent="0.2">
      <c r="B358" s="138"/>
      <c r="C358" s="126"/>
      <c r="D358" s="138"/>
      <c r="E358" s="138"/>
      <c r="F358" s="138"/>
      <c r="G358" s="138"/>
      <c r="H358" s="138"/>
      <c r="I358" s="138"/>
      <c r="J358" s="138"/>
      <c r="K358" s="138"/>
      <c r="L358" s="138"/>
      <c r="M358" s="138"/>
      <c r="N358" s="138"/>
      <c r="O358" s="138"/>
    </row>
    <row r="359" spans="2:15" x14ac:dyDescent="0.2">
      <c r="B359" s="138"/>
      <c r="C359" s="126"/>
      <c r="D359" s="138"/>
      <c r="E359" s="138"/>
      <c r="F359" s="138"/>
      <c r="G359" s="138"/>
      <c r="H359" s="138"/>
      <c r="I359" s="138"/>
      <c r="J359" s="138"/>
      <c r="K359" s="138"/>
      <c r="L359" s="138"/>
      <c r="M359" s="138"/>
      <c r="N359" s="138"/>
      <c r="O359" s="138"/>
    </row>
    <row r="360" spans="2:15" x14ac:dyDescent="0.2">
      <c r="B360" s="138"/>
      <c r="C360" s="126"/>
      <c r="D360" s="138"/>
      <c r="E360" s="138"/>
      <c r="F360" s="138"/>
      <c r="G360" s="138"/>
      <c r="H360" s="138"/>
      <c r="I360" s="138"/>
      <c r="J360" s="138"/>
      <c r="K360" s="138"/>
      <c r="L360" s="138"/>
      <c r="M360" s="138"/>
      <c r="N360" s="138"/>
      <c r="O360" s="138"/>
    </row>
    <row r="361" spans="2:15" x14ac:dyDescent="0.2">
      <c r="B361" s="138"/>
      <c r="C361" s="126"/>
      <c r="D361" s="138"/>
      <c r="E361" s="138"/>
      <c r="F361" s="138"/>
      <c r="G361" s="138"/>
      <c r="H361" s="138"/>
      <c r="I361" s="138"/>
      <c r="J361" s="138"/>
      <c r="K361" s="138"/>
      <c r="L361" s="138"/>
      <c r="M361" s="138"/>
      <c r="N361" s="138"/>
      <c r="O361" s="138"/>
    </row>
    <row r="362" spans="2:15" x14ac:dyDescent="0.2">
      <c r="B362" s="138"/>
      <c r="C362" s="126"/>
      <c r="D362" s="138"/>
      <c r="E362" s="138"/>
      <c r="F362" s="138"/>
      <c r="G362" s="138"/>
      <c r="H362" s="138"/>
      <c r="I362" s="138"/>
      <c r="J362" s="138"/>
      <c r="K362" s="138"/>
      <c r="L362" s="138"/>
      <c r="M362" s="138"/>
      <c r="N362" s="138"/>
      <c r="O362" s="138"/>
    </row>
    <row r="363" spans="2:15" x14ac:dyDescent="0.2">
      <c r="B363" s="138"/>
      <c r="C363" s="126"/>
      <c r="D363" s="138"/>
      <c r="E363" s="138"/>
      <c r="F363" s="138"/>
      <c r="G363" s="138"/>
      <c r="H363" s="138"/>
      <c r="I363" s="138"/>
      <c r="J363" s="138"/>
      <c r="K363" s="138"/>
      <c r="L363" s="138"/>
      <c r="M363" s="138"/>
      <c r="N363" s="138"/>
      <c r="O363" s="138"/>
    </row>
    <row r="364" spans="2:15" x14ac:dyDescent="0.2">
      <c r="B364" s="138"/>
      <c r="C364" s="126"/>
      <c r="D364" s="138"/>
      <c r="E364" s="138"/>
      <c r="F364" s="138"/>
      <c r="G364" s="138"/>
      <c r="H364" s="138"/>
      <c r="I364" s="138"/>
      <c r="J364" s="138"/>
      <c r="K364" s="138"/>
      <c r="L364" s="138"/>
      <c r="M364" s="138"/>
      <c r="N364" s="138"/>
      <c r="O364" s="138"/>
    </row>
    <row r="365" spans="2:15" x14ac:dyDescent="0.2">
      <c r="B365" s="138"/>
      <c r="C365" s="126"/>
      <c r="D365" s="138"/>
      <c r="E365" s="138"/>
      <c r="F365" s="138"/>
      <c r="G365" s="138"/>
      <c r="H365" s="138"/>
      <c r="I365" s="138"/>
      <c r="J365" s="138"/>
      <c r="K365" s="138"/>
      <c r="L365" s="138"/>
      <c r="M365" s="138"/>
      <c r="N365" s="138"/>
      <c r="O365" s="138"/>
    </row>
    <row r="366" spans="2:15" x14ac:dyDescent="0.2">
      <c r="B366" s="138"/>
      <c r="C366" s="126"/>
      <c r="D366" s="138"/>
      <c r="E366" s="138"/>
      <c r="F366" s="138"/>
      <c r="G366" s="138"/>
      <c r="H366" s="138"/>
      <c r="I366" s="138"/>
      <c r="J366" s="138"/>
      <c r="K366" s="138"/>
      <c r="L366" s="138"/>
      <c r="M366" s="138"/>
      <c r="N366" s="138"/>
      <c r="O366" s="138"/>
    </row>
    <row r="367" spans="2:15" x14ac:dyDescent="0.2">
      <c r="B367" s="138"/>
      <c r="C367" s="126"/>
      <c r="D367" s="138"/>
      <c r="E367" s="138"/>
      <c r="F367" s="138"/>
      <c r="G367" s="138"/>
      <c r="H367" s="138"/>
      <c r="I367" s="138"/>
      <c r="J367" s="138"/>
      <c r="K367" s="138"/>
      <c r="L367" s="138"/>
      <c r="M367" s="138"/>
      <c r="N367" s="138"/>
      <c r="O367" s="138"/>
    </row>
    <row r="368" spans="2:15" x14ac:dyDescent="0.2">
      <c r="B368" s="138"/>
      <c r="C368" s="126"/>
      <c r="D368" s="138"/>
      <c r="E368" s="138"/>
      <c r="F368" s="138"/>
      <c r="G368" s="138"/>
      <c r="H368" s="138"/>
      <c r="I368" s="138"/>
      <c r="J368" s="138"/>
      <c r="K368" s="138"/>
      <c r="L368" s="138"/>
      <c r="M368" s="138"/>
      <c r="N368" s="138"/>
      <c r="O368" s="138"/>
    </row>
    <row r="369" spans="2:15" x14ac:dyDescent="0.2">
      <c r="B369" s="138"/>
      <c r="C369" s="126"/>
      <c r="D369" s="138"/>
      <c r="E369" s="138"/>
      <c r="F369" s="138"/>
      <c r="G369" s="138"/>
      <c r="H369" s="138"/>
      <c r="I369" s="138"/>
      <c r="J369" s="138"/>
      <c r="K369" s="138"/>
      <c r="L369" s="138"/>
      <c r="M369" s="138"/>
      <c r="N369" s="138"/>
      <c r="O369" s="138"/>
    </row>
    <row r="370" spans="2:15" x14ac:dyDescent="0.2">
      <c r="B370" s="138"/>
      <c r="C370" s="126"/>
      <c r="D370" s="138"/>
      <c r="E370" s="138"/>
      <c r="F370" s="138"/>
      <c r="G370" s="138"/>
      <c r="H370" s="138"/>
      <c r="I370" s="138"/>
      <c r="J370" s="138"/>
      <c r="K370" s="138"/>
      <c r="L370" s="138"/>
      <c r="M370" s="138"/>
      <c r="N370" s="138"/>
      <c r="O370" s="138"/>
    </row>
    <row r="371" spans="2:15" x14ac:dyDescent="0.2">
      <c r="B371" s="138"/>
      <c r="C371" s="126"/>
      <c r="D371" s="138"/>
      <c r="E371" s="138"/>
      <c r="F371" s="138"/>
      <c r="G371" s="138"/>
      <c r="H371" s="138"/>
      <c r="I371" s="138"/>
      <c r="J371" s="138"/>
      <c r="K371" s="138"/>
      <c r="L371" s="138"/>
      <c r="M371" s="138"/>
      <c r="N371" s="138"/>
      <c r="O371" s="138"/>
    </row>
    <row r="372" spans="2:15" x14ac:dyDescent="0.2">
      <c r="B372" s="138"/>
      <c r="C372" s="126"/>
      <c r="D372" s="138"/>
      <c r="E372" s="138"/>
      <c r="F372" s="138"/>
      <c r="G372" s="138"/>
      <c r="H372" s="138"/>
      <c r="I372" s="138"/>
      <c r="J372" s="138"/>
      <c r="K372" s="138"/>
      <c r="L372" s="138"/>
      <c r="M372" s="138"/>
      <c r="N372" s="138"/>
      <c r="O372" s="138"/>
    </row>
    <row r="373" spans="2:15" x14ac:dyDescent="0.2">
      <c r="B373" s="138"/>
      <c r="C373" s="126"/>
      <c r="D373" s="138"/>
      <c r="E373" s="138"/>
      <c r="F373" s="138"/>
      <c r="G373" s="138"/>
      <c r="H373" s="138"/>
      <c r="I373" s="138"/>
      <c r="J373" s="138"/>
      <c r="K373" s="138"/>
      <c r="L373" s="138"/>
      <c r="M373" s="138"/>
      <c r="N373" s="138"/>
      <c r="O373" s="138"/>
    </row>
    <row r="374" spans="2:15" x14ac:dyDescent="0.2">
      <c r="B374" s="138"/>
      <c r="C374" s="126"/>
      <c r="D374" s="138"/>
      <c r="E374" s="138"/>
      <c r="F374" s="138"/>
      <c r="G374" s="138"/>
      <c r="H374" s="138"/>
      <c r="I374" s="138"/>
      <c r="J374" s="138"/>
      <c r="K374" s="138"/>
      <c r="L374" s="138"/>
      <c r="M374" s="138"/>
      <c r="N374" s="138"/>
      <c r="O374" s="138"/>
    </row>
    <row r="375" spans="2:15" x14ac:dyDescent="0.2">
      <c r="B375" s="138"/>
      <c r="C375" s="126"/>
      <c r="D375" s="138"/>
      <c r="E375" s="138"/>
      <c r="F375" s="138"/>
      <c r="G375" s="138"/>
      <c r="H375" s="138"/>
      <c r="I375" s="138"/>
      <c r="J375" s="138"/>
      <c r="K375" s="138"/>
      <c r="L375" s="138"/>
      <c r="M375" s="138"/>
      <c r="N375" s="138"/>
      <c r="O375" s="138"/>
    </row>
    <row r="376" spans="2:15" x14ac:dyDescent="0.2">
      <c r="B376" s="138"/>
      <c r="C376" s="126"/>
      <c r="D376" s="138"/>
      <c r="E376" s="138"/>
      <c r="F376" s="138"/>
      <c r="G376" s="138"/>
      <c r="H376" s="138"/>
      <c r="I376" s="138"/>
      <c r="J376" s="138"/>
      <c r="K376" s="138"/>
      <c r="L376" s="138"/>
      <c r="M376" s="138"/>
      <c r="N376" s="138"/>
      <c r="O376" s="138"/>
    </row>
    <row r="377" spans="2:15" x14ac:dyDescent="0.2">
      <c r="B377" s="138"/>
      <c r="C377" s="126"/>
      <c r="D377" s="138"/>
      <c r="E377" s="138"/>
      <c r="F377" s="138"/>
      <c r="G377" s="138"/>
      <c r="H377" s="138"/>
      <c r="I377" s="138"/>
      <c r="J377" s="138"/>
      <c r="K377" s="138"/>
      <c r="L377" s="138"/>
      <c r="M377" s="138"/>
      <c r="N377" s="138"/>
      <c r="O377" s="138"/>
    </row>
    <row r="378" spans="2:15" x14ac:dyDescent="0.2">
      <c r="B378" s="138"/>
      <c r="C378" s="126"/>
      <c r="D378" s="138"/>
      <c r="E378" s="138"/>
      <c r="F378" s="138"/>
      <c r="G378" s="138"/>
      <c r="H378" s="138"/>
      <c r="I378" s="138"/>
      <c r="J378" s="138"/>
      <c r="K378" s="138"/>
      <c r="L378" s="138"/>
      <c r="M378" s="138"/>
      <c r="N378" s="138"/>
      <c r="O378" s="138"/>
    </row>
    <row r="379" spans="2:15" x14ac:dyDescent="0.2">
      <c r="B379" s="138"/>
      <c r="C379" s="126"/>
      <c r="D379" s="138"/>
      <c r="E379" s="138"/>
      <c r="F379" s="138"/>
      <c r="G379" s="138"/>
      <c r="H379" s="138"/>
      <c r="I379" s="138"/>
      <c r="J379" s="138"/>
      <c r="K379" s="138"/>
      <c r="L379" s="138"/>
      <c r="M379" s="138"/>
      <c r="N379" s="138"/>
      <c r="O379" s="138"/>
    </row>
    <row r="380" spans="2:15" x14ac:dyDescent="0.2">
      <c r="B380" s="138"/>
      <c r="C380" s="126"/>
      <c r="D380" s="138"/>
      <c r="E380" s="138"/>
      <c r="F380" s="138"/>
      <c r="G380" s="138"/>
      <c r="H380" s="138"/>
      <c r="I380" s="138"/>
      <c r="J380" s="138"/>
      <c r="K380" s="138"/>
      <c r="L380" s="138"/>
      <c r="M380" s="138"/>
      <c r="N380" s="138"/>
      <c r="O380" s="138"/>
    </row>
    <row r="381" spans="2:15" x14ac:dyDescent="0.2">
      <c r="B381" s="138"/>
      <c r="C381" s="126"/>
      <c r="D381" s="138"/>
      <c r="E381" s="138"/>
      <c r="F381" s="138"/>
      <c r="G381" s="138"/>
      <c r="H381" s="138"/>
      <c r="I381" s="138"/>
      <c r="J381" s="138"/>
      <c r="K381" s="138"/>
      <c r="L381" s="138"/>
      <c r="M381" s="138"/>
      <c r="N381" s="138"/>
      <c r="O381" s="138"/>
    </row>
    <row r="382" spans="2:15" x14ac:dyDescent="0.2">
      <c r="B382" s="138"/>
      <c r="C382" s="126"/>
      <c r="D382" s="138"/>
      <c r="E382" s="138"/>
      <c r="F382" s="138"/>
      <c r="G382" s="138"/>
      <c r="H382" s="138"/>
      <c r="I382" s="138"/>
      <c r="J382" s="138"/>
      <c r="K382" s="138"/>
      <c r="L382" s="138"/>
      <c r="M382" s="138"/>
      <c r="N382" s="138"/>
      <c r="O382" s="138"/>
    </row>
    <row r="383" spans="2:15" x14ac:dyDescent="0.2">
      <c r="B383" s="138"/>
      <c r="C383" s="126"/>
      <c r="D383" s="138"/>
      <c r="E383" s="138"/>
      <c r="F383" s="138"/>
      <c r="G383" s="138"/>
      <c r="H383" s="138"/>
      <c r="I383" s="138"/>
      <c r="J383" s="138"/>
      <c r="K383" s="138"/>
      <c r="L383" s="138"/>
      <c r="M383" s="138"/>
      <c r="N383" s="138"/>
      <c r="O383" s="138"/>
    </row>
    <row r="384" spans="2:15" x14ac:dyDescent="0.2">
      <c r="B384" s="138"/>
      <c r="C384" s="126"/>
      <c r="D384" s="138"/>
      <c r="E384" s="138"/>
      <c r="F384" s="138"/>
      <c r="G384" s="138"/>
      <c r="H384" s="138"/>
      <c r="I384" s="138"/>
      <c r="J384" s="138"/>
      <c r="K384" s="138"/>
      <c r="L384" s="138"/>
      <c r="M384" s="138"/>
      <c r="N384" s="138"/>
      <c r="O384" s="138"/>
    </row>
    <row r="385" spans="2:15" x14ac:dyDescent="0.2">
      <c r="B385" s="138"/>
      <c r="C385" s="126"/>
      <c r="D385" s="138"/>
      <c r="E385" s="138"/>
      <c r="F385" s="138"/>
      <c r="G385" s="138"/>
      <c r="H385" s="138"/>
      <c r="I385" s="138"/>
      <c r="J385" s="138"/>
      <c r="K385" s="138"/>
      <c r="L385" s="138"/>
      <c r="M385" s="138"/>
      <c r="N385" s="138"/>
      <c r="O385" s="138"/>
    </row>
    <row r="386" spans="2:15" x14ac:dyDescent="0.2">
      <c r="B386" s="138"/>
      <c r="C386" s="126"/>
      <c r="D386" s="138"/>
      <c r="E386" s="138"/>
      <c r="F386" s="138"/>
      <c r="G386" s="138"/>
      <c r="H386" s="138"/>
      <c r="I386" s="138"/>
      <c r="J386" s="138"/>
      <c r="K386" s="138"/>
      <c r="L386" s="138"/>
      <c r="M386" s="138"/>
      <c r="N386" s="138"/>
      <c r="O386" s="138"/>
    </row>
    <row r="387" spans="2:15" x14ac:dyDescent="0.2">
      <c r="B387" s="138"/>
      <c r="C387" s="126"/>
      <c r="D387" s="138"/>
      <c r="E387" s="138"/>
      <c r="F387" s="138"/>
      <c r="G387" s="138"/>
      <c r="H387" s="138"/>
      <c r="I387" s="138"/>
      <c r="J387" s="138"/>
      <c r="K387" s="138"/>
      <c r="L387" s="138"/>
      <c r="M387" s="138"/>
      <c r="N387" s="138"/>
      <c r="O387" s="138"/>
    </row>
    <row r="388" spans="2:15" x14ac:dyDescent="0.2">
      <c r="B388" s="138"/>
      <c r="C388" s="126"/>
      <c r="D388" s="138"/>
      <c r="E388" s="138"/>
      <c r="F388" s="138"/>
      <c r="G388" s="138"/>
      <c r="H388" s="138"/>
      <c r="I388" s="138"/>
      <c r="J388" s="138"/>
      <c r="K388" s="138"/>
      <c r="L388" s="138"/>
      <c r="M388" s="138"/>
      <c r="N388" s="138"/>
      <c r="O388" s="138"/>
    </row>
    <row r="389" spans="2:15" x14ac:dyDescent="0.2">
      <c r="B389" s="138"/>
      <c r="C389" s="126"/>
      <c r="D389" s="138"/>
      <c r="E389" s="138"/>
      <c r="F389" s="138"/>
      <c r="G389" s="138"/>
      <c r="H389" s="138"/>
      <c r="I389" s="138"/>
      <c r="J389" s="138"/>
      <c r="K389" s="138"/>
      <c r="L389" s="138"/>
      <c r="M389" s="138"/>
      <c r="N389" s="138"/>
      <c r="O389" s="138"/>
    </row>
    <row r="390" spans="2:15" x14ac:dyDescent="0.2">
      <c r="B390" s="138"/>
      <c r="C390" s="126"/>
      <c r="D390" s="138"/>
      <c r="E390" s="138"/>
      <c r="F390" s="138"/>
      <c r="G390" s="138"/>
      <c r="H390" s="138"/>
      <c r="I390" s="138"/>
      <c r="J390" s="138"/>
      <c r="K390" s="138"/>
      <c r="L390" s="138"/>
      <c r="M390" s="138"/>
      <c r="N390" s="138"/>
      <c r="O390" s="138"/>
    </row>
    <row r="391" spans="2:15" x14ac:dyDescent="0.2">
      <c r="B391" s="138"/>
      <c r="C391" s="126"/>
      <c r="D391" s="138"/>
      <c r="E391" s="138"/>
      <c r="F391" s="138"/>
      <c r="G391" s="138"/>
      <c r="H391" s="138"/>
      <c r="I391" s="138"/>
      <c r="J391" s="138"/>
      <c r="K391" s="138"/>
      <c r="L391" s="138"/>
      <c r="M391" s="138"/>
      <c r="N391" s="138"/>
      <c r="O391" s="138"/>
    </row>
    <row r="392" spans="2:15" x14ac:dyDescent="0.2">
      <c r="B392" s="138"/>
      <c r="C392" s="126"/>
      <c r="D392" s="138"/>
      <c r="E392" s="138"/>
      <c r="F392" s="138"/>
      <c r="G392" s="138"/>
      <c r="H392" s="138"/>
      <c r="I392" s="138"/>
      <c r="J392" s="138"/>
      <c r="K392" s="138"/>
      <c r="L392" s="138"/>
      <c r="M392" s="138"/>
      <c r="N392" s="138"/>
      <c r="O392" s="138"/>
    </row>
    <row r="393" spans="2:15" x14ac:dyDescent="0.2">
      <c r="B393" s="138"/>
      <c r="C393" s="126"/>
      <c r="D393" s="138"/>
      <c r="E393" s="138"/>
      <c r="F393" s="138"/>
      <c r="G393" s="138"/>
      <c r="H393" s="138"/>
      <c r="I393" s="138"/>
      <c r="J393" s="138"/>
      <c r="K393" s="138"/>
      <c r="L393" s="138"/>
      <c r="M393" s="138"/>
      <c r="N393" s="138"/>
      <c r="O393" s="138"/>
    </row>
    <row r="394" spans="2:15" x14ac:dyDescent="0.2">
      <c r="B394" s="138"/>
      <c r="C394" s="126"/>
      <c r="D394" s="138"/>
      <c r="E394" s="138"/>
      <c r="F394" s="138"/>
      <c r="G394" s="138"/>
      <c r="H394" s="138"/>
      <c r="I394" s="138"/>
      <c r="J394" s="138"/>
      <c r="K394" s="138"/>
      <c r="L394" s="138"/>
      <c r="M394" s="138"/>
      <c r="N394" s="138"/>
      <c r="O394" s="138"/>
    </row>
    <row r="395" spans="2:15" x14ac:dyDescent="0.2">
      <c r="B395" s="138"/>
      <c r="C395" s="126"/>
      <c r="D395" s="138"/>
      <c r="E395" s="138"/>
      <c r="F395" s="138"/>
      <c r="G395" s="138"/>
      <c r="H395" s="138"/>
      <c r="I395" s="138"/>
      <c r="J395" s="138"/>
      <c r="K395" s="138"/>
      <c r="L395" s="138"/>
      <c r="M395" s="138"/>
      <c r="N395" s="138"/>
      <c r="O395" s="138"/>
    </row>
    <row r="396" spans="2:15" x14ac:dyDescent="0.2">
      <c r="B396" s="138"/>
      <c r="C396" s="126"/>
      <c r="D396" s="138"/>
      <c r="E396" s="138"/>
      <c r="F396" s="138"/>
      <c r="G396" s="138"/>
      <c r="H396" s="138"/>
      <c r="I396" s="138"/>
      <c r="J396" s="138"/>
      <c r="K396" s="138"/>
      <c r="L396" s="138"/>
      <c r="M396" s="138"/>
      <c r="N396" s="138"/>
      <c r="O396" s="138"/>
    </row>
    <row r="397" spans="2:15" x14ac:dyDescent="0.2">
      <c r="B397" s="138"/>
      <c r="C397" s="126"/>
      <c r="D397" s="138"/>
      <c r="E397" s="138"/>
      <c r="F397" s="138"/>
      <c r="G397" s="138"/>
      <c r="H397" s="138"/>
      <c r="I397" s="138"/>
      <c r="J397" s="138"/>
      <c r="K397" s="138"/>
      <c r="L397" s="138"/>
      <c r="M397" s="138"/>
      <c r="N397" s="138"/>
      <c r="O397" s="138"/>
    </row>
    <row r="398" spans="2:15" x14ac:dyDescent="0.2">
      <c r="B398" s="138"/>
      <c r="C398" s="126"/>
      <c r="D398" s="138"/>
      <c r="E398" s="138"/>
      <c r="F398" s="138"/>
      <c r="G398" s="138"/>
      <c r="H398" s="138"/>
      <c r="I398" s="138"/>
      <c r="J398" s="138"/>
      <c r="K398" s="138"/>
      <c r="L398" s="138"/>
      <c r="M398" s="138"/>
      <c r="N398" s="138"/>
      <c r="O398" s="138"/>
    </row>
    <row r="399" spans="2:15" x14ac:dyDescent="0.2">
      <c r="B399" s="138"/>
      <c r="C399" s="126"/>
      <c r="D399" s="138"/>
      <c r="E399" s="138"/>
      <c r="F399" s="138"/>
      <c r="G399" s="138"/>
      <c r="H399" s="138"/>
      <c r="I399" s="138"/>
      <c r="J399" s="138"/>
      <c r="K399" s="138"/>
      <c r="L399" s="138"/>
      <c r="M399" s="138"/>
      <c r="N399" s="138"/>
      <c r="O399" s="138"/>
    </row>
    <row r="400" spans="2:15" x14ac:dyDescent="0.2">
      <c r="B400" s="138"/>
      <c r="C400" s="126"/>
      <c r="D400" s="138"/>
      <c r="E400" s="138"/>
      <c r="F400" s="138"/>
      <c r="G400" s="138"/>
      <c r="H400" s="138"/>
      <c r="I400" s="138"/>
      <c r="J400" s="138"/>
      <c r="K400" s="138"/>
      <c r="L400" s="138"/>
      <c r="M400" s="138"/>
      <c r="N400" s="138"/>
      <c r="O400" s="138"/>
    </row>
    <row r="401" spans="2:15" x14ac:dyDescent="0.2">
      <c r="B401" s="138"/>
      <c r="C401" s="126"/>
      <c r="D401" s="138"/>
      <c r="E401" s="138"/>
      <c r="F401" s="138"/>
      <c r="G401" s="138"/>
      <c r="H401" s="138"/>
      <c r="I401" s="138"/>
      <c r="J401" s="138"/>
      <c r="K401" s="138"/>
      <c r="L401" s="138"/>
      <c r="M401" s="138"/>
      <c r="N401" s="138"/>
      <c r="O401" s="138"/>
    </row>
    <row r="402" spans="2:15" x14ac:dyDescent="0.2">
      <c r="B402" s="138"/>
      <c r="C402" s="126"/>
      <c r="D402" s="138"/>
      <c r="E402" s="138"/>
      <c r="F402" s="138"/>
      <c r="G402" s="138"/>
      <c r="H402" s="138"/>
      <c r="I402" s="138"/>
      <c r="J402" s="138"/>
      <c r="K402" s="138"/>
      <c r="L402" s="138"/>
      <c r="M402" s="138"/>
      <c r="N402" s="138"/>
      <c r="O402" s="138"/>
    </row>
    <row r="403" spans="2:15" x14ac:dyDescent="0.2">
      <c r="B403" s="138"/>
      <c r="C403" s="126"/>
      <c r="D403" s="138"/>
      <c r="E403" s="138"/>
      <c r="F403" s="138"/>
      <c r="G403" s="138"/>
      <c r="H403" s="138"/>
      <c r="I403" s="138"/>
      <c r="J403" s="138"/>
      <c r="K403" s="138"/>
      <c r="L403" s="138"/>
      <c r="M403" s="138"/>
      <c r="N403" s="138"/>
      <c r="O403" s="138"/>
    </row>
    <row r="404" spans="2:15" x14ac:dyDescent="0.2">
      <c r="B404" s="138"/>
      <c r="C404" s="126"/>
      <c r="D404" s="138"/>
      <c r="E404" s="138"/>
      <c r="F404" s="138"/>
      <c r="G404" s="138"/>
      <c r="H404" s="138"/>
      <c r="I404" s="138"/>
      <c r="J404" s="138"/>
      <c r="K404" s="138"/>
      <c r="L404" s="138"/>
      <c r="M404" s="138"/>
      <c r="N404" s="138"/>
      <c r="O404" s="138"/>
    </row>
    <row r="405" spans="2:15" x14ac:dyDescent="0.2">
      <c r="B405" s="138"/>
      <c r="C405" s="126"/>
      <c r="D405" s="138"/>
      <c r="E405" s="138"/>
      <c r="F405" s="138"/>
      <c r="G405" s="138"/>
      <c r="H405" s="138"/>
      <c r="I405" s="138"/>
      <c r="J405" s="138"/>
      <c r="K405" s="138"/>
      <c r="L405" s="138"/>
      <c r="M405" s="138"/>
      <c r="N405" s="138"/>
      <c r="O405" s="138"/>
    </row>
    <row r="406" spans="2:15" x14ac:dyDescent="0.2">
      <c r="B406" s="138"/>
      <c r="C406" s="126"/>
      <c r="D406" s="138"/>
      <c r="E406" s="138"/>
      <c r="F406" s="138"/>
      <c r="G406" s="138"/>
      <c r="H406" s="138"/>
      <c r="I406" s="138"/>
      <c r="J406" s="138"/>
      <c r="K406" s="138"/>
      <c r="L406" s="138"/>
      <c r="M406" s="138"/>
      <c r="N406" s="138"/>
      <c r="O406" s="138"/>
    </row>
    <row r="407" spans="2:15" x14ac:dyDescent="0.2">
      <c r="B407" s="138"/>
      <c r="C407" s="126"/>
      <c r="D407" s="138"/>
      <c r="E407" s="138"/>
      <c r="F407" s="138"/>
      <c r="G407" s="138"/>
      <c r="H407" s="138"/>
      <c r="I407" s="138"/>
      <c r="J407" s="138"/>
      <c r="K407" s="138"/>
      <c r="L407" s="138"/>
      <c r="M407" s="138"/>
      <c r="N407" s="138"/>
      <c r="O407" s="138"/>
    </row>
    <row r="408" spans="2:15" x14ac:dyDescent="0.2">
      <c r="B408" s="138"/>
      <c r="C408" s="126"/>
      <c r="D408" s="138"/>
      <c r="E408" s="138"/>
      <c r="F408" s="138"/>
      <c r="G408" s="138"/>
      <c r="H408" s="138"/>
      <c r="I408" s="138"/>
      <c r="J408" s="138"/>
      <c r="K408" s="138"/>
      <c r="L408" s="138"/>
      <c r="M408" s="138"/>
      <c r="N408" s="138"/>
      <c r="O408" s="138"/>
    </row>
    <row r="409" spans="2:15" x14ac:dyDescent="0.2">
      <c r="B409" s="138"/>
      <c r="C409" s="126"/>
      <c r="D409" s="138"/>
      <c r="E409" s="138"/>
      <c r="F409" s="138"/>
      <c r="G409" s="138"/>
      <c r="H409" s="138"/>
      <c r="I409" s="138"/>
      <c r="J409" s="138"/>
      <c r="K409" s="138"/>
      <c r="L409" s="138"/>
      <c r="M409" s="138"/>
      <c r="N409" s="138"/>
      <c r="O409" s="138"/>
    </row>
    <row r="410" spans="2:15" x14ac:dyDescent="0.2">
      <c r="B410" s="138"/>
      <c r="C410" s="126"/>
      <c r="D410" s="138"/>
      <c r="E410" s="138"/>
      <c r="F410" s="138"/>
      <c r="G410" s="138"/>
      <c r="H410" s="138"/>
      <c r="I410" s="138"/>
      <c r="J410" s="138"/>
      <c r="K410" s="138"/>
      <c r="L410" s="138"/>
      <c r="M410" s="138"/>
      <c r="N410" s="138"/>
      <c r="O410" s="138"/>
    </row>
    <row r="411" spans="2:15" x14ac:dyDescent="0.2">
      <c r="B411" s="138"/>
      <c r="C411" s="126"/>
      <c r="D411" s="138"/>
      <c r="E411" s="138"/>
      <c r="F411" s="138"/>
      <c r="G411" s="138"/>
      <c r="H411" s="138"/>
      <c r="I411" s="138"/>
      <c r="J411" s="138"/>
      <c r="K411" s="138"/>
      <c r="L411" s="138"/>
      <c r="M411" s="138"/>
      <c r="N411" s="138"/>
      <c r="O411" s="138"/>
    </row>
    <row r="412" spans="2:15" x14ac:dyDescent="0.2">
      <c r="B412" s="138"/>
      <c r="C412" s="126"/>
      <c r="D412" s="138"/>
      <c r="E412" s="138"/>
      <c r="F412" s="138"/>
      <c r="G412" s="138"/>
      <c r="H412" s="138"/>
      <c r="I412" s="138"/>
      <c r="J412" s="138"/>
      <c r="K412" s="138"/>
      <c r="L412" s="138"/>
      <c r="M412" s="138"/>
      <c r="N412" s="138"/>
      <c r="O412" s="138"/>
    </row>
    <row r="413" spans="2:15" x14ac:dyDescent="0.2">
      <c r="B413" s="138"/>
      <c r="C413" s="126"/>
      <c r="D413" s="138"/>
      <c r="E413" s="138"/>
      <c r="F413" s="138"/>
      <c r="G413" s="138"/>
      <c r="H413" s="138"/>
      <c r="I413" s="138"/>
      <c r="J413" s="138"/>
      <c r="K413" s="138"/>
      <c r="L413" s="138"/>
      <c r="M413" s="138"/>
      <c r="N413" s="138"/>
      <c r="O413" s="138"/>
    </row>
    <row r="414" spans="2:15" x14ac:dyDescent="0.2">
      <c r="B414" s="138"/>
      <c r="C414" s="126"/>
      <c r="D414" s="138"/>
      <c r="E414" s="138"/>
      <c r="F414" s="138"/>
      <c r="G414" s="138"/>
      <c r="H414" s="138"/>
      <c r="I414" s="138"/>
      <c r="J414" s="138"/>
      <c r="K414" s="138"/>
      <c r="L414" s="138"/>
      <c r="M414" s="138"/>
      <c r="N414" s="138"/>
      <c r="O414" s="138"/>
    </row>
    <row r="415" spans="2:15" x14ac:dyDescent="0.2">
      <c r="B415" s="138"/>
      <c r="C415" s="126"/>
      <c r="D415" s="138"/>
      <c r="E415" s="138"/>
      <c r="F415" s="138"/>
      <c r="G415" s="138"/>
      <c r="H415" s="138"/>
      <c r="I415" s="138"/>
      <c r="J415" s="138"/>
      <c r="K415" s="138"/>
      <c r="L415" s="138"/>
      <c r="M415" s="138"/>
      <c r="N415" s="138"/>
      <c r="O415" s="138"/>
    </row>
    <row r="416" spans="2:15" x14ac:dyDescent="0.2">
      <c r="B416" s="138"/>
      <c r="C416" s="126"/>
      <c r="D416" s="138"/>
      <c r="E416" s="138"/>
      <c r="F416" s="138"/>
      <c r="G416" s="138"/>
      <c r="H416" s="138"/>
      <c r="I416" s="138"/>
      <c r="J416" s="138"/>
      <c r="K416" s="138"/>
      <c r="L416" s="138"/>
      <c r="M416" s="138"/>
      <c r="N416" s="138"/>
      <c r="O416" s="138"/>
    </row>
    <row r="417" spans="2:15" x14ac:dyDescent="0.2">
      <c r="B417" s="138"/>
      <c r="C417" s="126"/>
      <c r="D417" s="138"/>
      <c r="E417" s="138"/>
      <c r="F417" s="138"/>
      <c r="G417" s="138"/>
      <c r="H417" s="138"/>
      <c r="I417" s="138"/>
      <c r="J417" s="138"/>
      <c r="K417" s="138"/>
      <c r="L417" s="138"/>
      <c r="M417" s="138"/>
      <c r="N417" s="138"/>
      <c r="O417" s="138"/>
    </row>
    <row r="418" spans="2:15" x14ac:dyDescent="0.2">
      <c r="B418" s="138"/>
      <c r="C418" s="126"/>
      <c r="D418" s="138"/>
      <c r="E418" s="138"/>
      <c r="F418" s="138"/>
      <c r="G418" s="138"/>
      <c r="H418" s="138"/>
      <c r="I418" s="138"/>
      <c r="J418" s="138"/>
      <c r="K418" s="138"/>
      <c r="L418" s="138"/>
      <c r="M418" s="138"/>
      <c r="N418" s="138"/>
      <c r="O418" s="138"/>
    </row>
    <row r="419" spans="2:15" x14ac:dyDescent="0.2">
      <c r="B419" s="138"/>
      <c r="C419" s="126"/>
      <c r="D419" s="138"/>
      <c r="E419" s="138"/>
      <c r="F419" s="138"/>
      <c r="G419" s="138"/>
      <c r="H419" s="138"/>
      <c r="I419" s="138"/>
      <c r="J419" s="138"/>
      <c r="K419" s="138"/>
      <c r="L419" s="138"/>
      <c r="M419" s="138"/>
      <c r="N419" s="138"/>
      <c r="O419" s="138"/>
    </row>
    <row r="420" spans="2:15" x14ac:dyDescent="0.2">
      <c r="B420" s="138"/>
      <c r="C420" s="126"/>
      <c r="D420" s="138"/>
      <c r="E420" s="138"/>
      <c r="F420" s="138"/>
      <c r="G420" s="138"/>
      <c r="H420" s="138"/>
      <c r="I420" s="138"/>
      <c r="J420" s="138"/>
      <c r="K420" s="138"/>
      <c r="L420" s="138"/>
      <c r="M420" s="138"/>
      <c r="N420" s="138"/>
      <c r="O420" s="138"/>
    </row>
    <row r="421" spans="2:15" x14ac:dyDescent="0.2">
      <c r="B421" s="138"/>
      <c r="C421" s="126"/>
      <c r="D421" s="138"/>
      <c r="E421" s="138"/>
      <c r="F421" s="138"/>
      <c r="G421" s="138"/>
      <c r="H421" s="138"/>
      <c r="I421" s="138"/>
      <c r="J421" s="138"/>
      <c r="K421" s="138"/>
      <c r="L421" s="138"/>
      <c r="M421" s="138"/>
      <c r="N421" s="138"/>
      <c r="O421" s="138"/>
    </row>
    <row r="422" spans="2:15" x14ac:dyDescent="0.2">
      <c r="B422" s="138"/>
      <c r="C422" s="126"/>
      <c r="D422" s="138"/>
      <c r="E422" s="138"/>
      <c r="F422" s="138"/>
      <c r="G422" s="138"/>
      <c r="H422" s="138"/>
      <c r="I422" s="138"/>
      <c r="J422" s="138"/>
      <c r="K422" s="138"/>
      <c r="L422" s="138"/>
      <c r="M422" s="138"/>
      <c r="N422" s="138"/>
      <c r="O422" s="138"/>
    </row>
    <row r="423" spans="2:15" x14ac:dyDescent="0.2">
      <c r="B423" s="138"/>
      <c r="C423" s="126"/>
      <c r="D423" s="138"/>
      <c r="E423" s="138"/>
      <c r="F423" s="138"/>
      <c r="G423" s="138"/>
      <c r="H423" s="138"/>
      <c r="I423" s="138"/>
      <c r="J423" s="138"/>
      <c r="K423" s="138"/>
      <c r="L423" s="138"/>
      <c r="M423" s="138"/>
      <c r="N423" s="138"/>
      <c r="O423" s="138"/>
    </row>
    <row r="424" spans="2:15" x14ac:dyDescent="0.2">
      <c r="B424" s="138"/>
      <c r="C424" s="126"/>
      <c r="D424" s="138"/>
      <c r="E424" s="138"/>
      <c r="F424" s="138"/>
      <c r="G424" s="138"/>
      <c r="H424" s="138"/>
      <c r="I424" s="138"/>
      <c r="J424" s="138"/>
      <c r="K424" s="138"/>
      <c r="L424" s="138"/>
      <c r="M424" s="138"/>
      <c r="N424" s="138"/>
      <c r="O424" s="138"/>
    </row>
    <row r="425" spans="2:15" x14ac:dyDescent="0.2">
      <c r="B425" s="138"/>
      <c r="C425" s="126"/>
      <c r="D425" s="138"/>
      <c r="E425" s="138"/>
      <c r="F425" s="138"/>
      <c r="G425" s="138"/>
      <c r="H425" s="138"/>
      <c r="I425" s="138"/>
      <c r="J425" s="138"/>
      <c r="K425" s="138"/>
      <c r="L425" s="138"/>
      <c r="M425" s="138"/>
      <c r="N425" s="138"/>
      <c r="O425" s="138"/>
    </row>
    <row r="426" spans="2:15" x14ac:dyDescent="0.2">
      <c r="B426" s="138"/>
      <c r="C426" s="126"/>
      <c r="D426" s="138"/>
      <c r="E426" s="138"/>
      <c r="F426" s="138"/>
      <c r="G426" s="138"/>
      <c r="H426" s="138"/>
      <c r="I426" s="138"/>
      <c r="J426" s="138"/>
      <c r="K426" s="138"/>
      <c r="L426" s="138"/>
      <c r="M426" s="138"/>
      <c r="N426" s="138"/>
      <c r="O426" s="138"/>
    </row>
    <row r="427" spans="2:15" x14ac:dyDescent="0.2">
      <c r="B427" s="138"/>
      <c r="C427" s="126"/>
      <c r="D427" s="138"/>
      <c r="E427" s="138"/>
      <c r="F427" s="138"/>
      <c r="G427" s="138"/>
      <c r="H427" s="138"/>
      <c r="I427" s="138"/>
      <c r="J427" s="138"/>
      <c r="K427" s="138"/>
      <c r="L427" s="138"/>
      <c r="M427" s="138"/>
      <c r="N427" s="138"/>
      <c r="O427" s="138"/>
    </row>
    <row r="428" spans="2:15" x14ac:dyDescent="0.2">
      <c r="B428" s="138"/>
      <c r="C428" s="126"/>
      <c r="D428" s="138"/>
      <c r="E428" s="138"/>
      <c r="F428" s="138"/>
      <c r="G428" s="138"/>
      <c r="H428" s="138"/>
      <c r="I428" s="138"/>
      <c r="J428" s="138"/>
      <c r="K428" s="138"/>
      <c r="L428" s="138"/>
      <c r="M428" s="138"/>
      <c r="N428" s="138"/>
      <c r="O428" s="138"/>
    </row>
    <row r="429" spans="2:15" x14ac:dyDescent="0.2">
      <c r="B429" s="138"/>
      <c r="C429" s="126"/>
      <c r="D429" s="138"/>
      <c r="E429" s="138"/>
      <c r="F429" s="138"/>
      <c r="G429" s="138"/>
      <c r="H429" s="138"/>
      <c r="I429" s="138"/>
      <c r="J429" s="138"/>
      <c r="K429" s="138"/>
      <c r="L429" s="138"/>
      <c r="M429" s="138"/>
      <c r="N429" s="138"/>
      <c r="O429" s="138"/>
    </row>
    <row r="430" spans="2:15" x14ac:dyDescent="0.2">
      <c r="B430" s="138"/>
      <c r="C430" s="126"/>
      <c r="D430" s="138"/>
      <c r="E430" s="138"/>
      <c r="F430" s="138"/>
      <c r="G430" s="138"/>
      <c r="H430" s="138"/>
      <c r="I430" s="138"/>
      <c r="J430" s="138"/>
      <c r="K430" s="138"/>
      <c r="L430" s="138"/>
      <c r="M430" s="138"/>
      <c r="N430" s="138"/>
      <c r="O430" s="138"/>
    </row>
    <row r="431" spans="2:15" x14ac:dyDescent="0.2">
      <c r="B431" s="138"/>
      <c r="C431" s="126"/>
      <c r="D431" s="138"/>
      <c r="E431" s="138"/>
      <c r="F431" s="138"/>
      <c r="G431" s="138"/>
      <c r="H431" s="138"/>
      <c r="I431" s="138"/>
      <c r="J431" s="138"/>
      <c r="K431" s="138"/>
      <c r="L431" s="138"/>
      <c r="M431" s="138"/>
      <c r="N431" s="138"/>
      <c r="O431" s="138"/>
    </row>
    <row r="432" spans="2:15" x14ac:dyDescent="0.2">
      <c r="B432" s="138"/>
      <c r="C432" s="126"/>
      <c r="D432" s="138"/>
      <c r="E432" s="138"/>
      <c r="F432" s="138"/>
      <c r="G432" s="138"/>
      <c r="H432" s="138"/>
      <c r="I432" s="138"/>
      <c r="J432" s="138"/>
      <c r="K432" s="138"/>
      <c r="L432" s="138"/>
      <c r="M432" s="138"/>
      <c r="N432" s="138"/>
      <c r="O432" s="138"/>
    </row>
    <row r="433" spans="2:15" x14ac:dyDescent="0.2">
      <c r="B433" s="138"/>
      <c r="C433" s="126"/>
      <c r="D433" s="138"/>
      <c r="E433" s="138"/>
      <c r="F433" s="138"/>
      <c r="G433" s="138"/>
      <c r="H433" s="138"/>
      <c r="I433" s="138"/>
      <c r="J433" s="138"/>
      <c r="K433" s="138"/>
      <c r="L433" s="138"/>
      <c r="M433" s="138"/>
      <c r="N433" s="138"/>
      <c r="O433" s="138"/>
    </row>
    <row r="434" spans="2:15" x14ac:dyDescent="0.2">
      <c r="B434" s="138"/>
      <c r="C434" s="126"/>
      <c r="D434" s="138"/>
      <c r="E434" s="138"/>
      <c r="F434" s="138"/>
      <c r="G434" s="138"/>
      <c r="H434" s="138"/>
      <c r="I434" s="138"/>
      <c r="J434" s="138"/>
      <c r="K434" s="138"/>
      <c r="L434" s="138"/>
      <c r="M434" s="138"/>
      <c r="N434" s="138"/>
      <c r="O434" s="138"/>
    </row>
    <row r="435" spans="2:15" x14ac:dyDescent="0.2">
      <c r="B435" s="138"/>
      <c r="C435" s="126"/>
      <c r="D435" s="138"/>
      <c r="E435" s="138"/>
      <c r="F435" s="138"/>
      <c r="G435" s="138"/>
      <c r="H435" s="138"/>
      <c r="I435" s="138"/>
      <c r="J435" s="138"/>
      <c r="K435" s="138"/>
      <c r="L435" s="138"/>
      <c r="M435" s="138"/>
      <c r="N435" s="138"/>
      <c r="O435" s="138"/>
    </row>
    <row r="436" spans="2:15" x14ac:dyDescent="0.2">
      <c r="B436" s="138"/>
      <c r="C436" s="126"/>
      <c r="D436" s="138"/>
      <c r="E436" s="138"/>
      <c r="F436" s="138"/>
      <c r="G436" s="138"/>
      <c r="H436" s="138"/>
      <c r="I436" s="138"/>
      <c r="J436" s="138"/>
      <c r="K436" s="138"/>
      <c r="L436" s="138"/>
      <c r="M436" s="138"/>
      <c r="N436" s="138"/>
      <c r="O436" s="138"/>
    </row>
    <row r="437" spans="2:15" x14ac:dyDescent="0.2">
      <c r="B437" s="138"/>
      <c r="C437" s="126"/>
      <c r="D437" s="138"/>
      <c r="E437" s="138"/>
      <c r="F437" s="138"/>
      <c r="G437" s="138"/>
      <c r="H437" s="138"/>
      <c r="I437" s="138"/>
      <c r="J437" s="138"/>
      <c r="K437" s="138"/>
      <c r="L437" s="138"/>
      <c r="M437" s="138"/>
      <c r="N437" s="138"/>
      <c r="O437" s="138"/>
    </row>
    <row r="438" spans="2:15" x14ac:dyDescent="0.2">
      <c r="B438" s="138"/>
      <c r="C438" s="126"/>
      <c r="D438" s="138"/>
      <c r="E438" s="138"/>
      <c r="F438" s="138"/>
      <c r="G438" s="138"/>
      <c r="H438" s="138"/>
      <c r="I438" s="138"/>
      <c r="J438" s="138"/>
      <c r="K438" s="138"/>
      <c r="L438" s="138"/>
      <c r="M438" s="138"/>
      <c r="N438" s="138"/>
      <c r="O438" s="138"/>
    </row>
    <row r="439" spans="2:15" x14ac:dyDescent="0.2">
      <c r="B439" s="138"/>
      <c r="C439" s="126"/>
      <c r="D439" s="138"/>
      <c r="E439" s="138"/>
      <c r="F439" s="138"/>
      <c r="G439" s="138"/>
      <c r="H439" s="138"/>
      <c r="I439" s="138"/>
      <c r="J439" s="138"/>
      <c r="K439" s="138"/>
      <c r="L439" s="138"/>
      <c r="M439" s="138"/>
      <c r="N439" s="138"/>
      <c r="O439" s="138"/>
    </row>
    <row r="440" spans="2:15" x14ac:dyDescent="0.2">
      <c r="B440" s="138"/>
      <c r="C440" s="126"/>
      <c r="D440" s="138"/>
      <c r="E440" s="138"/>
      <c r="F440" s="138"/>
      <c r="G440" s="138"/>
      <c r="H440" s="138"/>
      <c r="I440" s="138"/>
      <c r="J440" s="138"/>
      <c r="K440" s="138"/>
      <c r="L440" s="138"/>
      <c r="M440" s="138"/>
      <c r="N440" s="138"/>
      <c r="O440" s="138"/>
    </row>
    <row r="441" spans="2:15" x14ac:dyDescent="0.2">
      <c r="B441" s="138"/>
      <c r="C441" s="126"/>
      <c r="D441" s="138"/>
      <c r="E441" s="138"/>
      <c r="F441" s="138"/>
      <c r="G441" s="138"/>
      <c r="H441" s="138"/>
      <c r="I441" s="138"/>
      <c r="J441" s="138"/>
      <c r="K441" s="138"/>
      <c r="L441" s="138"/>
      <c r="M441" s="138"/>
      <c r="N441" s="138"/>
      <c r="O441" s="138"/>
    </row>
    <row r="442" spans="2:15" x14ac:dyDescent="0.2">
      <c r="B442" s="138"/>
      <c r="C442" s="126"/>
      <c r="D442" s="138"/>
      <c r="E442" s="138"/>
      <c r="F442" s="138"/>
      <c r="G442" s="138"/>
      <c r="H442" s="138"/>
      <c r="I442" s="138"/>
      <c r="J442" s="138"/>
      <c r="K442" s="138"/>
      <c r="L442" s="138"/>
      <c r="M442" s="138"/>
      <c r="N442" s="138"/>
      <c r="O442" s="138"/>
    </row>
    <row r="443" spans="2:15" x14ac:dyDescent="0.2">
      <c r="B443" s="138"/>
      <c r="C443" s="126"/>
      <c r="D443" s="138"/>
      <c r="E443" s="138"/>
      <c r="F443" s="138"/>
      <c r="G443" s="138"/>
      <c r="H443" s="138"/>
      <c r="I443" s="138"/>
      <c r="J443" s="138"/>
      <c r="K443" s="138"/>
      <c r="L443" s="138"/>
      <c r="M443" s="138"/>
      <c r="N443" s="138"/>
      <c r="O443" s="138"/>
    </row>
    <row r="444" spans="2:15" x14ac:dyDescent="0.2">
      <c r="B444" s="138"/>
      <c r="C444" s="126"/>
      <c r="D444" s="138"/>
      <c r="E444" s="138"/>
      <c r="F444" s="138"/>
      <c r="G444" s="138"/>
      <c r="H444" s="138"/>
      <c r="I444" s="138"/>
      <c r="J444" s="138"/>
      <c r="K444" s="138"/>
      <c r="L444" s="138"/>
      <c r="M444" s="138"/>
      <c r="N444" s="138"/>
      <c r="O444" s="138"/>
    </row>
    <row r="445" spans="2:15" x14ac:dyDescent="0.2">
      <c r="B445" s="138"/>
      <c r="C445" s="126"/>
      <c r="D445" s="138"/>
      <c r="E445" s="138"/>
      <c r="F445" s="138"/>
      <c r="G445" s="138"/>
      <c r="H445" s="138"/>
      <c r="I445" s="138"/>
      <c r="J445" s="138"/>
      <c r="K445" s="138"/>
      <c r="L445" s="138"/>
      <c r="M445" s="138"/>
      <c r="N445" s="138"/>
      <c r="O445" s="138"/>
    </row>
    <row r="446" spans="2:15" x14ac:dyDescent="0.2">
      <c r="B446" s="138"/>
      <c r="C446" s="126"/>
      <c r="D446" s="138"/>
      <c r="E446" s="138"/>
      <c r="F446" s="138"/>
      <c r="G446" s="138"/>
      <c r="H446" s="138"/>
      <c r="I446" s="138"/>
      <c r="J446" s="138"/>
      <c r="K446" s="138"/>
      <c r="L446" s="138"/>
      <c r="M446" s="138"/>
      <c r="N446" s="138"/>
      <c r="O446" s="138"/>
    </row>
    <row r="447" spans="2:15" x14ac:dyDescent="0.2">
      <c r="B447" s="138"/>
      <c r="C447" s="126"/>
      <c r="D447" s="138"/>
      <c r="E447" s="138"/>
      <c r="F447" s="138"/>
      <c r="G447" s="138"/>
      <c r="H447" s="138"/>
      <c r="I447" s="138"/>
      <c r="J447" s="138"/>
      <c r="K447" s="138"/>
      <c r="L447" s="138"/>
      <c r="M447" s="138"/>
      <c r="N447" s="138"/>
      <c r="O447" s="138"/>
    </row>
    <row r="448" spans="2:15" x14ac:dyDescent="0.2">
      <c r="B448" s="138"/>
      <c r="C448" s="126"/>
      <c r="D448" s="138"/>
      <c r="E448" s="138"/>
      <c r="F448" s="138"/>
      <c r="G448" s="138"/>
      <c r="H448" s="138"/>
      <c r="I448" s="138"/>
      <c r="J448" s="138"/>
      <c r="K448" s="138"/>
      <c r="L448" s="138"/>
      <c r="M448" s="138"/>
      <c r="N448" s="138"/>
      <c r="O448" s="138"/>
    </row>
    <row r="449" spans="2:15" x14ac:dyDescent="0.2">
      <c r="B449" s="138"/>
      <c r="C449" s="126"/>
      <c r="D449" s="138"/>
      <c r="E449" s="138"/>
      <c r="F449" s="138"/>
      <c r="G449" s="138"/>
      <c r="H449" s="138"/>
      <c r="I449" s="138"/>
      <c r="J449" s="138"/>
      <c r="K449" s="138"/>
      <c r="L449" s="138"/>
      <c r="M449" s="138"/>
      <c r="N449" s="138"/>
      <c r="O449" s="138"/>
    </row>
    <row r="450" spans="2:15" x14ac:dyDescent="0.2">
      <c r="B450" s="138"/>
      <c r="C450" s="126"/>
      <c r="D450" s="138"/>
      <c r="E450" s="138"/>
      <c r="F450" s="138"/>
      <c r="G450" s="138"/>
      <c r="H450" s="138"/>
      <c r="I450" s="138"/>
      <c r="J450" s="138"/>
      <c r="K450" s="138"/>
      <c r="L450" s="138"/>
      <c r="M450" s="138"/>
      <c r="N450" s="138"/>
      <c r="O450" s="138"/>
    </row>
    <row r="451" spans="2:15" x14ac:dyDescent="0.2">
      <c r="B451" s="138"/>
      <c r="C451" s="126"/>
      <c r="D451" s="138"/>
      <c r="E451" s="138"/>
      <c r="F451" s="138"/>
      <c r="G451" s="138"/>
      <c r="H451" s="138"/>
      <c r="I451" s="138"/>
      <c r="J451" s="138"/>
      <c r="K451" s="138"/>
      <c r="L451" s="138"/>
      <c r="M451" s="138"/>
      <c r="N451" s="138"/>
      <c r="O451" s="138"/>
    </row>
    <row r="452" spans="2:15" x14ac:dyDescent="0.2">
      <c r="B452" s="138"/>
      <c r="C452" s="126"/>
      <c r="D452" s="138"/>
      <c r="E452" s="138"/>
      <c r="F452" s="138"/>
      <c r="G452" s="138"/>
      <c r="H452" s="138"/>
      <c r="I452" s="138"/>
      <c r="J452" s="138"/>
      <c r="K452" s="138"/>
      <c r="L452" s="138"/>
      <c r="M452" s="138"/>
      <c r="N452" s="138"/>
      <c r="O452" s="138"/>
    </row>
    <row r="453" spans="2:15" x14ac:dyDescent="0.2">
      <c r="B453" s="138"/>
      <c r="C453" s="126"/>
      <c r="D453" s="138"/>
      <c r="E453" s="138"/>
      <c r="F453" s="138"/>
      <c r="G453" s="138"/>
      <c r="H453" s="138"/>
      <c r="I453" s="138"/>
      <c r="J453" s="138"/>
      <c r="K453" s="138"/>
      <c r="L453" s="138"/>
      <c r="M453" s="138"/>
      <c r="N453" s="138"/>
      <c r="O453" s="138"/>
    </row>
    <row r="454" spans="2:15" x14ac:dyDescent="0.2">
      <c r="B454" s="138"/>
      <c r="C454" s="126"/>
      <c r="D454" s="138"/>
      <c r="E454" s="138"/>
      <c r="F454" s="138"/>
      <c r="G454" s="138"/>
      <c r="H454" s="138"/>
      <c r="I454" s="138"/>
      <c r="J454" s="138"/>
      <c r="K454" s="138"/>
      <c r="L454" s="138"/>
      <c r="M454" s="138"/>
      <c r="N454" s="138"/>
      <c r="O454" s="138"/>
    </row>
    <row r="455" spans="2:15" x14ac:dyDescent="0.2">
      <c r="B455" s="138"/>
      <c r="C455" s="126"/>
      <c r="D455" s="138"/>
      <c r="E455" s="138"/>
      <c r="F455" s="138"/>
      <c r="G455" s="138"/>
      <c r="H455" s="138"/>
      <c r="I455" s="138"/>
      <c r="J455" s="138"/>
      <c r="K455" s="138"/>
      <c r="L455" s="138"/>
      <c r="M455" s="138"/>
      <c r="N455" s="138"/>
      <c r="O455" s="138"/>
    </row>
    <row r="456" spans="2:15" x14ac:dyDescent="0.2">
      <c r="B456" s="138"/>
      <c r="C456" s="126"/>
      <c r="D456" s="138"/>
      <c r="E456" s="138"/>
      <c r="F456" s="138"/>
      <c r="G456" s="138"/>
      <c r="H456" s="138"/>
      <c r="I456" s="138"/>
      <c r="J456" s="138"/>
      <c r="K456" s="138"/>
      <c r="L456" s="138"/>
      <c r="M456" s="138"/>
      <c r="N456" s="138"/>
      <c r="O456" s="138"/>
    </row>
    <row r="457" spans="2:15" x14ac:dyDescent="0.2">
      <c r="B457" s="138"/>
      <c r="C457" s="126"/>
      <c r="D457" s="138"/>
      <c r="E457" s="138"/>
      <c r="F457" s="138"/>
      <c r="G457" s="138"/>
      <c r="H457" s="138"/>
      <c r="I457" s="138"/>
      <c r="J457" s="138"/>
      <c r="K457" s="138"/>
      <c r="L457" s="138"/>
      <c r="M457" s="138"/>
      <c r="N457" s="138"/>
      <c r="O457" s="138"/>
    </row>
    <row r="458" spans="2:15" x14ac:dyDescent="0.2">
      <c r="B458" s="138"/>
      <c r="C458" s="126"/>
      <c r="D458" s="138"/>
      <c r="E458" s="138"/>
      <c r="F458" s="138"/>
      <c r="G458" s="138"/>
      <c r="H458" s="138"/>
      <c r="I458" s="138"/>
      <c r="J458" s="138"/>
      <c r="K458" s="138"/>
      <c r="L458" s="138"/>
      <c r="M458" s="138"/>
      <c r="N458" s="138"/>
      <c r="O458" s="138"/>
    </row>
    <row r="459" spans="2:15" x14ac:dyDescent="0.2">
      <c r="B459" s="138"/>
      <c r="C459" s="126"/>
      <c r="D459" s="138"/>
      <c r="E459" s="138"/>
      <c r="F459" s="138"/>
      <c r="G459" s="138"/>
      <c r="H459" s="138"/>
      <c r="I459" s="138"/>
      <c r="J459" s="138"/>
      <c r="K459" s="138"/>
      <c r="L459" s="138"/>
      <c r="M459" s="138"/>
      <c r="N459" s="138"/>
      <c r="O459" s="138"/>
    </row>
    <row r="460" spans="2:15" x14ac:dyDescent="0.2">
      <c r="B460" s="138"/>
      <c r="C460" s="126"/>
      <c r="D460" s="138"/>
      <c r="E460" s="138"/>
      <c r="F460" s="138"/>
      <c r="G460" s="138"/>
      <c r="H460" s="138"/>
      <c r="I460" s="138"/>
      <c r="J460" s="138"/>
      <c r="K460" s="138"/>
      <c r="L460" s="138"/>
      <c r="M460" s="138"/>
      <c r="N460" s="138"/>
      <c r="O460" s="138"/>
    </row>
    <row r="461" spans="2:15" x14ac:dyDescent="0.2">
      <c r="B461" s="138"/>
      <c r="C461" s="126"/>
      <c r="D461" s="138"/>
      <c r="E461" s="138"/>
      <c r="F461" s="138"/>
      <c r="G461" s="138"/>
      <c r="H461" s="138"/>
      <c r="I461" s="138"/>
      <c r="J461" s="138"/>
      <c r="K461" s="138"/>
      <c r="L461" s="138"/>
      <c r="M461" s="138"/>
      <c r="N461" s="138"/>
      <c r="O461" s="138"/>
    </row>
    <row r="462" spans="2:15" x14ac:dyDescent="0.2">
      <c r="B462" s="138"/>
      <c r="C462" s="126"/>
      <c r="D462" s="138"/>
      <c r="E462" s="138"/>
      <c r="F462" s="138"/>
      <c r="G462" s="138"/>
      <c r="H462" s="138"/>
      <c r="I462" s="138"/>
      <c r="J462" s="138"/>
      <c r="K462" s="138"/>
      <c r="L462" s="138"/>
      <c r="M462" s="138"/>
      <c r="N462" s="138"/>
      <c r="O462" s="138"/>
    </row>
    <row r="463" spans="2:15" x14ac:dyDescent="0.2">
      <c r="B463" s="138"/>
      <c r="C463" s="126"/>
      <c r="D463" s="138"/>
      <c r="E463" s="138"/>
      <c r="F463" s="138"/>
      <c r="G463" s="138"/>
      <c r="H463" s="138"/>
      <c r="I463" s="138"/>
      <c r="J463" s="138"/>
      <c r="K463" s="138"/>
      <c r="L463" s="138"/>
      <c r="M463" s="138"/>
      <c r="N463" s="138"/>
      <c r="O463" s="138"/>
    </row>
    <row r="464" spans="2:15" x14ac:dyDescent="0.2">
      <c r="B464" s="138"/>
      <c r="C464" s="126"/>
      <c r="D464" s="138"/>
      <c r="E464" s="138"/>
      <c r="F464" s="138"/>
      <c r="G464" s="138"/>
      <c r="H464" s="138"/>
      <c r="I464" s="138"/>
      <c r="J464" s="138"/>
      <c r="K464" s="138"/>
      <c r="L464" s="138"/>
      <c r="M464" s="138"/>
      <c r="N464" s="138"/>
      <c r="O464" s="138"/>
    </row>
    <row r="465" spans="2:15" x14ac:dyDescent="0.2">
      <c r="B465" s="138"/>
      <c r="C465" s="126"/>
      <c r="D465" s="138"/>
      <c r="E465" s="138"/>
      <c r="F465" s="138"/>
      <c r="G465" s="138"/>
      <c r="H465" s="138"/>
      <c r="I465" s="138"/>
      <c r="J465" s="138"/>
      <c r="K465" s="138"/>
      <c r="L465" s="138"/>
      <c r="M465" s="138"/>
      <c r="N465" s="138"/>
      <c r="O465" s="138"/>
    </row>
    <row r="466" spans="2:15" x14ac:dyDescent="0.2">
      <c r="B466" s="138"/>
      <c r="C466" s="126"/>
      <c r="D466" s="138"/>
      <c r="E466" s="138"/>
      <c r="F466" s="138"/>
      <c r="G466" s="138"/>
      <c r="H466" s="138"/>
      <c r="I466" s="138"/>
      <c r="J466" s="138"/>
      <c r="K466" s="138"/>
      <c r="L466" s="138"/>
      <c r="M466" s="138"/>
      <c r="N466" s="138"/>
      <c r="O466" s="138"/>
    </row>
    <row r="467" spans="2:15" x14ac:dyDescent="0.2">
      <c r="B467" s="138"/>
      <c r="C467" s="126"/>
      <c r="D467" s="138"/>
      <c r="E467" s="138"/>
      <c r="F467" s="138"/>
      <c r="G467" s="138"/>
      <c r="H467" s="138"/>
      <c r="I467" s="138"/>
      <c r="J467" s="138"/>
      <c r="K467" s="138"/>
      <c r="L467" s="138"/>
      <c r="M467" s="138"/>
      <c r="N467" s="138"/>
      <c r="O467" s="138"/>
    </row>
    <row r="468" spans="2:15" x14ac:dyDescent="0.2">
      <c r="B468" s="138"/>
      <c r="C468" s="126"/>
      <c r="D468" s="138"/>
      <c r="E468" s="138"/>
      <c r="F468" s="138"/>
      <c r="G468" s="138"/>
      <c r="H468" s="138"/>
      <c r="I468" s="138"/>
      <c r="J468" s="138"/>
      <c r="K468" s="138"/>
      <c r="L468" s="138"/>
      <c r="M468" s="138"/>
      <c r="N468" s="138"/>
      <c r="O468" s="138"/>
    </row>
    <row r="469" spans="2:15" x14ac:dyDescent="0.2">
      <c r="B469" s="138"/>
      <c r="C469" s="126"/>
      <c r="D469" s="138"/>
      <c r="E469" s="138"/>
      <c r="F469" s="138"/>
      <c r="G469" s="138"/>
      <c r="H469" s="138"/>
      <c r="I469" s="138"/>
      <c r="J469" s="138"/>
      <c r="K469" s="138"/>
      <c r="L469" s="138"/>
      <c r="M469" s="138"/>
      <c r="N469" s="138"/>
      <c r="O469" s="138"/>
    </row>
    <row r="470" spans="2:15" x14ac:dyDescent="0.2">
      <c r="B470" s="138"/>
      <c r="C470" s="126"/>
      <c r="D470" s="138"/>
      <c r="E470" s="138"/>
      <c r="F470" s="138"/>
      <c r="G470" s="138"/>
      <c r="H470" s="138"/>
      <c r="I470" s="138"/>
      <c r="J470" s="138"/>
      <c r="K470" s="138"/>
      <c r="L470" s="138"/>
      <c r="M470" s="138"/>
      <c r="N470" s="138"/>
      <c r="O470" s="138"/>
    </row>
    <row r="471" spans="2:15" x14ac:dyDescent="0.2">
      <c r="B471" s="138"/>
      <c r="C471" s="126"/>
      <c r="D471" s="138"/>
      <c r="E471" s="138"/>
      <c r="F471" s="138"/>
      <c r="G471" s="138"/>
      <c r="H471" s="138"/>
      <c r="I471" s="138"/>
      <c r="J471" s="138"/>
      <c r="K471" s="138"/>
      <c r="L471" s="138"/>
      <c r="M471" s="138"/>
      <c r="N471" s="138"/>
      <c r="O471" s="138"/>
    </row>
    <row r="472" spans="2:15" x14ac:dyDescent="0.2">
      <c r="B472" s="138"/>
      <c r="C472" s="126"/>
      <c r="D472" s="138"/>
      <c r="E472" s="138"/>
      <c r="F472" s="138"/>
      <c r="G472" s="138"/>
      <c r="H472" s="138"/>
      <c r="I472" s="138"/>
      <c r="J472" s="138"/>
      <c r="K472" s="138"/>
      <c r="L472" s="138"/>
      <c r="M472" s="138"/>
      <c r="N472" s="138"/>
      <c r="O472" s="138"/>
    </row>
    <row r="473" spans="2:15" x14ac:dyDescent="0.2">
      <c r="B473" s="138"/>
      <c r="C473" s="126"/>
      <c r="D473" s="138"/>
      <c r="E473" s="138"/>
      <c r="F473" s="138"/>
      <c r="G473" s="138"/>
      <c r="H473" s="138"/>
      <c r="I473" s="138"/>
      <c r="J473" s="138"/>
      <c r="K473" s="138"/>
      <c r="L473" s="138"/>
      <c r="M473" s="138"/>
      <c r="N473" s="138"/>
      <c r="O473" s="138"/>
    </row>
    <row r="474" spans="2:15" x14ac:dyDescent="0.2">
      <c r="B474" s="138"/>
      <c r="C474" s="126"/>
      <c r="D474" s="138"/>
      <c r="E474" s="138"/>
      <c r="F474" s="138"/>
      <c r="G474" s="138"/>
      <c r="H474" s="138"/>
      <c r="I474" s="138"/>
      <c r="J474" s="138"/>
      <c r="K474" s="138"/>
      <c r="L474" s="138"/>
      <c r="M474" s="138"/>
      <c r="N474" s="138"/>
      <c r="O474" s="138"/>
    </row>
    <row r="475" spans="2:15" x14ac:dyDescent="0.2">
      <c r="B475" s="138"/>
      <c r="C475" s="126"/>
      <c r="D475" s="138"/>
      <c r="E475" s="138"/>
      <c r="F475" s="138"/>
      <c r="G475" s="138"/>
      <c r="H475" s="138"/>
      <c r="I475" s="138"/>
      <c r="J475" s="138"/>
      <c r="K475" s="138"/>
      <c r="L475" s="138"/>
      <c r="M475" s="138"/>
      <c r="N475" s="138"/>
      <c r="O475" s="138"/>
    </row>
    <row r="476" spans="2:15" x14ac:dyDescent="0.2">
      <c r="B476" s="138"/>
      <c r="C476" s="126"/>
      <c r="D476" s="138"/>
      <c r="E476" s="138"/>
      <c r="F476" s="138"/>
      <c r="G476" s="138"/>
      <c r="H476" s="138"/>
      <c r="I476" s="138"/>
      <c r="J476" s="138"/>
      <c r="K476" s="138"/>
      <c r="L476" s="138"/>
      <c r="M476" s="138"/>
      <c r="N476" s="138"/>
      <c r="O476" s="138"/>
    </row>
    <row r="477" spans="2:15" x14ac:dyDescent="0.2">
      <c r="B477" s="138"/>
      <c r="C477" s="126"/>
      <c r="D477" s="138"/>
      <c r="E477" s="138"/>
      <c r="F477" s="138"/>
      <c r="G477" s="138"/>
      <c r="H477" s="138"/>
      <c r="I477" s="138"/>
      <c r="J477" s="138"/>
      <c r="K477" s="138"/>
      <c r="L477" s="138"/>
      <c r="M477" s="138"/>
      <c r="N477" s="138"/>
      <c r="O477" s="138"/>
    </row>
    <row r="478" spans="2:15" x14ac:dyDescent="0.2">
      <c r="B478" s="138"/>
      <c r="C478" s="126"/>
      <c r="D478" s="138"/>
      <c r="E478" s="138"/>
      <c r="F478" s="138"/>
      <c r="G478" s="138"/>
      <c r="H478" s="138"/>
      <c r="I478" s="138"/>
      <c r="J478" s="138"/>
      <c r="K478" s="138"/>
      <c r="L478" s="138"/>
      <c r="M478" s="138"/>
      <c r="N478" s="138"/>
      <c r="O478" s="138"/>
    </row>
    <row r="479" spans="2:15" x14ac:dyDescent="0.2">
      <c r="B479" s="138"/>
      <c r="C479" s="126"/>
      <c r="D479" s="138"/>
      <c r="E479" s="138"/>
      <c r="F479" s="138"/>
      <c r="G479" s="138"/>
      <c r="H479" s="138"/>
      <c r="I479" s="138"/>
      <c r="J479" s="138"/>
      <c r="K479" s="138"/>
      <c r="L479" s="138"/>
      <c r="M479" s="138"/>
      <c r="N479" s="138"/>
      <c r="O479" s="138"/>
    </row>
    <row r="480" spans="2:15" x14ac:dyDescent="0.2">
      <c r="B480" s="138"/>
      <c r="C480" s="126"/>
      <c r="D480" s="138"/>
      <c r="E480" s="138"/>
      <c r="F480" s="138"/>
      <c r="G480" s="138"/>
      <c r="H480" s="138"/>
      <c r="I480" s="138"/>
      <c r="J480" s="138"/>
      <c r="K480" s="138"/>
      <c r="L480" s="138"/>
      <c r="M480" s="138"/>
      <c r="N480" s="138"/>
      <c r="O480" s="138"/>
    </row>
    <row r="481" spans="2:15" x14ac:dyDescent="0.2">
      <c r="B481" s="138"/>
      <c r="C481" s="126"/>
      <c r="D481" s="138"/>
      <c r="E481" s="138"/>
      <c r="F481" s="138"/>
      <c r="G481" s="138"/>
      <c r="H481" s="138"/>
      <c r="I481" s="138"/>
      <c r="J481" s="138"/>
      <c r="K481" s="138"/>
      <c r="L481" s="138"/>
      <c r="M481" s="138"/>
      <c r="N481" s="138"/>
      <c r="O481" s="138"/>
    </row>
    <row r="482" spans="2:15" x14ac:dyDescent="0.2">
      <c r="B482" s="138"/>
      <c r="C482" s="126"/>
      <c r="D482" s="138"/>
      <c r="E482" s="138"/>
      <c r="F482" s="138"/>
      <c r="G482" s="138"/>
      <c r="H482" s="138"/>
      <c r="I482" s="138"/>
      <c r="J482" s="138"/>
      <c r="K482" s="138"/>
      <c r="L482" s="138"/>
      <c r="M482" s="138"/>
      <c r="N482" s="138"/>
      <c r="O482" s="138"/>
    </row>
    <row r="483" spans="2:15" x14ac:dyDescent="0.2">
      <c r="B483" s="138"/>
      <c r="C483" s="126"/>
      <c r="D483" s="138"/>
      <c r="E483" s="138"/>
      <c r="F483" s="138"/>
      <c r="G483" s="138"/>
      <c r="H483" s="138"/>
      <c r="I483" s="138"/>
      <c r="J483" s="138"/>
      <c r="K483" s="138"/>
      <c r="L483" s="138"/>
      <c r="M483" s="138"/>
      <c r="N483" s="138"/>
      <c r="O483" s="138"/>
    </row>
    <row r="484" spans="2:15" x14ac:dyDescent="0.2">
      <c r="B484" s="138"/>
      <c r="C484" s="126"/>
      <c r="D484" s="138"/>
      <c r="E484" s="138"/>
      <c r="F484" s="138"/>
      <c r="G484" s="138"/>
      <c r="H484" s="138"/>
      <c r="I484" s="138"/>
      <c r="J484" s="138"/>
      <c r="K484" s="138"/>
      <c r="L484" s="138"/>
      <c r="M484" s="138"/>
      <c r="N484" s="138"/>
      <c r="O484" s="138"/>
    </row>
    <row r="485" spans="2:15" x14ac:dyDescent="0.2">
      <c r="B485" s="138"/>
      <c r="C485" s="126"/>
      <c r="D485" s="138"/>
      <c r="E485" s="138"/>
      <c r="F485" s="138"/>
      <c r="G485" s="138"/>
      <c r="H485" s="138"/>
      <c r="I485" s="138"/>
      <c r="J485" s="138"/>
      <c r="K485" s="138"/>
      <c r="L485" s="138"/>
      <c r="M485" s="138"/>
      <c r="N485" s="138"/>
      <c r="O485" s="138"/>
    </row>
    <row r="486" spans="2:15" x14ac:dyDescent="0.2">
      <c r="B486" s="138"/>
      <c r="C486" s="126"/>
      <c r="D486" s="138"/>
      <c r="E486" s="138"/>
      <c r="F486" s="138"/>
      <c r="G486" s="138"/>
      <c r="H486" s="138"/>
      <c r="I486" s="138"/>
      <c r="J486" s="138"/>
      <c r="K486" s="138"/>
      <c r="L486" s="138"/>
      <c r="M486" s="138"/>
      <c r="N486" s="138"/>
      <c r="O486" s="138"/>
    </row>
    <row r="487" spans="2:15" x14ac:dyDescent="0.2">
      <c r="B487" s="138"/>
      <c r="C487" s="126"/>
      <c r="D487" s="138"/>
      <c r="E487" s="138"/>
      <c r="F487" s="138"/>
      <c r="G487" s="138"/>
      <c r="H487" s="138"/>
      <c r="I487" s="138"/>
      <c r="J487" s="138"/>
      <c r="K487" s="138"/>
      <c r="L487" s="138"/>
      <c r="M487" s="138"/>
      <c r="N487" s="138"/>
      <c r="O487" s="138"/>
    </row>
    <row r="488" spans="2:15" x14ac:dyDescent="0.2">
      <c r="B488" s="138"/>
      <c r="C488" s="126"/>
      <c r="D488" s="138"/>
      <c r="E488" s="138"/>
      <c r="F488" s="138"/>
      <c r="G488" s="138"/>
      <c r="H488" s="138"/>
      <c r="I488" s="138"/>
      <c r="J488" s="138"/>
      <c r="K488" s="138"/>
      <c r="L488" s="138"/>
      <c r="M488" s="138"/>
      <c r="N488" s="138"/>
      <c r="O488" s="138"/>
    </row>
    <row r="489" spans="2:15" x14ac:dyDescent="0.2">
      <c r="B489" s="138"/>
      <c r="C489" s="126"/>
      <c r="D489" s="138"/>
      <c r="E489" s="138"/>
      <c r="F489" s="138"/>
      <c r="G489" s="138"/>
      <c r="H489" s="138"/>
      <c r="I489" s="138"/>
      <c r="J489" s="138"/>
      <c r="K489" s="138"/>
      <c r="L489" s="138"/>
      <c r="M489" s="138"/>
      <c r="N489" s="138"/>
      <c r="O489" s="138"/>
    </row>
    <row r="490" spans="2:15" x14ac:dyDescent="0.2">
      <c r="B490" s="138"/>
      <c r="C490" s="126"/>
      <c r="D490" s="138"/>
      <c r="E490" s="138"/>
      <c r="F490" s="138"/>
      <c r="G490" s="138"/>
      <c r="H490" s="138"/>
      <c r="I490" s="138"/>
      <c r="J490" s="138"/>
      <c r="K490" s="138"/>
      <c r="L490" s="138"/>
      <c r="M490" s="138"/>
      <c r="N490" s="138"/>
      <c r="O490" s="138"/>
    </row>
    <row r="491" spans="2:15" x14ac:dyDescent="0.2">
      <c r="B491" s="138"/>
      <c r="C491" s="126"/>
      <c r="D491" s="138"/>
      <c r="E491" s="138"/>
      <c r="F491" s="138"/>
      <c r="G491" s="138"/>
      <c r="H491" s="138"/>
      <c r="I491" s="138"/>
      <c r="J491" s="138"/>
      <c r="K491" s="138"/>
      <c r="L491" s="138"/>
      <c r="M491" s="138"/>
      <c r="N491" s="138"/>
      <c r="O491" s="138"/>
    </row>
    <row r="492" spans="2:15" x14ac:dyDescent="0.2">
      <c r="B492" s="138"/>
      <c r="C492" s="126"/>
      <c r="D492" s="138"/>
      <c r="E492" s="138"/>
      <c r="F492" s="138"/>
      <c r="G492" s="138"/>
      <c r="H492" s="138"/>
      <c r="I492" s="138"/>
      <c r="J492" s="138"/>
      <c r="K492" s="138"/>
      <c r="L492" s="138"/>
      <c r="M492" s="138"/>
      <c r="N492" s="138"/>
      <c r="O492" s="138"/>
    </row>
    <row r="493" spans="2:15" x14ac:dyDescent="0.2">
      <c r="B493" s="138"/>
      <c r="C493" s="126"/>
      <c r="D493" s="138"/>
      <c r="E493" s="138"/>
      <c r="F493" s="138"/>
      <c r="G493" s="138"/>
      <c r="H493" s="138"/>
      <c r="I493" s="138"/>
      <c r="J493" s="138"/>
      <c r="K493" s="138"/>
      <c r="L493" s="138"/>
      <c r="M493" s="138"/>
      <c r="N493" s="138"/>
      <c r="O493" s="138"/>
    </row>
    <row r="494" spans="2:15" x14ac:dyDescent="0.2">
      <c r="B494" s="138"/>
      <c r="C494" s="126"/>
      <c r="D494" s="138"/>
      <c r="E494" s="138"/>
      <c r="F494" s="138"/>
      <c r="G494" s="138"/>
      <c r="H494" s="138"/>
      <c r="I494" s="138"/>
      <c r="J494" s="138"/>
      <c r="K494" s="138"/>
      <c r="L494" s="138"/>
      <c r="M494" s="138"/>
      <c r="N494" s="138"/>
      <c r="O494" s="138"/>
    </row>
    <row r="495" spans="2:15" x14ac:dyDescent="0.2">
      <c r="B495" s="138"/>
      <c r="C495" s="126"/>
      <c r="D495" s="138"/>
      <c r="E495" s="138"/>
      <c r="F495" s="138"/>
      <c r="G495" s="138"/>
      <c r="H495" s="138"/>
      <c r="I495" s="138"/>
      <c r="J495" s="138"/>
      <c r="K495" s="138"/>
      <c r="L495" s="138"/>
      <c r="M495" s="138"/>
      <c r="N495" s="138"/>
      <c r="O495" s="138"/>
    </row>
    <row r="496" spans="2:15" x14ac:dyDescent="0.2">
      <c r="B496" s="138"/>
      <c r="C496" s="126"/>
      <c r="D496" s="138"/>
      <c r="E496" s="138"/>
      <c r="F496" s="138"/>
      <c r="G496" s="138"/>
      <c r="H496" s="138"/>
      <c r="I496" s="138"/>
      <c r="J496" s="138"/>
      <c r="K496" s="138"/>
      <c r="L496" s="138"/>
      <c r="M496" s="138"/>
      <c r="N496" s="138"/>
      <c r="O496" s="138"/>
    </row>
    <row r="497" spans="2:15" x14ac:dyDescent="0.2">
      <c r="B497" s="138"/>
      <c r="C497" s="126"/>
      <c r="D497" s="138"/>
      <c r="E497" s="138"/>
      <c r="F497" s="138"/>
      <c r="G497" s="138"/>
      <c r="H497" s="138"/>
      <c r="I497" s="138"/>
      <c r="J497" s="138"/>
      <c r="K497" s="138"/>
      <c r="L497" s="138"/>
      <c r="M497" s="138"/>
      <c r="N497" s="138"/>
      <c r="O497" s="138"/>
    </row>
    <row r="498" spans="2:15" x14ac:dyDescent="0.2">
      <c r="B498" s="138"/>
      <c r="C498" s="126"/>
      <c r="D498" s="138"/>
      <c r="E498" s="138"/>
      <c r="F498" s="138"/>
      <c r="G498" s="138"/>
      <c r="H498" s="138"/>
      <c r="I498" s="138"/>
      <c r="J498" s="138"/>
      <c r="K498" s="138"/>
      <c r="L498" s="138"/>
      <c r="M498" s="138"/>
      <c r="N498" s="138"/>
      <c r="O498" s="138"/>
    </row>
    <row r="499" spans="2:15" x14ac:dyDescent="0.2">
      <c r="B499" s="138"/>
      <c r="C499" s="126"/>
      <c r="D499" s="138"/>
      <c r="E499" s="138"/>
      <c r="F499" s="138"/>
      <c r="G499" s="138"/>
      <c r="H499" s="138"/>
      <c r="I499" s="138"/>
      <c r="J499" s="138"/>
      <c r="K499" s="138"/>
      <c r="L499" s="138"/>
      <c r="M499" s="138"/>
      <c r="N499" s="138"/>
      <c r="O499" s="138"/>
    </row>
    <row r="500" spans="2:15" x14ac:dyDescent="0.2">
      <c r="B500" s="138"/>
      <c r="C500" s="126"/>
      <c r="D500" s="138"/>
      <c r="E500" s="138"/>
      <c r="F500" s="138"/>
      <c r="G500" s="138"/>
      <c r="H500" s="138"/>
      <c r="I500" s="138"/>
      <c r="J500" s="138"/>
      <c r="K500" s="138"/>
      <c r="L500" s="138"/>
      <c r="M500" s="138"/>
      <c r="N500" s="138"/>
      <c r="O500" s="138"/>
    </row>
    <row r="501" spans="2:15" x14ac:dyDescent="0.2">
      <c r="B501" s="138"/>
      <c r="C501" s="126"/>
      <c r="D501" s="138"/>
      <c r="E501" s="138"/>
      <c r="F501" s="138"/>
      <c r="G501" s="138"/>
      <c r="H501" s="138"/>
      <c r="I501" s="138"/>
      <c r="J501" s="138"/>
      <c r="K501" s="138"/>
      <c r="L501" s="138"/>
      <c r="M501" s="138"/>
      <c r="N501" s="138"/>
      <c r="O501" s="138"/>
    </row>
    <row r="502" spans="2:15" x14ac:dyDescent="0.2">
      <c r="B502" s="138"/>
      <c r="C502" s="126"/>
      <c r="D502" s="138"/>
      <c r="E502" s="138"/>
      <c r="F502" s="138"/>
      <c r="G502" s="138"/>
      <c r="H502" s="138"/>
      <c r="I502" s="138"/>
      <c r="J502" s="138"/>
      <c r="K502" s="138"/>
      <c r="L502" s="138"/>
      <c r="M502" s="138"/>
      <c r="N502" s="138"/>
      <c r="O502" s="138"/>
    </row>
    <row r="503" spans="2:15" x14ac:dyDescent="0.2">
      <c r="B503" s="138"/>
      <c r="C503" s="126"/>
      <c r="D503" s="138"/>
      <c r="E503" s="138"/>
      <c r="F503" s="138"/>
      <c r="G503" s="138"/>
      <c r="H503" s="138"/>
      <c r="I503" s="138"/>
      <c r="J503" s="138"/>
      <c r="K503" s="138"/>
      <c r="L503" s="138"/>
      <c r="M503" s="138"/>
      <c r="N503" s="138"/>
      <c r="O503" s="138"/>
    </row>
    <row r="504" spans="2:15" x14ac:dyDescent="0.2">
      <c r="B504" s="138"/>
      <c r="C504" s="126"/>
      <c r="D504" s="138"/>
      <c r="E504" s="138"/>
      <c r="F504" s="138"/>
      <c r="G504" s="138"/>
      <c r="H504" s="138"/>
      <c r="I504" s="138"/>
      <c r="J504" s="138"/>
      <c r="K504" s="138"/>
      <c r="L504" s="138"/>
      <c r="M504" s="138"/>
      <c r="N504" s="138"/>
      <c r="O504" s="138"/>
    </row>
    <row r="505" spans="2:15" x14ac:dyDescent="0.2">
      <c r="B505" s="138"/>
      <c r="C505" s="126"/>
      <c r="D505" s="138"/>
      <c r="E505" s="138"/>
      <c r="F505" s="138"/>
      <c r="G505" s="138"/>
      <c r="H505" s="138"/>
      <c r="I505" s="138"/>
      <c r="J505" s="138"/>
      <c r="K505" s="138"/>
      <c r="L505" s="138"/>
      <c r="M505" s="138"/>
      <c r="N505" s="138"/>
      <c r="O505" s="138"/>
    </row>
    <row r="506" spans="2:15" x14ac:dyDescent="0.2">
      <c r="B506" s="138"/>
      <c r="C506" s="126"/>
      <c r="D506" s="138"/>
      <c r="E506" s="138"/>
      <c r="F506" s="138"/>
      <c r="G506" s="138"/>
      <c r="H506" s="138"/>
      <c r="I506" s="138"/>
      <c r="J506" s="138"/>
      <c r="K506" s="138"/>
      <c r="L506" s="138"/>
      <c r="M506" s="138"/>
      <c r="N506" s="138"/>
      <c r="O506" s="138"/>
    </row>
    <row r="507" spans="2:15" x14ac:dyDescent="0.2">
      <c r="B507" s="138"/>
      <c r="C507" s="126"/>
      <c r="D507" s="138"/>
      <c r="E507" s="138"/>
      <c r="F507" s="138"/>
      <c r="G507" s="138"/>
      <c r="H507" s="138"/>
      <c r="I507" s="138"/>
      <c r="J507" s="138"/>
      <c r="K507" s="138"/>
      <c r="L507" s="138"/>
      <c r="M507" s="138"/>
      <c r="N507" s="138"/>
      <c r="O507" s="138"/>
    </row>
    <row r="508" spans="2:15" x14ac:dyDescent="0.2">
      <c r="B508" s="138"/>
      <c r="C508" s="126"/>
      <c r="D508" s="138"/>
      <c r="E508" s="138"/>
      <c r="F508" s="138"/>
      <c r="G508" s="138"/>
      <c r="H508" s="138"/>
      <c r="I508" s="138"/>
      <c r="J508" s="138"/>
      <c r="K508" s="138"/>
      <c r="L508" s="138"/>
      <c r="M508" s="138"/>
      <c r="N508" s="138"/>
      <c r="O508" s="138"/>
    </row>
    <row r="509" spans="2:15" x14ac:dyDescent="0.2">
      <c r="B509" s="138"/>
      <c r="C509" s="126"/>
      <c r="D509" s="138"/>
      <c r="E509" s="138"/>
      <c r="F509" s="138"/>
      <c r="G509" s="138"/>
      <c r="H509" s="138"/>
      <c r="I509" s="138"/>
      <c r="J509" s="138"/>
      <c r="K509" s="138"/>
      <c r="L509" s="138"/>
      <c r="M509" s="138"/>
      <c r="N509" s="138"/>
      <c r="O509" s="138"/>
    </row>
    <row r="510" spans="2:15" x14ac:dyDescent="0.2">
      <c r="B510" s="138"/>
      <c r="C510" s="126"/>
      <c r="D510" s="138"/>
      <c r="E510" s="138"/>
      <c r="F510" s="138"/>
      <c r="G510" s="138"/>
      <c r="H510" s="138"/>
      <c r="I510" s="138"/>
      <c r="J510" s="138"/>
      <c r="K510" s="138"/>
      <c r="L510" s="138"/>
      <c r="M510" s="138"/>
      <c r="N510" s="138"/>
      <c r="O510" s="138"/>
    </row>
    <row r="511" spans="2:15" x14ac:dyDescent="0.2">
      <c r="B511" s="138"/>
      <c r="C511" s="126"/>
      <c r="D511" s="138"/>
      <c r="E511" s="138"/>
      <c r="F511" s="138"/>
      <c r="G511" s="138"/>
      <c r="H511" s="138"/>
      <c r="I511" s="138"/>
      <c r="J511" s="138"/>
      <c r="K511" s="138"/>
      <c r="L511" s="138"/>
      <c r="M511" s="138"/>
      <c r="N511" s="138"/>
      <c r="O511" s="138"/>
    </row>
    <row r="512" spans="2:15" x14ac:dyDescent="0.2">
      <c r="B512" s="138"/>
      <c r="C512" s="126"/>
      <c r="D512" s="138"/>
      <c r="E512" s="138"/>
      <c r="F512" s="138"/>
      <c r="G512" s="138"/>
      <c r="H512" s="138"/>
      <c r="I512" s="138"/>
      <c r="J512" s="138"/>
      <c r="K512" s="138"/>
      <c r="L512" s="138"/>
      <c r="M512" s="138"/>
      <c r="N512" s="138"/>
      <c r="O512" s="138"/>
    </row>
    <row r="513" spans="2:15" x14ac:dyDescent="0.2">
      <c r="B513" s="138"/>
      <c r="C513" s="126"/>
      <c r="D513" s="138"/>
      <c r="E513" s="138"/>
      <c r="F513" s="138"/>
      <c r="G513" s="138"/>
      <c r="H513" s="138"/>
      <c r="I513" s="138"/>
      <c r="J513" s="138"/>
      <c r="K513" s="138"/>
      <c r="L513" s="138"/>
      <c r="M513" s="138"/>
      <c r="N513" s="138"/>
      <c r="O513" s="138"/>
    </row>
    <row r="514" spans="2:15" x14ac:dyDescent="0.2">
      <c r="B514" s="138"/>
      <c r="C514" s="126"/>
      <c r="D514" s="138"/>
      <c r="E514" s="138"/>
      <c r="F514" s="138"/>
      <c r="G514" s="138"/>
      <c r="H514" s="138"/>
      <c r="I514" s="138"/>
      <c r="J514" s="138"/>
      <c r="K514" s="138"/>
      <c r="L514" s="138"/>
      <c r="M514" s="138"/>
      <c r="N514" s="138"/>
      <c r="O514" s="138"/>
    </row>
    <row r="515" spans="2:15" x14ac:dyDescent="0.2">
      <c r="B515" s="138"/>
      <c r="C515" s="126"/>
      <c r="D515" s="138"/>
      <c r="E515" s="138"/>
      <c r="F515" s="138"/>
      <c r="G515" s="138"/>
      <c r="H515" s="138"/>
      <c r="I515" s="138"/>
      <c r="J515" s="138"/>
      <c r="K515" s="138"/>
      <c r="L515" s="138"/>
      <c r="M515" s="138"/>
      <c r="N515" s="138"/>
      <c r="O515" s="138"/>
    </row>
    <row r="516" spans="2:15" x14ac:dyDescent="0.2">
      <c r="B516" s="138"/>
      <c r="C516" s="126"/>
      <c r="D516" s="138"/>
      <c r="E516" s="138"/>
      <c r="F516" s="138"/>
      <c r="G516" s="138"/>
      <c r="H516" s="138"/>
      <c r="I516" s="138"/>
      <c r="J516" s="138"/>
      <c r="K516" s="138"/>
      <c r="L516" s="138"/>
      <c r="M516" s="138"/>
      <c r="N516" s="138"/>
      <c r="O516" s="138"/>
    </row>
    <row r="517" spans="2:15" x14ac:dyDescent="0.2">
      <c r="B517" s="138"/>
      <c r="C517" s="126"/>
      <c r="D517" s="138"/>
      <c r="E517" s="138"/>
      <c r="F517" s="138"/>
      <c r="G517" s="138"/>
      <c r="H517" s="138"/>
      <c r="I517" s="138"/>
      <c r="J517" s="138"/>
      <c r="K517" s="138"/>
      <c r="L517" s="138"/>
      <c r="M517" s="138"/>
      <c r="N517" s="138"/>
      <c r="O517" s="138"/>
    </row>
    <row r="518" spans="2:15" x14ac:dyDescent="0.2">
      <c r="B518" s="138"/>
      <c r="C518" s="126"/>
      <c r="D518" s="138"/>
      <c r="E518" s="138"/>
      <c r="F518" s="138"/>
      <c r="G518" s="138"/>
      <c r="H518" s="138"/>
      <c r="I518" s="138"/>
      <c r="J518" s="138"/>
      <c r="K518" s="138"/>
      <c r="L518" s="138"/>
      <c r="M518" s="138"/>
      <c r="N518" s="138"/>
      <c r="O518" s="138"/>
    </row>
    <row r="519" spans="2:15" x14ac:dyDescent="0.2">
      <c r="B519" s="138"/>
      <c r="C519" s="126"/>
      <c r="D519" s="138"/>
      <c r="E519" s="138"/>
      <c r="F519" s="138"/>
      <c r="G519" s="138"/>
      <c r="H519" s="138"/>
      <c r="I519" s="138"/>
      <c r="J519" s="138"/>
      <c r="K519" s="138"/>
      <c r="L519" s="138"/>
      <c r="M519" s="138"/>
      <c r="N519" s="138"/>
      <c r="O519" s="138"/>
    </row>
    <row r="520" spans="2:15" x14ac:dyDescent="0.2">
      <c r="B520" s="138"/>
      <c r="C520" s="126"/>
      <c r="D520" s="138"/>
      <c r="E520" s="138"/>
      <c r="F520" s="138"/>
      <c r="G520" s="138"/>
      <c r="H520" s="138"/>
      <c r="I520" s="138"/>
      <c r="J520" s="138"/>
      <c r="K520" s="138"/>
      <c r="L520" s="138"/>
      <c r="M520" s="138"/>
      <c r="N520" s="138"/>
      <c r="O520" s="138"/>
    </row>
    <row r="521" spans="2:15" x14ac:dyDescent="0.2">
      <c r="B521" s="138"/>
      <c r="C521" s="126"/>
      <c r="D521" s="138"/>
      <c r="E521" s="138"/>
      <c r="F521" s="138"/>
      <c r="G521" s="138"/>
      <c r="H521" s="138"/>
      <c r="I521" s="138"/>
      <c r="J521" s="138"/>
      <c r="K521" s="138"/>
      <c r="L521" s="138"/>
      <c r="M521" s="138"/>
      <c r="N521" s="138"/>
      <c r="O521" s="138"/>
    </row>
    <row r="522" spans="2:15" x14ac:dyDescent="0.2">
      <c r="B522" s="138"/>
      <c r="C522" s="126"/>
      <c r="D522" s="138"/>
      <c r="E522" s="138"/>
      <c r="F522" s="138"/>
      <c r="G522" s="138"/>
      <c r="H522" s="138"/>
      <c r="I522" s="138"/>
      <c r="J522" s="138"/>
      <c r="K522" s="138"/>
      <c r="L522" s="138"/>
      <c r="M522" s="138"/>
      <c r="N522" s="138"/>
      <c r="O522" s="138"/>
    </row>
    <row r="523" spans="2:15" x14ac:dyDescent="0.2">
      <c r="B523" s="138"/>
      <c r="C523" s="126"/>
      <c r="D523" s="138"/>
      <c r="E523" s="138"/>
      <c r="F523" s="138"/>
      <c r="G523" s="138"/>
      <c r="H523" s="138"/>
      <c r="I523" s="138"/>
      <c r="J523" s="138"/>
      <c r="K523" s="138"/>
      <c r="L523" s="138"/>
      <c r="M523" s="138"/>
      <c r="N523" s="138"/>
      <c r="O523" s="138"/>
    </row>
    <row r="524" spans="2:15" x14ac:dyDescent="0.2">
      <c r="B524" s="138"/>
      <c r="C524" s="126"/>
      <c r="D524" s="138"/>
      <c r="E524" s="138"/>
      <c r="F524" s="138"/>
      <c r="G524" s="138"/>
      <c r="H524" s="138"/>
      <c r="I524" s="138"/>
      <c r="J524" s="138"/>
      <c r="K524" s="138"/>
      <c r="L524" s="138"/>
      <c r="M524" s="138"/>
      <c r="N524" s="138"/>
      <c r="O524" s="138"/>
    </row>
    <row r="525" spans="2:15" x14ac:dyDescent="0.2">
      <c r="B525" s="138"/>
      <c r="C525" s="126"/>
      <c r="D525" s="138"/>
      <c r="E525" s="138"/>
      <c r="F525" s="138"/>
      <c r="G525" s="138"/>
      <c r="H525" s="138"/>
      <c r="I525" s="138"/>
      <c r="J525" s="138"/>
      <c r="K525" s="138"/>
      <c r="L525" s="138"/>
      <c r="M525" s="138"/>
      <c r="N525" s="138"/>
      <c r="O525" s="138"/>
    </row>
    <row r="526" spans="2:15" x14ac:dyDescent="0.2">
      <c r="B526" s="138"/>
      <c r="C526" s="126"/>
      <c r="D526" s="138"/>
      <c r="E526" s="138"/>
      <c r="F526" s="138"/>
      <c r="G526" s="138"/>
      <c r="H526" s="138"/>
      <c r="I526" s="138"/>
      <c r="J526" s="138"/>
      <c r="K526" s="138"/>
      <c r="L526" s="138"/>
      <c r="M526" s="138"/>
      <c r="N526" s="138"/>
      <c r="O526" s="138"/>
    </row>
    <row r="527" spans="2:15" x14ac:dyDescent="0.2">
      <c r="B527" s="138"/>
      <c r="C527" s="126"/>
      <c r="D527" s="138"/>
      <c r="E527" s="138"/>
      <c r="F527" s="138"/>
      <c r="G527" s="138"/>
      <c r="H527" s="138"/>
      <c r="I527" s="138"/>
      <c r="J527" s="138"/>
      <c r="K527" s="138"/>
      <c r="L527" s="138"/>
      <c r="M527" s="138"/>
      <c r="N527" s="138"/>
      <c r="O527" s="138"/>
    </row>
    <row r="528" spans="2:15" x14ac:dyDescent="0.2">
      <c r="B528" s="138"/>
      <c r="C528" s="126"/>
      <c r="D528" s="138"/>
      <c r="E528" s="138"/>
      <c r="F528" s="138"/>
      <c r="G528" s="138"/>
      <c r="H528" s="138"/>
      <c r="I528" s="138"/>
      <c r="J528" s="138"/>
      <c r="K528" s="138"/>
      <c r="L528" s="138"/>
      <c r="M528" s="138"/>
      <c r="N528" s="138"/>
      <c r="O528" s="138"/>
    </row>
    <row r="529" spans="2:15" x14ac:dyDescent="0.2">
      <c r="B529" s="138"/>
      <c r="C529" s="126"/>
      <c r="D529" s="138"/>
      <c r="E529" s="138"/>
      <c r="F529" s="138"/>
      <c r="G529" s="138"/>
      <c r="H529" s="138"/>
      <c r="I529" s="138"/>
      <c r="J529" s="138"/>
      <c r="K529" s="138"/>
      <c r="L529" s="138"/>
      <c r="M529" s="138"/>
      <c r="N529" s="138"/>
      <c r="O529" s="138"/>
    </row>
    <row r="530" spans="2:15" x14ac:dyDescent="0.2">
      <c r="B530" s="138"/>
      <c r="C530" s="126"/>
      <c r="D530" s="138"/>
      <c r="E530" s="138"/>
      <c r="F530" s="138"/>
      <c r="G530" s="138"/>
      <c r="H530" s="138"/>
      <c r="I530" s="138"/>
      <c r="J530" s="138"/>
      <c r="K530" s="138"/>
      <c r="L530" s="138"/>
      <c r="M530" s="138"/>
      <c r="N530" s="138"/>
      <c r="O530" s="138"/>
    </row>
    <row r="531" spans="2:15" x14ac:dyDescent="0.2">
      <c r="B531" s="138"/>
      <c r="C531" s="126"/>
      <c r="D531" s="138"/>
      <c r="E531" s="138"/>
      <c r="F531" s="138"/>
      <c r="G531" s="138"/>
      <c r="H531" s="138"/>
      <c r="I531" s="138"/>
      <c r="J531" s="138"/>
      <c r="K531" s="138"/>
      <c r="L531" s="138"/>
      <c r="M531" s="138"/>
      <c r="N531" s="138"/>
      <c r="O531" s="138"/>
    </row>
    <row r="532" spans="2:15" x14ac:dyDescent="0.2">
      <c r="B532" s="138"/>
      <c r="C532" s="126"/>
      <c r="D532" s="138"/>
      <c r="E532" s="138"/>
      <c r="F532" s="138"/>
      <c r="G532" s="138"/>
      <c r="H532" s="138"/>
      <c r="I532" s="138"/>
      <c r="J532" s="138"/>
      <c r="K532" s="138"/>
      <c r="L532" s="138"/>
      <c r="M532" s="138"/>
      <c r="N532" s="138"/>
      <c r="O532" s="138"/>
    </row>
    <row r="533" spans="2:15" x14ac:dyDescent="0.2">
      <c r="B533" s="138"/>
      <c r="C533" s="126"/>
      <c r="D533" s="138"/>
      <c r="E533" s="138"/>
      <c r="F533" s="138"/>
      <c r="G533" s="138"/>
      <c r="H533" s="138"/>
      <c r="I533" s="138"/>
      <c r="J533" s="138"/>
      <c r="K533" s="138"/>
      <c r="L533" s="138"/>
      <c r="M533" s="138"/>
      <c r="N533" s="138"/>
      <c r="O533" s="138"/>
    </row>
    <row r="534" spans="2:15" x14ac:dyDescent="0.2">
      <c r="B534" s="138"/>
      <c r="C534" s="126"/>
      <c r="D534" s="138"/>
      <c r="E534" s="138"/>
      <c r="F534" s="138"/>
      <c r="G534" s="138"/>
      <c r="H534" s="138"/>
      <c r="I534" s="138"/>
      <c r="J534" s="138"/>
      <c r="K534" s="138"/>
      <c r="L534" s="138"/>
      <c r="M534" s="138"/>
      <c r="N534" s="138"/>
      <c r="O534" s="138"/>
    </row>
    <row r="535" spans="2:15" x14ac:dyDescent="0.2">
      <c r="B535" s="138"/>
      <c r="C535" s="126"/>
      <c r="D535" s="138"/>
      <c r="E535" s="138"/>
      <c r="F535" s="138"/>
      <c r="G535" s="138"/>
      <c r="H535" s="138"/>
      <c r="I535" s="138"/>
      <c r="J535" s="138"/>
      <c r="K535" s="138"/>
      <c r="L535" s="138"/>
      <c r="M535" s="138"/>
      <c r="N535" s="138"/>
      <c r="O535" s="138"/>
    </row>
    <row r="536" spans="2:15" x14ac:dyDescent="0.2">
      <c r="B536" s="138"/>
      <c r="C536" s="126"/>
      <c r="D536" s="138"/>
      <c r="E536" s="138"/>
      <c r="F536" s="138"/>
      <c r="G536" s="138"/>
      <c r="H536" s="138"/>
      <c r="I536" s="138"/>
      <c r="J536" s="138"/>
      <c r="K536" s="138"/>
      <c r="L536" s="138"/>
      <c r="M536" s="138"/>
      <c r="N536" s="138"/>
      <c r="O536" s="138"/>
    </row>
    <row r="537" spans="2:15" x14ac:dyDescent="0.2">
      <c r="B537" s="138"/>
      <c r="C537" s="126"/>
      <c r="D537" s="138"/>
      <c r="E537" s="138"/>
      <c r="F537" s="138"/>
      <c r="G537" s="138"/>
      <c r="H537" s="138"/>
      <c r="I537" s="138"/>
      <c r="J537" s="138"/>
      <c r="K537" s="138"/>
      <c r="L537" s="138"/>
      <c r="M537" s="138"/>
      <c r="N537" s="138"/>
      <c r="O537" s="138"/>
    </row>
    <row r="538" spans="2:15" x14ac:dyDescent="0.2">
      <c r="B538" s="138"/>
      <c r="C538" s="126"/>
      <c r="D538" s="138"/>
      <c r="E538" s="138"/>
      <c r="F538" s="138"/>
      <c r="G538" s="138"/>
      <c r="H538" s="138"/>
      <c r="I538" s="138"/>
      <c r="J538" s="138"/>
      <c r="K538" s="138"/>
      <c r="L538" s="138"/>
      <c r="M538" s="138"/>
      <c r="N538" s="138"/>
      <c r="O538" s="138"/>
    </row>
    <row r="539" spans="2:15" x14ac:dyDescent="0.2">
      <c r="B539" s="138"/>
      <c r="C539" s="126"/>
      <c r="D539" s="138"/>
      <c r="E539" s="138"/>
      <c r="F539" s="138"/>
      <c r="G539" s="138"/>
      <c r="H539" s="138"/>
      <c r="I539" s="138"/>
      <c r="J539" s="138"/>
      <c r="K539" s="138"/>
      <c r="L539" s="138"/>
      <c r="M539" s="138"/>
      <c r="N539" s="138"/>
      <c r="O539" s="138"/>
    </row>
    <row r="540" spans="2:15" x14ac:dyDescent="0.2">
      <c r="B540" s="138"/>
      <c r="C540" s="126"/>
      <c r="D540" s="138"/>
      <c r="E540" s="138"/>
      <c r="F540" s="138"/>
      <c r="G540" s="138"/>
      <c r="H540" s="138"/>
      <c r="I540" s="138"/>
      <c r="J540" s="138"/>
      <c r="K540" s="138"/>
      <c r="L540" s="138"/>
      <c r="M540" s="138"/>
      <c r="N540" s="138"/>
      <c r="O540" s="138"/>
    </row>
    <row r="541" spans="2:15" x14ac:dyDescent="0.2">
      <c r="B541" s="138"/>
      <c r="C541" s="126"/>
      <c r="D541" s="138"/>
      <c r="E541" s="138"/>
      <c r="F541" s="138"/>
      <c r="G541" s="138"/>
      <c r="H541" s="138"/>
      <c r="I541" s="138"/>
      <c r="J541" s="138"/>
      <c r="K541" s="138"/>
      <c r="L541" s="138"/>
      <c r="M541" s="138"/>
      <c r="N541" s="138"/>
      <c r="O541" s="138"/>
    </row>
    <row r="542" spans="2:15" x14ac:dyDescent="0.2">
      <c r="B542" s="138"/>
      <c r="C542" s="126"/>
      <c r="D542" s="138"/>
      <c r="E542" s="138"/>
      <c r="F542" s="138"/>
      <c r="G542" s="138"/>
      <c r="H542" s="138"/>
      <c r="I542" s="138"/>
      <c r="J542" s="138"/>
      <c r="K542" s="138"/>
      <c r="L542" s="138"/>
      <c r="M542" s="138"/>
      <c r="N542" s="138"/>
      <c r="O542" s="138"/>
    </row>
    <row r="543" spans="2:15" x14ac:dyDescent="0.2">
      <c r="B543" s="138"/>
      <c r="C543" s="126"/>
      <c r="D543" s="138"/>
      <c r="E543" s="138"/>
      <c r="F543" s="138"/>
      <c r="G543" s="138"/>
      <c r="H543" s="138"/>
      <c r="I543" s="138"/>
      <c r="J543" s="138"/>
      <c r="K543" s="138"/>
      <c r="L543" s="138"/>
      <c r="M543" s="138"/>
      <c r="N543" s="138"/>
      <c r="O543" s="138"/>
    </row>
    <row r="544" spans="2:15" x14ac:dyDescent="0.2">
      <c r="B544" s="138"/>
      <c r="C544" s="126"/>
      <c r="D544" s="138"/>
      <c r="E544" s="138"/>
      <c r="F544" s="138"/>
      <c r="G544" s="138"/>
      <c r="H544" s="138"/>
      <c r="I544" s="138"/>
      <c r="J544" s="138"/>
      <c r="K544" s="138"/>
      <c r="L544" s="138"/>
      <c r="M544" s="138"/>
      <c r="N544" s="138"/>
      <c r="O544" s="138"/>
    </row>
    <row r="545" spans="2:15" x14ac:dyDescent="0.2">
      <c r="B545" s="138"/>
      <c r="C545" s="126"/>
      <c r="D545" s="138"/>
      <c r="E545" s="138"/>
      <c r="F545" s="138"/>
      <c r="G545" s="138"/>
      <c r="H545" s="138"/>
      <c r="I545" s="138"/>
      <c r="J545" s="138"/>
      <c r="K545" s="138"/>
      <c r="L545" s="138"/>
      <c r="M545" s="138"/>
      <c r="N545" s="138"/>
      <c r="O545" s="138"/>
    </row>
    <row r="546" spans="2:15" x14ac:dyDescent="0.2">
      <c r="B546" s="138"/>
      <c r="C546" s="126"/>
      <c r="D546" s="138"/>
      <c r="E546" s="138"/>
      <c r="F546" s="138"/>
      <c r="G546" s="138"/>
      <c r="H546" s="138"/>
      <c r="I546" s="138"/>
      <c r="J546" s="138"/>
      <c r="K546" s="138"/>
      <c r="L546" s="138"/>
      <c r="M546" s="138"/>
      <c r="N546" s="138"/>
      <c r="O546" s="138"/>
    </row>
    <row r="547" spans="2:15" x14ac:dyDescent="0.2">
      <c r="B547" s="138"/>
      <c r="C547" s="126"/>
      <c r="D547" s="138"/>
      <c r="E547" s="138"/>
      <c r="F547" s="138"/>
      <c r="G547" s="138"/>
      <c r="H547" s="138"/>
      <c r="I547" s="138"/>
      <c r="J547" s="138"/>
      <c r="K547" s="138"/>
      <c r="L547" s="138"/>
      <c r="M547" s="138"/>
      <c r="N547" s="138"/>
      <c r="O547" s="138"/>
    </row>
    <row r="548" spans="2:15" x14ac:dyDescent="0.2">
      <c r="B548" s="138"/>
      <c r="C548" s="126"/>
      <c r="D548" s="138"/>
      <c r="E548" s="138"/>
      <c r="F548" s="138"/>
      <c r="G548" s="138"/>
      <c r="H548" s="138"/>
      <c r="I548" s="138"/>
      <c r="J548" s="138"/>
      <c r="K548" s="138"/>
      <c r="L548" s="138"/>
      <c r="M548" s="138"/>
      <c r="N548" s="138"/>
      <c r="O548" s="138"/>
    </row>
    <row r="549" spans="2:15" x14ac:dyDescent="0.2">
      <c r="B549" s="138"/>
      <c r="C549" s="126"/>
      <c r="D549" s="138"/>
      <c r="E549" s="138"/>
      <c r="F549" s="138"/>
      <c r="G549" s="138"/>
      <c r="H549" s="138"/>
      <c r="I549" s="138"/>
      <c r="J549" s="138"/>
      <c r="K549" s="138"/>
      <c r="L549" s="138"/>
      <c r="M549" s="138"/>
      <c r="N549" s="138"/>
      <c r="O549" s="138"/>
    </row>
    <row r="550" spans="2:15" x14ac:dyDescent="0.2">
      <c r="B550" s="138"/>
      <c r="C550" s="126"/>
      <c r="D550" s="138"/>
      <c r="E550" s="138"/>
      <c r="F550" s="138"/>
      <c r="G550" s="138"/>
      <c r="H550" s="138"/>
      <c r="I550" s="138"/>
      <c r="J550" s="138"/>
      <c r="K550" s="138"/>
      <c r="L550" s="138"/>
      <c r="M550" s="138"/>
      <c r="N550" s="138"/>
      <c r="O550" s="138"/>
    </row>
    <row r="551" spans="2:15" x14ac:dyDescent="0.2">
      <c r="B551" s="138"/>
      <c r="C551" s="126"/>
      <c r="D551" s="138"/>
      <c r="E551" s="138"/>
      <c r="F551" s="138"/>
      <c r="G551" s="138"/>
      <c r="H551" s="138"/>
      <c r="I551" s="138"/>
      <c r="J551" s="138"/>
      <c r="K551" s="138"/>
      <c r="L551" s="138"/>
      <c r="M551" s="138"/>
      <c r="N551" s="138"/>
      <c r="O551" s="138"/>
    </row>
    <row r="552" spans="2:15" x14ac:dyDescent="0.2">
      <c r="B552" s="138"/>
      <c r="C552" s="126"/>
      <c r="D552" s="138"/>
      <c r="E552" s="138"/>
      <c r="F552" s="138"/>
      <c r="G552" s="138"/>
      <c r="H552" s="138"/>
      <c r="I552" s="138"/>
      <c r="J552" s="138"/>
      <c r="K552" s="138"/>
      <c r="L552" s="138"/>
      <c r="M552" s="138"/>
      <c r="N552" s="138"/>
      <c r="O552" s="138"/>
    </row>
    <row r="553" spans="2:15" x14ac:dyDescent="0.2">
      <c r="B553" s="138"/>
      <c r="C553" s="126"/>
      <c r="D553" s="138"/>
      <c r="E553" s="138"/>
      <c r="F553" s="138"/>
      <c r="G553" s="138"/>
      <c r="H553" s="138"/>
      <c r="I553" s="138"/>
      <c r="J553" s="138"/>
      <c r="K553" s="138"/>
      <c r="L553" s="138"/>
      <c r="M553" s="138"/>
      <c r="N553" s="138"/>
      <c r="O553" s="138"/>
    </row>
    <row r="554" spans="2:15" x14ac:dyDescent="0.2">
      <c r="B554" s="138"/>
      <c r="C554" s="126"/>
      <c r="D554" s="138"/>
      <c r="E554" s="138"/>
      <c r="F554" s="138"/>
      <c r="G554" s="138"/>
      <c r="H554" s="138"/>
      <c r="I554" s="138"/>
      <c r="J554" s="138"/>
      <c r="K554" s="138"/>
      <c r="L554" s="138"/>
      <c r="M554" s="138"/>
      <c r="N554" s="138"/>
      <c r="O554" s="138"/>
    </row>
    <row r="555" spans="2:15" x14ac:dyDescent="0.2">
      <c r="B555" s="138"/>
      <c r="C555" s="126"/>
      <c r="D555" s="138"/>
      <c r="E555" s="138"/>
      <c r="F555" s="138"/>
      <c r="G555" s="138"/>
      <c r="H555" s="138"/>
      <c r="I555" s="138"/>
      <c r="J555" s="138"/>
      <c r="K555" s="138"/>
      <c r="L555" s="138"/>
      <c r="M555" s="138"/>
      <c r="N555" s="138"/>
      <c r="O555" s="138"/>
    </row>
    <row r="556" spans="2:15" x14ac:dyDescent="0.2">
      <c r="B556" s="138"/>
      <c r="C556" s="126"/>
      <c r="D556" s="138"/>
      <c r="E556" s="138"/>
      <c r="F556" s="138"/>
      <c r="G556" s="138"/>
      <c r="H556" s="138"/>
      <c r="I556" s="138"/>
      <c r="J556" s="138"/>
      <c r="K556" s="138"/>
      <c r="L556" s="138"/>
      <c r="M556" s="138"/>
      <c r="N556" s="138"/>
      <c r="O556" s="138"/>
    </row>
    <row r="557" spans="2:15" x14ac:dyDescent="0.2">
      <c r="B557" s="138"/>
      <c r="C557" s="126"/>
      <c r="D557" s="138"/>
      <c r="E557" s="138"/>
      <c r="F557" s="138"/>
      <c r="G557" s="138"/>
      <c r="H557" s="138"/>
      <c r="I557" s="138"/>
      <c r="J557" s="138"/>
      <c r="K557" s="138"/>
      <c r="L557" s="138"/>
      <c r="M557" s="138"/>
      <c r="N557" s="138"/>
      <c r="O557" s="138"/>
    </row>
    <row r="558" spans="2:15" x14ac:dyDescent="0.2">
      <c r="B558" s="138"/>
      <c r="C558" s="126"/>
      <c r="D558" s="138"/>
      <c r="E558" s="138"/>
      <c r="F558" s="138"/>
      <c r="G558" s="138"/>
      <c r="H558" s="138"/>
      <c r="I558" s="138"/>
      <c r="J558" s="138"/>
      <c r="K558" s="138"/>
      <c r="L558" s="138"/>
      <c r="M558" s="138"/>
      <c r="N558" s="138"/>
      <c r="O558" s="138"/>
    </row>
    <row r="559" spans="2:15" x14ac:dyDescent="0.2">
      <c r="B559" s="138"/>
      <c r="C559" s="126"/>
      <c r="D559" s="138"/>
      <c r="E559" s="138"/>
      <c r="F559" s="138"/>
      <c r="G559" s="138"/>
      <c r="H559" s="138"/>
      <c r="I559" s="138"/>
      <c r="J559" s="138"/>
      <c r="K559" s="138"/>
      <c r="L559" s="138"/>
      <c r="M559" s="138"/>
      <c r="N559" s="138"/>
      <c r="O559" s="138"/>
    </row>
    <row r="560" spans="2:15" x14ac:dyDescent="0.2">
      <c r="B560" s="138"/>
      <c r="C560" s="126"/>
      <c r="D560" s="138"/>
      <c r="E560" s="138"/>
      <c r="F560" s="138"/>
      <c r="G560" s="138"/>
      <c r="H560" s="138"/>
      <c r="I560" s="138"/>
      <c r="J560" s="138"/>
      <c r="K560" s="138"/>
      <c r="L560" s="138"/>
      <c r="M560" s="138"/>
      <c r="N560" s="138"/>
      <c r="O560" s="138"/>
    </row>
    <row r="561" spans="2:15" x14ac:dyDescent="0.2">
      <c r="B561" s="138"/>
      <c r="C561" s="126"/>
      <c r="D561" s="138"/>
      <c r="E561" s="138"/>
      <c r="F561" s="138"/>
      <c r="G561" s="138"/>
      <c r="H561" s="138"/>
      <c r="I561" s="138"/>
      <c r="J561" s="138"/>
      <c r="K561" s="138"/>
      <c r="L561" s="138"/>
      <c r="M561" s="138"/>
      <c r="N561" s="138"/>
      <c r="O561" s="138"/>
    </row>
    <row r="562" spans="2:15" x14ac:dyDescent="0.2">
      <c r="B562" s="138"/>
      <c r="C562" s="126"/>
      <c r="D562" s="138"/>
      <c r="E562" s="138"/>
      <c r="F562" s="138"/>
      <c r="G562" s="138"/>
      <c r="H562" s="138"/>
      <c r="I562" s="138"/>
      <c r="J562" s="138"/>
      <c r="K562" s="138"/>
      <c r="L562" s="138"/>
      <c r="M562" s="138"/>
      <c r="N562" s="138"/>
      <c r="O562" s="138"/>
    </row>
    <row r="563" spans="2:15" x14ac:dyDescent="0.2">
      <c r="B563" s="138"/>
      <c r="C563" s="126"/>
      <c r="D563" s="138"/>
      <c r="E563" s="138"/>
      <c r="F563" s="138"/>
      <c r="G563" s="138"/>
      <c r="H563" s="138"/>
      <c r="I563" s="138"/>
      <c r="J563" s="138"/>
      <c r="K563" s="138"/>
      <c r="L563" s="138"/>
      <c r="M563" s="138"/>
      <c r="N563" s="138"/>
      <c r="O563" s="138"/>
    </row>
    <row r="564" spans="2:15" x14ac:dyDescent="0.2">
      <c r="B564" s="138"/>
      <c r="C564" s="126"/>
      <c r="D564" s="138"/>
      <c r="E564" s="138"/>
      <c r="F564" s="138"/>
      <c r="G564" s="138"/>
      <c r="H564" s="138"/>
      <c r="I564" s="138"/>
      <c r="J564" s="138"/>
      <c r="K564" s="138"/>
      <c r="L564" s="138"/>
      <c r="M564" s="138"/>
      <c r="N564" s="138"/>
      <c r="O564" s="138"/>
    </row>
    <row r="565" spans="2:15" x14ac:dyDescent="0.2">
      <c r="B565" s="138"/>
      <c r="C565" s="126"/>
      <c r="D565" s="138"/>
      <c r="E565" s="138"/>
      <c r="F565" s="138"/>
      <c r="G565" s="138"/>
      <c r="H565" s="138"/>
      <c r="I565" s="138"/>
      <c r="J565" s="138"/>
      <c r="K565" s="138"/>
      <c r="L565" s="138"/>
      <c r="M565" s="138"/>
      <c r="N565" s="138"/>
      <c r="O565" s="138"/>
    </row>
    <row r="566" spans="2:15" x14ac:dyDescent="0.2">
      <c r="B566" s="138"/>
      <c r="C566" s="126"/>
      <c r="D566" s="138"/>
      <c r="E566" s="138"/>
      <c r="F566" s="138"/>
      <c r="G566" s="138"/>
      <c r="H566" s="138"/>
      <c r="I566" s="138"/>
      <c r="J566" s="138"/>
      <c r="K566" s="138"/>
      <c r="L566" s="138"/>
      <c r="M566" s="138"/>
      <c r="N566" s="138"/>
      <c r="O566" s="138"/>
    </row>
    <row r="567" spans="2:15" x14ac:dyDescent="0.2">
      <c r="B567" s="138"/>
      <c r="C567" s="126"/>
      <c r="D567" s="138"/>
      <c r="E567" s="138"/>
      <c r="F567" s="138"/>
      <c r="G567" s="138"/>
      <c r="H567" s="138"/>
      <c r="I567" s="138"/>
      <c r="J567" s="138"/>
      <c r="K567" s="138"/>
      <c r="L567" s="138"/>
      <c r="M567" s="138"/>
      <c r="N567" s="138"/>
      <c r="O567" s="138"/>
    </row>
    <row r="568" spans="2:15" x14ac:dyDescent="0.2">
      <c r="B568" s="138"/>
      <c r="C568" s="126"/>
      <c r="D568" s="138"/>
      <c r="E568" s="138"/>
      <c r="F568" s="138"/>
      <c r="G568" s="138"/>
      <c r="H568" s="138"/>
      <c r="I568" s="138"/>
      <c r="J568" s="138"/>
      <c r="K568" s="138"/>
      <c r="L568" s="138"/>
      <c r="M568" s="138"/>
      <c r="N568" s="138"/>
      <c r="O568" s="138"/>
    </row>
    <row r="569" spans="2:15" x14ac:dyDescent="0.2">
      <c r="B569" s="138"/>
      <c r="C569" s="126"/>
      <c r="D569" s="138"/>
      <c r="E569" s="138"/>
      <c r="F569" s="138"/>
      <c r="G569" s="138"/>
      <c r="H569" s="138"/>
      <c r="I569" s="138"/>
      <c r="J569" s="138"/>
      <c r="K569" s="138"/>
      <c r="L569" s="138"/>
      <c r="M569" s="138"/>
      <c r="N569" s="138"/>
      <c r="O569" s="138"/>
    </row>
    <row r="570" spans="2:15" x14ac:dyDescent="0.2">
      <c r="B570" s="138"/>
      <c r="C570" s="126"/>
      <c r="D570" s="138"/>
      <c r="E570" s="138"/>
      <c r="F570" s="138"/>
      <c r="G570" s="138"/>
      <c r="H570" s="138"/>
      <c r="I570" s="138"/>
      <c r="J570" s="138"/>
      <c r="K570" s="138"/>
      <c r="L570" s="138"/>
      <c r="M570" s="138"/>
      <c r="N570" s="138"/>
      <c r="O570" s="138"/>
    </row>
    <row r="571" spans="2:15" x14ac:dyDescent="0.2">
      <c r="B571" s="138"/>
      <c r="C571" s="126"/>
      <c r="D571" s="138"/>
      <c r="E571" s="138"/>
      <c r="F571" s="138"/>
      <c r="G571" s="138"/>
      <c r="H571" s="138"/>
      <c r="I571" s="138"/>
      <c r="J571" s="138"/>
      <c r="K571" s="138"/>
      <c r="L571" s="138"/>
      <c r="M571" s="138"/>
      <c r="N571" s="138"/>
      <c r="O571" s="138"/>
    </row>
    <row r="572" spans="2:15" x14ac:dyDescent="0.2">
      <c r="B572" s="138"/>
      <c r="C572" s="126"/>
      <c r="D572" s="138"/>
      <c r="E572" s="138"/>
      <c r="F572" s="138"/>
      <c r="G572" s="138"/>
      <c r="H572" s="138"/>
      <c r="I572" s="138"/>
      <c r="J572" s="138"/>
      <c r="K572" s="138"/>
      <c r="L572" s="138"/>
      <c r="M572" s="138"/>
      <c r="N572" s="138"/>
      <c r="O572" s="138"/>
    </row>
    <row r="573" spans="2:15" x14ac:dyDescent="0.2">
      <c r="B573" s="138"/>
      <c r="C573" s="126"/>
      <c r="D573" s="138"/>
      <c r="E573" s="138"/>
      <c r="F573" s="138"/>
      <c r="G573" s="138"/>
      <c r="H573" s="138"/>
      <c r="I573" s="138"/>
      <c r="J573" s="138"/>
      <c r="K573" s="138"/>
      <c r="L573" s="138"/>
      <c r="M573" s="138"/>
      <c r="N573" s="138"/>
      <c r="O573" s="138"/>
    </row>
    <row r="574" spans="2:15" x14ac:dyDescent="0.2">
      <c r="B574" s="138"/>
      <c r="C574" s="126"/>
      <c r="D574" s="138"/>
      <c r="E574" s="138"/>
      <c r="F574" s="138"/>
      <c r="G574" s="138"/>
      <c r="H574" s="138"/>
      <c r="I574" s="138"/>
      <c r="J574" s="138"/>
      <c r="K574" s="138"/>
      <c r="L574" s="138"/>
      <c r="M574" s="138"/>
      <c r="N574" s="138"/>
      <c r="O574" s="138"/>
    </row>
    <row r="575" spans="2:15" x14ac:dyDescent="0.2">
      <c r="B575" s="138"/>
      <c r="C575" s="126"/>
      <c r="D575" s="138"/>
      <c r="E575" s="138"/>
      <c r="F575" s="138"/>
      <c r="G575" s="138"/>
      <c r="H575" s="138"/>
      <c r="I575" s="138"/>
      <c r="J575" s="138"/>
      <c r="K575" s="138"/>
      <c r="L575" s="138"/>
      <c r="M575" s="138"/>
      <c r="N575" s="138"/>
      <c r="O575" s="138"/>
    </row>
    <row r="576" spans="2:15" x14ac:dyDescent="0.2">
      <c r="B576" s="138"/>
      <c r="C576" s="126"/>
      <c r="D576" s="138"/>
      <c r="E576" s="138"/>
      <c r="F576" s="138"/>
      <c r="G576" s="138"/>
      <c r="H576" s="138"/>
      <c r="I576" s="138"/>
      <c r="J576" s="138"/>
      <c r="K576" s="138"/>
      <c r="L576" s="138"/>
      <c r="M576" s="138"/>
      <c r="N576" s="138"/>
      <c r="O576" s="138"/>
    </row>
    <row r="577" spans="2:15" x14ac:dyDescent="0.2">
      <c r="B577" s="138"/>
      <c r="C577" s="126"/>
      <c r="D577" s="138"/>
      <c r="E577" s="138"/>
      <c r="F577" s="138"/>
      <c r="G577" s="138"/>
      <c r="H577" s="138"/>
      <c r="I577" s="138"/>
      <c r="J577" s="138"/>
      <c r="K577" s="138"/>
      <c r="L577" s="138"/>
      <c r="M577" s="138"/>
      <c r="N577" s="138"/>
      <c r="O577" s="138"/>
    </row>
    <row r="578" spans="2:15" x14ac:dyDescent="0.2">
      <c r="B578" s="138"/>
      <c r="C578" s="126"/>
      <c r="D578" s="138"/>
      <c r="E578" s="138"/>
      <c r="F578" s="138"/>
      <c r="G578" s="138"/>
      <c r="H578" s="138"/>
      <c r="I578" s="138"/>
      <c r="J578" s="138"/>
      <c r="K578" s="138"/>
      <c r="L578" s="138"/>
      <c r="M578" s="138"/>
      <c r="N578" s="138"/>
      <c r="O578" s="138"/>
    </row>
    <row r="579" spans="2:15" x14ac:dyDescent="0.2">
      <c r="B579" s="138"/>
      <c r="C579" s="126"/>
      <c r="D579" s="138"/>
      <c r="E579" s="138"/>
      <c r="F579" s="138"/>
      <c r="G579" s="138"/>
      <c r="H579" s="138"/>
      <c r="I579" s="138"/>
      <c r="J579" s="138"/>
      <c r="K579" s="138"/>
      <c r="L579" s="138"/>
      <c r="M579" s="138"/>
      <c r="N579" s="138"/>
      <c r="O579" s="138"/>
    </row>
    <row r="580" spans="2:15" x14ac:dyDescent="0.2">
      <c r="B580" s="138"/>
      <c r="C580" s="126"/>
      <c r="D580" s="138"/>
      <c r="E580" s="138"/>
      <c r="F580" s="138"/>
      <c r="G580" s="138"/>
      <c r="H580" s="138"/>
      <c r="I580" s="138"/>
      <c r="J580" s="138"/>
      <c r="K580" s="138"/>
      <c r="L580" s="138"/>
      <c r="M580" s="138"/>
      <c r="N580" s="138"/>
      <c r="O580" s="138"/>
    </row>
    <row r="581" spans="2:15" x14ac:dyDescent="0.2">
      <c r="B581" s="138"/>
      <c r="C581" s="126"/>
      <c r="D581" s="138"/>
      <c r="E581" s="138"/>
      <c r="F581" s="138"/>
      <c r="G581" s="138"/>
      <c r="H581" s="138"/>
      <c r="I581" s="138"/>
      <c r="J581" s="138"/>
      <c r="K581" s="138"/>
      <c r="L581" s="138"/>
      <c r="M581" s="138"/>
      <c r="N581" s="138"/>
      <c r="O581" s="138"/>
    </row>
    <row r="582" spans="2:15" x14ac:dyDescent="0.2">
      <c r="B582" s="138"/>
      <c r="C582" s="126"/>
      <c r="D582" s="138"/>
      <c r="E582" s="138"/>
      <c r="F582" s="138"/>
      <c r="G582" s="138"/>
      <c r="H582" s="138"/>
      <c r="I582" s="138"/>
      <c r="J582" s="138"/>
      <c r="K582" s="138"/>
      <c r="L582" s="138"/>
      <c r="M582" s="138"/>
      <c r="N582" s="138"/>
      <c r="O582" s="138"/>
    </row>
    <row r="583" spans="2:15" x14ac:dyDescent="0.2">
      <c r="B583" s="138"/>
      <c r="C583" s="126"/>
      <c r="D583" s="138"/>
      <c r="E583" s="138"/>
      <c r="F583" s="138"/>
      <c r="G583" s="138"/>
      <c r="H583" s="138"/>
      <c r="I583" s="138"/>
      <c r="J583" s="138"/>
      <c r="K583" s="138"/>
      <c r="L583" s="138"/>
      <c r="M583" s="138"/>
      <c r="N583" s="138"/>
      <c r="O583" s="138"/>
    </row>
    <row r="584" spans="2:15" x14ac:dyDescent="0.2">
      <c r="B584" s="138"/>
      <c r="C584" s="126"/>
      <c r="D584" s="138"/>
      <c r="E584" s="138"/>
      <c r="F584" s="138"/>
      <c r="G584" s="138"/>
      <c r="H584" s="138"/>
      <c r="I584" s="138"/>
      <c r="J584" s="138"/>
      <c r="K584" s="138"/>
      <c r="L584" s="138"/>
      <c r="M584" s="138"/>
      <c r="N584" s="138"/>
      <c r="O584" s="138"/>
    </row>
    <row r="585" spans="2:15" x14ac:dyDescent="0.2">
      <c r="B585" s="138"/>
      <c r="C585" s="126"/>
      <c r="D585" s="138"/>
      <c r="E585" s="138"/>
      <c r="F585" s="138"/>
      <c r="G585" s="138"/>
      <c r="H585" s="138"/>
      <c r="I585" s="138"/>
      <c r="J585" s="138"/>
      <c r="K585" s="138"/>
      <c r="L585" s="138"/>
      <c r="M585" s="138"/>
      <c r="N585" s="138"/>
      <c r="O585" s="138"/>
    </row>
    <row r="586" spans="2:15" x14ac:dyDescent="0.2">
      <c r="B586" s="138"/>
      <c r="C586" s="126"/>
      <c r="D586" s="138"/>
      <c r="E586" s="138"/>
      <c r="F586" s="138"/>
      <c r="G586" s="138"/>
      <c r="H586" s="138"/>
      <c r="I586" s="138"/>
      <c r="J586" s="138"/>
      <c r="K586" s="138"/>
      <c r="L586" s="138"/>
      <c r="M586" s="138"/>
      <c r="N586" s="138"/>
      <c r="O586" s="138"/>
    </row>
    <row r="587" spans="2:15" x14ac:dyDescent="0.2">
      <c r="B587" s="138"/>
      <c r="C587" s="126"/>
      <c r="D587" s="138"/>
      <c r="E587" s="138"/>
      <c r="F587" s="138"/>
      <c r="G587" s="138"/>
      <c r="H587" s="138"/>
      <c r="I587" s="138"/>
      <c r="J587" s="138"/>
      <c r="K587" s="138"/>
      <c r="L587" s="138"/>
      <c r="M587" s="138"/>
      <c r="N587" s="138"/>
      <c r="O587" s="138"/>
    </row>
    <row r="588" spans="2:15" x14ac:dyDescent="0.2">
      <c r="B588" s="138"/>
      <c r="C588" s="126"/>
      <c r="D588" s="138"/>
      <c r="E588" s="138"/>
      <c r="F588" s="138"/>
      <c r="G588" s="138"/>
      <c r="H588" s="138"/>
      <c r="I588" s="138"/>
      <c r="J588" s="138"/>
      <c r="K588" s="138"/>
      <c r="L588" s="138"/>
      <c r="M588" s="138"/>
      <c r="N588" s="138"/>
      <c r="O588" s="138"/>
    </row>
    <row r="589" spans="2:15" x14ac:dyDescent="0.2">
      <c r="B589" s="138"/>
      <c r="C589" s="126"/>
      <c r="D589" s="138"/>
      <c r="E589" s="138"/>
      <c r="F589" s="138"/>
      <c r="G589" s="138"/>
      <c r="H589" s="138"/>
      <c r="I589" s="138"/>
      <c r="J589" s="138"/>
      <c r="K589" s="138"/>
      <c r="L589" s="138"/>
      <c r="M589" s="138"/>
      <c r="N589" s="138"/>
      <c r="O589" s="138"/>
    </row>
    <row r="590" spans="2:15" x14ac:dyDescent="0.2">
      <c r="B590" s="138"/>
      <c r="C590" s="126"/>
      <c r="D590" s="138"/>
      <c r="E590" s="138"/>
      <c r="F590" s="138"/>
      <c r="G590" s="138"/>
      <c r="H590" s="138"/>
      <c r="I590" s="138"/>
      <c r="J590" s="138"/>
      <c r="K590" s="138"/>
      <c r="L590" s="138"/>
      <c r="M590" s="138"/>
      <c r="N590" s="138"/>
      <c r="O590" s="138"/>
    </row>
    <row r="591" spans="2:15" x14ac:dyDescent="0.2">
      <c r="B591" s="138"/>
      <c r="C591" s="126"/>
      <c r="D591" s="138"/>
      <c r="E591" s="138"/>
      <c r="F591" s="138"/>
      <c r="G591" s="138"/>
      <c r="H591" s="138"/>
      <c r="I591" s="138"/>
      <c r="J591" s="138"/>
      <c r="K591" s="138"/>
      <c r="L591" s="138"/>
      <c r="M591" s="138"/>
      <c r="N591" s="138"/>
      <c r="O591" s="138"/>
    </row>
    <row r="592" spans="2:15" x14ac:dyDescent="0.2">
      <c r="B592" s="138"/>
      <c r="C592" s="126"/>
      <c r="D592" s="138"/>
      <c r="E592" s="138"/>
      <c r="F592" s="138"/>
      <c r="G592" s="138"/>
      <c r="H592" s="138"/>
      <c r="I592" s="138"/>
      <c r="J592" s="138"/>
      <c r="K592" s="138"/>
      <c r="L592" s="138"/>
      <c r="M592" s="138"/>
      <c r="N592" s="138"/>
      <c r="O592" s="138"/>
    </row>
    <row r="593" spans="2:15" x14ac:dyDescent="0.2">
      <c r="B593" s="138"/>
      <c r="C593" s="126"/>
      <c r="D593" s="138"/>
      <c r="E593" s="138"/>
      <c r="F593" s="138"/>
      <c r="G593" s="138"/>
      <c r="H593" s="138"/>
      <c r="I593" s="138"/>
      <c r="J593" s="138"/>
      <c r="K593" s="138"/>
      <c r="L593" s="138"/>
      <c r="M593" s="138"/>
      <c r="N593" s="138"/>
      <c r="O593" s="138"/>
    </row>
    <row r="594" spans="2:15" x14ac:dyDescent="0.2">
      <c r="B594" s="138"/>
      <c r="C594" s="126"/>
      <c r="D594" s="138"/>
      <c r="E594" s="138"/>
      <c r="F594" s="138"/>
      <c r="G594" s="138"/>
      <c r="H594" s="138"/>
      <c r="I594" s="138"/>
      <c r="J594" s="138"/>
      <c r="K594" s="138"/>
      <c r="L594" s="138"/>
      <c r="M594" s="138"/>
      <c r="N594" s="138"/>
      <c r="O594" s="138"/>
    </row>
    <row r="595" spans="2:15" x14ac:dyDescent="0.2">
      <c r="B595" s="138"/>
      <c r="C595" s="126"/>
      <c r="D595" s="138"/>
      <c r="E595" s="138"/>
      <c r="F595" s="138"/>
      <c r="G595" s="138"/>
      <c r="H595" s="138"/>
      <c r="I595" s="138"/>
      <c r="J595" s="138"/>
      <c r="K595" s="138"/>
      <c r="L595" s="138"/>
      <c r="M595" s="138"/>
      <c r="N595" s="138"/>
      <c r="O595" s="138"/>
    </row>
    <row r="596" spans="2:15" x14ac:dyDescent="0.2">
      <c r="B596" s="138"/>
      <c r="C596" s="126"/>
      <c r="D596" s="138"/>
      <c r="E596" s="138"/>
      <c r="F596" s="138"/>
      <c r="G596" s="138"/>
      <c r="H596" s="138"/>
      <c r="I596" s="138"/>
      <c r="J596" s="138"/>
      <c r="K596" s="138"/>
      <c r="L596" s="138"/>
      <c r="M596" s="138"/>
      <c r="N596" s="138"/>
      <c r="O596" s="138"/>
    </row>
    <row r="597" spans="2:15" x14ac:dyDescent="0.2">
      <c r="B597" s="138"/>
      <c r="C597" s="126"/>
      <c r="D597" s="138"/>
      <c r="E597" s="138"/>
      <c r="F597" s="138"/>
      <c r="G597" s="138"/>
      <c r="H597" s="138"/>
      <c r="I597" s="138"/>
      <c r="J597" s="138"/>
      <c r="K597" s="138"/>
      <c r="L597" s="138"/>
      <c r="M597" s="138"/>
      <c r="N597" s="138"/>
      <c r="O597" s="138"/>
    </row>
    <row r="598" spans="2:15" x14ac:dyDescent="0.2">
      <c r="B598" s="138"/>
      <c r="C598" s="126"/>
      <c r="D598" s="138"/>
      <c r="E598" s="138"/>
      <c r="F598" s="138"/>
      <c r="G598" s="138"/>
      <c r="H598" s="138"/>
      <c r="I598" s="138"/>
      <c r="J598" s="138"/>
      <c r="K598" s="138"/>
      <c r="L598" s="138"/>
      <c r="M598" s="138"/>
      <c r="N598" s="138"/>
      <c r="O598" s="138"/>
    </row>
    <row r="599" spans="2:15" x14ac:dyDescent="0.2">
      <c r="B599" s="138"/>
      <c r="C599" s="126"/>
      <c r="D599" s="138"/>
      <c r="E599" s="138"/>
      <c r="F599" s="138"/>
      <c r="G599" s="138"/>
      <c r="H599" s="138"/>
      <c r="I599" s="138"/>
      <c r="J599" s="138"/>
      <c r="K599" s="138"/>
      <c r="L599" s="138"/>
      <c r="M599" s="138"/>
      <c r="N599" s="138"/>
      <c r="O599" s="138"/>
    </row>
    <row r="600" spans="2:15" x14ac:dyDescent="0.2">
      <c r="B600" s="138"/>
      <c r="C600" s="126"/>
      <c r="D600" s="138"/>
      <c r="E600" s="138"/>
      <c r="F600" s="138"/>
      <c r="G600" s="138"/>
      <c r="H600" s="138"/>
      <c r="I600" s="138"/>
      <c r="J600" s="138"/>
      <c r="K600" s="138"/>
      <c r="L600" s="138"/>
      <c r="M600" s="138"/>
      <c r="N600" s="138"/>
      <c r="O600" s="138"/>
    </row>
    <row r="601" spans="2:15" x14ac:dyDescent="0.2">
      <c r="B601" s="138"/>
      <c r="C601" s="126"/>
      <c r="D601" s="138"/>
      <c r="E601" s="138"/>
      <c r="F601" s="138"/>
      <c r="G601" s="138"/>
      <c r="H601" s="138"/>
      <c r="I601" s="138"/>
      <c r="J601" s="138"/>
      <c r="K601" s="138"/>
      <c r="L601" s="138"/>
      <c r="M601" s="138"/>
      <c r="N601" s="138"/>
      <c r="O601" s="138"/>
    </row>
    <row r="602" spans="2:15" x14ac:dyDescent="0.2">
      <c r="B602" s="138"/>
      <c r="C602" s="126"/>
      <c r="D602" s="138"/>
      <c r="E602" s="138"/>
      <c r="F602" s="138"/>
      <c r="G602" s="138"/>
      <c r="H602" s="138"/>
      <c r="I602" s="138"/>
      <c r="J602" s="138"/>
      <c r="K602" s="138"/>
      <c r="L602" s="138"/>
      <c r="M602" s="138"/>
      <c r="N602" s="138"/>
      <c r="O602" s="138"/>
    </row>
    <row r="603" spans="2:15" x14ac:dyDescent="0.2">
      <c r="B603" s="138"/>
      <c r="C603" s="126"/>
      <c r="D603" s="138"/>
      <c r="E603" s="138"/>
      <c r="F603" s="138"/>
      <c r="G603" s="138"/>
      <c r="H603" s="138"/>
      <c r="I603" s="138"/>
      <c r="J603" s="138"/>
      <c r="K603" s="138"/>
      <c r="L603" s="138"/>
      <c r="M603" s="138"/>
      <c r="N603" s="138"/>
      <c r="O603" s="138"/>
    </row>
    <row r="604" spans="2:15" x14ac:dyDescent="0.2">
      <c r="B604" s="138"/>
      <c r="C604" s="126"/>
      <c r="D604" s="138"/>
      <c r="E604" s="138"/>
      <c r="F604" s="138"/>
      <c r="G604" s="138"/>
      <c r="H604" s="138"/>
      <c r="I604" s="138"/>
      <c r="J604" s="138"/>
      <c r="K604" s="138"/>
      <c r="L604" s="138"/>
      <c r="M604" s="138"/>
      <c r="N604" s="138"/>
      <c r="O604" s="138"/>
    </row>
    <row r="605" spans="2:15" x14ac:dyDescent="0.2">
      <c r="B605" s="138"/>
      <c r="C605" s="126"/>
      <c r="D605" s="138"/>
      <c r="E605" s="138"/>
      <c r="F605" s="138"/>
      <c r="G605" s="138"/>
      <c r="H605" s="138"/>
      <c r="I605" s="138"/>
      <c r="J605" s="138"/>
      <c r="K605" s="138"/>
      <c r="L605" s="138"/>
      <c r="M605" s="138"/>
      <c r="N605" s="138"/>
      <c r="O605" s="138"/>
    </row>
    <row r="606" spans="2:15" x14ac:dyDescent="0.2">
      <c r="B606" s="138"/>
      <c r="C606" s="126"/>
      <c r="D606" s="138"/>
      <c r="E606" s="138"/>
      <c r="F606" s="138"/>
      <c r="G606" s="138"/>
      <c r="H606" s="138"/>
      <c r="I606" s="138"/>
      <c r="J606" s="138"/>
      <c r="K606" s="138"/>
      <c r="L606" s="138"/>
      <c r="M606" s="138"/>
      <c r="N606" s="138"/>
      <c r="O606" s="138"/>
    </row>
    <row r="607" spans="2:15" x14ac:dyDescent="0.2">
      <c r="B607" s="138"/>
      <c r="C607" s="126"/>
      <c r="D607" s="138"/>
      <c r="E607" s="138"/>
      <c r="F607" s="138"/>
      <c r="G607" s="138"/>
      <c r="H607" s="138"/>
      <c r="I607" s="138"/>
      <c r="J607" s="138"/>
      <c r="K607" s="138"/>
      <c r="L607" s="138"/>
      <c r="M607" s="138"/>
      <c r="N607" s="138"/>
      <c r="O607" s="138"/>
    </row>
    <row r="608" spans="2:15" x14ac:dyDescent="0.2">
      <c r="B608" s="138"/>
      <c r="C608" s="126"/>
      <c r="D608" s="138"/>
      <c r="E608" s="138"/>
      <c r="F608" s="138"/>
      <c r="G608" s="138"/>
      <c r="H608" s="138"/>
      <c r="I608" s="138"/>
      <c r="J608" s="138"/>
      <c r="K608" s="138"/>
      <c r="L608" s="138"/>
      <c r="M608" s="138"/>
      <c r="N608" s="138"/>
      <c r="O608" s="138"/>
    </row>
    <row r="609" spans="2:15" x14ac:dyDescent="0.2">
      <c r="B609" s="138"/>
      <c r="C609" s="126"/>
      <c r="D609" s="138"/>
      <c r="E609" s="138"/>
      <c r="F609" s="138"/>
      <c r="G609" s="138"/>
      <c r="H609" s="138"/>
      <c r="I609" s="138"/>
      <c r="J609" s="138"/>
      <c r="K609" s="138"/>
      <c r="L609" s="138"/>
      <c r="M609" s="138"/>
      <c r="N609" s="138"/>
      <c r="O609" s="138"/>
    </row>
    <row r="610" spans="2:15" x14ac:dyDescent="0.2">
      <c r="B610" s="138"/>
      <c r="C610" s="126"/>
      <c r="D610" s="138"/>
      <c r="E610" s="138"/>
      <c r="F610" s="138"/>
      <c r="G610" s="138"/>
      <c r="H610" s="138"/>
      <c r="I610" s="138"/>
      <c r="J610" s="138"/>
      <c r="K610" s="138"/>
      <c r="L610" s="138"/>
      <c r="M610" s="138"/>
      <c r="N610" s="138"/>
      <c r="O610" s="138"/>
    </row>
    <row r="611" spans="2:15" x14ac:dyDescent="0.2">
      <c r="B611" s="138"/>
      <c r="C611" s="126"/>
      <c r="D611" s="138"/>
      <c r="E611" s="138"/>
      <c r="F611" s="138"/>
      <c r="G611" s="138"/>
      <c r="H611" s="138"/>
      <c r="I611" s="138"/>
      <c r="J611" s="138"/>
      <c r="K611" s="138"/>
      <c r="L611" s="138"/>
      <c r="M611" s="138"/>
      <c r="N611" s="138"/>
      <c r="O611" s="138"/>
    </row>
    <row r="612" spans="2:15" x14ac:dyDescent="0.2">
      <c r="B612" s="138"/>
      <c r="C612" s="126"/>
      <c r="D612" s="138"/>
      <c r="E612" s="138"/>
      <c r="F612" s="138"/>
      <c r="G612" s="138"/>
      <c r="H612" s="138"/>
      <c r="I612" s="138"/>
      <c r="J612" s="138"/>
      <c r="K612" s="138"/>
      <c r="L612" s="138"/>
      <c r="M612" s="138"/>
      <c r="N612" s="138"/>
      <c r="O612" s="138"/>
    </row>
    <row r="613" spans="2:15" x14ac:dyDescent="0.2">
      <c r="B613" s="138"/>
      <c r="C613" s="126"/>
      <c r="D613" s="138"/>
      <c r="E613" s="138"/>
      <c r="F613" s="138"/>
      <c r="G613" s="138"/>
      <c r="H613" s="138"/>
      <c r="I613" s="138"/>
      <c r="J613" s="138"/>
      <c r="K613" s="138"/>
      <c r="L613" s="138"/>
      <c r="M613" s="138"/>
      <c r="N613" s="138"/>
      <c r="O613" s="138"/>
    </row>
    <row r="614" spans="2:15" x14ac:dyDescent="0.2">
      <c r="B614" s="138"/>
      <c r="C614" s="126"/>
      <c r="D614" s="138"/>
      <c r="E614" s="138"/>
      <c r="F614" s="138"/>
      <c r="G614" s="138"/>
      <c r="H614" s="138"/>
      <c r="I614" s="138"/>
      <c r="J614" s="138"/>
      <c r="K614" s="138"/>
      <c r="L614" s="138"/>
      <c r="M614" s="138"/>
      <c r="N614" s="138"/>
      <c r="O614" s="138"/>
    </row>
    <row r="615" spans="2:15" x14ac:dyDescent="0.2">
      <c r="B615" s="138"/>
      <c r="C615" s="126"/>
      <c r="D615" s="138"/>
      <c r="E615" s="138"/>
      <c r="F615" s="138"/>
      <c r="G615" s="138"/>
      <c r="H615" s="138"/>
      <c r="I615" s="138"/>
      <c r="J615" s="138"/>
      <c r="K615" s="138"/>
      <c r="L615" s="138"/>
      <c r="M615" s="138"/>
      <c r="N615" s="138"/>
      <c r="O615" s="138"/>
    </row>
    <row r="616" spans="2:15" x14ac:dyDescent="0.2">
      <c r="B616" s="138"/>
      <c r="C616" s="126"/>
      <c r="D616" s="138"/>
      <c r="E616" s="138"/>
      <c r="F616" s="138"/>
      <c r="G616" s="138"/>
      <c r="H616" s="138"/>
      <c r="I616" s="138"/>
      <c r="J616" s="138"/>
      <c r="K616" s="138"/>
      <c r="L616" s="138"/>
      <c r="M616" s="138"/>
      <c r="N616" s="138"/>
      <c r="O616" s="138"/>
    </row>
    <row r="617" spans="2:15" x14ac:dyDescent="0.2">
      <c r="B617" s="138"/>
      <c r="C617" s="126"/>
      <c r="D617" s="138"/>
      <c r="E617" s="138"/>
      <c r="F617" s="138"/>
      <c r="G617" s="138"/>
      <c r="H617" s="138"/>
      <c r="I617" s="138"/>
      <c r="J617" s="138"/>
      <c r="K617" s="138"/>
      <c r="L617" s="138"/>
      <c r="M617" s="138"/>
      <c r="N617" s="138"/>
      <c r="O617" s="138"/>
    </row>
    <row r="618" spans="2:15" x14ac:dyDescent="0.2">
      <c r="B618" s="138"/>
      <c r="C618" s="126"/>
      <c r="D618" s="138"/>
      <c r="E618" s="138"/>
      <c r="F618" s="138"/>
      <c r="G618" s="138"/>
      <c r="H618" s="138"/>
      <c r="I618" s="138"/>
      <c r="J618" s="138"/>
      <c r="K618" s="138"/>
      <c r="L618" s="138"/>
      <c r="M618" s="138"/>
      <c r="N618" s="138"/>
      <c r="O618" s="138"/>
    </row>
    <row r="619" spans="2:15" x14ac:dyDescent="0.2">
      <c r="B619" s="138"/>
      <c r="C619" s="126"/>
      <c r="D619" s="138"/>
      <c r="E619" s="138"/>
      <c r="F619" s="138"/>
      <c r="G619" s="138"/>
      <c r="H619" s="138"/>
      <c r="I619" s="138"/>
      <c r="J619" s="138"/>
      <c r="K619" s="138"/>
      <c r="L619" s="138"/>
      <c r="M619" s="138"/>
      <c r="N619" s="138"/>
      <c r="O619" s="138"/>
    </row>
    <row r="620" spans="2:15" x14ac:dyDescent="0.2">
      <c r="B620" s="138"/>
      <c r="C620" s="126"/>
      <c r="D620" s="138"/>
      <c r="E620" s="138"/>
      <c r="F620" s="138"/>
      <c r="G620" s="138"/>
      <c r="H620" s="138"/>
      <c r="I620" s="138"/>
      <c r="J620" s="138"/>
      <c r="K620" s="138"/>
      <c r="L620" s="138"/>
      <c r="M620" s="138"/>
      <c r="N620" s="138"/>
      <c r="O620" s="138"/>
    </row>
    <row r="621" spans="2:15" x14ac:dyDescent="0.2">
      <c r="B621" s="138"/>
      <c r="C621" s="126"/>
      <c r="D621" s="138"/>
      <c r="E621" s="138"/>
      <c r="F621" s="138"/>
      <c r="G621" s="138"/>
      <c r="H621" s="138"/>
      <c r="I621" s="138"/>
      <c r="J621" s="138"/>
      <c r="K621" s="138"/>
      <c r="L621" s="138"/>
      <c r="M621" s="138"/>
      <c r="N621" s="138"/>
      <c r="O621" s="138"/>
    </row>
    <row r="622" spans="2:15" x14ac:dyDescent="0.2">
      <c r="B622" s="138"/>
      <c r="C622" s="126"/>
      <c r="D622" s="138"/>
      <c r="E622" s="138"/>
      <c r="F622" s="138"/>
      <c r="G622" s="138"/>
      <c r="H622" s="138"/>
      <c r="I622" s="138"/>
      <c r="J622" s="138"/>
      <c r="K622" s="138"/>
      <c r="L622" s="138"/>
      <c r="M622" s="138"/>
      <c r="N622" s="138"/>
      <c r="O622" s="138"/>
    </row>
    <row r="623" spans="2:15" x14ac:dyDescent="0.2">
      <c r="B623" s="138"/>
      <c r="C623" s="126"/>
      <c r="D623" s="138"/>
      <c r="E623" s="138"/>
      <c r="F623" s="138"/>
      <c r="G623" s="138"/>
      <c r="H623" s="138"/>
      <c r="I623" s="138"/>
      <c r="J623" s="138"/>
      <c r="K623" s="138"/>
      <c r="L623" s="138"/>
      <c r="M623" s="138"/>
      <c r="N623" s="138"/>
      <c r="O623" s="138"/>
    </row>
    <row r="624" spans="2:15" x14ac:dyDescent="0.2">
      <c r="B624" s="138"/>
      <c r="C624" s="126"/>
      <c r="D624" s="138"/>
      <c r="E624" s="138"/>
      <c r="F624" s="138"/>
      <c r="G624" s="138"/>
      <c r="H624" s="138"/>
      <c r="I624" s="138"/>
      <c r="J624" s="138"/>
      <c r="K624" s="138"/>
      <c r="L624" s="138"/>
      <c r="M624" s="138"/>
      <c r="N624" s="138"/>
      <c r="O624" s="138"/>
    </row>
    <row r="625" spans="2:15" x14ac:dyDescent="0.2">
      <c r="B625" s="138"/>
      <c r="C625" s="126"/>
      <c r="D625" s="138"/>
      <c r="E625" s="138"/>
      <c r="F625" s="138"/>
      <c r="G625" s="138"/>
      <c r="H625" s="138"/>
      <c r="I625" s="138"/>
      <c r="J625" s="138"/>
      <c r="K625" s="138"/>
      <c r="L625" s="138"/>
      <c r="M625" s="138"/>
      <c r="N625" s="138"/>
      <c r="O625" s="138"/>
    </row>
    <row r="626" spans="2:15" x14ac:dyDescent="0.2">
      <c r="B626" s="138"/>
      <c r="C626" s="126"/>
      <c r="D626" s="138"/>
      <c r="E626" s="138"/>
      <c r="F626" s="138"/>
      <c r="G626" s="138"/>
      <c r="H626" s="138"/>
      <c r="I626" s="138"/>
      <c r="J626" s="138"/>
      <c r="K626" s="138"/>
      <c r="L626" s="138"/>
      <c r="M626" s="138"/>
      <c r="N626" s="138"/>
      <c r="O626" s="138"/>
    </row>
    <row r="627" spans="2:15" x14ac:dyDescent="0.2">
      <c r="B627" s="138"/>
      <c r="C627" s="126"/>
      <c r="D627" s="138"/>
      <c r="E627" s="138"/>
      <c r="F627" s="138"/>
      <c r="G627" s="138"/>
      <c r="H627" s="138"/>
      <c r="I627" s="138"/>
      <c r="J627" s="138"/>
      <c r="K627" s="138"/>
      <c r="L627" s="138"/>
      <c r="M627" s="138"/>
      <c r="N627" s="138"/>
      <c r="O627" s="138"/>
    </row>
    <row r="628" spans="2:15" x14ac:dyDescent="0.2">
      <c r="B628" s="138"/>
      <c r="C628" s="126"/>
      <c r="D628" s="138"/>
      <c r="E628" s="138"/>
      <c r="F628" s="138"/>
      <c r="G628" s="138"/>
      <c r="H628" s="138"/>
      <c r="I628" s="138"/>
      <c r="J628" s="138"/>
      <c r="K628" s="138"/>
      <c r="L628" s="138"/>
      <c r="M628" s="138"/>
      <c r="N628" s="138"/>
      <c r="O628" s="138"/>
    </row>
    <row r="629" spans="2:15" x14ac:dyDescent="0.2">
      <c r="B629" s="138"/>
      <c r="C629" s="126"/>
      <c r="D629" s="138"/>
      <c r="E629" s="138"/>
      <c r="F629" s="138"/>
      <c r="G629" s="138"/>
      <c r="H629" s="138"/>
      <c r="I629" s="138"/>
      <c r="J629" s="138"/>
      <c r="K629" s="138"/>
      <c r="L629" s="138"/>
      <c r="M629" s="138"/>
      <c r="N629" s="138"/>
      <c r="O629" s="138"/>
    </row>
    <row r="630" spans="2:15" x14ac:dyDescent="0.2">
      <c r="B630" s="138"/>
      <c r="C630" s="126"/>
      <c r="D630" s="138"/>
      <c r="E630" s="138"/>
      <c r="F630" s="138"/>
      <c r="G630" s="138"/>
      <c r="H630" s="138"/>
      <c r="I630" s="138"/>
      <c r="J630" s="138"/>
      <c r="K630" s="138"/>
      <c r="L630" s="138"/>
      <c r="M630" s="138"/>
      <c r="N630" s="138"/>
      <c r="O630" s="138"/>
    </row>
    <row r="631" spans="2:15" x14ac:dyDescent="0.2">
      <c r="B631" s="138"/>
      <c r="C631" s="126"/>
      <c r="D631" s="138"/>
      <c r="E631" s="138"/>
      <c r="F631" s="138"/>
      <c r="G631" s="138"/>
      <c r="H631" s="138"/>
      <c r="I631" s="138"/>
      <c r="J631" s="138"/>
      <c r="K631" s="138"/>
      <c r="L631" s="138"/>
      <c r="M631" s="138"/>
      <c r="N631" s="138"/>
      <c r="O631" s="138"/>
    </row>
    <row r="632" spans="2:15" x14ac:dyDescent="0.2">
      <c r="B632" s="138"/>
      <c r="C632" s="126"/>
      <c r="D632" s="138"/>
      <c r="E632" s="138"/>
      <c r="F632" s="138"/>
      <c r="G632" s="138"/>
      <c r="H632" s="138"/>
      <c r="I632" s="138"/>
      <c r="J632" s="138"/>
      <c r="K632" s="138"/>
      <c r="L632" s="138"/>
      <c r="M632" s="138"/>
      <c r="N632" s="138"/>
      <c r="O632" s="138"/>
    </row>
    <row r="633" spans="2:15" x14ac:dyDescent="0.2">
      <c r="B633" s="138"/>
      <c r="C633" s="126"/>
      <c r="D633" s="138"/>
      <c r="E633" s="138"/>
      <c r="F633" s="138"/>
      <c r="G633" s="138"/>
      <c r="H633" s="138"/>
      <c r="I633" s="138"/>
      <c r="J633" s="138"/>
      <c r="K633" s="138"/>
      <c r="L633" s="138"/>
      <c r="M633" s="138"/>
      <c r="N633" s="138"/>
      <c r="O633" s="138"/>
    </row>
    <row r="634" spans="2:15" x14ac:dyDescent="0.2">
      <c r="B634" s="138"/>
      <c r="C634" s="126"/>
      <c r="D634" s="138"/>
      <c r="E634" s="138"/>
      <c r="F634" s="138"/>
      <c r="G634" s="138"/>
      <c r="H634" s="138"/>
      <c r="I634" s="138"/>
      <c r="J634" s="138"/>
      <c r="K634" s="138"/>
      <c r="L634" s="138"/>
      <c r="M634" s="138"/>
      <c r="N634" s="138"/>
      <c r="O634" s="138"/>
    </row>
    <row r="635" spans="2:15" x14ac:dyDescent="0.2">
      <c r="B635" s="138"/>
      <c r="C635" s="126"/>
      <c r="D635" s="138"/>
      <c r="E635" s="138"/>
      <c r="F635" s="138"/>
      <c r="G635" s="138"/>
      <c r="H635" s="138"/>
      <c r="I635" s="138"/>
      <c r="J635" s="138"/>
      <c r="K635" s="138"/>
      <c r="L635" s="138"/>
      <c r="M635" s="138"/>
      <c r="N635" s="138"/>
      <c r="O635" s="138"/>
    </row>
    <row r="636" spans="2:15" x14ac:dyDescent="0.2">
      <c r="B636" s="138"/>
      <c r="C636" s="126"/>
      <c r="D636" s="138"/>
      <c r="E636" s="138"/>
      <c r="F636" s="138"/>
      <c r="G636" s="138"/>
      <c r="H636" s="138"/>
      <c r="I636" s="138"/>
      <c r="J636" s="138"/>
      <c r="K636" s="138"/>
      <c r="L636" s="138"/>
      <c r="M636" s="138"/>
      <c r="N636" s="138"/>
      <c r="O636" s="138"/>
    </row>
    <row r="637" spans="2:15" x14ac:dyDescent="0.2">
      <c r="B637" s="138"/>
      <c r="C637" s="126"/>
      <c r="D637" s="138"/>
      <c r="E637" s="138"/>
      <c r="F637" s="138"/>
      <c r="G637" s="138"/>
      <c r="H637" s="138"/>
      <c r="I637" s="138"/>
      <c r="J637" s="138"/>
      <c r="K637" s="138"/>
      <c r="L637" s="138"/>
      <c r="M637" s="138"/>
      <c r="N637" s="138"/>
      <c r="O637" s="138"/>
    </row>
    <row r="638" spans="2:15" x14ac:dyDescent="0.2">
      <c r="B638" s="138"/>
      <c r="C638" s="126"/>
      <c r="D638" s="138"/>
      <c r="E638" s="138"/>
      <c r="F638" s="138"/>
      <c r="G638" s="138"/>
      <c r="H638" s="138"/>
      <c r="I638" s="138"/>
      <c r="J638" s="138"/>
      <c r="K638" s="138"/>
      <c r="L638" s="138"/>
      <c r="M638" s="138"/>
      <c r="N638" s="138"/>
      <c r="O638" s="138"/>
    </row>
    <row r="639" spans="2:15" x14ac:dyDescent="0.2">
      <c r="B639" s="138"/>
      <c r="C639" s="126"/>
      <c r="D639" s="138"/>
      <c r="E639" s="138"/>
      <c r="F639" s="138"/>
      <c r="G639" s="138"/>
      <c r="H639" s="138"/>
      <c r="I639" s="138"/>
      <c r="J639" s="138"/>
      <c r="K639" s="138"/>
      <c r="L639" s="138"/>
      <c r="M639" s="138"/>
      <c r="N639" s="138"/>
      <c r="O639" s="138"/>
    </row>
    <row r="640" spans="2:15" x14ac:dyDescent="0.2">
      <c r="B640" s="138"/>
      <c r="C640" s="126"/>
      <c r="D640" s="138"/>
      <c r="E640" s="138"/>
      <c r="F640" s="138"/>
      <c r="G640" s="138"/>
      <c r="H640" s="138"/>
      <c r="I640" s="138"/>
      <c r="J640" s="138"/>
      <c r="K640" s="138"/>
      <c r="L640" s="138"/>
      <c r="M640" s="138"/>
      <c r="N640" s="138"/>
      <c r="O640" s="138"/>
    </row>
    <row r="641" spans="2:15" x14ac:dyDescent="0.2">
      <c r="B641" s="138"/>
      <c r="C641" s="126"/>
      <c r="D641" s="138"/>
      <c r="E641" s="138"/>
      <c r="F641" s="138"/>
      <c r="G641" s="138"/>
      <c r="H641" s="138"/>
      <c r="I641" s="138"/>
      <c r="J641" s="138"/>
      <c r="K641" s="138"/>
      <c r="L641" s="138"/>
      <c r="M641" s="138"/>
      <c r="N641" s="138"/>
      <c r="O641" s="138"/>
    </row>
    <row r="642" spans="2:15" x14ac:dyDescent="0.2">
      <c r="B642" s="138"/>
      <c r="C642" s="126"/>
      <c r="D642" s="138"/>
      <c r="E642" s="138"/>
      <c r="F642" s="138"/>
      <c r="G642" s="138"/>
      <c r="H642" s="138"/>
      <c r="I642" s="138"/>
      <c r="J642" s="138"/>
      <c r="K642" s="138"/>
      <c r="L642" s="138"/>
      <c r="M642" s="138"/>
      <c r="N642" s="138"/>
      <c r="O642" s="138"/>
    </row>
    <row r="643" spans="2:15" x14ac:dyDescent="0.2">
      <c r="B643" s="138"/>
      <c r="C643" s="126"/>
      <c r="D643" s="138"/>
      <c r="E643" s="138"/>
      <c r="F643" s="138"/>
      <c r="G643" s="138"/>
      <c r="H643" s="138"/>
      <c r="I643" s="138"/>
      <c r="J643" s="138"/>
      <c r="K643" s="138"/>
      <c r="L643" s="138"/>
      <c r="M643" s="138"/>
      <c r="N643" s="138"/>
      <c r="O643" s="138"/>
    </row>
    <row r="644" spans="2:15" x14ac:dyDescent="0.2">
      <c r="B644" s="138"/>
      <c r="C644" s="126"/>
      <c r="D644" s="138"/>
      <c r="E644" s="138"/>
      <c r="F644" s="138"/>
      <c r="G644" s="138"/>
      <c r="H644" s="138"/>
      <c r="I644" s="138"/>
      <c r="J644" s="138"/>
      <c r="K644" s="138"/>
      <c r="L644" s="138"/>
      <c r="M644" s="138"/>
      <c r="N644" s="138"/>
      <c r="O644" s="138"/>
    </row>
    <row r="645" spans="2:15" x14ac:dyDescent="0.2">
      <c r="B645" s="138"/>
      <c r="C645" s="126"/>
      <c r="D645" s="138"/>
      <c r="E645" s="138"/>
      <c r="F645" s="138"/>
      <c r="G645" s="138"/>
      <c r="H645" s="138"/>
      <c r="I645" s="138"/>
      <c r="J645" s="138"/>
      <c r="K645" s="138"/>
      <c r="L645" s="138"/>
      <c r="M645" s="138"/>
      <c r="N645" s="138"/>
      <c r="O645" s="138"/>
    </row>
    <row r="646" spans="2:15" x14ac:dyDescent="0.2">
      <c r="B646" s="138"/>
      <c r="C646" s="126"/>
      <c r="D646" s="138"/>
      <c r="E646" s="138"/>
      <c r="F646" s="138"/>
      <c r="G646" s="138"/>
      <c r="H646" s="138"/>
      <c r="I646" s="138"/>
      <c r="J646" s="138"/>
      <c r="K646" s="138"/>
      <c r="L646" s="138"/>
      <c r="M646" s="138"/>
      <c r="N646" s="138"/>
      <c r="O646" s="138"/>
    </row>
    <row r="647" spans="2:15" x14ac:dyDescent="0.2">
      <c r="B647" s="138"/>
      <c r="C647" s="126"/>
      <c r="D647" s="138"/>
      <c r="E647" s="138"/>
      <c r="F647" s="138"/>
      <c r="G647" s="138"/>
      <c r="H647" s="138"/>
      <c r="I647" s="138"/>
      <c r="J647" s="138"/>
      <c r="K647" s="138"/>
      <c r="L647" s="138"/>
      <c r="M647" s="138"/>
      <c r="N647" s="138"/>
      <c r="O647" s="138"/>
    </row>
    <row r="648" spans="2:15" x14ac:dyDescent="0.2">
      <c r="B648" s="138"/>
      <c r="C648" s="126"/>
      <c r="D648" s="138"/>
      <c r="E648" s="138"/>
      <c r="F648" s="138"/>
      <c r="G648" s="138"/>
      <c r="H648" s="138"/>
      <c r="I648" s="138"/>
      <c r="J648" s="138"/>
      <c r="K648" s="138"/>
      <c r="L648" s="138"/>
      <c r="M648" s="138"/>
      <c r="N648" s="138"/>
      <c r="O648" s="138"/>
    </row>
    <row r="649" spans="2:15" x14ac:dyDescent="0.2">
      <c r="B649" s="138"/>
      <c r="C649" s="126"/>
      <c r="D649" s="138"/>
      <c r="E649" s="138"/>
      <c r="F649" s="138"/>
      <c r="G649" s="138"/>
      <c r="H649" s="138"/>
      <c r="I649" s="138"/>
      <c r="J649" s="138"/>
      <c r="K649" s="138"/>
      <c r="L649" s="138"/>
      <c r="M649" s="138"/>
      <c r="N649" s="138"/>
      <c r="O649" s="138"/>
    </row>
    <row r="650" spans="2:15" x14ac:dyDescent="0.2">
      <c r="B650" s="138"/>
      <c r="C650" s="126"/>
      <c r="D650" s="138"/>
      <c r="E650" s="138"/>
      <c r="F650" s="138"/>
      <c r="G650" s="138"/>
      <c r="H650" s="138"/>
      <c r="I650" s="138"/>
      <c r="J650" s="138"/>
      <c r="K650" s="138"/>
      <c r="L650" s="138"/>
      <c r="M650" s="138"/>
      <c r="N650" s="138"/>
      <c r="O650" s="138"/>
    </row>
    <row r="651" spans="2:15" x14ac:dyDescent="0.2">
      <c r="B651" s="138"/>
      <c r="C651" s="126"/>
      <c r="D651" s="138"/>
      <c r="E651" s="138"/>
      <c r="F651" s="138"/>
      <c r="G651" s="138"/>
      <c r="H651" s="138"/>
      <c r="I651" s="138"/>
      <c r="J651" s="138"/>
      <c r="K651" s="138"/>
      <c r="L651" s="138"/>
      <c r="M651" s="138"/>
      <c r="N651" s="138"/>
      <c r="O651" s="138"/>
    </row>
    <row r="652" spans="2:15" x14ac:dyDescent="0.2">
      <c r="B652" s="138"/>
      <c r="C652" s="126"/>
      <c r="D652" s="138"/>
      <c r="E652" s="138"/>
      <c r="F652" s="138"/>
      <c r="G652" s="138"/>
      <c r="H652" s="138"/>
      <c r="I652" s="138"/>
      <c r="J652" s="138"/>
      <c r="K652" s="138"/>
      <c r="L652" s="138"/>
      <c r="M652" s="138"/>
      <c r="N652" s="138"/>
      <c r="O652" s="138"/>
    </row>
    <row r="653" spans="2:15" x14ac:dyDescent="0.2">
      <c r="B653" s="138"/>
      <c r="C653" s="126"/>
      <c r="D653" s="138"/>
      <c r="E653" s="138"/>
      <c r="F653" s="138"/>
      <c r="G653" s="138"/>
      <c r="H653" s="138"/>
      <c r="I653" s="138"/>
      <c r="J653" s="138"/>
      <c r="K653" s="138"/>
      <c r="L653" s="138"/>
      <c r="M653" s="138"/>
      <c r="N653" s="138"/>
      <c r="O653" s="138"/>
    </row>
    <row r="654" spans="2:15" x14ac:dyDescent="0.2">
      <c r="B654" s="138"/>
      <c r="C654" s="126"/>
      <c r="D654" s="138"/>
      <c r="E654" s="138"/>
      <c r="F654" s="138"/>
      <c r="G654" s="138"/>
      <c r="H654" s="138"/>
      <c r="I654" s="138"/>
      <c r="J654" s="138"/>
      <c r="K654" s="138"/>
      <c r="L654" s="138"/>
      <c r="M654" s="138"/>
      <c r="N654" s="138"/>
      <c r="O654" s="138"/>
    </row>
    <row r="655" spans="2:15" x14ac:dyDescent="0.2">
      <c r="B655" s="138"/>
      <c r="C655" s="126"/>
      <c r="D655" s="138"/>
      <c r="E655" s="138"/>
      <c r="F655" s="138"/>
      <c r="G655" s="138"/>
      <c r="H655" s="138"/>
      <c r="I655" s="138"/>
      <c r="J655" s="138"/>
      <c r="K655" s="138"/>
      <c r="L655" s="138"/>
      <c r="M655" s="138"/>
      <c r="N655" s="138"/>
      <c r="O655" s="138"/>
    </row>
    <row r="656" spans="2:15" x14ac:dyDescent="0.2">
      <c r="B656" s="138"/>
      <c r="C656" s="126"/>
      <c r="D656" s="138"/>
      <c r="E656" s="138"/>
      <c r="F656" s="138"/>
      <c r="G656" s="138"/>
      <c r="H656" s="138"/>
      <c r="I656" s="138"/>
      <c r="J656" s="138"/>
      <c r="K656" s="138"/>
      <c r="L656" s="138"/>
      <c r="M656" s="138"/>
      <c r="N656" s="138"/>
      <c r="O656" s="138"/>
    </row>
    <row r="657" spans="2:15" x14ac:dyDescent="0.2">
      <c r="B657" s="138"/>
      <c r="C657" s="126"/>
      <c r="D657" s="138"/>
      <c r="E657" s="138"/>
      <c r="F657" s="138"/>
      <c r="G657" s="138"/>
      <c r="H657" s="138"/>
      <c r="I657" s="138"/>
      <c r="J657" s="138"/>
      <c r="K657" s="138"/>
      <c r="L657" s="138"/>
      <c r="M657" s="138"/>
      <c r="N657" s="138"/>
      <c r="O657" s="138"/>
    </row>
    <row r="658" spans="2:15" x14ac:dyDescent="0.2">
      <c r="B658" s="138"/>
      <c r="C658" s="126"/>
      <c r="D658" s="138"/>
      <c r="E658" s="138"/>
      <c r="F658" s="138"/>
      <c r="G658" s="138"/>
      <c r="H658" s="138"/>
      <c r="I658" s="138"/>
      <c r="J658" s="138"/>
      <c r="K658" s="138"/>
      <c r="L658" s="138"/>
      <c r="M658" s="138"/>
      <c r="N658" s="138"/>
      <c r="O658" s="138"/>
    </row>
    <row r="659" spans="2:15" x14ac:dyDescent="0.2">
      <c r="B659" s="138"/>
      <c r="C659" s="126"/>
      <c r="D659" s="138"/>
      <c r="E659" s="138"/>
      <c r="F659" s="138"/>
      <c r="G659" s="138"/>
      <c r="H659" s="138"/>
      <c r="I659" s="138"/>
      <c r="J659" s="138"/>
      <c r="K659" s="138"/>
      <c r="L659" s="138"/>
      <c r="M659" s="138"/>
      <c r="N659" s="138"/>
      <c r="O659" s="138"/>
    </row>
    <row r="660" spans="2:15" x14ac:dyDescent="0.2">
      <c r="B660" s="138"/>
      <c r="C660" s="126"/>
      <c r="D660" s="138"/>
      <c r="E660" s="138"/>
      <c r="F660" s="138"/>
      <c r="G660" s="138"/>
      <c r="H660" s="138"/>
      <c r="I660" s="138"/>
      <c r="J660" s="138"/>
      <c r="K660" s="138"/>
      <c r="L660" s="138"/>
      <c r="M660" s="138"/>
      <c r="N660" s="138"/>
      <c r="O660" s="138"/>
    </row>
    <row r="661" spans="2:15" x14ac:dyDescent="0.2">
      <c r="B661" s="138"/>
      <c r="C661" s="126"/>
      <c r="D661" s="138"/>
      <c r="E661" s="138"/>
      <c r="F661" s="138"/>
      <c r="G661" s="138"/>
      <c r="H661" s="138"/>
      <c r="I661" s="138"/>
      <c r="J661" s="138"/>
      <c r="K661" s="138"/>
      <c r="L661" s="138"/>
      <c r="M661" s="138"/>
      <c r="N661" s="138"/>
      <c r="O661" s="138"/>
    </row>
    <row r="662" spans="2:15" x14ac:dyDescent="0.2">
      <c r="B662" s="138"/>
      <c r="C662" s="126"/>
      <c r="D662" s="138"/>
      <c r="E662" s="138"/>
      <c r="F662" s="138"/>
      <c r="G662" s="138"/>
      <c r="H662" s="138"/>
      <c r="I662" s="138"/>
      <c r="J662" s="138"/>
      <c r="K662" s="138"/>
      <c r="L662" s="138"/>
      <c r="M662" s="138"/>
      <c r="N662" s="138"/>
      <c r="O662" s="138"/>
    </row>
    <row r="663" spans="2:15" x14ac:dyDescent="0.2">
      <c r="B663" s="138"/>
      <c r="C663" s="126"/>
      <c r="D663" s="138"/>
      <c r="E663" s="138"/>
      <c r="F663" s="138"/>
      <c r="G663" s="138"/>
      <c r="H663" s="138"/>
      <c r="I663" s="138"/>
      <c r="J663" s="138"/>
      <c r="K663" s="138"/>
      <c r="L663" s="138"/>
      <c r="M663" s="138"/>
      <c r="N663" s="138"/>
      <c r="O663" s="138"/>
    </row>
    <row r="664" spans="2:15" x14ac:dyDescent="0.2">
      <c r="B664" s="138"/>
      <c r="C664" s="126"/>
      <c r="D664" s="138"/>
      <c r="E664" s="138"/>
      <c r="F664" s="138"/>
      <c r="G664" s="138"/>
      <c r="H664" s="138"/>
      <c r="I664" s="138"/>
      <c r="J664" s="138"/>
      <c r="K664" s="138"/>
      <c r="L664" s="138"/>
      <c r="M664" s="138"/>
      <c r="N664" s="138"/>
      <c r="O664" s="138"/>
    </row>
    <row r="665" spans="2:15" x14ac:dyDescent="0.2">
      <c r="B665" s="138"/>
      <c r="C665" s="126"/>
      <c r="D665" s="138"/>
      <c r="E665" s="138"/>
      <c r="F665" s="138"/>
      <c r="G665" s="138"/>
      <c r="H665" s="138"/>
      <c r="I665" s="138"/>
      <c r="J665" s="138"/>
      <c r="K665" s="138"/>
      <c r="L665" s="138"/>
      <c r="M665" s="138"/>
      <c r="N665" s="138"/>
      <c r="O665" s="138"/>
    </row>
    <row r="666" spans="2:15" x14ac:dyDescent="0.2">
      <c r="B666" s="138"/>
      <c r="C666" s="126"/>
      <c r="D666" s="138"/>
      <c r="E666" s="138"/>
      <c r="F666" s="138"/>
      <c r="G666" s="138"/>
      <c r="H666" s="138"/>
      <c r="I666" s="138"/>
      <c r="J666" s="138"/>
      <c r="K666" s="138"/>
      <c r="L666" s="138"/>
      <c r="M666" s="138"/>
      <c r="N666" s="138"/>
      <c r="O666" s="138"/>
    </row>
    <row r="667" spans="2:15" x14ac:dyDescent="0.2">
      <c r="B667" s="138"/>
      <c r="C667" s="126"/>
      <c r="D667" s="138"/>
      <c r="E667" s="138"/>
      <c r="F667" s="138"/>
      <c r="G667" s="138"/>
      <c r="H667" s="138"/>
      <c r="I667" s="138"/>
      <c r="J667" s="138"/>
      <c r="K667" s="138"/>
      <c r="L667" s="138"/>
      <c r="M667" s="138"/>
      <c r="N667" s="138"/>
      <c r="O667" s="138"/>
    </row>
    <row r="668" spans="2:15" x14ac:dyDescent="0.2">
      <c r="B668" s="138"/>
      <c r="C668" s="126"/>
      <c r="D668" s="138"/>
      <c r="E668" s="138"/>
      <c r="F668" s="138"/>
      <c r="G668" s="138"/>
      <c r="H668" s="138"/>
      <c r="I668" s="138"/>
      <c r="J668" s="138"/>
      <c r="K668" s="138"/>
      <c r="L668" s="138"/>
      <c r="M668" s="138"/>
      <c r="N668" s="138"/>
      <c r="O668" s="138"/>
    </row>
    <row r="669" spans="2:15" x14ac:dyDescent="0.2">
      <c r="B669" s="138"/>
      <c r="C669" s="126"/>
      <c r="D669" s="138"/>
      <c r="E669" s="138"/>
      <c r="F669" s="138"/>
      <c r="G669" s="138"/>
      <c r="H669" s="138"/>
      <c r="I669" s="138"/>
      <c r="J669" s="138"/>
      <c r="K669" s="138"/>
      <c r="L669" s="138"/>
      <c r="M669" s="138"/>
      <c r="N669" s="138"/>
      <c r="O669" s="138"/>
    </row>
    <row r="670" spans="2:15" x14ac:dyDescent="0.2">
      <c r="B670" s="138"/>
      <c r="C670" s="126"/>
      <c r="D670" s="138"/>
      <c r="E670" s="138"/>
      <c r="F670" s="138"/>
      <c r="G670" s="138"/>
      <c r="H670" s="138"/>
      <c r="I670" s="138"/>
      <c r="J670" s="138"/>
      <c r="K670" s="138"/>
      <c r="L670" s="138"/>
      <c r="M670" s="138"/>
      <c r="N670" s="138"/>
      <c r="O670" s="138"/>
    </row>
    <row r="671" spans="2:15" x14ac:dyDescent="0.2">
      <c r="B671" s="138"/>
      <c r="C671" s="126"/>
      <c r="D671" s="138"/>
      <c r="E671" s="138"/>
      <c r="F671" s="138"/>
      <c r="G671" s="138"/>
      <c r="H671" s="138"/>
      <c r="I671" s="138"/>
      <c r="J671" s="138"/>
      <c r="K671" s="138"/>
      <c r="L671" s="138"/>
      <c r="M671" s="138"/>
      <c r="N671" s="138"/>
      <c r="O671" s="138"/>
    </row>
    <row r="672" spans="2:15" x14ac:dyDescent="0.2">
      <c r="B672" s="138"/>
      <c r="C672" s="126"/>
      <c r="D672" s="138"/>
      <c r="E672" s="138"/>
      <c r="F672" s="138"/>
      <c r="G672" s="138"/>
      <c r="H672" s="138"/>
      <c r="I672" s="138"/>
      <c r="J672" s="138"/>
      <c r="K672" s="138"/>
      <c r="L672" s="138"/>
      <c r="M672" s="138"/>
      <c r="N672" s="138"/>
      <c r="O672" s="138"/>
    </row>
    <row r="673" spans="2:15" x14ac:dyDescent="0.2">
      <c r="B673" s="138"/>
      <c r="C673" s="126"/>
      <c r="D673" s="138"/>
      <c r="E673" s="138"/>
      <c r="F673" s="138"/>
      <c r="G673" s="138"/>
      <c r="H673" s="138"/>
      <c r="I673" s="138"/>
      <c r="J673" s="138"/>
      <c r="K673" s="138"/>
      <c r="L673" s="138"/>
      <c r="M673" s="138"/>
      <c r="N673" s="138"/>
      <c r="O673" s="138"/>
    </row>
    <row r="674" spans="2:15" x14ac:dyDescent="0.2">
      <c r="B674" s="138"/>
      <c r="C674" s="126"/>
      <c r="D674" s="138"/>
      <c r="E674" s="138"/>
      <c r="F674" s="138"/>
      <c r="G674" s="138"/>
      <c r="H674" s="138"/>
      <c r="I674" s="138"/>
      <c r="J674" s="138"/>
      <c r="K674" s="138"/>
      <c r="L674" s="138"/>
      <c r="M674" s="138"/>
      <c r="N674" s="138"/>
      <c r="O674" s="138"/>
    </row>
    <row r="675" spans="2:15" x14ac:dyDescent="0.2">
      <c r="B675" s="138"/>
      <c r="C675" s="126"/>
      <c r="D675" s="138"/>
      <c r="E675" s="138"/>
      <c r="F675" s="138"/>
      <c r="G675" s="138"/>
      <c r="H675" s="138"/>
      <c r="I675" s="138"/>
      <c r="J675" s="138"/>
      <c r="K675" s="138"/>
      <c r="L675" s="138"/>
      <c r="M675" s="138"/>
      <c r="N675" s="138"/>
      <c r="O675" s="138"/>
    </row>
    <row r="676" spans="2:15" x14ac:dyDescent="0.2">
      <c r="B676" s="138"/>
      <c r="C676" s="126"/>
      <c r="D676" s="138"/>
      <c r="E676" s="138"/>
      <c r="F676" s="138"/>
      <c r="G676" s="138"/>
      <c r="H676" s="138"/>
      <c r="I676" s="138"/>
      <c r="J676" s="138"/>
      <c r="K676" s="138"/>
      <c r="L676" s="138"/>
      <c r="M676" s="138"/>
      <c r="N676" s="138"/>
      <c r="O676" s="138"/>
    </row>
    <row r="677" spans="2:15" x14ac:dyDescent="0.2">
      <c r="B677" s="138"/>
      <c r="C677" s="126"/>
      <c r="D677" s="138"/>
      <c r="E677" s="138"/>
      <c r="F677" s="138"/>
      <c r="G677" s="138"/>
      <c r="H677" s="138"/>
      <c r="I677" s="138"/>
      <c r="J677" s="138"/>
      <c r="K677" s="138"/>
      <c r="L677" s="138"/>
      <c r="M677" s="138"/>
      <c r="N677" s="138"/>
      <c r="O677" s="138"/>
    </row>
    <row r="678" spans="2:15" x14ac:dyDescent="0.2">
      <c r="B678" s="138"/>
      <c r="C678" s="126"/>
      <c r="D678" s="138"/>
      <c r="E678" s="138"/>
      <c r="F678" s="138"/>
      <c r="G678" s="138"/>
      <c r="H678" s="138"/>
      <c r="I678" s="138"/>
      <c r="J678" s="138"/>
      <c r="K678" s="138"/>
      <c r="L678" s="138"/>
      <c r="M678" s="138"/>
      <c r="N678" s="138"/>
      <c r="O678" s="138"/>
    </row>
    <row r="679" spans="2:15" x14ac:dyDescent="0.2">
      <c r="B679" s="138"/>
      <c r="C679" s="126"/>
      <c r="D679" s="138"/>
      <c r="E679" s="138"/>
      <c r="F679" s="138"/>
      <c r="G679" s="138"/>
      <c r="H679" s="138"/>
      <c r="I679" s="138"/>
      <c r="J679" s="138"/>
      <c r="K679" s="138"/>
      <c r="L679" s="138"/>
      <c r="M679" s="138"/>
      <c r="N679" s="138"/>
      <c r="O679" s="138"/>
    </row>
    <row r="680" spans="2:15" x14ac:dyDescent="0.2">
      <c r="B680" s="138"/>
      <c r="C680" s="126"/>
      <c r="D680" s="138"/>
      <c r="E680" s="138"/>
      <c r="F680" s="138"/>
      <c r="G680" s="138"/>
      <c r="H680" s="138"/>
      <c r="I680" s="138"/>
      <c r="J680" s="138"/>
      <c r="K680" s="138"/>
      <c r="L680" s="138"/>
      <c r="M680" s="138"/>
      <c r="N680" s="138"/>
      <c r="O680" s="138"/>
    </row>
    <row r="681" spans="2:15" x14ac:dyDescent="0.2">
      <c r="B681" s="138"/>
      <c r="C681" s="126"/>
      <c r="D681" s="138"/>
      <c r="E681" s="138"/>
      <c r="F681" s="138"/>
      <c r="G681" s="138"/>
      <c r="H681" s="138"/>
      <c r="I681" s="138"/>
      <c r="J681" s="138"/>
      <c r="K681" s="138"/>
      <c r="L681" s="138"/>
      <c r="M681" s="138"/>
      <c r="N681" s="138"/>
      <c r="O681" s="138"/>
    </row>
    <row r="682" spans="2:15" x14ac:dyDescent="0.2">
      <c r="B682" s="138"/>
      <c r="C682" s="126"/>
      <c r="D682" s="138"/>
      <c r="E682" s="138"/>
      <c r="F682" s="138"/>
      <c r="G682" s="138"/>
      <c r="H682" s="138"/>
      <c r="I682" s="138"/>
      <c r="J682" s="138"/>
      <c r="K682" s="138"/>
      <c r="L682" s="138"/>
      <c r="M682" s="138"/>
      <c r="N682" s="138"/>
      <c r="O682" s="138"/>
    </row>
    <row r="683" spans="2:15" x14ac:dyDescent="0.2">
      <c r="B683" s="138"/>
      <c r="C683" s="126"/>
      <c r="D683" s="138"/>
      <c r="E683" s="138"/>
      <c r="F683" s="138"/>
      <c r="G683" s="138"/>
      <c r="H683" s="138"/>
      <c r="I683" s="138"/>
      <c r="J683" s="138"/>
      <c r="K683" s="138"/>
      <c r="L683" s="138"/>
      <c r="M683" s="138"/>
      <c r="N683" s="138"/>
      <c r="O683" s="138"/>
    </row>
    <row r="684" spans="2:15" x14ac:dyDescent="0.2">
      <c r="B684" s="138"/>
      <c r="C684" s="126"/>
      <c r="D684" s="138"/>
      <c r="E684" s="138"/>
      <c r="F684" s="138"/>
      <c r="G684" s="138"/>
      <c r="H684" s="138"/>
      <c r="I684" s="138"/>
      <c r="J684" s="138"/>
      <c r="K684" s="138"/>
      <c r="L684" s="138"/>
      <c r="M684" s="138"/>
      <c r="N684" s="138"/>
      <c r="O684" s="138"/>
    </row>
    <row r="685" spans="2:15" x14ac:dyDescent="0.2">
      <c r="B685" s="138"/>
      <c r="C685" s="126"/>
      <c r="D685" s="138"/>
      <c r="E685" s="138"/>
      <c r="F685" s="138"/>
      <c r="G685" s="138"/>
      <c r="H685" s="138"/>
      <c r="I685" s="138"/>
      <c r="J685" s="138"/>
      <c r="K685" s="138"/>
      <c r="L685" s="138"/>
      <c r="M685" s="138"/>
      <c r="N685" s="138"/>
      <c r="O685" s="138"/>
    </row>
    <row r="686" spans="2:15" x14ac:dyDescent="0.2">
      <c r="B686" s="138"/>
      <c r="C686" s="126"/>
      <c r="D686" s="138"/>
      <c r="E686" s="138"/>
      <c r="F686" s="138"/>
      <c r="G686" s="138"/>
      <c r="H686" s="138"/>
      <c r="I686" s="138"/>
      <c r="J686" s="138"/>
      <c r="K686" s="138"/>
      <c r="L686" s="138"/>
      <c r="M686" s="138"/>
      <c r="N686" s="138"/>
      <c r="O686" s="138"/>
    </row>
    <row r="687" spans="2:15" x14ac:dyDescent="0.2">
      <c r="B687" s="138"/>
      <c r="C687" s="126"/>
      <c r="D687" s="138"/>
      <c r="E687" s="138"/>
      <c r="F687" s="138"/>
      <c r="G687" s="138"/>
      <c r="H687" s="138"/>
      <c r="I687" s="138"/>
      <c r="J687" s="138"/>
      <c r="K687" s="138"/>
      <c r="L687" s="138"/>
      <c r="M687" s="138"/>
      <c r="N687" s="138"/>
      <c r="O687" s="138"/>
    </row>
    <row r="688" spans="2:15" x14ac:dyDescent="0.2">
      <c r="B688" s="138"/>
      <c r="C688" s="126"/>
      <c r="D688" s="138"/>
      <c r="E688" s="138"/>
      <c r="F688" s="138"/>
      <c r="G688" s="138"/>
      <c r="H688" s="138"/>
      <c r="I688" s="138"/>
      <c r="J688" s="138"/>
      <c r="K688" s="138"/>
      <c r="L688" s="138"/>
      <c r="M688" s="138"/>
      <c r="N688" s="138"/>
      <c r="O688" s="138"/>
    </row>
    <row r="689" spans="2:15" x14ac:dyDescent="0.2">
      <c r="B689" s="138"/>
      <c r="C689" s="126"/>
      <c r="D689" s="138"/>
      <c r="E689" s="138"/>
      <c r="F689" s="138"/>
      <c r="G689" s="138"/>
      <c r="H689" s="138"/>
      <c r="I689" s="138"/>
      <c r="J689" s="138"/>
      <c r="K689" s="138"/>
      <c r="L689" s="138"/>
      <c r="M689" s="138"/>
      <c r="N689" s="138"/>
      <c r="O689" s="138"/>
    </row>
    <row r="690" spans="2:15" x14ac:dyDescent="0.2">
      <c r="B690" s="138"/>
      <c r="C690" s="126"/>
      <c r="D690" s="138"/>
      <c r="E690" s="138"/>
      <c r="F690" s="138"/>
      <c r="G690" s="138"/>
      <c r="H690" s="138"/>
      <c r="I690" s="138"/>
      <c r="J690" s="138"/>
      <c r="K690" s="138"/>
      <c r="L690" s="138"/>
      <c r="M690" s="138"/>
      <c r="N690" s="138"/>
      <c r="O690" s="138"/>
    </row>
    <row r="691" spans="2:15" x14ac:dyDescent="0.2">
      <c r="B691" s="138"/>
      <c r="C691" s="126"/>
      <c r="D691" s="138"/>
      <c r="E691" s="138"/>
      <c r="F691" s="138"/>
      <c r="G691" s="138"/>
      <c r="H691" s="138"/>
      <c r="I691" s="138"/>
      <c r="J691" s="138"/>
      <c r="K691" s="138"/>
      <c r="L691" s="138"/>
      <c r="M691" s="138"/>
      <c r="N691" s="138"/>
      <c r="O691" s="138"/>
    </row>
    <row r="692" spans="2:15" x14ac:dyDescent="0.2">
      <c r="B692" s="138"/>
      <c r="C692" s="126"/>
      <c r="D692" s="138"/>
      <c r="E692" s="138"/>
      <c r="F692" s="138"/>
      <c r="G692" s="138"/>
      <c r="H692" s="138"/>
      <c r="I692" s="138"/>
      <c r="J692" s="138"/>
      <c r="K692" s="138"/>
      <c r="L692" s="138"/>
      <c r="M692" s="138"/>
      <c r="N692" s="138"/>
      <c r="O692" s="138"/>
    </row>
    <row r="693" spans="2:15" x14ac:dyDescent="0.2">
      <c r="B693" s="138"/>
      <c r="C693" s="126"/>
      <c r="D693" s="138"/>
      <c r="E693" s="138"/>
      <c r="F693" s="138"/>
      <c r="G693" s="138"/>
      <c r="H693" s="138"/>
      <c r="I693" s="138"/>
      <c r="J693" s="138"/>
      <c r="K693" s="138"/>
      <c r="L693" s="138"/>
      <c r="M693" s="138"/>
      <c r="N693" s="138"/>
      <c r="O693" s="138"/>
    </row>
    <row r="694" spans="2:15" x14ac:dyDescent="0.2">
      <c r="B694" s="138"/>
      <c r="C694" s="126"/>
      <c r="D694" s="138"/>
      <c r="E694" s="138"/>
      <c r="F694" s="138"/>
      <c r="G694" s="138"/>
      <c r="H694" s="138"/>
      <c r="I694" s="138"/>
      <c r="J694" s="138"/>
      <c r="K694" s="138"/>
      <c r="L694" s="138"/>
      <c r="M694" s="138"/>
      <c r="N694" s="138"/>
      <c r="O694" s="138"/>
    </row>
    <row r="695" spans="2:15" x14ac:dyDescent="0.2">
      <c r="B695" s="138"/>
      <c r="C695" s="126"/>
      <c r="D695" s="138"/>
      <c r="E695" s="138"/>
      <c r="F695" s="138"/>
      <c r="G695" s="138"/>
      <c r="H695" s="138"/>
      <c r="I695" s="138"/>
      <c r="J695" s="138"/>
      <c r="K695" s="138"/>
      <c r="L695" s="138"/>
      <c r="M695" s="138"/>
      <c r="N695" s="138"/>
      <c r="O695" s="138"/>
    </row>
    <row r="696" spans="2:15" x14ac:dyDescent="0.2">
      <c r="B696" s="138"/>
      <c r="C696" s="126"/>
      <c r="D696" s="138"/>
      <c r="E696" s="138"/>
      <c r="F696" s="138"/>
      <c r="G696" s="138"/>
      <c r="H696" s="138"/>
      <c r="I696" s="138"/>
      <c r="J696" s="138"/>
      <c r="K696" s="138"/>
      <c r="L696" s="138"/>
      <c r="M696" s="138"/>
      <c r="N696" s="138"/>
      <c r="O696" s="138"/>
    </row>
    <row r="697" spans="2:15" x14ac:dyDescent="0.2">
      <c r="B697" s="138"/>
      <c r="C697" s="126"/>
      <c r="D697" s="138"/>
      <c r="E697" s="138"/>
      <c r="F697" s="138"/>
      <c r="G697" s="138"/>
      <c r="H697" s="138"/>
      <c r="I697" s="138"/>
      <c r="J697" s="138"/>
      <c r="K697" s="138"/>
      <c r="L697" s="138"/>
      <c r="M697" s="138"/>
      <c r="N697" s="138"/>
      <c r="O697" s="138"/>
    </row>
    <row r="698" spans="2:15" x14ac:dyDescent="0.2">
      <c r="B698" s="138"/>
      <c r="C698" s="126"/>
      <c r="D698" s="138"/>
      <c r="E698" s="138"/>
      <c r="F698" s="138"/>
      <c r="G698" s="138"/>
      <c r="H698" s="138"/>
      <c r="I698" s="138"/>
      <c r="J698" s="138"/>
      <c r="K698" s="138"/>
      <c r="L698" s="138"/>
      <c r="M698" s="138"/>
      <c r="N698" s="138"/>
      <c r="O698" s="138"/>
    </row>
    <row r="699" spans="2:15" x14ac:dyDescent="0.2">
      <c r="B699" s="138"/>
      <c r="C699" s="126"/>
      <c r="D699" s="138"/>
      <c r="E699" s="138"/>
      <c r="F699" s="138"/>
      <c r="G699" s="138"/>
      <c r="H699" s="138"/>
      <c r="I699" s="138"/>
      <c r="J699" s="138"/>
      <c r="K699" s="138"/>
      <c r="L699" s="138"/>
      <c r="M699" s="138"/>
      <c r="N699" s="138"/>
      <c r="O699" s="138"/>
    </row>
    <row r="700" spans="2:15" x14ac:dyDescent="0.2">
      <c r="B700" s="138"/>
      <c r="C700" s="126"/>
      <c r="D700" s="138"/>
      <c r="E700" s="138"/>
      <c r="F700" s="138"/>
      <c r="G700" s="138"/>
      <c r="H700" s="138"/>
      <c r="I700" s="138"/>
      <c r="J700" s="138"/>
      <c r="K700" s="138"/>
      <c r="L700" s="138"/>
      <c r="M700" s="138"/>
      <c r="N700" s="138"/>
      <c r="O700" s="138"/>
    </row>
    <row r="701" spans="2:15" x14ac:dyDescent="0.2">
      <c r="B701" s="138"/>
      <c r="C701" s="126"/>
      <c r="D701" s="138"/>
      <c r="E701" s="138"/>
      <c r="F701" s="138"/>
      <c r="G701" s="138"/>
      <c r="H701" s="138"/>
      <c r="I701" s="138"/>
      <c r="J701" s="138"/>
      <c r="K701" s="138"/>
      <c r="L701" s="138"/>
      <c r="M701" s="138"/>
      <c r="N701" s="138"/>
      <c r="O701" s="138"/>
    </row>
    <row r="702" spans="2:15" x14ac:dyDescent="0.2">
      <c r="B702" s="138"/>
      <c r="C702" s="126"/>
      <c r="D702" s="138"/>
      <c r="E702" s="138"/>
      <c r="F702" s="138"/>
      <c r="G702" s="138"/>
      <c r="H702" s="138"/>
      <c r="I702" s="138"/>
      <c r="J702" s="138"/>
      <c r="K702" s="138"/>
      <c r="L702" s="138"/>
      <c r="M702" s="138"/>
      <c r="N702" s="138"/>
      <c r="O702" s="138"/>
    </row>
    <row r="703" spans="2:15" x14ac:dyDescent="0.2">
      <c r="B703" s="138"/>
      <c r="C703" s="126"/>
      <c r="D703" s="138"/>
      <c r="E703" s="138"/>
      <c r="F703" s="138"/>
      <c r="G703" s="138"/>
      <c r="H703" s="138"/>
      <c r="I703" s="138"/>
      <c r="J703" s="138"/>
      <c r="K703" s="138"/>
      <c r="L703" s="138"/>
      <c r="M703" s="138"/>
      <c r="N703" s="138"/>
      <c r="O703" s="138"/>
    </row>
    <row r="704" spans="2:15" x14ac:dyDescent="0.2">
      <c r="B704" s="138"/>
      <c r="C704" s="126"/>
      <c r="D704" s="138"/>
      <c r="E704" s="138"/>
      <c r="F704" s="138"/>
      <c r="G704" s="138"/>
      <c r="H704" s="138"/>
      <c r="I704" s="138"/>
      <c r="J704" s="138"/>
      <c r="K704" s="138"/>
      <c r="L704" s="138"/>
      <c r="M704" s="138"/>
      <c r="N704" s="138"/>
      <c r="O704" s="138"/>
    </row>
    <row r="705" spans="2:15" x14ac:dyDescent="0.2">
      <c r="B705" s="138"/>
      <c r="C705" s="126"/>
      <c r="D705" s="138"/>
      <c r="E705" s="138"/>
      <c r="F705" s="138"/>
      <c r="G705" s="138"/>
      <c r="H705" s="138"/>
      <c r="I705" s="138"/>
      <c r="J705" s="138"/>
      <c r="K705" s="138"/>
      <c r="L705" s="138"/>
      <c r="M705" s="138"/>
      <c r="N705" s="138"/>
      <c r="O705" s="138"/>
    </row>
    <row r="706" spans="2:15" x14ac:dyDescent="0.2">
      <c r="B706" s="138"/>
      <c r="C706" s="126"/>
      <c r="D706" s="138"/>
      <c r="E706" s="138"/>
      <c r="F706" s="138"/>
      <c r="G706" s="138"/>
      <c r="H706" s="138"/>
      <c r="I706" s="138"/>
      <c r="J706" s="138"/>
      <c r="K706" s="138"/>
      <c r="L706" s="138"/>
      <c r="M706" s="138"/>
      <c r="N706" s="138"/>
      <c r="O706" s="138"/>
    </row>
    <row r="707" spans="2:15" x14ac:dyDescent="0.2">
      <c r="B707" s="138"/>
      <c r="C707" s="126"/>
      <c r="D707" s="138"/>
      <c r="E707" s="138"/>
      <c r="F707" s="138"/>
      <c r="G707" s="138"/>
      <c r="H707" s="138"/>
      <c r="I707" s="138"/>
      <c r="J707" s="138"/>
      <c r="K707" s="138"/>
      <c r="L707" s="138"/>
      <c r="M707" s="138"/>
      <c r="N707" s="138"/>
      <c r="O707" s="138"/>
    </row>
    <row r="708" spans="2:15" x14ac:dyDescent="0.2">
      <c r="B708" s="138"/>
      <c r="C708" s="126"/>
      <c r="D708" s="138"/>
      <c r="E708" s="138"/>
      <c r="F708" s="138"/>
      <c r="G708" s="138"/>
      <c r="H708" s="138"/>
      <c r="I708" s="138"/>
      <c r="J708" s="138"/>
      <c r="K708" s="138"/>
      <c r="L708" s="138"/>
      <c r="M708" s="138"/>
      <c r="N708" s="138"/>
      <c r="O708" s="138"/>
    </row>
    <row r="709" spans="2:15" x14ac:dyDescent="0.2">
      <c r="B709" s="138"/>
      <c r="C709" s="126"/>
      <c r="D709" s="138"/>
      <c r="E709" s="138"/>
      <c r="F709" s="138"/>
      <c r="G709" s="138"/>
      <c r="H709" s="138"/>
      <c r="I709" s="138"/>
      <c r="J709" s="138"/>
      <c r="K709" s="138"/>
      <c r="L709" s="138"/>
      <c r="M709" s="138"/>
      <c r="N709" s="138"/>
      <c r="O709" s="138"/>
    </row>
    <row r="710" spans="2:15" x14ac:dyDescent="0.2">
      <c r="B710" s="138"/>
      <c r="C710" s="126"/>
      <c r="D710" s="138"/>
      <c r="E710" s="138"/>
      <c r="F710" s="138"/>
      <c r="G710" s="138"/>
      <c r="H710" s="138"/>
      <c r="I710" s="138"/>
      <c r="J710" s="138"/>
      <c r="K710" s="138"/>
      <c r="L710" s="138"/>
      <c r="M710" s="138"/>
      <c r="N710" s="138"/>
      <c r="O710" s="138"/>
    </row>
    <row r="711" spans="2:15" x14ac:dyDescent="0.2">
      <c r="B711" s="138"/>
      <c r="C711" s="126"/>
      <c r="D711" s="138"/>
      <c r="E711" s="138"/>
      <c r="F711" s="138"/>
      <c r="G711" s="138"/>
      <c r="H711" s="138"/>
      <c r="I711" s="138"/>
      <c r="J711" s="138"/>
      <c r="K711" s="138"/>
      <c r="L711" s="138"/>
      <c r="M711" s="138"/>
      <c r="N711" s="138"/>
      <c r="O711" s="138"/>
    </row>
    <row r="712" spans="2:15" x14ac:dyDescent="0.2">
      <c r="B712" s="138"/>
      <c r="C712" s="126"/>
      <c r="D712" s="138"/>
      <c r="E712" s="138"/>
      <c r="F712" s="138"/>
      <c r="G712" s="138"/>
      <c r="H712" s="138"/>
      <c r="I712" s="138"/>
      <c r="J712" s="138"/>
      <c r="K712" s="138"/>
      <c r="L712" s="138"/>
      <c r="M712" s="138"/>
      <c r="N712" s="138"/>
      <c r="O712" s="138"/>
    </row>
    <row r="713" spans="2:15" x14ac:dyDescent="0.2">
      <c r="B713" s="138"/>
      <c r="C713" s="126"/>
      <c r="D713" s="138"/>
      <c r="E713" s="138"/>
      <c r="F713" s="138"/>
      <c r="G713" s="138"/>
      <c r="H713" s="138"/>
      <c r="I713" s="138"/>
      <c r="J713" s="138"/>
      <c r="K713" s="138"/>
      <c r="L713" s="138"/>
      <c r="M713" s="138"/>
      <c r="N713" s="138"/>
      <c r="O713" s="138"/>
    </row>
    <row r="714" spans="2:15" x14ac:dyDescent="0.2">
      <c r="B714" s="138"/>
      <c r="C714" s="126"/>
      <c r="D714" s="138"/>
      <c r="E714" s="138"/>
      <c r="F714" s="138"/>
      <c r="G714" s="138"/>
      <c r="H714" s="138"/>
      <c r="I714" s="138"/>
      <c r="J714" s="138"/>
      <c r="K714" s="138"/>
      <c r="L714" s="138"/>
      <c r="M714" s="138"/>
      <c r="N714" s="138"/>
      <c r="O714" s="138"/>
    </row>
    <row r="715" spans="2:15" x14ac:dyDescent="0.2">
      <c r="B715" s="138"/>
      <c r="C715" s="126"/>
      <c r="D715" s="138"/>
      <c r="E715" s="138"/>
      <c r="F715" s="138"/>
      <c r="G715" s="138"/>
      <c r="H715" s="138"/>
      <c r="I715" s="138"/>
      <c r="J715" s="138"/>
      <c r="K715" s="138"/>
      <c r="L715" s="138"/>
      <c r="M715" s="138"/>
      <c r="N715" s="138"/>
      <c r="O715" s="138"/>
    </row>
    <row r="716" spans="2:15" x14ac:dyDescent="0.2">
      <c r="B716" s="138"/>
      <c r="C716" s="126"/>
      <c r="D716" s="138"/>
      <c r="E716" s="138"/>
      <c r="F716" s="138"/>
      <c r="G716" s="138"/>
      <c r="H716" s="138"/>
      <c r="I716" s="138"/>
      <c r="J716" s="138"/>
      <c r="K716" s="138"/>
      <c r="L716" s="138"/>
      <c r="M716" s="138"/>
      <c r="N716" s="138"/>
      <c r="O716" s="138"/>
    </row>
    <row r="717" spans="2:15" x14ac:dyDescent="0.2">
      <c r="B717" s="138"/>
      <c r="C717" s="126"/>
      <c r="D717" s="138"/>
      <c r="E717" s="138"/>
      <c r="F717" s="138"/>
      <c r="G717" s="138"/>
      <c r="H717" s="138"/>
      <c r="I717" s="138"/>
      <c r="J717" s="138"/>
      <c r="K717" s="138"/>
      <c r="L717" s="138"/>
      <c r="M717" s="138"/>
      <c r="N717" s="138"/>
      <c r="O717" s="138"/>
    </row>
    <row r="718" spans="2:15" x14ac:dyDescent="0.2">
      <c r="B718" s="138"/>
      <c r="C718" s="126"/>
      <c r="D718" s="138"/>
      <c r="E718" s="138"/>
      <c r="F718" s="138"/>
      <c r="G718" s="138"/>
      <c r="H718" s="138"/>
      <c r="I718" s="138"/>
      <c r="J718" s="138"/>
      <c r="K718" s="138"/>
      <c r="L718" s="138"/>
      <c r="M718" s="138"/>
      <c r="N718" s="138"/>
      <c r="O718" s="138"/>
    </row>
    <row r="719" spans="2:15" x14ac:dyDescent="0.2">
      <c r="B719" s="138"/>
      <c r="C719" s="126"/>
      <c r="D719" s="138"/>
      <c r="E719" s="138"/>
      <c r="F719" s="138"/>
      <c r="G719" s="138"/>
      <c r="H719" s="138"/>
      <c r="I719" s="138"/>
      <c r="J719" s="138"/>
      <c r="K719" s="138"/>
      <c r="L719" s="138"/>
      <c r="M719" s="138"/>
      <c r="N719" s="138"/>
      <c r="O719" s="138"/>
    </row>
    <row r="720" spans="2:15" x14ac:dyDescent="0.2">
      <c r="B720" s="138"/>
      <c r="C720" s="126"/>
      <c r="D720" s="138"/>
      <c r="E720" s="138"/>
      <c r="F720" s="138"/>
      <c r="G720" s="138"/>
      <c r="H720" s="138"/>
      <c r="I720" s="138"/>
      <c r="J720" s="138"/>
      <c r="K720" s="138"/>
      <c r="L720" s="138"/>
      <c r="M720" s="138"/>
      <c r="N720" s="138"/>
      <c r="O720" s="138"/>
    </row>
    <row r="721" spans="2:15" x14ac:dyDescent="0.2">
      <c r="B721" s="138"/>
      <c r="C721" s="126"/>
      <c r="D721" s="138"/>
      <c r="E721" s="138"/>
      <c r="F721" s="138"/>
      <c r="G721" s="138"/>
      <c r="H721" s="138"/>
      <c r="I721" s="138"/>
      <c r="J721" s="138"/>
      <c r="K721" s="138"/>
      <c r="L721" s="138"/>
      <c r="M721" s="138"/>
      <c r="N721" s="138"/>
      <c r="O721" s="138"/>
    </row>
    <row r="722" spans="2:15" x14ac:dyDescent="0.2">
      <c r="B722" s="138"/>
      <c r="C722" s="126"/>
      <c r="D722" s="138"/>
      <c r="E722" s="138"/>
      <c r="F722" s="138"/>
      <c r="G722" s="138"/>
      <c r="H722" s="138"/>
      <c r="I722" s="138"/>
      <c r="J722" s="138"/>
      <c r="K722" s="138"/>
      <c r="L722" s="138"/>
      <c r="M722" s="138"/>
      <c r="N722" s="138"/>
      <c r="O722" s="138"/>
    </row>
    <row r="723" spans="2:15" x14ac:dyDescent="0.2">
      <c r="B723" s="138"/>
      <c r="C723" s="126"/>
      <c r="D723" s="138"/>
      <c r="E723" s="138"/>
      <c r="F723" s="138"/>
      <c r="G723" s="138"/>
      <c r="H723" s="138"/>
      <c r="I723" s="138"/>
      <c r="J723" s="138"/>
      <c r="K723" s="138"/>
      <c r="L723" s="138"/>
      <c r="M723" s="138"/>
      <c r="N723" s="138"/>
      <c r="O723" s="138"/>
    </row>
    <row r="724" spans="2:15" x14ac:dyDescent="0.2">
      <c r="B724" s="138"/>
      <c r="C724" s="126"/>
      <c r="D724" s="138"/>
      <c r="E724" s="138"/>
      <c r="F724" s="138"/>
      <c r="G724" s="138"/>
      <c r="H724" s="138"/>
      <c r="I724" s="138"/>
      <c r="J724" s="138"/>
      <c r="K724" s="138"/>
      <c r="L724" s="138"/>
      <c r="M724" s="138"/>
      <c r="N724" s="138"/>
      <c r="O724" s="138"/>
    </row>
    <row r="725" spans="2:15" x14ac:dyDescent="0.2">
      <c r="B725" s="138"/>
      <c r="C725" s="126"/>
      <c r="D725" s="138"/>
      <c r="E725" s="138"/>
      <c r="F725" s="138"/>
      <c r="G725" s="138"/>
      <c r="H725" s="138"/>
      <c r="I725" s="138"/>
      <c r="J725" s="138"/>
      <c r="K725" s="138"/>
      <c r="L725" s="138"/>
      <c r="M725" s="138"/>
      <c r="N725" s="138"/>
      <c r="O725" s="138"/>
    </row>
    <row r="726" spans="2:15" x14ac:dyDescent="0.2">
      <c r="B726" s="138"/>
      <c r="C726" s="126"/>
      <c r="D726" s="138"/>
      <c r="E726" s="138"/>
      <c r="F726" s="138"/>
      <c r="G726" s="138"/>
      <c r="H726" s="138"/>
      <c r="I726" s="138"/>
      <c r="J726" s="138"/>
      <c r="K726" s="138"/>
      <c r="L726" s="138"/>
      <c r="M726" s="138"/>
      <c r="N726" s="138"/>
      <c r="O726" s="138"/>
    </row>
    <row r="727" spans="2:15" x14ac:dyDescent="0.2">
      <c r="B727" s="138"/>
      <c r="C727" s="126"/>
      <c r="D727" s="138"/>
      <c r="E727" s="138"/>
      <c r="F727" s="138"/>
      <c r="G727" s="138"/>
      <c r="H727" s="138"/>
      <c r="I727" s="138"/>
      <c r="J727" s="138"/>
      <c r="K727" s="138"/>
      <c r="L727" s="138"/>
      <c r="M727" s="138"/>
      <c r="N727" s="138"/>
      <c r="O727" s="138"/>
    </row>
    <row r="728" spans="2:15" x14ac:dyDescent="0.2">
      <c r="B728" s="138"/>
      <c r="C728" s="126"/>
      <c r="D728" s="138"/>
      <c r="E728" s="138"/>
      <c r="F728" s="138"/>
      <c r="G728" s="138"/>
      <c r="H728" s="138"/>
      <c r="I728" s="138"/>
      <c r="J728" s="138"/>
      <c r="K728" s="138"/>
      <c r="L728" s="138"/>
      <c r="M728" s="138"/>
      <c r="N728" s="138"/>
      <c r="O728" s="138"/>
    </row>
    <row r="729" spans="2:15" x14ac:dyDescent="0.2">
      <c r="B729" s="138"/>
      <c r="C729" s="126"/>
      <c r="D729" s="138"/>
      <c r="E729" s="138"/>
      <c r="F729" s="138"/>
      <c r="G729" s="138"/>
      <c r="H729" s="138"/>
      <c r="I729" s="138"/>
      <c r="J729" s="138"/>
      <c r="K729" s="138"/>
      <c r="L729" s="138"/>
      <c r="M729" s="138"/>
      <c r="N729" s="138"/>
      <c r="O729" s="138"/>
    </row>
    <row r="730" spans="2:15" x14ac:dyDescent="0.2">
      <c r="B730" s="138"/>
      <c r="C730" s="126"/>
      <c r="D730" s="138"/>
      <c r="E730" s="138"/>
      <c r="F730" s="138"/>
      <c r="G730" s="138"/>
      <c r="H730" s="138"/>
      <c r="I730" s="138"/>
      <c r="J730" s="138"/>
      <c r="K730" s="138"/>
      <c r="L730" s="138"/>
      <c r="M730" s="138"/>
      <c r="N730" s="138"/>
      <c r="O730" s="138"/>
    </row>
    <row r="731" spans="2:15" x14ac:dyDescent="0.2">
      <c r="B731" s="138"/>
      <c r="C731" s="126"/>
      <c r="D731" s="138"/>
      <c r="E731" s="138"/>
      <c r="F731" s="138"/>
      <c r="G731" s="138"/>
      <c r="H731" s="138"/>
      <c r="I731" s="138"/>
      <c r="J731" s="138"/>
      <c r="K731" s="138"/>
      <c r="L731" s="138"/>
      <c r="M731" s="138"/>
      <c r="N731" s="138"/>
      <c r="O731" s="138"/>
    </row>
    <row r="732" spans="2:15" x14ac:dyDescent="0.2">
      <c r="B732" s="138"/>
      <c r="C732" s="126"/>
      <c r="D732" s="138"/>
      <c r="E732" s="138"/>
      <c r="F732" s="138"/>
      <c r="G732" s="138"/>
      <c r="H732" s="138"/>
      <c r="I732" s="138"/>
      <c r="J732" s="138"/>
      <c r="K732" s="138"/>
      <c r="L732" s="138"/>
      <c r="M732" s="138"/>
      <c r="N732" s="138"/>
      <c r="O732" s="138"/>
    </row>
    <row r="733" spans="2:15" x14ac:dyDescent="0.2">
      <c r="B733" s="138"/>
      <c r="C733" s="126"/>
      <c r="D733" s="138"/>
      <c r="E733" s="138"/>
      <c r="F733" s="138"/>
      <c r="G733" s="138"/>
      <c r="H733" s="138"/>
      <c r="I733" s="138"/>
      <c r="J733" s="138"/>
      <c r="K733" s="138"/>
      <c r="L733" s="138"/>
      <c r="M733" s="138"/>
      <c r="N733" s="138"/>
      <c r="O733" s="138"/>
    </row>
    <row r="734" spans="2:15" x14ac:dyDescent="0.2">
      <c r="B734" s="138"/>
      <c r="C734" s="126"/>
      <c r="D734" s="138"/>
      <c r="E734" s="138"/>
      <c r="F734" s="138"/>
      <c r="G734" s="138"/>
      <c r="H734" s="138"/>
      <c r="I734" s="138"/>
      <c r="J734" s="138"/>
      <c r="K734" s="138"/>
      <c r="L734" s="138"/>
      <c r="M734" s="138"/>
      <c r="N734" s="138"/>
      <c r="O734" s="138"/>
    </row>
    <row r="735" spans="2:15" x14ac:dyDescent="0.2">
      <c r="B735" s="138"/>
      <c r="C735" s="126"/>
      <c r="D735" s="138"/>
      <c r="E735" s="138"/>
      <c r="F735" s="138"/>
      <c r="G735" s="138"/>
      <c r="H735" s="138"/>
      <c r="I735" s="138"/>
      <c r="J735" s="138"/>
      <c r="K735" s="138"/>
      <c r="L735" s="138"/>
      <c r="M735" s="138"/>
      <c r="N735" s="138"/>
      <c r="O735" s="138"/>
    </row>
    <row r="736" spans="2:15" x14ac:dyDescent="0.2">
      <c r="B736" s="138"/>
      <c r="C736" s="126"/>
      <c r="D736" s="138"/>
      <c r="E736" s="138"/>
      <c r="F736" s="138"/>
      <c r="G736" s="138"/>
      <c r="H736" s="138"/>
      <c r="I736" s="138"/>
      <c r="J736" s="138"/>
      <c r="K736" s="138"/>
      <c r="L736" s="138"/>
      <c r="M736" s="138"/>
      <c r="N736" s="138"/>
      <c r="O736" s="138"/>
    </row>
    <row r="737" spans="2:15" x14ac:dyDescent="0.2">
      <c r="B737" s="138"/>
      <c r="C737" s="126"/>
      <c r="D737" s="138"/>
      <c r="E737" s="138"/>
      <c r="F737" s="138"/>
      <c r="G737" s="138"/>
      <c r="H737" s="138"/>
      <c r="I737" s="138"/>
      <c r="J737" s="138"/>
      <c r="K737" s="138"/>
      <c r="L737" s="138"/>
      <c r="M737" s="138"/>
      <c r="N737" s="138"/>
      <c r="O737" s="138"/>
    </row>
    <row r="738" spans="2:15" x14ac:dyDescent="0.2">
      <c r="B738" s="138"/>
      <c r="C738" s="126"/>
      <c r="D738" s="138"/>
      <c r="E738" s="138"/>
      <c r="F738" s="138"/>
      <c r="G738" s="138"/>
      <c r="H738" s="138"/>
      <c r="I738" s="138"/>
      <c r="J738" s="138"/>
      <c r="K738" s="138"/>
      <c r="L738" s="138"/>
      <c r="M738" s="138"/>
      <c r="N738" s="138"/>
      <c r="O738" s="138"/>
    </row>
    <row r="739" spans="2:15" x14ac:dyDescent="0.2">
      <c r="B739" s="138"/>
      <c r="C739" s="126"/>
      <c r="D739" s="138"/>
      <c r="E739" s="138"/>
      <c r="F739" s="138"/>
      <c r="G739" s="138"/>
      <c r="H739" s="138"/>
      <c r="I739" s="138"/>
      <c r="J739" s="138"/>
      <c r="K739" s="138"/>
      <c r="L739" s="138"/>
      <c r="M739" s="138"/>
      <c r="N739" s="138"/>
      <c r="O739" s="138"/>
    </row>
    <row r="740" spans="2:15" x14ac:dyDescent="0.2">
      <c r="B740" s="138"/>
      <c r="C740" s="126"/>
      <c r="D740" s="138"/>
      <c r="E740" s="138"/>
      <c r="F740" s="138"/>
      <c r="G740" s="138"/>
      <c r="H740" s="138"/>
      <c r="I740" s="138"/>
      <c r="J740" s="138"/>
      <c r="K740" s="138"/>
      <c r="L740" s="138"/>
      <c r="M740" s="138"/>
      <c r="N740" s="138"/>
      <c r="O740" s="138"/>
    </row>
    <row r="741" spans="2:15" x14ac:dyDescent="0.2">
      <c r="B741" s="138"/>
      <c r="C741" s="126"/>
      <c r="D741" s="138"/>
      <c r="E741" s="138"/>
      <c r="F741" s="138"/>
      <c r="G741" s="138"/>
      <c r="H741" s="138"/>
      <c r="I741" s="138"/>
      <c r="J741" s="138"/>
      <c r="K741" s="138"/>
      <c r="L741" s="138"/>
      <c r="M741" s="138"/>
      <c r="N741" s="138"/>
      <c r="O741" s="138"/>
    </row>
    <row r="742" spans="2:15" x14ac:dyDescent="0.2">
      <c r="B742" s="138"/>
      <c r="C742" s="126"/>
      <c r="D742" s="138"/>
      <c r="E742" s="138"/>
      <c r="F742" s="138"/>
      <c r="G742" s="138"/>
      <c r="H742" s="138"/>
      <c r="I742" s="138"/>
      <c r="J742" s="138"/>
      <c r="K742" s="138"/>
      <c r="L742" s="138"/>
      <c r="M742" s="138"/>
      <c r="N742" s="138"/>
      <c r="O742" s="138"/>
    </row>
    <row r="743" spans="2:15" x14ac:dyDescent="0.2">
      <c r="B743" s="138"/>
      <c r="C743" s="126"/>
      <c r="D743" s="138"/>
      <c r="E743" s="138"/>
      <c r="F743" s="138"/>
      <c r="G743" s="138"/>
      <c r="H743" s="138"/>
      <c r="I743" s="138"/>
      <c r="J743" s="138"/>
      <c r="K743" s="138"/>
      <c r="L743" s="138"/>
      <c r="M743" s="138"/>
      <c r="N743" s="138"/>
      <c r="O743" s="138"/>
    </row>
    <row r="744" spans="2:15" x14ac:dyDescent="0.2">
      <c r="B744" s="138"/>
      <c r="C744" s="126"/>
      <c r="D744" s="138"/>
      <c r="E744" s="138"/>
      <c r="F744" s="138"/>
      <c r="G744" s="138"/>
      <c r="H744" s="138"/>
      <c r="I744" s="138"/>
      <c r="J744" s="138"/>
      <c r="K744" s="138"/>
      <c r="L744" s="138"/>
      <c r="M744" s="138"/>
      <c r="N744" s="138"/>
      <c r="O744" s="138"/>
    </row>
    <row r="745" spans="2:15" x14ac:dyDescent="0.2">
      <c r="B745" s="138"/>
      <c r="C745" s="126"/>
      <c r="D745" s="138"/>
      <c r="E745" s="138"/>
      <c r="F745" s="138"/>
      <c r="G745" s="138"/>
      <c r="H745" s="138"/>
      <c r="I745" s="138"/>
      <c r="J745" s="138"/>
      <c r="K745" s="138"/>
      <c r="L745" s="138"/>
      <c r="M745" s="138"/>
      <c r="N745" s="138"/>
      <c r="O745" s="138"/>
    </row>
    <row r="746" spans="2:15" x14ac:dyDescent="0.2">
      <c r="B746" s="138"/>
      <c r="C746" s="126"/>
      <c r="D746" s="138"/>
      <c r="E746" s="138"/>
      <c r="F746" s="138"/>
      <c r="G746" s="138"/>
      <c r="H746" s="138"/>
      <c r="I746" s="138"/>
      <c r="J746" s="138"/>
      <c r="K746" s="138"/>
      <c r="L746" s="138"/>
      <c r="M746" s="138"/>
      <c r="N746" s="138"/>
      <c r="O746" s="138"/>
    </row>
    <row r="747" spans="2:15" x14ac:dyDescent="0.2">
      <c r="B747" s="138"/>
      <c r="C747" s="126"/>
      <c r="D747" s="138"/>
      <c r="E747" s="138"/>
      <c r="F747" s="138"/>
      <c r="G747" s="138"/>
      <c r="H747" s="138"/>
      <c r="I747" s="138"/>
      <c r="J747" s="138"/>
      <c r="K747" s="138"/>
      <c r="L747" s="138"/>
      <c r="M747" s="138"/>
      <c r="N747" s="138"/>
      <c r="O747" s="138"/>
    </row>
    <row r="748" spans="2:15" x14ac:dyDescent="0.2">
      <c r="B748" s="138"/>
      <c r="C748" s="126"/>
      <c r="D748" s="138"/>
      <c r="E748" s="138"/>
      <c r="F748" s="138"/>
      <c r="G748" s="138"/>
      <c r="H748" s="138"/>
      <c r="I748" s="138"/>
      <c r="J748" s="138"/>
      <c r="K748" s="138"/>
      <c r="L748" s="138"/>
      <c r="M748" s="138"/>
      <c r="N748" s="138"/>
      <c r="O748" s="138"/>
    </row>
    <row r="749" spans="2:15" x14ac:dyDescent="0.2">
      <c r="B749" s="138"/>
      <c r="C749" s="126"/>
      <c r="D749" s="138"/>
      <c r="E749" s="138"/>
      <c r="F749" s="138"/>
      <c r="G749" s="138"/>
      <c r="H749" s="138"/>
      <c r="I749" s="138"/>
      <c r="J749" s="138"/>
      <c r="K749" s="138"/>
      <c r="L749" s="138"/>
      <c r="M749" s="138"/>
      <c r="N749" s="138"/>
      <c r="O749" s="138"/>
    </row>
    <row r="750" spans="2:15" x14ac:dyDescent="0.2">
      <c r="B750" s="138"/>
      <c r="C750" s="126"/>
      <c r="D750" s="138"/>
      <c r="E750" s="138"/>
      <c r="F750" s="138"/>
      <c r="G750" s="138"/>
      <c r="H750" s="138"/>
      <c r="I750" s="138"/>
      <c r="J750" s="138"/>
      <c r="K750" s="138"/>
      <c r="L750" s="138"/>
      <c r="M750" s="138"/>
      <c r="N750" s="138"/>
      <c r="O750" s="138"/>
    </row>
    <row r="751" spans="2:15" x14ac:dyDescent="0.2">
      <c r="B751" s="138"/>
      <c r="C751" s="126"/>
      <c r="D751" s="138"/>
      <c r="E751" s="138"/>
      <c r="F751" s="138"/>
      <c r="G751" s="138"/>
      <c r="H751" s="138"/>
      <c r="I751" s="138"/>
      <c r="J751" s="138"/>
      <c r="K751" s="138"/>
      <c r="L751" s="138"/>
      <c r="M751" s="138"/>
      <c r="N751" s="138"/>
      <c r="O751" s="138"/>
    </row>
    <row r="752" spans="2:15" x14ac:dyDescent="0.2">
      <c r="B752" s="138"/>
      <c r="C752" s="126"/>
      <c r="D752" s="138"/>
      <c r="E752" s="138"/>
      <c r="F752" s="138"/>
      <c r="G752" s="138"/>
      <c r="H752" s="138"/>
      <c r="I752" s="138"/>
      <c r="J752" s="138"/>
      <c r="K752" s="138"/>
      <c r="L752" s="138"/>
      <c r="M752" s="138"/>
      <c r="N752" s="138"/>
      <c r="O752" s="138"/>
    </row>
    <row r="753" spans="2:15" x14ac:dyDescent="0.2">
      <c r="B753" s="138"/>
      <c r="C753" s="126"/>
      <c r="D753" s="138"/>
      <c r="E753" s="138"/>
      <c r="F753" s="138"/>
      <c r="G753" s="138"/>
      <c r="H753" s="138"/>
      <c r="I753" s="138"/>
      <c r="J753" s="138"/>
      <c r="K753" s="138"/>
      <c r="L753" s="138"/>
      <c r="M753" s="138"/>
      <c r="N753" s="138"/>
      <c r="O753" s="138"/>
    </row>
    <row r="754" spans="2:15" x14ac:dyDescent="0.2">
      <c r="B754" s="138"/>
      <c r="C754" s="126"/>
      <c r="D754" s="138"/>
      <c r="E754" s="138"/>
      <c r="F754" s="138"/>
      <c r="G754" s="138"/>
      <c r="H754" s="138"/>
      <c r="I754" s="138"/>
      <c r="J754" s="138"/>
      <c r="K754" s="138"/>
      <c r="L754" s="138"/>
      <c r="M754" s="138"/>
      <c r="N754" s="138"/>
      <c r="O754" s="138"/>
    </row>
    <row r="755" spans="2:15" x14ac:dyDescent="0.2">
      <c r="B755" s="138"/>
      <c r="C755" s="126"/>
      <c r="D755" s="138"/>
      <c r="E755" s="138"/>
      <c r="F755" s="138"/>
      <c r="G755" s="138"/>
      <c r="H755" s="138"/>
      <c r="I755" s="138"/>
      <c r="J755" s="138"/>
      <c r="K755" s="138"/>
      <c r="L755" s="138"/>
      <c r="M755" s="138"/>
      <c r="N755" s="138"/>
      <c r="O755" s="138"/>
    </row>
    <row r="756" spans="2:15" x14ac:dyDescent="0.2">
      <c r="B756" s="138"/>
      <c r="C756" s="126"/>
      <c r="D756" s="138"/>
      <c r="E756" s="138"/>
      <c r="F756" s="138"/>
      <c r="G756" s="138"/>
      <c r="H756" s="138"/>
      <c r="I756" s="138"/>
      <c r="J756" s="138"/>
      <c r="K756" s="138"/>
      <c r="L756" s="138"/>
      <c r="M756" s="138"/>
      <c r="N756" s="138"/>
      <c r="O756" s="138"/>
    </row>
    <row r="757" spans="2:15" x14ac:dyDescent="0.2">
      <c r="B757" s="138"/>
      <c r="C757" s="126"/>
      <c r="D757" s="138"/>
      <c r="E757" s="138"/>
      <c r="F757" s="138"/>
      <c r="G757" s="138"/>
      <c r="H757" s="138"/>
      <c r="I757" s="138"/>
      <c r="J757" s="138"/>
      <c r="K757" s="138"/>
      <c r="L757" s="138"/>
      <c r="M757" s="138"/>
      <c r="N757" s="138"/>
      <c r="O757" s="138"/>
    </row>
    <row r="758" spans="2:15" x14ac:dyDescent="0.2">
      <c r="B758" s="138"/>
      <c r="C758" s="126"/>
      <c r="D758" s="138"/>
      <c r="E758" s="138"/>
      <c r="F758" s="138"/>
      <c r="G758" s="138"/>
      <c r="H758" s="138"/>
      <c r="I758" s="138"/>
      <c r="J758" s="138"/>
      <c r="K758" s="138"/>
      <c r="L758" s="138"/>
      <c r="M758" s="138"/>
      <c r="N758" s="138"/>
      <c r="O758" s="138"/>
    </row>
    <row r="759" spans="2:15" x14ac:dyDescent="0.2">
      <c r="B759" s="138"/>
      <c r="C759" s="126"/>
      <c r="D759" s="138"/>
      <c r="E759" s="138"/>
      <c r="F759" s="138"/>
      <c r="G759" s="138"/>
      <c r="H759" s="138"/>
      <c r="I759" s="138"/>
      <c r="J759" s="138"/>
      <c r="K759" s="138"/>
      <c r="L759" s="138"/>
      <c r="M759" s="138"/>
      <c r="N759" s="138"/>
      <c r="O759" s="138"/>
    </row>
    <row r="760" spans="2:15" x14ac:dyDescent="0.2">
      <c r="B760" s="138"/>
      <c r="C760" s="126"/>
      <c r="D760" s="138"/>
      <c r="E760" s="138"/>
      <c r="F760" s="138"/>
      <c r="G760" s="138"/>
      <c r="H760" s="138"/>
      <c r="I760" s="138"/>
      <c r="J760" s="138"/>
      <c r="K760" s="138"/>
      <c r="L760" s="138"/>
      <c r="M760" s="138"/>
      <c r="N760" s="138"/>
      <c r="O760" s="138"/>
    </row>
    <row r="761" spans="2:15" x14ac:dyDescent="0.2">
      <c r="B761" s="138"/>
      <c r="C761" s="126"/>
      <c r="D761" s="138"/>
      <c r="E761" s="138"/>
      <c r="F761" s="138"/>
      <c r="G761" s="138"/>
      <c r="H761" s="138"/>
      <c r="I761" s="138"/>
      <c r="J761" s="138"/>
      <c r="K761" s="138"/>
      <c r="L761" s="138"/>
      <c r="M761" s="138"/>
      <c r="N761" s="138"/>
      <c r="O761" s="138"/>
    </row>
    <row r="762" spans="2:15" x14ac:dyDescent="0.2">
      <c r="B762" s="138"/>
      <c r="C762" s="126"/>
      <c r="D762" s="138"/>
      <c r="E762" s="138"/>
      <c r="F762" s="138"/>
      <c r="G762" s="138"/>
      <c r="H762" s="138"/>
      <c r="I762" s="138"/>
      <c r="J762" s="138"/>
      <c r="K762" s="138"/>
      <c r="L762" s="138"/>
      <c r="M762" s="138"/>
      <c r="N762" s="138"/>
      <c r="O762" s="138"/>
    </row>
    <row r="763" spans="2:15" x14ac:dyDescent="0.2">
      <c r="B763" s="138"/>
      <c r="C763" s="126"/>
      <c r="D763" s="138"/>
      <c r="E763" s="138"/>
      <c r="F763" s="138"/>
      <c r="G763" s="138"/>
      <c r="H763" s="138"/>
      <c r="I763" s="138"/>
      <c r="J763" s="138"/>
      <c r="K763" s="138"/>
      <c r="L763" s="138"/>
      <c r="M763" s="138"/>
      <c r="N763" s="138"/>
      <c r="O763" s="138"/>
    </row>
    <row r="764" spans="2:15" x14ac:dyDescent="0.2">
      <c r="B764" s="138"/>
      <c r="C764" s="126"/>
      <c r="D764" s="138"/>
      <c r="E764" s="138"/>
      <c r="F764" s="138"/>
      <c r="G764" s="138"/>
      <c r="H764" s="138"/>
      <c r="I764" s="138"/>
      <c r="J764" s="138"/>
      <c r="K764" s="138"/>
      <c r="L764" s="138"/>
      <c r="M764" s="138"/>
      <c r="N764" s="138"/>
      <c r="O764" s="138"/>
    </row>
    <row r="765" spans="2:15" x14ac:dyDescent="0.2">
      <c r="B765" s="138"/>
      <c r="C765" s="126"/>
      <c r="D765" s="138"/>
      <c r="E765" s="138"/>
      <c r="F765" s="138"/>
      <c r="G765" s="138"/>
      <c r="H765" s="138"/>
      <c r="I765" s="138"/>
      <c r="J765" s="138"/>
      <c r="K765" s="138"/>
      <c r="L765" s="138"/>
      <c r="M765" s="138"/>
      <c r="N765" s="138"/>
      <c r="O765" s="138"/>
    </row>
    <row r="766" spans="2:15" x14ac:dyDescent="0.2">
      <c r="B766" s="138"/>
      <c r="C766" s="126"/>
      <c r="D766" s="138"/>
      <c r="E766" s="138"/>
      <c r="F766" s="138"/>
      <c r="G766" s="138"/>
      <c r="H766" s="138"/>
      <c r="I766" s="138"/>
      <c r="J766" s="138"/>
      <c r="K766" s="138"/>
      <c r="L766" s="138"/>
      <c r="M766" s="138"/>
      <c r="N766" s="138"/>
      <c r="O766" s="138"/>
    </row>
    <row r="767" spans="2:15" x14ac:dyDescent="0.2">
      <c r="B767" s="138"/>
      <c r="C767" s="126"/>
      <c r="D767" s="138"/>
      <c r="E767" s="138"/>
      <c r="F767" s="138"/>
      <c r="G767" s="138"/>
      <c r="H767" s="138"/>
      <c r="I767" s="138"/>
      <c r="J767" s="138"/>
      <c r="K767" s="138"/>
      <c r="L767" s="138"/>
      <c r="M767" s="138"/>
      <c r="N767" s="138"/>
      <c r="O767" s="138"/>
    </row>
    <row r="768" spans="2:15" x14ac:dyDescent="0.2">
      <c r="B768" s="138"/>
      <c r="C768" s="126"/>
      <c r="D768" s="138"/>
      <c r="E768" s="138"/>
      <c r="F768" s="138"/>
      <c r="G768" s="138"/>
      <c r="H768" s="138"/>
      <c r="I768" s="138"/>
      <c r="J768" s="138"/>
      <c r="K768" s="138"/>
      <c r="L768" s="138"/>
      <c r="M768" s="138"/>
      <c r="N768" s="138"/>
      <c r="O768" s="138"/>
    </row>
    <row r="769" spans="2:15" x14ac:dyDescent="0.2">
      <c r="B769" s="138"/>
      <c r="C769" s="126"/>
      <c r="D769" s="138"/>
      <c r="E769" s="138"/>
      <c r="F769" s="138"/>
      <c r="G769" s="138"/>
      <c r="H769" s="138"/>
      <c r="I769" s="138"/>
      <c r="J769" s="138"/>
      <c r="K769" s="138"/>
      <c r="L769" s="138"/>
      <c r="M769" s="138"/>
      <c r="N769" s="138"/>
      <c r="O769" s="138"/>
    </row>
    <row r="770" spans="2:15" x14ac:dyDescent="0.2">
      <c r="B770" s="138"/>
      <c r="C770" s="126"/>
      <c r="D770" s="138"/>
      <c r="E770" s="138"/>
      <c r="F770" s="138"/>
      <c r="G770" s="138"/>
      <c r="H770" s="138"/>
      <c r="I770" s="138"/>
      <c r="J770" s="138"/>
      <c r="K770" s="138"/>
      <c r="L770" s="138"/>
      <c r="M770" s="138"/>
      <c r="N770" s="138"/>
      <c r="O770" s="138"/>
    </row>
    <row r="771" spans="2:15" x14ac:dyDescent="0.2">
      <c r="B771" s="138"/>
      <c r="C771" s="126"/>
      <c r="D771" s="138"/>
      <c r="E771" s="138"/>
      <c r="F771" s="138"/>
      <c r="G771" s="138"/>
      <c r="H771" s="138"/>
      <c r="I771" s="138"/>
      <c r="J771" s="138"/>
      <c r="K771" s="138"/>
      <c r="L771" s="138"/>
      <c r="M771" s="138"/>
      <c r="N771" s="138"/>
      <c r="O771" s="138"/>
    </row>
    <row r="772" spans="2:15" x14ac:dyDescent="0.2">
      <c r="B772" s="138"/>
      <c r="C772" s="126"/>
      <c r="D772" s="138"/>
      <c r="E772" s="138"/>
      <c r="F772" s="138"/>
      <c r="G772" s="138"/>
      <c r="H772" s="138"/>
      <c r="I772" s="138"/>
      <c r="J772" s="138"/>
      <c r="K772" s="138"/>
      <c r="L772" s="138"/>
      <c r="M772" s="138"/>
      <c r="N772" s="138"/>
      <c r="O772" s="138"/>
    </row>
    <row r="773" spans="2:15" x14ac:dyDescent="0.2">
      <c r="B773" s="138"/>
      <c r="C773" s="126"/>
      <c r="D773" s="138"/>
      <c r="E773" s="138"/>
      <c r="F773" s="138"/>
      <c r="G773" s="138"/>
      <c r="H773" s="138"/>
      <c r="I773" s="138"/>
      <c r="J773" s="138"/>
      <c r="K773" s="138"/>
      <c r="L773" s="138"/>
      <c r="M773" s="138"/>
      <c r="N773" s="138"/>
      <c r="O773" s="138"/>
    </row>
    <row r="774" spans="2:15" x14ac:dyDescent="0.2">
      <c r="B774" s="138"/>
      <c r="C774" s="126"/>
      <c r="D774" s="138"/>
      <c r="E774" s="138"/>
      <c r="F774" s="138"/>
      <c r="G774" s="138"/>
      <c r="H774" s="138"/>
      <c r="I774" s="138"/>
      <c r="J774" s="138"/>
      <c r="K774" s="138"/>
      <c r="L774" s="138"/>
      <c r="M774" s="138"/>
      <c r="N774" s="138"/>
      <c r="O774" s="138"/>
    </row>
    <row r="775" spans="2:15" x14ac:dyDescent="0.2">
      <c r="B775" s="138"/>
      <c r="C775" s="126"/>
      <c r="D775" s="138"/>
      <c r="E775" s="138"/>
      <c r="F775" s="138"/>
      <c r="G775" s="138"/>
      <c r="H775" s="138"/>
      <c r="I775" s="138"/>
      <c r="J775" s="138"/>
      <c r="K775" s="138"/>
      <c r="L775" s="138"/>
      <c r="M775" s="138"/>
      <c r="N775" s="138"/>
      <c r="O775" s="138"/>
    </row>
    <row r="776" spans="2:15" x14ac:dyDescent="0.2">
      <c r="B776" s="138"/>
      <c r="C776" s="126"/>
      <c r="D776" s="138"/>
      <c r="E776" s="138"/>
      <c r="F776" s="138"/>
      <c r="G776" s="138"/>
      <c r="H776" s="138"/>
      <c r="I776" s="138"/>
      <c r="J776" s="138"/>
      <c r="K776" s="138"/>
      <c r="L776" s="138"/>
      <c r="M776" s="138"/>
      <c r="N776" s="138"/>
      <c r="O776" s="138"/>
    </row>
    <row r="777" spans="2:15" x14ac:dyDescent="0.2">
      <c r="B777" s="138"/>
      <c r="C777" s="126"/>
      <c r="D777" s="138"/>
      <c r="E777" s="138"/>
      <c r="F777" s="138"/>
      <c r="G777" s="138"/>
      <c r="H777" s="138"/>
      <c r="I777" s="138"/>
      <c r="J777" s="138"/>
      <c r="K777" s="138"/>
      <c r="L777" s="138"/>
      <c r="M777" s="138"/>
      <c r="N777" s="138"/>
      <c r="O777" s="138"/>
    </row>
    <row r="778" spans="2:15" x14ac:dyDescent="0.2">
      <c r="B778" s="138"/>
      <c r="C778" s="126"/>
      <c r="D778" s="138"/>
      <c r="E778" s="138"/>
      <c r="F778" s="138"/>
      <c r="G778" s="138"/>
      <c r="H778" s="138"/>
      <c r="I778" s="138"/>
      <c r="J778" s="138"/>
      <c r="K778" s="138"/>
      <c r="L778" s="138"/>
      <c r="M778" s="138"/>
      <c r="N778" s="138"/>
      <c r="O778" s="138"/>
    </row>
    <row r="779" spans="2:15" x14ac:dyDescent="0.2">
      <c r="B779" s="138"/>
      <c r="C779" s="126"/>
      <c r="D779" s="138"/>
      <c r="E779" s="138"/>
      <c r="F779" s="138"/>
      <c r="G779" s="138"/>
      <c r="H779" s="138"/>
      <c r="I779" s="138"/>
      <c r="J779" s="138"/>
      <c r="K779" s="138"/>
      <c r="L779" s="138"/>
      <c r="M779" s="138"/>
      <c r="N779" s="138"/>
      <c r="O779" s="138"/>
    </row>
    <row r="780" spans="2:15" x14ac:dyDescent="0.2">
      <c r="B780" s="138"/>
      <c r="C780" s="126"/>
      <c r="D780" s="138"/>
      <c r="E780" s="138"/>
      <c r="F780" s="138"/>
      <c r="G780" s="138"/>
      <c r="H780" s="138"/>
      <c r="I780" s="138"/>
      <c r="J780" s="138"/>
      <c r="K780" s="138"/>
      <c r="L780" s="138"/>
      <c r="M780" s="138"/>
      <c r="N780" s="138"/>
      <c r="O780" s="138"/>
    </row>
    <row r="781" spans="2:15" x14ac:dyDescent="0.2">
      <c r="B781" s="138"/>
      <c r="C781" s="126"/>
      <c r="D781" s="138"/>
      <c r="E781" s="138"/>
      <c r="F781" s="138"/>
      <c r="G781" s="138"/>
      <c r="H781" s="138"/>
      <c r="I781" s="138"/>
      <c r="J781" s="138"/>
      <c r="K781" s="138"/>
      <c r="L781" s="138"/>
      <c r="M781" s="138"/>
      <c r="N781" s="138"/>
      <c r="O781" s="138"/>
    </row>
    <row r="782" spans="2:15" x14ac:dyDescent="0.2">
      <c r="B782" s="138"/>
      <c r="C782" s="126"/>
      <c r="D782" s="138"/>
      <c r="E782" s="138"/>
      <c r="F782" s="138"/>
      <c r="G782" s="138"/>
      <c r="H782" s="138"/>
      <c r="I782" s="138"/>
      <c r="J782" s="138"/>
      <c r="K782" s="138"/>
      <c r="L782" s="138"/>
      <c r="M782" s="138"/>
      <c r="N782" s="138"/>
      <c r="O782" s="138"/>
    </row>
    <row r="783" spans="2:15" x14ac:dyDescent="0.2">
      <c r="B783" s="138"/>
      <c r="C783" s="126"/>
      <c r="D783" s="138"/>
      <c r="E783" s="138"/>
      <c r="F783" s="138"/>
      <c r="G783" s="138"/>
      <c r="H783" s="138"/>
      <c r="I783" s="138"/>
      <c r="J783" s="138"/>
      <c r="K783" s="138"/>
      <c r="L783" s="138"/>
      <c r="M783" s="138"/>
      <c r="N783" s="138"/>
      <c r="O783" s="138"/>
    </row>
    <row r="784" spans="2:15" x14ac:dyDescent="0.2">
      <c r="B784" s="138"/>
      <c r="C784" s="126"/>
      <c r="D784" s="138"/>
      <c r="E784" s="138"/>
      <c r="F784" s="138"/>
      <c r="G784" s="138"/>
      <c r="H784" s="138"/>
      <c r="I784" s="138"/>
      <c r="J784" s="138"/>
      <c r="K784" s="138"/>
      <c r="L784" s="138"/>
      <c r="M784" s="138"/>
      <c r="N784" s="138"/>
      <c r="O784" s="138"/>
    </row>
    <row r="785" spans="2:15" x14ac:dyDescent="0.2">
      <c r="B785" s="138"/>
      <c r="C785" s="126"/>
      <c r="D785" s="138"/>
      <c r="E785" s="138"/>
      <c r="F785" s="138"/>
      <c r="G785" s="138"/>
      <c r="H785" s="138"/>
      <c r="I785" s="138"/>
      <c r="J785" s="138"/>
      <c r="K785" s="138"/>
      <c r="L785" s="138"/>
      <c r="M785" s="138"/>
      <c r="N785" s="138"/>
      <c r="O785" s="138"/>
    </row>
    <row r="786" spans="2:15" x14ac:dyDescent="0.2">
      <c r="B786" s="138"/>
      <c r="C786" s="126"/>
      <c r="D786" s="138"/>
      <c r="E786" s="138"/>
      <c r="F786" s="138"/>
      <c r="G786" s="138"/>
      <c r="H786" s="138"/>
      <c r="I786" s="138"/>
      <c r="J786" s="138"/>
      <c r="K786" s="138"/>
      <c r="L786" s="138"/>
      <c r="M786" s="138"/>
      <c r="N786" s="138"/>
      <c r="O786" s="138"/>
    </row>
    <row r="787" spans="2:15" x14ac:dyDescent="0.2">
      <c r="B787" s="138"/>
      <c r="C787" s="126"/>
      <c r="D787" s="138"/>
      <c r="E787" s="138"/>
      <c r="F787" s="138"/>
      <c r="G787" s="138"/>
      <c r="H787" s="138"/>
      <c r="I787" s="138"/>
      <c r="J787" s="138"/>
      <c r="K787" s="138"/>
      <c r="L787" s="138"/>
      <c r="M787" s="138"/>
      <c r="N787" s="138"/>
      <c r="O787" s="138"/>
    </row>
    <row r="788" spans="2:15" x14ac:dyDescent="0.2">
      <c r="B788" s="138"/>
      <c r="C788" s="126"/>
      <c r="D788" s="138"/>
      <c r="E788" s="138"/>
      <c r="F788" s="138"/>
      <c r="G788" s="138"/>
      <c r="H788" s="138"/>
      <c r="I788" s="138"/>
      <c r="J788" s="138"/>
      <c r="K788" s="138"/>
      <c r="L788" s="138"/>
      <c r="M788" s="138"/>
      <c r="N788" s="138"/>
      <c r="O788" s="138"/>
    </row>
    <row r="789" spans="2:15" x14ac:dyDescent="0.2">
      <c r="B789" s="138"/>
      <c r="C789" s="126"/>
      <c r="D789" s="138"/>
      <c r="E789" s="138"/>
      <c r="F789" s="138"/>
      <c r="G789" s="138"/>
      <c r="H789" s="138"/>
      <c r="I789" s="138"/>
      <c r="J789" s="138"/>
      <c r="K789" s="138"/>
      <c r="L789" s="138"/>
      <c r="M789" s="138"/>
      <c r="N789" s="138"/>
      <c r="O789" s="138"/>
    </row>
    <row r="790" spans="2:15" x14ac:dyDescent="0.2">
      <c r="B790" s="138"/>
      <c r="C790" s="126"/>
      <c r="D790" s="138"/>
      <c r="E790" s="138"/>
      <c r="F790" s="138"/>
      <c r="G790" s="138"/>
      <c r="H790" s="138"/>
      <c r="I790" s="138"/>
      <c r="J790" s="138"/>
      <c r="K790" s="138"/>
      <c r="L790" s="138"/>
      <c r="M790" s="138"/>
      <c r="N790" s="138"/>
      <c r="O790" s="138"/>
    </row>
    <row r="791" spans="2:15" x14ac:dyDescent="0.2">
      <c r="B791" s="138"/>
      <c r="C791" s="126"/>
      <c r="D791" s="138"/>
      <c r="E791" s="138"/>
      <c r="F791" s="138"/>
      <c r="G791" s="138"/>
      <c r="H791" s="138"/>
      <c r="I791" s="138"/>
      <c r="J791" s="138"/>
      <c r="K791" s="138"/>
      <c r="L791" s="138"/>
      <c r="M791" s="138"/>
      <c r="N791" s="138"/>
      <c r="O791" s="138"/>
    </row>
    <row r="792" spans="2:15" x14ac:dyDescent="0.2">
      <c r="B792" s="138"/>
      <c r="C792" s="126"/>
      <c r="D792" s="138"/>
      <c r="E792" s="138"/>
      <c r="F792" s="138"/>
      <c r="G792" s="138"/>
      <c r="H792" s="138"/>
      <c r="I792" s="138"/>
      <c r="J792" s="138"/>
      <c r="K792" s="138"/>
      <c r="L792" s="138"/>
      <c r="M792" s="138"/>
      <c r="N792" s="138"/>
      <c r="O792" s="138"/>
    </row>
    <row r="793" spans="2:15" x14ac:dyDescent="0.2">
      <c r="B793" s="138"/>
      <c r="C793" s="126"/>
      <c r="D793" s="138"/>
      <c r="E793" s="138"/>
      <c r="F793" s="138"/>
      <c r="G793" s="138"/>
      <c r="H793" s="138"/>
      <c r="I793" s="138"/>
      <c r="J793" s="138"/>
      <c r="K793" s="138"/>
      <c r="L793" s="138"/>
      <c r="M793" s="138"/>
      <c r="N793" s="138"/>
      <c r="O793" s="138"/>
    </row>
    <row r="794" spans="2:15" x14ac:dyDescent="0.2">
      <c r="B794" s="138"/>
      <c r="C794" s="126"/>
      <c r="D794" s="138"/>
      <c r="E794" s="138"/>
      <c r="F794" s="138"/>
      <c r="G794" s="138"/>
      <c r="H794" s="138"/>
      <c r="I794" s="138"/>
      <c r="J794" s="138"/>
      <c r="K794" s="138"/>
      <c r="L794" s="138"/>
      <c r="M794" s="138"/>
      <c r="N794" s="138"/>
      <c r="O794" s="138"/>
    </row>
    <row r="795" spans="2:15" x14ac:dyDescent="0.2">
      <c r="B795" s="138"/>
      <c r="C795" s="126"/>
      <c r="D795" s="138"/>
      <c r="E795" s="138"/>
      <c r="F795" s="138"/>
      <c r="G795" s="138"/>
      <c r="H795" s="138"/>
      <c r="I795" s="138"/>
      <c r="J795" s="138"/>
      <c r="K795" s="138"/>
      <c r="L795" s="138"/>
      <c r="M795" s="138"/>
      <c r="N795" s="138"/>
      <c r="O795" s="138"/>
    </row>
    <row r="796" spans="2:15" x14ac:dyDescent="0.2">
      <c r="B796" s="138"/>
      <c r="C796" s="126"/>
      <c r="D796" s="138"/>
      <c r="E796" s="138"/>
      <c r="F796" s="138"/>
      <c r="G796" s="138"/>
      <c r="H796" s="138"/>
      <c r="I796" s="138"/>
      <c r="J796" s="138"/>
      <c r="K796" s="138"/>
      <c r="L796" s="138"/>
      <c r="M796" s="138"/>
      <c r="N796" s="138"/>
      <c r="O796" s="138"/>
    </row>
    <row r="797" spans="2:15" x14ac:dyDescent="0.2">
      <c r="B797" s="138"/>
      <c r="C797" s="126"/>
      <c r="D797" s="138"/>
      <c r="E797" s="138"/>
      <c r="F797" s="138"/>
      <c r="G797" s="138"/>
      <c r="H797" s="138"/>
      <c r="I797" s="138"/>
      <c r="J797" s="138"/>
      <c r="K797" s="138"/>
      <c r="L797" s="138"/>
      <c r="M797" s="138"/>
      <c r="N797" s="138"/>
      <c r="O797" s="138"/>
    </row>
    <row r="798" spans="2:15" x14ac:dyDescent="0.2">
      <c r="B798" s="138"/>
      <c r="C798" s="126"/>
      <c r="D798" s="138"/>
      <c r="E798" s="138"/>
      <c r="F798" s="138"/>
      <c r="G798" s="138"/>
      <c r="H798" s="138"/>
      <c r="I798" s="138"/>
      <c r="J798" s="138"/>
      <c r="K798" s="138"/>
      <c r="L798" s="138"/>
      <c r="M798" s="138"/>
      <c r="N798" s="138"/>
      <c r="O798" s="138"/>
    </row>
    <row r="799" spans="2:15" x14ac:dyDescent="0.2">
      <c r="B799" s="138"/>
      <c r="C799" s="126"/>
      <c r="D799" s="138"/>
      <c r="E799" s="138"/>
      <c r="F799" s="138"/>
      <c r="G799" s="138"/>
      <c r="H799" s="138"/>
      <c r="I799" s="138"/>
      <c r="J799" s="138"/>
      <c r="K799" s="138"/>
      <c r="L799" s="138"/>
      <c r="M799" s="138"/>
      <c r="N799" s="138"/>
      <c r="O799" s="138"/>
    </row>
    <row r="800" spans="2:15" x14ac:dyDescent="0.2">
      <c r="B800" s="138"/>
      <c r="C800" s="126"/>
      <c r="D800" s="138"/>
      <c r="E800" s="138"/>
      <c r="F800" s="138"/>
      <c r="G800" s="138"/>
      <c r="H800" s="138"/>
      <c r="I800" s="138"/>
      <c r="J800" s="138"/>
      <c r="K800" s="138"/>
      <c r="L800" s="138"/>
      <c r="M800" s="138"/>
      <c r="N800" s="138"/>
      <c r="O800" s="138"/>
    </row>
    <row r="801" spans="2:15" x14ac:dyDescent="0.2">
      <c r="B801" s="138"/>
      <c r="C801" s="126"/>
      <c r="D801" s="138"/>
      <c r="E801" s="138"/>
      <c r="F801" s="138"/>
      <c r="G801" s="138"/>
      <c r="H801" s="138"/>
      <c r="I801" s="138"/>
      <c r="J801" s="138"/>
      <c r="K801" s="138"/>
      <c r="L801" s="138"/>
      <c r="M801" s="138"/>
      <c r="N801" s="138"/>
      <c r="O801" s="138"/>
    </row>
    <row r="802" spans="2:15" x14ac:dyDescent="0.2">
      <c r="B802" s="138"/>
      <c r="C802" s="126"/>
      <c r="D802" s="138"/>
      <c r="E802" s="138"/>
      <c r="F802" s="138"/>
      <c r="G802" s="138"/>
      <c r="H802" s="138"/>
      <c r="I802" s="138"/>
      <c r="J802" s="138"/>
      <c r="K802" s="138"/>
      <c r="L802" s="138"/>
      <c r="M802" s="138"/>
      <c r="N802" s="138"/>
      <c r="O802" s="138"/>
    </row>
    <row r="803" spans="2:15" x14ac:dyDescent="0.2">
      <c r="B803" s="138"/>
      <c r="C803" s="126"/>
      <c r="D803" s="138"/>
      <c r="E803" s="138"/>
      <c r="F803" s="138"/>
      <c r="G803" s="138"/>
      <c r="H803" s="138"/>
      <c r="I803" s="138"/>
      <c r="J803" s="138"/>
      <c r="K803" s="138"/>
      <c r="L803" s="138"/>
      <c r="M803" s="138"/>
      <c r="N803" s="138"/>
      <c r="O803" s="138"/>
    </row>
    <row r="804" spans="2:15" x14ac:dyDescent="0.2">
      <c r="B804" s="138"/>
      <c r="C804" s="126"/>
      <c r="D804" s="138"/>
      <c r="E804" s="138"/>
      <c r="F804" s="138"/>
      <c r="G804" s="138"/>
      <c r="H804" s="138"/>
      <c r="I804" s="138"/>
      <c r="J804" s="138"/>
      <c r="K804" s="138"/>
      <c r="L804" s="138"/>
      <c r="M804" s="138"/>
      <c r="N804" s="138"/>
      <c r="O804" s="138"/>
    </row>
    <row r="805" spans="2:15" x14ac:dyDescent="0.2">
      <c r="B805" s="138"/>
      <c r="C805" s="126"/>
      <c r="D805" s="138"/>
      <c r="E805" s="138"/>
      <c r="F805" s="138"/>
      <c r="G805" s="138"/>
      <c r="H805" s="138"/>
      <c r="I805" s="138"/>
      <c r="J805" s="138"/>
      <c r="K805" s="138"/>
      <c r="L805" s="138"/>
      <c r="M805" s="138"/>
      <c r="N805" s="138"/>
      <c r="O805" s="138"/>
    </row>
    <row r="806" spans="2:15" x14ac:dyDescent="0.2">
      <c r="B806" s="138"/>
      <c r="C806" s="126"/>
      <c r="D806" s="138"/>
      <c r="E806" s="138"/>
      <c r="F806" s="138"/>
      <c r="G806" s="138"/>
      <c r="H806" s="138"/>
      <c r="I806" s="138"/>
      <c r="J806" s="138"/>
      <c r="K806" s="138"/>
      <c r="L806" s="138"/>
      <c r="M806" s="138"/>
      <c r="N806" s="138"/>
      <c r="O806" s="138"/>
    </row>
    <row r="807" spans="2:15" x14ac:dyDescent="0.2">
      <c r="B807" s="138"/>
      <c r="C807" s="126"/>
      <c r="D807" s="138"/>
      <c r="E807" s="138"/>
      <c r="F807" s="138"/>
      <c r="G807" s="138"/>
      <c r="H807" s="138"/>
      <c r="I807" s="138"/>
      <c r="J807" s="138"/>
      <c r="K807" s="138"/>
      <c r="L807" s="138"/>
      <c r="M807" s="138"/>
      <c r="N807" s="138"/>
      <c r="O807" s="138"/>
    </row>
    <row r="808" spans="2:15" x14ac:dyDescent="0.2">
      <c r="B808" s="138"/>
      <c r="C808" s="126"/>
      <c r="D808" s="138"/>
      <c r="E808" s="138"/>
      <c r="F808" s="138"/>
      <c r="G808" s="138"/>
      <c r="H808" s="138"/>
      <c r="I808" s="138"/>
      <c r="J808" s="138"/>
      <c r="K808" s="138"/>
      <c r="L808" s="138"/>
      <c r="M808" s="138"/>
      <c r="N808" s="138"/>
      <c r="O808" s="138"/>
    </row>
    <row r="809" spans="2:15" x14ac:dyDescent="0.2">
      <c r="B809" s="138"/>
      <c r="C809" s="126"/>
      <c r="D809" s="138"/>
      <c r="E809" s="138"/>
      <c r="F809" s="138"/>
      <c r="G809" s="138"/>
      <c r="H809" s="138"/>
      <c r="I809" s="138"/>
      <c r="J809" s="138"/>
      <c r="K809" s="138"/>
      <c r="L809" s="138"/>
      <c r="M809" s="138"/>
      <c r="N809" s="138"/>
      <c r="O809" s="138"/>
    </row>
    <row r="810" spans="2:15" x14ac:dyDescent="0.2">
      <c r="B810" s="138"/>
      <c r="C810" s="126"/>
      <c r="D810" s="138"/>
      <c r="E810" s="138"/>
      <c r="F810" s="138"/>
      <c r="G810" s="138"/>
      <c r="H810" s="138"/>
      <c r="I810" s="138"/>
      <c r="J810" s="138"/>
      <c r="K810" s="138"/>
      <c r="L810" s="138"/>
      <c r="M810" s="138"/>
      <c r="N810" s="138"/>
      <c r="O810" s="138"/>
    </row>
    <row r="811" spans="2:15" x14ac:dyDescent="0.2">
      <c r="B811" s="138"/>
      <c r="C811" s="126"/>
      <c r="D811" s="138"/>
      <c r="E811" s="138"/>
      <c r="F811" s="138"/>
      <c r="G811" s="138"/>
      <c r="H811" s="138"/>
      <c r="I811" s="138"/>
      <c r="J811" s="138"/>
      <c r="K811" s="138"/>
      <c r="L811" s="138"/>
      <c r="M811" s="138"/>
      <c r="N811" s="138"/>
      <c r="O811" s="138"/>
    </row>
    <row r="812" spans="2:15" x14ac:dyDescent="0.2">
      <c r="B812" s="138"/>
      <c r="C812" s="126"/>
      <c r="D812" s="138"/>
      <c r="E812" s="138"/>
      <c r="F812" s="138"/>
      <c r="G812" s="138"/>
      <c r="H812" s="138"/>
      <c r="I812" s="138"/>
      <c r="J812" s="138"/>
      <c r="K812" s="138"/>
      <c r="L812" s="138"/>
      <c r="M812" s="138"/>
      <c r="N812" s="138"/>
      <c r="O812" s="138"/>
    </row>
    <row r="813" spans="2:15" x14ac:dyDescent="0.2">
      <c r="B813" s="138"/>
      <c r="C813" s="126"/>
      <c r="D813" s="138"/>
      <c r="E813" s="138"/>
      <c r="F813" s="138"/>
      <c r="G813" s="138"/>
      <c r="H813" s="138"/>
      <c r="I813" s="138"/>
      <c r="J813" s="138"/>
      <c r="K813" s="138"/>
      <c r="L813" s="138"/>
      <c r="M813" s="138"/>
      <c r="N813" s="138"/>
      <c r="O813" s="138"/>
    </row>
    <row r="814" spans="2:15" x14ac:dyDescent="0.2">
      <c r="B814" s="138"/>
      <c r="C814" s="126"/>
      <c r="D814" s="138"/>
      <c r="E814" s="138"/>
      <c r="F814" s="138"/>
      <c r="G814" s="138"/>
      <c r="H814" s="138"/>
      <c r="I814" s="138"/>
      <c r="J814" s="138"/>
      <c r="K814" s="138"/>
      <c r="L814" s="138"/>
      <c r="M814" s="138"/>
      <c r="N814" s="138"/>
      <c r="O814" s="138"/>
    </row>
    <row r="815" spans="2:15" x14ac:dyDescent="0.2">
      <c r="B815" s="138"/>
      <c r="C815" s="126"/>
      <c r="D815" s="138"/>
      <c r="E815" s="138"/>
      <c r="F815" s="138"/>
      <c r="G815" s="138"/>
      <c r="H815" s="138"/>
      <c r="I815" s="138"/>
      <c r="J815" s="138"/>
      <c r="K815" s="138"/>
      <c r="L815" s="138"/>
      <c r="M815" s="138"/>
      <c r="N815" s="138"/>
      <c r="O815" s="138"/>
    </row>
    <row r="816" spans="2:15" x14ac:dyDescent="0.2">
      <c r="B816" s="138"/>
      <c r="C816" s="126"/>
      <c r="D816" s="138"/>
      <c r="E816" s="138"/>
      <c r="F816" s="138"/>
      <c r="G816" s="138"/>
      <c r="H816" s="138"/>
      <c r="I816" s="138"/>
      <c r="J816" s="138"/>
      <c r="K816" s="138"/>
      <c r="L816" s="138"/>
      <c r="M816" s="138"/>
      <c r="N816" s="138"/>
      <c r="O816" s="138"/>
    </row>
    <row r="817" spans="2:15" x14ac:dyDescent="0.2">
      <c r="B817" s="138"/>
      <c r="C817" s="126"/>
      <c r="D817" s="138"/>
      <c r="E817" s="138"/>
      <c r="F817" s="138"/>
      <c r="G817" s="138"/>
      <c r="H817" s="138"/>
      <c r="I817" s="138"/>
      <c r="J817" s="138"/>
      <c r="K817" s="138"/>
      <c r="L817" s="138"/>
      <c r="M817" s="138"/>
      <c r="N817" s="138"/>
      <c r="O817" s="138"/>
    </row>
    <row r="818" spans="2:15" x14ac:dyDescent="0.2">
      <c r="B818" s="138"/>
      <c r="C818" s="126"/>
      <c r="D818" s="138"/>
      <c r="E818" s="138"/>
      <c r="F818" s="138"/>
      <c r="G818" s="138"/>
      <c r="H818" s="138"/>
      <c r="I818" s="138"/>
      <c r="J818" s="138"/>
      <c r="K818" s="138"/>
      <c r="L818" s="138"/>
      <c r="M818" s="138"/>
      <c r="N818" s="138"/>
      <c r="O818" s="138"/>
    </row>
    <row r="819" spans="2:15" x14ac:dyDescent="0.2">
      <c r="B819" s="138"/>
      <c r="C819" s="126"/>
      <c r="D819" s="138"/>
      <c r="E819" s="138"/>
      <c r="F819" s="138"/>
      <c r="G819" s="138"/>
      <c r="H819" s="138"/>
      <c r="I819" s="138"/>
      <c r="J819" s="138"/>
      <c r="K819" s="138"/>
      <c r="L819" s="138"/>
      <c r="M819" s="138"/>
      <c r="N819" s="138"/>
      <c r="O819" s="138"/>
    </row>
    <row r="820" spans="2:15" x14ac:dyDescent="0.2">
      <c r="B820" s="138"/>
      <c r="C820" s="126"/>
      <c r="D820" s="138"/>
      <c r="E820" s="138"/>
      <c r="F820" s="138"/>
      <c r="G820" s="138"/>
      <c r="H820" s="138"/>
      <c r="I820" s="138"/>
      <c r="J820" s="138"/>
      <c r="K820" s="138"/>
      <c r="L820" s="138"/>
      <c r="M820" s="138"/>
      <c r="N820" s="138"/>
      <c r="O820" s="138"/>
    </row>
    <row r="821" spans="2:15" x14ac:dyDescent="0.2">
      <c r="B821" s="138"/>
      <c r="C821" s="126"/>
      <c r="D821" s="138"/>
      <c r="E821" s="138"/>
      <c r="F821" s="138"/>
      <c r="G821" s="138"/>
      <c r="H821" s="138"/>
      <c r="I821" s="138"/>
      <c r="J821" s="138"/>
      <c r="K821" s="138"/>
      <c r="L821" s="138"/>
      <c r="M821" s="138"/>
      <c r="N821" s="138"/>
      <c r="O821" s="138"/>
    </row>
    <row r="822" spans="2:15" x14ac:dyDescent="0.2">
      <c r="B822" s="138"/>
      <c r="C822" s="126"/>
      <c r="D822" s="138"/>
      <c r="E822" s="138"/>
      <c r="F822" s="138"/>
      <c r="G822" s="138"/>
      <c r="H822" s="138"/>
      <c r="I822" s="138"/>
      <c r="J822" s="138"/>
      <c r="K822" s="138"/>
      <c r="L822" s="138"/>
      <c r="M822" s="138"/>
      <c r="N822" s="138"/>
      <c r="O822" s="138"/>
    </row>
    <row r="823" spans="2:15" x14ac:dyDescent="0.2">
      <c r="B823" s="138"/>
      <c r="C823" s="126"/>
      <c r="D823" s="138"/>
      <c r="E823" s="138"/>
      <c r="F823" s="138"/>
      <c r="G823" s="138"/>
      <c r="H823" s="138"/>
      <c r="I823" s="138"/>
      <c r="J823" s="138"/>
      <c r="K823" s="138"/>
      <c r="L823" s="138"/>
      <c r="M823" s="138"/>
      <c r="N823" s="138"/>
      <c r="O823" s="138"/>
    </row>
    <row r="824" spans="2:15" x14ac:dyDescent="0.2">
      <c r="B824" s="138"/>
      <c r="C824" s="126"/>
      <c r="D824" s="138"/>
      <c r="E824" s="138"/>
      <c r="F824" s="138"/>
      <c r="G824" s="138"/>
      <c r="H824" s="138"/>
      <c r="I824" s="138"/>
      <c r="J824" s="138"/>
      <c r="K824" s="138"/>
      <c r="L824" s="138"/>
      <c r="M824" s="138"/>
      <c r="N824" s="138"/>
      <c r="O824" s="138"/>
    </row>
    <row r="825" spans="2:15" x14ac:dyDescent="0.2">
      <c r="B825" s="138"/>
      <c r="C825" s="126"/>
      <c r="D825" s="138"/>
      <c r="E825" s="138"/>
      <c r="F825" s="138"/>
      <c r="G825" s="138"/>
      <c r="H825" s="138"/>
      <c r="I825" s="138"/>
      <c r="J825" s="138"/>
      <c r="K825" s="138"/>
      <c r="L825" s="138"/>
      <c r="M825" s="138"/>
      <c r="N825" s="138"/>
      <c r="O825" s="138"/>
    </row>
    <row r="826" spans="2:15" x14ac:dyDescent="0.2">
      <c r="B826" s="138"/>
      <c r="C826" s="126"/>
      <c r="D826" s="138"/>
      <c r="E826" s="138"/>
      <c r="F826" s="138"/>
      <c r="G826" s="138"/>
      <c r="H826" s="138"/>
      <c r="I826" s="138"/>
      <c r="J826" s="138"/>
      <c r="K826" s="138"/>
      <c r="L826" s="138"/>
      <c r="M826" s="138"/>
      <c r="N826" s="138"/>
      <c r="O826" s="138"/>
    </row>
    <row r="827" spans="2:15" x14ac:dyDescent="0.2">
      <c r="B827" s="138"/>
      <c r="C827" s="126"/>
      <c r="D827" s="138"/>
      <c r="E827" s="138"/>
      <c r="F827" s="138"/>
      <c r="G827" s="138"/>
      <c r="H827" s="138"/>
      <c r="I827" s="138"/>
      <c r="J827" s="138"/>
      <c r="K827" s="138"/>
      <c r="L827" s="138"/>
      <c r="M827" s="138"/>
      <c r="N827" s="138"/>
      <c r="O827" s="138"/>
    </row>
    <row r="828" spans="2:15" x14ac:dyDescent="0.2">
      <c r="B828" s="138"/>
      <c r="C828" s="126"/>
      <c r="D828" s="138"/>
      <c r="E828" s="138"/>
      <c r="F828" s="138"/>
      <c r="G828" s="138"/>
      <c r="H828" s="138"/>
      <c r="I828" s="138"/>
      <c r="J828" s="138"/>
      <c r="K828" s="138"/>
      <c r="L828" s="138"/>
      <c r="M828" s="138"/>
      <c r="N828" s="138"/>
      <c r="O828" s="138"/>
    </row>
    <row r="829" spans="2:15" x14ac:dyDescent="0.2">
      <c r="B829" s="138"/>
      <c r="C829" s="126"/>
      <c r="D829" s="138"/>
      <c r="E829" s="138"/>
      <c r="F829" s="138"/>
      <c r="G829" s="138"/>
      <c r="H829" s="138"/>
      <c r="I829" s="138"/>
      <c r="J829" s="138"/>
      <c r="K829" s="138"/>
      <c r="L829" s="138"/>
      <c r="M829" s="138"/>
      <c r="N829" s="138"/>
      <c r="O829" s="138"/>
    </row>
    <row r="830" spans="2:15" x14ac:dyDescent="0.2">
      <c r="B830" s="138"/>
      <c r="C830" s="126"/>
      <c r="D830" s="138"/>
      <c r="E830" s="138"/>
      <c r="F830" s="138"/>
      <c r="G830" s="138"/>
      <c r="H830" s="138"/>
      <c r="I830" s="138"/>
      <c r="J830" s="138"/>
      <c r="K830" s="138"/>
      <c r="L830" s="138"/>
      <c r="M830" s="138"/>
      <c r="N830" s="138"/>
      <c r="O830" s="138"/>
    </row>
    <row r="831" spans="2:15" x14ac:dyDescent="0.2">
      <c r="B831" s="138"/>
      <c r="C831" s="126"/>
      <c r="D831" s="138"/>
      <c r="E831" s="138"/>
      <c r="F831" s="138"/>
      <c r="G831" s="138"/>
      <c r="H831" s="138"/>
      <c r="I831" s="138"/>
      <c r="J831" s="138"/>
      <c r="K831" s="138"/>
      <c r="L831" s="138"/>
      <c r="M831" s="138"/>
      <c r="N831" s="138"/>
      <c r="O831" s="138"/>
    </row>
    <row r="832" spans="2:15" x14ac:dyDescent="0.2">
      <c r="B832" s="138"/>
      <c r="C832" s="126"/>
      <c r="D832" s="138"/>
      <c r="E832" s="138"/>
      <c r="F832" s="138"/>
      <c r="G832" s="138"/>
      <c r="H832" s="138"/>
      <c r="I832" s="138"/>
      <c r="J832" s="138"/>
      <c r="K832" s="138"/>
      <c r="L832" s="138"/>
      <c r="M832" s="138"/>
      <c r="N832" s="138"/>
      <c r="O832" s="138"/>
    </row>
    <row r="833" spans="2:15" x14ac:dyDescent="0.2">
      <c r="B833" s="138"/>
      <c r="C833" s="126"/>
      <c r="D833" s="138"/>
      <c r="E833" s="138"/>
      <c r="F833" s="138"/>
      <c r="G833" s="138"/>
      <c r="H833" s="138"/>
      <c r="I833" s="138"/>
      <c r="J833" s="138"/>
      <c r="K833" s="138"/>
      <c r="L833" s="138"/>
      <c r="M833" s="138"/>
      <c r="N833" s="138"/>
      <c r="O833" s="138"/>
    </row>
    <row r="834" spans="2:15" x14ac:dyDescent="0.2">
      <c r="B834" s="138"/>
      <c r="C834" s="126"/>
      <c r="D834" s="138"/>
      <c r="E834" s="138"/>
      <c r="F834" s="138"/>
      <c r="G834" s="138"/>
      <c r="H834" s="138"/>
      <c r="I834" s="138"/>
      <c r="J834" s="138"/>
      <c r="K834" s="138"/>
      <c r="L834" s="138"/>
      <c r="M834" s="138"/>
      <c r="N834" s="138"/>
      <c r="O834" s="138"/>
    </row>
    <row r="835" spans="2:15" x14ac:dyDescent="0.2">
      <c r="B835" s="138"/>
      <c r="C835" s="126"/>
      <c r="D835" s="138"/>
      <c r="E835" s="138"/>
      <c r="F835" s="138"/>
      <c r="G835" s="138"/>
      <c r="H835" s="138"/>
      <c r="I835" s="138"/>
      <c r="J835" s="138"/>
      <c r="K835" s="138"/>
      <c r="L835" s="138"/>
      <c r="M835" s="138"/>
      <c r="N835" s="138"/>
      <c r="O835" s="138"/>
    </row>
    <row r="836" spans="2:15" x14ac:dyDescent="0.2">
      <c r="B836" s="138"/>
      <c r="C836" s="126"/>
      <c r="D836" s="138"/>
      <c r="E836" s="138"/>
      <c r="F836" s="138"/>
      <c r="G836" s="138"/>
      <c r="H836" s="138"/>
      <c r="I836" s="138"/>
      <c r="J836" s="138"/>
      <c r="K836" s="138"/>
      <c r="L836" s="138"/>
      <c r="M836" s="138"/>
      <c r="N836" s="138"/>
      <c r="O836" s="138"/>
    </row>
    <row r="837" spans="2:15" x14ac:dyDescent="0.2">
      <c r="B837" s="138"/>
      <c r="C837" s="126"/>
      <c r="D837" s="138"/>
      <c r="E837" s="138"/>
      <c r="F837" s="138"/>
      <c r="G837" s="138"/>
      <c r="H837" s="138"/>
      <c r="I837" s="138"/>
      <c r="J837" s="138"/>
      <c r="K837" s="138"/>
      <c r="L837" s="138"/>
      <c r="M837" s="138"/>
      <c r="N837" s="138"/>
      <c r="O837" s="138"/>
    </row>
    <row r="838" spans="2:15" x14ac:dyDescent="0.2">
      <c r="B838" s="138"/>
      <c r="C838" s="126"/>
      <c r="D838" s="138"/>
      <c r="E838" s="138"/>
      <c r="F838" s="138"/>
      <c r="G838" s="138"/>
      <c r="H838" s="138"/>
      <c r="I838" s="138"/>
      <c r="J838" s="138"/>
      <c r="K838" s="138"/>
      <c r="L838" s="138"/>
      <c r="M838" s="138"/>
      <c r="N838" s="138"/>
      <c r="O838" s="138"/>
    </row>
    <row r="839" spans="2:15" x14ac:dyDescent="0.2">
      <c r="B839" s="138"/>
      <c r="C839" s="126"/>
      <c r="D839" s="138"/>
      <c r="E839" s="138"/>
      <c r="F839" s="138"/>
      <c r="G839" s="138"/>
      <c r="H839" s="138"/>
      <c r="I839" s="138"/>
      <c r="J839" s="138"/>
      <c r="K839" s="138"/>
      <c r="L839" s="138"/>
      <c r="M839" s="138"/>
      <c r="N839" s="138"/>
      <c r="O839" s="138"/>
    </row>
    <row r="840" spans="2:15" x14ac:dyDescent="0.2">
      <c r="B840" s="138"/>
      <c r="C840" s="126"/>
      <c r="D840" s="138"/>
      <c r="E840" s="138"/>
      <c r="F840" s="138"/>
      <c r="G840" s="138"/>
      <c r="H840" s="138"/>
      <c r="I840" s="138"/>
      <c r="J840" s="138"/>
      <c r="K840" s="138"/>
      <c r="L840" s="138"/>
      <c r="M840" s="138"/>
      <c r="N840" s="138"/>
      <c r="O840" s="138"/>
    </row>
    <row r="841" spans="2:15" x14ac:dyDescent="0.2">
      <c r="B841" s="138"/>
      <c r="C841" s="126"/>
      <c r="D841" s="138"/>
      <c r="E841" s="138"/>
      <c r="F841" s="138"/>
      <c r="G841" s="138"/>
      <c r="H841" s="138"/>
      <c r="I841" s="138"/>
      <c r="J841" s="138"/>
      <c r="K841" s="138"/>
      <c r="L841" s="138"/>
      <c r="M841" s="138"/>
      <c r="N841" s="138"/>
      <c r="O841" s="138"/>
    </row>
    <row r="842" spans="2:15" x14ac:dyDescent="0.2">
      <c r="B842" s="138"/>
      <c r="C842" s="126"/>
      <c r="D842" s="138"/>
      <c r="E842" s="138"/>
      <c r="F842" s="138"/>
      <c r="G842" s="138"/>
      <c r="H842" s="138"/>
      <c r="I842" s="138"/>
      <c r="J842" s="138"/>
      <c r="K842" s="138"/>
      <c r="L842" s="138"/>
      <c r="M842" s="138"/>
      <c r="N842" s="138"/>
      <c r="O842" s="138"/>
    </row>
    <row r="843" spans="2:15" x14ac:dyDescent="0.2">
      <c r="B843" s="138"/>
      <c r="C843" s="126"/>
      <c r="D843" s="138"/>
      <c r="E843" s="138"/>
      <c r="F843" s="138"/>
      <c r="G843" s="138"/>
      <c r="H843" s="138"/>
      <c r="I843" s="138"/>
      <c r="J843" s="138"/>
      <c r="K843" s="138"/>
      <c r="L843" s="138"/>
      <c r="M843" s="138"/>
      <c r="N843" s="138"/>
      <c r="O843" s="138"/>
    </row>
    <row r="844" spans="2:15" x14ac:dyDescent="0.2">
      <c r="B844" s="138"/>
      <c r="C844" s="126"/>
      <c r="D844" s="138"/>
      <c r="E844" s="138"/>
      <c r="F844" s="138"/>
      <c r="G844" s="138"/>
      <c r="H844" s="138"/>
      <c r="I844" s="138"/>
      <c r="J844" s="138"/>
      <c r="K844" s="138"/>
      <c r="L844" s="138"/>
      <c r="M844" s="138"/>
      <c r="N844" s="138"/>
      <c r="O844" s="138"/>
    </row>
    <row r="845" spans="2:15" x14ac:dyDescent="0.2">
      <c r="B845" s="138"/>
      <c r="C845" s="126"/>
      <c r="D845" s="138"/>
      <c r="E845" s="138"/>
      <c r="F845" s="138"/>
      <c r="G845" s="138"/>
      <c r="H845" s="138"/>
      <c r="I845" s="138"/>
      <c r="J845" s="138"/>
      <c r="K845" s="138"/>
      <c r="L845" s="138"/>
      <c r="M845" s="138"/>
      <c r="N845" s="138"/>
      <c r="O845" s="138"/>
    </row>
    <row r="846" spans="2:15" x14ac:dyDescent="0.2">
      <c r="B846" s="138"/>
      <c r="C846" s="126"/>
      <c r="D846" s="138"/>
      <c r="E846" s="138"/>
      <c r="F846" s="138"/>
      <c r="G846" s="138"/>
      <c r="H846" s="138"/>
      <c r="I846" s="138"/>
      <c r="J846" s="138"/>
      <c r="K846" s="138"/>
      <c r="L846" s="138"/>
      <c r="M846" s="138"/>
      <c r="N846" s="138"/>
      <c r="O846" s="138"/>
    </row>
    <row r="847" spans="2:15" x14ac:dyDescent="0.2">
      <c r="B847" s="138"/>
      <c r="C847" s="126"/>
      <c r="D847" s="138"/>
      <c r="E847" s="138"/>
      <c r="F847" s="138"/>
      <c r="G847" s="138"/>
      <c r="H847" s="138"/>
      <c r="I847" s="138"/>
      <c r="J847" s="138"/>
      <c r="K847" s="138"/>
      <c r="L847" s="138"/>
      <c r="M847" s="138"/>
      <c r="N847" s="138"/>
      <c r="O847" s="138"/>
    </row>
    <row r="848" spans="2:15" x14ac:dyDescent="0.2">
      <c r="B848" s="138"/>
      <c r="C848" s="126"/>
      <c r="D848" s="138"/>
      <c r="E848" s="138"/>
      <c r="F848" s="138"/>
      <c r="G848" s="138"/>
      <c r="H848" s="138"/>
      <c r="I848" s="138"/>
      <c r="J848" s="138"/>
      <c r="K848" s="138"/>
      <c r="L848" s="138"/>
      <c r="M848" s="138"/>
      <c r="N848" s="138"/>
      <c r="O848" s="138"/>
    </row>
    <row r="849" spans="2:15" x14ac:dyDescent="0.2">
      <c r="B849" s="138"/>
      <c r="C849" s="126"/>
      <c r="D849" s="138"/>
      <c r="E849" s="138"/>
      <c r="F849" s="138"/>
      <c r="G849" s="138"/>
      <c r="H849" s="138"/>
      <c r="I849" s="138"/>
      <c r="J849" s="138"/>
      <c r="K849" s="138"/>
      <c r="L849" s="138"/>
      <c r="M849" s="138"/>
      <c r="N849" s="138"/>
      <c r="O849" s="138"/>
    </row>
    <row r="850" spans="2:15" x14ac:dyDescent="0.2">
      <c r="B850" s="138"/>
      <c r="C850" s="126"/>
      <c r="D850" s="138"/>
      <c r="E850" s="138"/>
      <c r="F850" s="138"/>
      <c r="G850" s="138"/>
      <c r="H850" s="138"/>
      <c r="I850" s="138"/>
      <c r="J850" s="138"/>
      <c r="K850" s="138"/>
      <c r="L850" s="138"/>
      <c r="M850" s="138"/>
      <c r="N850" s="138"/>
      <c r="O850" s="138"/>
    </row>
    <row r="851" spans="2:15" x14ac:dyDescent="0.2">
      <c r="B851" s="138"/>
      <c r="C851" s="126"/>
      <c r="D851" s="138"/>
      <c r="E851" s="138"/>
      <c r="F851" s="138"/>
      <c r="G851" s="138"/>
      <c r="H851" s="138"/>
      <c r="I851" s="138"/>
      <c r="J851" s="138"/>
      <c r="K851" s="138"/>
      <c r="L851" s="138"/>
      <c r="M851" s="138"/>
      <c r="N851" s="138"/>
      <c r="O851" s="138"/>
    </row>
    <row r="852" spans="2:15" x14ac:dyDescent="0.2">
      <c r="B852" s="138"/>
      <c r="C852" s="126"/>
      <c r="D852" s="138"/>
      <c r="E852" s="138"/>
      <c r="F852" s="138"/>
      <c r="G852" s="138"/>
      <c r="H852" s="138"/>
      <c r="I852" s="138"/>
      <c r="J852" s="138"/>
      <c r="K852" s="138"/>
      <c r="L852" s="138"/>
      <c r="M852" s="138"/>
      <c r="N852" s="138"/>
      <c r="O852" s="138"/>
    </row>
    <row r="853" spans="2:15" x14ac:dyDescent="0.2">
      <c r="B853" s="138"/>
      <c r="C853" s="126"/>
      <c r="D853" s="138"/>
      <c r="E853" s="138"/>
      <c r="F853" s="138"/>
      <c r="G853" s="138"/>
      <c r="H853" s="138"/>
      <c r="I853" s="138"/>
      <c r="J853" s="138"/>
      <c r="K853" s="138"/>
      <c r="L853" s="138"/>
      <c r="M853" s="138"/>
      <c r="N853" s="138"/>
      <c r="O853" s="138"/>
    </row>
    <row r="854" spans="2:15" x14ac:dyDescent="0.2">
      <c r="B854" s="138"/>
      <c r="C854" s="126"/>
      <c r="D854" s="138"/>
      <c r="E854" s="138"/>
      <c r="F854" s="138"/>
      <c r="G854" s="138"/>
      <c r="H854" s="138"/>
      <c r="I854" s="138"/>
      <c r="J854" s="138"/>
      <c r="K854" s="138"/>
      <c r="L854" s="138"/>
      <c r="M854" s="138"/>
      <c r="N854" s="138"/>
      <c r="O854" s="138"/>
    </row>
    <row r="855" spans="2:15" x14ac:dyDescent="0.2">
      <c r="B855" s="138"/>
      <c r="C855" s="126"/>
      <c r="D855" s="138"/>
      <c r="E855" s="138"/>
      <c r="F855" s="138"/>
      <c r="G855" s="138"/>
      <c r="H855" s="138"/>
      <c r="I855" s="138"/>
      <c r="J855" s="138"/>
      <c r="K855" s="138"/>
      <c r="L855" s="138"/>
      <c r="M855" s="138"/>
      <c r="N855" s="138"/>
      <c r="O855" s="138"/>
    </row>
    <row r="856" spans="2:15" x14ac:dyDescent="0.2">
      <c r="B856" s="138"/>
      <c r="C856" s="126"/>
      <c r="D856" s="138"/>
      <c r="E856" s="138"/>
      <c r="F856" s="138"/>
      <c r="G856" s="138"/>
      <c r="H856" s="138"/>
      <c r="I856" s="138"/>
      <c r="J856" s="138"/>
      <c r="K856" s="138"/>
      <c r="L856" s="138"/>
      <c r="M856" s="138"/>
      <c r="N856" s="138"/>
      <c r="O856" s="138"/>
    </row>
    <row r="857" spans="2:15" x14ac:dyDescent="0.2">
      <c r="B857" s="138"/>
      <c r="C857" s="126"/>
      <c r="D857" s="138"/>
      <c r="E857" s="138"/>
      <c r="F857" s="138"/>
      <c r="G857" s="138"/>
      <c r="H857" s="138"/>
      <c r="I857" s="138"/>
      <c r="J857" s="138"/>
      <c r="K857" s="138"/>
      <c r="L857" s="138"/>
      <c r="M857" s="138"/>
      <c r="N857" s="138"/>
      <c r="O857" s="138"/>
    </row>
    <row r="858" spans="2:15" x14ac:dyDescent="0.2">
      <c r="B858" s="138"/>
      <c r="C858" s="126"/>
      <c r="D858" s="138"/>
      <c r="E858" s="138"/>
      <c r="F858" s="138"/>
      <c r="G858" s="138"/>
      <c r="H858" s="138"/>
      <c r="I858" s="138"/>
      <c r="J858" s="138"/>
      <c r="K858" s="138"/>
      <c r="L858" s="138"/>
      <c r="M858" s="138"/>
      <c r="N858" s="138"/>
      <c r="O858" s="138"/>
    </row>
    <row r="859" spans="2:15" x14ac:dyDescent="0.2">
      <c r="B859" s="138"/>
      <c r="C859" s="126"/>
      <c r="D859" s="138"/>
      <c r="E859" s="138"/>
      <c r="F859" s="138"/>
      <c r="G859" s="138"/>
      <c r="H859" s="138"/>
      <c r="I859" s="138"/>
      <c r="J859" s="138"/>
      <c r="K859" s="138"/>
      <c r="L859" s="138"/>
      <c r="M859" s="138"/>
      <c r="N859" s="138"/>
      <c r="O859" s="138"/>
    </row>
    <row r="860" spans="2:15" x14ac:dyDescent="0.2">
      <c r="B860" s="138"/>
      <c r="C860" s="126"/>
      <c r="D860" s="138"/>
      <c r="E860" s="138"/>
      <c r="F860" s="138"/>
      <c r="G860" s="138"/>
      <c r="H860" s="138"/>
      <c r="I860" s="138"/>
      <c r="J860" s="138"/>
      <c r="K860" s="138"/>
      <c r="L860" s="138"/>
      <c r="M860" s="138"/>
      <c r="N860" s="138"/>
      <c r="O860" s="138"/>
    </row>
    <row r="861" spans="2:15" x14ac:dyDescent="0.2">
      <c r="B861" s="138"/>
      <c r="C861" s="126"/>
      <c r="D861" s="138"/>
      <c r="E861" s="138"/>
      <c r="F861" s="138"/>
      <c r="G861" s="138"/>
      <c r="H861" s="138"/>
      <c r="I861" s="138"/>
      <c r="J861" s="138"/>
      <c r="K861" s="138"/>
      <c r="L861" s="138"/>
      <c r="M861" s="138"/>
      <c r="N861" s="138"/>
      <c r="O861" s="138"/>
    </row>
    <row r="862" spans="2:15" x14ac:dyDescent="0.2">
      <c r="B862" s="138"/>
      <c r="C862" s="126"/>
      <c r="D862" s="138"/>
      <c r="E862" s="138"/>
      <c r="F862" s="138"/>
      <c r="G862" s="138"/>
      <c r="H862" s="138"/>
      <c r="I862" s="138"/>
      <c r="J862" s="138"/>
      <c r="K862" s="138"/>
      <c r="L862" s="138"/>
      <c r="M862" s="138"/>
      <c r="N862" s="138"/>
      <c r="O862" s="138"/>
    </row>
    <row r="863" spans="2:15" x14ac:dyDescent="0.2">
      <c r="B863" s="138"/>
      <c r="C863" s="126"/>
      <c r="D863" s="138"/>
      <c r="E863" s="138"/>
      <c r="F863" s="138"/>
      <c r="G863" s="138"/>
      <c r="H863" s="138"/>
      <c r="I863" s="138"/>
      <c r="J863" s="138"/>
      <c r="K863" s="138"/>
      <c r="L863" s="138"/>
      <c r="M863" s="138"/>
      <c r="N863" s="138"/>
      <c r="O863" s="138"/>
    </row>
    <row r="864" spans="2:15" x14ac:dyDescent="0.2">
      <c r="B864" s="138"/>
      <c r="C864" s="126"/>
      <c r="D864" s="138"/>
      <c r="E864" s="138"/>
      <c r="F864" s="138"/>
      <c r="G864" s="138"/>
      <c r="H864" s="138"/>
      <c r="I864" s="138"/>
      <c r="J864" s="138"/>
      <c r="K864" s="138"/>
      <c r="L864" s="138"/>
      <c r="M864" s="138"/>
      <c r="N864" s="138"/>
      <c r="O864" s="138"/>
    </row>
    <row r="865" spans="2:15" x14ac:dyDescent="0.2">
      <c r="B865" s="138"/>
      <c r="C865" s="126"/>
      <c r="D865" s="138"/>
      <c r="E865" s="138"/>
      <c r="F865" s="138"/>
      <c r="G865" s="138"/>
      <c r="H865" s="138"/>
      <c r="I865" s="138"/>
      <c r="J865" s="138"/>
      <c r="K865" s="138"/>
      <c r="L865" s="138"/>
      <c r="M865" s="138"/>
      <c r="N865" s="138"/>
      <c r="O865" s="138"/>
    </row>
    <row r="866" spans="2:15" x14ac:dyDescent="0.2">
      <c r="B866" s="138"/>
      <c r="C866" s="126"/>
      <c r="D866" s="138"/>
      <c r="E866" s="138"/>
      <c r="F866" s="138"/>
      <c r="G866" s="138"/>
      <c r="H866" s="138"/>
      <c r="I866" s="138"/>
      <c r="J866" s="138"/>
      <c r="K866" s="138"/>
      <c r="L866" s="138"/>
      <c r="M866" s="138"/>
      <c r="N866" s="138"/>
      <c r="O866" s="138"/>
    </row>
    <row r="867" spans="2:15" x14ac:dyDescent="0.2">
      <c r="B867" s="138"/>
      <c r="C867" s="126"/>
      <c r="D867" s="138"/>
      <c r="E867" s="138"/>
      <c r="F867" s="138"/>
      <c r="G867" s="138"/>
      <c r="H867" s="138"/>
      <c r="I867" s="138"/>
      <c r="J867" s="138"/>
      <c r="K867" s="138"/>
      <c r="L867" s="138"/>
      <c r="M867" s="138"/>
      <c r="N867" s="138"/>
      <c r="O867" s="138"/>
    </row>
    <row r="868" spans="2:15" x14ac:dyDescent="0.2">
      <c r="B868" s="138"/>
      <c r="C868" s="126"/>
      <c r="D868" s="138"/>
      <c r="E868" s="138"/>
      <c r="F868" s="138"/>
      <c r="G868" s="138"/>
      <c r="H868" s="138"/>
      <c r="I868" s="138"/>
      <c r="J868" s="138"/>
      <c r="K868" s="138"/>
      <c r="L868" s="138"/>
      <c r="M868" s="138"/>
      <c r="N868" s="138"/>
      <c r="O868" s="138"/>
    </row>
    <row r="869" spans="2:15" x14ac:dyDescent="0.2">
      <c r="B869" s="138"/>
      <c r="C869" s="126"/>
      <c r="D869" s="138"/>
      <c r="E869" s="138"/>
      <c r="F869" s="138"/>
      <c r="G869" s="138"/>
      <c r="H869" s="138"/>
      <c r="I869" s="138"/>
      <c r="J869" s="138"/>
      <c r="K869" s="138"/>
      <c r="L869" s="138"/>
      <c r="M869" s="138"/>
      <c r="N869" s="138"/>
      <c r="O869" s="138"/>
    </row>
    <row r="870" spans="2:15" x14ac:dyDescent="0.2">
      <c r="B870" s="138"/>
      <c r="C870" s="126"/>
      <c r="D870" s="138"/>
      <c r="E870" s="138"/>
      <c r="F870" s="138"/>
      <c r="G870" s="138"/>
      <c r="H870" s="138"/>
      <c r="I870" s="138"/>
      <c r="J870" s="138"/>
      <c r="K870" s="138"/>
      <c r="L870" s="138"/>
      <c r="M870" s="138"/>
      <c r="N870" s="138"/>
      <c r="O870" s="138"/>
    </row>
    <row r="871" spans="2:15" x14ac:dyDescent="0.2">
      <c r="B871" s="138"/>
      <c r="C871" s="126"/>
      <c r="D871" s="138"/>
      <c r="E871" s="138"/>
      <c r="F871" s="138"/>
      <c r="G871" s="138"/>
      <c r="H871" s="138"/>
      <c r="I871" s="138"/>
      <c r="J871" s="138"/>
      <c r="K871" s="138"/>
      <c r="L871" s="138"/>
      <c r="M871" s="138"/>
      <c r="N871" s="138"/>
      <c r="O871" s="138"/>
    </row>
    <row r="872" spans="2:15" x14ac:dyDescent="0.2">
      <c r="B872" s="138"/>
      <c r="C872" s="126"/>
      <c r="D872" s="138"/>
      <c r="E872" s="138"/>
      <c r="F872" s="138"/>
      <c r="G872" s="138"/>
      <c r="H872" s="138"/>
      <c r="I872" s="138"/>
      <c r="J872" s="138"/>
      <c r="K872" s="138"/>
      <c r="L872" s="138"/>
      <c r="M872" s="138"/>
      <c r="N872" s="138"/>
      <c r="O872" s="138"/>
    </row>
    <row r="873" spans="2:15" x14ac:dyDescent="0.2">
      <c r="B873" s="138"/>
      <c r="C873" s="126"/>
      <c r="D873" s="138"/>
      <c r="E873" s="138"/>
      <c r="F873" s="138"/>
      <c r="G873" s="138"/>
      <c r="H873" s="138"/>
      <c r="I873" s="138"/>
      <c r="J873" s="138"/>
      <c r="K873" s="138"/>
      <c r="L873" s="138"/>
      <c r="M873" s="138"/>
      <c r="N873" s="138"/>
      <c r="O873" s="138"/>
    </row>
    <row r="874" spans="2:15" x14ac:dyDescent="0.2">
      <c r="B874" s="138"/>
      <c r="C874" s="126"/>
      <c r="D874" s="138"/>
      <c r="E874" s="138"/>
      <c r="F874" s="138"/>
      <c r="G874" s="138"/>
      <c r="H874" s="138"/>
      <c r="I874" s="138"/>
      <c r="J874" s="138"/>
      <c r="K874" s="138"/>
      <c r="L874" s="138"/>
      <c r="M874" s="138"/>
      <c r="N874" s="138"/>
      <c r="O874" s="138"/>
    </row>
    <row r="875" spans="2:15" x14ac:dyDescent="0.2">
      <c r="B875" s="138"/>
      <c r="C875" s="126"/>
      <c r="D875" s="138"/>
      <c r="E875" s="138"/>
      <c r="F875" s="138"/>
      <c r="G875" s="138"/>
      <c r="H875" s="138"/>
      <c r="I875" s="138"/>
      <c r="J875" s="138"/>
      <c r="K875" s="138"/>
      <c r="L875" s="138"/>
      <c r="M875" s="138"/>
      <c r="N875" s="138"/>
      <c r="O875" s="138"/>
    </row>
    <row r="876" spans="2:15" x14ac:dyDescent="0.2">
      <c r="B876" s="138"/>
      <c r="C876" s="126"/>
      <c r="D876" s="138"/>
      <c r="E876" s="138"/>
      <c r="F876" s="138"/>
      <c r="G876" s="138"/>
      <c r="H876" s="138"/>
      <c r="I876" s="138"/>
      <c r="J876" s="138"/>
      <c r="K876" s="138"/>
      <c r="L876" s="138"/>
      <c r="M876" s="138"/>
      <c r="N876" s="138"/>
      <c r="O876" s="138"/>
    </row>
    <row r="877" spans="2:15" x14ac:dyDescent="0.2">
      <c r="B877" s="138"/>
      <c r="C877" s="126"/>
      <c r="D877" s="138"/>
      <c r="E877" s="138"/>
      <c r="F877" s="138"/>
      <c r="G877" s="138"/>
      <c r="H877" s="138"/>
      <c r="I877" s="138"/>
      <c r="J877" s="138"/>
      <c r="K877" s="138"/>
      <c r="L877" s="138"/>
      <c r="M877" s="138"/>
      <c r="N877" s="138"/>
      <c r="O877" s="138"/>
    </row>
    <row r="878" spans="2:15" x14ac:dyDescent="0.2">
      <c r="B878" s="138"/>
      <c r="C878" s="126"/>
      <c r="D878" s="138"/>
      <c r="E878" s="138"/>
      <c r="F878" s="138"/>
      <c r="G878" s="138"/>
      <c r="H878" s="138"/>
      <c r="I878" s="138"/>
      <c r="J878" s="138"/>
      <c r="K878" s="138"/>
      <c r="L878" s="138"/>
      <c r="M878" s="138"/>
      <c r="N878" s="138"/>
      <c r="O878" s="138"/>
    </row>
    <row r="879" spans="2:15" x14ac:dyDescent="0.2">
      <c r="B879" s="138"/>
      <c r="C879" s="126"/>
      <c r="D879" s="138"/>
      <c r="E879" s="138"/>
      <c r="F879" s="138"/>
      <c r="G879" s="138"/>
      <c r="H879" s="138"/>
      <c r="I879" s="138"/>
      <c r="J879" s="138"/>
      <c r="K879" s="138"/>
      <c r="L879" s="138"/>
      <c r="M879" s="138"/>
      <c r="N879" s="138"/>
      <c r="O879" s="138"/>
    </row>
    <row r="880" spans="2:15" x14ac:dyDescent="0.2">
      <c r="B880" s="138"/>
      <c r="C880" s="126"/>
      <c r="D880" s="138"/>
      <c r="E880" s="138"/>
      <c r="F880" s="138"/>
      <c r="G880" s="138"/>
      <c r="H880" s="138"/>
      <c r="I880" s="138"/>
      <c r="J880" s="138"/>
      <c r="K880" s="138"/>
      <c r="L880" s="138"/>
      <c r="M880" s="138"/>
      <c r="N880" s="138"/>
      <c r="O880" s="138"/>
    </row>
    <row r="881" spans="2:15" x14ac:dyDescent="0.2">
      <c r="B881" s="138"/>
      <c r="C881" s="126"/>
      <c r="D881" s="138"/>
      <c r="E881" s="138"/>
      <c r="F881" s="138"/>
      <c r="G881" s="138"/>
      <c r="H881" s="138"/>
      <c r="I881" s="138"/>
      <c r="J881" s="138"/>
      <c r="K881" s="138"/>
      <c r="L881" s="138"/>
      <c r="M881" s="138"/>
      <c r="N881" s="138"/>
      <c r="O881" s="138"/>
    </row>
    <row r="882" spans="2:15" x14ac:dyDescent="0.2">
      <c r="B882" s="138"/>
      <c r="C882" s="126"/>
      <c r="D882" s="138"/>
      <c r="E882" s="138"/>
      <c r="F882" s="138"/>
      <c r="G882" s="138"/>
      <c r="H882" s="138"/>
      <c r="I882" s="138"/>
      <c r="J882" s="138"/>
      <c r="K882" s="138"/>
      <c r="L882" s="138"/>
      <c r="M882" s="138"/>
      <c r="N882" s="138"/>
      <c r="O882" s="138"/>
    </row>
    <row r="883" spans="2:15" x14ac:dyDescent="0.2">
      <c r="B883" s="138"/>
      <c r="C883" s="126"/>
      <c r="D883" s="138"/>
      <c r="E883" s="138"/>
      <c r="F883" s="138"/>
      <c r="G883" s="138"/>
      <c r="H883" s="138"/>
      <c r="I883" s="138"/>
      <c r="J883" s="138"/>
      <c r="K883" s="138"/>
      <c r="L883" s="138"/>
      <c r="M883" s="138"/>
      <c r="N883" s="138"/>
      <c r="O883" s="138"/>
    </row>
    <row r="884" spans="2:15" x14ac:dyDescent="0.2">
      <c r="B884" s="138"/>
      <c r="C884" s="126"/>
      <c r="D884" s="138"/>
      <c r="E884" s="138"/>
      <c r="F884" s="138"/>
      <c r="G884" s="138"/>
      <c r="H884" s="138"/>
      <c r="I884" s="138"/>
      <c r="J884" s="138"/>
      <c r="K884" s="138"/>
      <c r="L884" s="138"/>
      <c r="M884" s="138"/>
      <c r="N884" s="138"/>
      <c r="O884" s="138"/>
    </row>
    <row r="885" spans="2:15" x14ac:dyDescent="0.2">
      <c r="B885" s="138"/>
      <c r="C885" s="126"/>
      <c r="D885" s="138"/>
      <c r="E885" s="138"/>
      <c r="F885" s="138"/>
      <c r="G885" s="138"/>
      <c r="H885" s="138"/>
      <c r="I885" s="138"/>
      <c r="J885" s="138"/>
      <c r="K885" s="138"/>
      <c r="L885" s="138"/>
      <c r="M885" s="138"/>
      <c r="N885" s="138"/>
      <c r="O885" s="138"/>
    </row>
    <row r="886" spans="2:15" x14ac:dyDescent="0.2">
      <c r="B886" s="138"/>
      <c r="C886" s="126"/>
      <c r="D886" s="138"/>
      <c r="E886" s="138"/>
      <c r="F886" s="138"/>
      <c r="G886" s="138"/>
      <c r="H886" s="138"/>
      <c r="I886" s="138"/>
      <c r="J886" s="138"/>
      <c r="K886" s="138"/>
      <c r="L886" s="138"/>
      <c r="M886" s="138"/>
      <c r="N886" s="138"/>
      <c r="O886" s="138"/>
    </row>
    <row r="887" spans="2:15" x14ac:dyDescent="0.2">
      <c r="B887" s="138"/>
      <c r="C887" s="126"/>
      <c r="D887" s="138"/>
      <c r="E887" s="138"/>
      <c r="F887" s="138"/>
      <c r="G887" s="138"/>
      <c r="H887" s="138"/>
      <c r="I887" s="138"/>
      <c r="J887" s="138"/>
      <c r="K887" s="138"/>
      <c r="L887" s="138"/>
      <c r="M887" s="138"/>
      <c r="N887" s="138"/>
      <c r="O887" s="138"/>
    </row>
    <row r="888" spans="2:15" x14ac:dyDescent="0.2">
      <c r="B888" s="138"/>
      <c r="C888" s="126"/>
      <c r="D888" s="138"/>
      <c r="E888" s="138"/>
      <c r="F888" s="138"/>
      <c r="G888" s="138"/>
      <c r="H888" s="138"/>
      <c r="I888" s="138"/>
      <c r="J888" s="138"/>
      <c r="K888" s="138"/>
      <c r="L888" s="138"/>
      <c r="M888" s="138"/>
      <c r="N888" s="138"/>
      <c r="O888" s="138"/>
    </row>
    <row r="889" spans="2:15" x14ac:dyDescent="0.2">
      <c r="B889" s="138"/>
      <c r="C889" s="126"/>
      <c r="D889" s="138"/>
      <c r="E889" s="138"/>
      <c r="F889" s="138"/>
      <c r="G889" s="138"/>
      <c r="H889" s="138"/>
      <c r="I889" s="138"/>
      <c r="J889" s="138"/>
      <c r="K889" s="138"/>
      <c r="L889" s="138"/>
      <c r="M889" s="138"/>
      <c r="N889" s="138"/>
      <c r="O889" s="138"/>
    </row>
    <row r="890" spans="2:15" x14ac:dyDescent="0.2">
      <c r="B890" s="138"/>
      <c r="C890" s="126"/>
      <c r="D890" s="138"/>
      <c r="E890" s="138"/>
      <c r="F890" s="138"/>
      <c r="G890" s="138"/>
      <c r="H890" s="138"/>
      <c r="I890" s="138"/>
      <c r="J890" s="138"/>
      <c r="K890" s="138"/>
      <c r="L890" s="138"/>
      <c r="M890" s="138"/>
      <c r="N890" s="138"/>
      <c r="O890" s="138"/>
    </row>
    <row r="891" spans="2:15" x14ac:dyDescent="0.2">
      <c r="B891" s="138"/>
      <c r="C891" s="126"/>
      <c r="D891" s="138"/>
      <c r="E891" s="138"/>
      <c r="F891" s="138"/>
      <c r="G891" s="138"/>
      <c r="H891" s="138"/>
      <c r="I891" s="138"/>
      <c r="J891" s="138"/>
      <c r="K891" s="138"/>
      <c r="L891" s="138"/>
      <c r="M891" s="138"/>
      <c r="N891" s="138"/>
      <c r="O891" s="138"/>
    </row>
    <row r="892" spans="2:15" x14ac:dyDescent="0.2">
      <c r="B892" s="138"/>
      <c r="C892" s="126"/>
      <c r="D892" s="138"/>
      <c r="E892" s="138"/>
      <c r="F892" s="138"/>
      <c r="G892" s="138"/>
      <c r="H892" s="138"/>
      <c r="I892" s="138"/>
      <c r="J892" s="138"/>
      <c r="K892" s="138"/>
      <c r="L892" s="138"/>
      <c r="M892" s="138"/>
      <c r="N892" s="138"/>
      <c r="O892" s="138"/>
    </row>
    <row r="893" spans="2:15" x14ac:dyDescent="0.2">
      <c r="B893" s="138"/>
      <c r="C893" s="126"/>
      <c r="D893" s="138"/>
      <c r="E893" s="138"/>
      <c r="F893" s="138"/>
      <c r="G893" s="138"/>
      <c r="H893" s="138"/>
      <c r="I893" s="138"/>
      <c r="J893" s="138"/>
      <c r="K893" s="138"/>
      <c r="L893" s="138"/>
      <c r="M893" s="138"/>
      <c r="N893" s="138"/>
      <c r="O893" s="138"/>
    </row>
    <row r="894" spans="2:15" x14ac:dyDescent="0.2">
      <c r="B894" s="138"/>
      <c r="C894" s="126"/>
      <c r="D894" s="138"/>
      <c r="E894" s="138"/>
      <c r="F894" s="138"/>
      <c r="G894" s="138"/>
      <c r="H894" s="138"/>
      <c r="I894" s="138"/>
      <c r="J894" s="138"/>
      <c r="K894" s="138"/>
      <c r="L894" s="138"/>
      <c r="M894" s="138"/>
      <c r="N894" s="138"/>
      <c r="O894" s="138"/>
    </row>
    <row r="895" spans="2:15" x14ac:dyDescent="0.2">
      <c r="B895" s="138"/>
      <c r="C895" s="126"/>
      <c r="D895" s="138"/>
      <c r="E895" s="138"/>
      <c r="F895" s="138"/>
      <c r="G895" s="138"/>
      <c r="H895" s="138"/>
      <c r="I895" s="138"/>
      <c r="J895" s="138"/>
      <c r="K895" s="138"/>
      <c r="L895" s="138"/>
      <c r="M895" s="138"/>
      <c r="N895" s="138"/>
      <c r="O895" s="138"/>
    </row>
    <row r="896" spans="2:15" x14ac:dyDescent="0.2">
      <c r="B896" s="138"/>
      <c r="C896" s="126"/>
      <c r="D896" s="138"/>
      <c r="E896" s="138"/>
      <c r="F896" s="138"/>
      <c r="G896" s="138"/>
      <c r="H896" s="138"/>
      <c r="I896" s="138"/>
      <c r="J896" s="138"/>
      <c r="K896" s="138"/>
      <c r="L896" s="138"/>
      <c r="M896" s="138"/>
      <c r="N896" s="138"/>
      <c r="O896" s="138"/>
    </row>
    <row r="897" spans="2:15" x14ac:dyDescent="0.2">
      <c r="B897" s="138"/>
      <c r="C897" s="126"/>
      <c r="D897" s="138"/>
      <c r="E897" s="138"/>
      <c r="F897" s="138"/>
      <c r="G897" s="138"/>
      <c r="H897" s="138"/>
      <c r="I897" s="138"/>
      <c r="J897" s="138"/>
      <c r="K897" s="138"/>
      <c r="L897" s="138"/>
      <c r="M897" s="138"/>
      <c r="N897" s="138"/>
      <c r="O897" s="138"/>
    </row>
    <row r="898" spans="2:15" x14ac:dyDescent="0.2">
      <c r="B898" s="138"/>
      <c r="C898" s="126"/>
      <c r="D898" s="138"/>
      <c r="E898" s="138"/>
      <c r="F898" s="138"/>
      <c r="G898" s="138"/>
      <c r="H898" s="138"/>
      <c r="I898" s="138"/>
      <c r="J898" s="138"/>
      <c r="K898" s="138"/>
      <c r="L898" s="138"/>
      <c r="M898" s="138"/>
      <c r="N898" s="138"/>
      <c r="O898" s="138"/>
    </row>
    <row r="899" spans="2:15" x14ac:dyDescent="0.2">
      <c r="B899" s="138"/>
      <c r="C899" s="126"/>
      <c r="D899" s="138"/>
      <c r="E899" s="138"/>
      <c r="F899" s="138"/>
      <c r="G899" s="138"/>
      <c r="H899" s="138"/>
      <c r="I899" s="138"/>
      <c r="J899" s="138"/>
      <c r="K899" s="138"/>
      <c r="L899" s="138"/>
      <c r="M899" s="138"/>
      <c r="N899" s="138"/>
      <c r="O899" s="138"/>
    </row>
    <row r="900" spans="2:15" x14ac:dyDescent="0.2">
      <c r="B900" s="138"/>
      <c r="C900" s="126"/>
      <c r="D900" s="138"/>
      <c r="E900" s="138"/>
      <c r="F900" s="138"/>
      <c r="G900" s="138"/>
      <c r="H900" s="138"/>
      <c r="I900" s="138"/>
      <c r="J900" s="138"/>
      <c r="K900" s="138"/>
      <c r="L900" s="138"/>
      <c r="M900" s="138"/>
      <c r="N900" s="138"/>
      <c r="O900" s="138"/>
    </row>
    <row r="901" spans="2:15" x14ac:dyDescent="0.2">
      <c r="B901" s="138"/>
      <c r="C901" s="126"/>
      <c r="D901" s="138"/>
      <c r="E901" s="138"/>
      <c r="F901" s="138"/>
      <c r="G901" s="138"/>
      <c r="H901" s="138"/>
      <c r="I901" s="138"/>
      <c r="J901" s="138"/>
      <c r="K901" s="138"/>
      <c r="L901" s="138"/>
      <c r="M901" s="138"/>
      <c r="N901" s="138"/>
      <c r="O901" s="138"/>
    </row>
    <row r="902" spans="2:15" x14ac:dyDescent="0.2">
      <c r="B902" s="138"/>
      <c r="C902" s="126"/>
      <c r="D902" s="138"/>
      <c r="E902" s="138"/>
      <c r="F902" s="138"/>
      <c r="G902" s="138"/>
      <c r="H902" s="138"/>
      <c r="I902" s="138"/>
      <c r="J902" s="138"/>
      <c r="K902" s="138"/>
      <c r="L902" s="138"/>
      <c r="M902" s="138"/>
      <c r="N902" s="138"/>
      <c r="O902" s="138"/>
    </row>
    <row r="903" spans="2:15" x14ac:dyDescent="0.2">
      <c r="B903" s="138"/>
      <c r="C903" s="126"/>
      <c r="D903" s="138"/>
      <c r="E903" s="138"/>
      <c r="F903" s="138"/>
      <c r="G903" s="138"/>
      <c r="H903" s="138"/>
      <c r="I903" s="138"/>
      <c r="J903" s="138"/>
      <c r="K903" s="138"/>
      <c r="L903" s="138"/>
      <c r="M903" s="138"/>
      <c r="N903" s="138"/>
      <c r="O903" s="138"/>
    </row>
    <row r="904" spans="2:15" x14ac:dyDescent="0.2">
      <c r="B904" s="138"/>
      <c r="C904" s="126"/>
      <c r="D904" s="138"/>
      <c r="E904" s="138"/>
      <c r="F904" s="138"/>
      <c r="G904" s="138"/>
      <c r="H904" s="138"/>
      <c r="I904" s="138"/>
      <c r="J904" s="138"/>
      <c r="K904" s="138"/>
      <c r="L904" s="138"/>
      <c r="M904" s="138"/>
      <c r="N904" s="138"/>
      <c r="O904" s="138"/>
    </row>
    <row r="905" spans="2:15" x14ac:dyDescent="0.2">
      <c r="B905" s="138"/>
      <c r="C905" s="126"/>
      <c r="D905" s="138"/>
      <c r="E905" s="138"/>
      <c r="F905" s="138"/>
      <c r="G905" s="138"/>
      <c r="H905" s="138"/>
      <c r="I905" s="138"/>
      <c r="J905" s="138"/>
      <c r="K905" s="138"/>
      <c r="L905" s="138"/>
      <c r="M905" s="138"/>
      <c r="N905" s="138"/>
      <c r="O905" s="138"/>
    </row>
    <row r="906" spans="2:15" x14ac:dyDescent="0.2">
      <c r="B906" s="138"/>
      <c r="C906" s="126"/>
      <c r="D906" s="138"/>
      <c r="E906" s="138"/>
      <c r="F906" s="138"/>
      <c r="G906" s="138"/>
      <c r="H906" s="138"/>
      <c r="I906" s="138"/>
      <c r="J906" s="138"/>
      <c r="K906" s="138"/>
      <c r="L906" s="138"/>
      <c r="M906" s="138"/>
      <c r="N906" s="138"/>
      <c r="O906" s="138"/>
    </row>
    <row r="907" spans="2:15" x14ac:dyDescent="0.2">
      <c r="B907" s="138"/>
      <c r="C907" s="126"/>
      <c r="D907" s="138"/>
      <c r="E907" s="138"/>
      <c r="F907" s="138"/>
      <c r="G907" s="138"/>
      <c r="H907" s="138"/>
      <c r="I907" s="138"/>
      <c r="J907" s="138"/>
      <c r="K907" s="138"/>
      <c r="L907" s="138"/>
      <c r="M907" s="138"/>
      <c r="N907" s="138"/>
      <c r="O907" s="138"/>
    </row>
    <row r="908" spans="2:15" x14ac:dyDescent="0.2">
      <c r="B908" s="138"/>
      <c r="C908" s="126"/>
      <c r="D908" s="138"/>
      <c r="E908" s="138"/>
      <c r="F908" s="138"/>
      <c r="G908" s="138"/>
      <c r="H908" s="138"/>
      <c r="I908" s="138"/>
      <c r="J908" s="138"/>
      <c r="K908" s="138"/>
      <c r="L908" s="138"/>
      <c r="M908" s="138"/>
      <c r="N908" s="138"/>
      <c r="O908" s="138"/>
    </row>
    <row r="909" spans="2:15" x14ac:dyDescent="0.2">
      <c r="B909" s="138"/>
      <c r="C909" s="126"/>
      <c r="D909" s="138"/>
      <c r="E909" s="138"/>
      <c r="F909" s="138"/>
      <c r="G909" s="138"/>
      <c r="H909" s="138"/>
      <c r="I909" s="138"/>
      <c r="J909" s="138"/>
      <c r="K909" s="138"/>
      <c r="L909" s="138"/>
      <c r="M909" s="138"/>
      <c r="N909" s="138"/>
      <c r="O909" s="138"/>
    </row>
    <row r="910" spans="2:15" x14ac:dyDescent="0.2">
      <c r="B910" s="138"/>
      <c r="C910" s="126"/>
      <c r="D910" s="138"/>
      <c r="E910" s="138"/>
      <c r="F910" s="138"/>
      <c r="G910" s="138"/>
      <c r="H910" s="138"/>
      <c r="I910" s="138"/>
      <c r="J910" s="138"/>
      <c r="K910" s="138"/>
      <c r="L910" s="138"/>
      <c r="M910" s="138"/>
      <c r="N910" s="138"/>
      <c r="O910" s="138"/>
    </row>
    <row r="911" spans="2:15" x14ac:dyDescent="0.2">
      <c r="B911" s="138"/>
      <c r="C911" s="126"/>
      <c r="D911" s="138"/>
      <c r="E911" s="138"/>
      <c r="F911" s="138"/>
      <c r="G911" s="138"/>
      <c r="H911" s="138"/>
      <c r="I911" s="138"/>
      <c r="J911" s="138"/>
      <c r="K911" s="138"/>
      <c r="L911" s="138"/>
      <c r="M911" s="138"/>
      <c r="N911" s="138"/>
      <c r="O911" s="138"/>
    </row>
    <row r="912" spans="2:15" x14ac:dyDescent="0.2">
      <c r="B912" s="138"/>
      <c r="C912" s="126"/>
      <c r="D912" s="138"/>
      <c r="E912" s="138"/>
      <c r="F912" s="138"/>
      <c r="G912" s="138"/>
      <c r="H912" s="138"/>
      <c r="I912" s="138"/>
      <c r="J912" s="138"/>
      <c r="K912" s="138"/>
      <c r="L912" s="138"/>
      <c r="M912" s="138"/>
      <c r="N912" s="138"/>
      <c r="O912" s="138"/>
    </row>
    <row r="913" spans="2:15" x14ac:dyDescent="0.2">
      <c r="B913" s="138"/>
      <c r="C913" s="126"/>
      <c r="D913" s="138"/>
      <c r="E913" s="138"/>
      <c r="F913" s="138"/>
      <c r="G913" s="138"/>
      <c r="H913" s="138"/>
      <c r="I913" s="138"/>
      <c r="J913" s="138"/>
      <c r="K913" s="138"/>
      <c r="L913" s="138"/>
      <c r="M913" s="138"/>
      <c r="N913" s="138"/>
      <c r="O913" s="138"/>
    </row>
    <row r="914" spans="2:15" x14ac:dyDescent="0.2">
      <c r="B914" s="138"/>
      <c r="C914" s="126"/>
      <c r="D914" s="138"/>
      <c r="E914" s="138"/>
      <c r="F914" s="138"/>
      <c r="G914" s="138"/>
      <c r="H914" s="138"/>
      <c r="I914" s="138"/>
      <c r="J914" s="138"/>
      <c r="K914" s="138"/>
      <c r="L914" s="138"/>
      <c r="M914" s="138"/>
      <c r="N914" s="138"/>
      <c r="O914" s="138"/>
    </row>
    <row r="915" spans="2:15" x14ac:dyDescent="0.2">
      <c r="B915" s="138"/>
      <c r="C915" s="126"/>
      <c r="D915" s="138"/>
      <c r="E915" s="138"/>
      <c r="F915" s="138"/>
      <c r="G915" s="138"/>
      <c r="H915" s="138"/>
      <c r="I915" s="138"/>
      <c r="J915" s="138"/>
      <c r="K915" s="138"/>
      <c r="L915" s="138"/>
      <c r="M915" s="138"/>
      <c r="N915" s="138"/>
      <c r="O915" s="138"/>
    </row>
    <row r="916" spans="2:15" x14ac:dyDescent="0.2">
      <c r="B916" s="138"/>
      <c r="C916" s="126"/>
      <c r="D916" s="138"/>
      <c r="E916" s="138"/>
      <c r="F916" s="138"/>
      <c r="G916" s="138"/>
      <c r="H916" s="138"/>
      <c r="I916" s="138"/>
      <c r="J916" s="138"/>
      <c r="K916" s="138"/>
      <c r="L916" s="138"/>
      <c r="M916" s="138"/>
      <c r="N916" s="138"/>
      <c r="O916" s="138"/>
    </row>
    <row r="917" spans="2:15" x14ac:dyDescent="0.2">
      <c r="B917" s="138"/>
      <c r="C917" s="126"/>
      <c r="D917" s="138"/>
      <c r="E917" s="138"/>
      <c r="F917" s="138"/>
      <c r="G917" s="138"/>
      <c r="H917" s="138"/>
      <c r="I917" s="138"/>
      <c r="J917" s="138"/>
      <c r="K917" s="138"/>
      <c r="L917" s="138"/>
      <c r="M917" s="138"/>
      <c r="N917" s="138"/>
      <c r="O917" s="138"/>
    </row>
    <row r="918" spans="2:15" x14ac:dyDescent="0.2">
      <c r="B918" s="138"/>
      <c r="C918" s="126"/>
      <c r="D918" s="138"/>
      <c r="E918" s="138"/>
      <c r="F918" s="138"/>
      <c r="G918" s="138"/>
      <c r="H918" s="138"/>
      <c r="I918" s="138"/>
      <c r="J918" s="138"/>
      <c r="K918" s="138"/>
      <c r="L918" s="138"/>
      <c r="M918" s="138"/>
      <c r="N918" s="138"/>
      <c r="O918" s="138"/>
    </row>
    <row r="919" spans="2:15" x14ac:dyDescent="0.2">
      <c r="B919" s="138"/>
      <c r="C919" s="126"/>
      <c r="D919" s="138"/>
      <c r="E919" s="138"/>
      <c r="F919" s="138"/>
      <c r="G919" s="138"/>
      <c r="H919" s="138"/>
      <c r="I919" s="138"/>
      <c r="J919" s="138"/>
      <c r="K919" s="138"/>
      <c r="L919" s="138"/>
      <c r="M919" s="138"/>
      <c r="N919" s="138"/>
      <c r="O919" s="138"/>
    </row>
    <row r="920" spans="2:15" x14ac:dyDescent="0.2">
      <c r="B920" s="138"/>
      <c r="C920" s="126"/>
      <c r="D920" s="138"/>
      <c r="E920" s="138"/>
      <c r="F920" s="138"/>
      <c r="G920" s="138"/>
      <c r="H920" s="138"/>
      <c r="I920" s="138"/>
      <c r="J920" s="138"/>
      <c r="K920" s="138"/>
      <c r="L920" s="138"/>
      <c r="M920" s="138"/>
      <c r="N920" s="138"/>
      <c r="O920" s="138"/>
    </row>
    <row r="921" spans="2:15" x14ac:dyDescent="0.2">
      <c r="B921" s="138"/>
      <c r="C921" s="126"/>
      <c r="D921" s="138"/>
      <c r="E921" s="138"/>
      <c r="F921" s="138"/>
      <c r="G921" s="138"/>
      <c r="H921" s="138"/>
      <c r="I921" s="138"/>
      <c r="J921" s="138"/>
      <c r="K921" s="138"/>
      <c r="L921" s="138"/>
      <c r="M921" s="138"/>
      <c r="N921" s="138"/>
      <c r="O921" s="138"/>
    </row>
    <row r="922" spans="2:15" x14ac:dyDescent="0.2">
      <c r="B922" s="138"/>
      <c r="C922" s="126"/>
      <c r="D922" s="138"/>
      <c r="E922" s="138"/>
      <c r="F922" s="138"/>
      <c r="G922" s="138"/>
      <c r="H922" s="138"/>
      <c r="I922" s="138"/>
      <c r="J922" s="138"/>
      <c r="K922" s="138"/>
      <c r="L922" s="138"/>
      <c r="M922" s="138"/>
      <c r="N922" s="138"/>
      <c r="O922" s="138"/>
    </row>
    <row r="923" spans="2:15" x14ac:dyDescent="0.2">
      <c r="B923" s="138"/>
      <c r="C923" s="126"/>
      <c r="D923" s="138"/>
      <c r="E923" s="138"/>
      <c r="F923" s="138"/>
      <c r="G923" s="138"/>
      <c r="H923" s="138"/>
      <c r="I923" s="138"/>
      <c r="J923" s="138"/>
      <c r="K923" s="138"/>
      <c r="L923" s="138"/>
      <c r="M923" s="138"/>
      <c r="N923" s="138"/>
      <c r="O923" s="138"/>
    </row>
    <row r="924" spans="2:15" x14ac:dyDescent="0.2">
      <c r="B924" s="138"/>
      <c r="C924" s="126"/>
      <c r="D924" s="138"/>
      <c r="E924" s="138"/>
      <c r="F924" s="138"/>
      <c r="G924" s="138"/>
      <c r="H924" s="138"/>
      <c r="I924" s="138"/>
      <c r="J924" s="138"/>
      <c r="K924" s="138"/>
      <c r="L924" s="138"/>
      <c r="M924" s="138"/>
      <c r="N924" s="138"/>
      <c r="O924" s="138"/>
    </row>
    <row r="925" spans="2:15" x14ac:dyDescent="0.2">
      <c r="B925" s="138"/>
      <c r="C925" s="126"/>
      <c r="D925" s="138"/>
      <c r="E925" s="138"/>
      <c r="F925" s="138"/>
      <c r="G925" s="138"/>
      <c r="H925" s="138"/>
      <c r="I925" s="138"/>
      <c r="J925" s="138"/>
      <c r="K925" s="138"/>
      <c r="L925" s="138"/>
      <c r="M925" s="138"/>
      <c r="N925" s="138"/>
      <c r="O925" s="138"/>
    </row>
    <row r="926" spans="2:15" x14ac:dyDescent="0.2">
      <c r="B926" s="138"/>
      <c r="C926" s="126"/>
      <c r="D926" s="138"/>
      <c r="E926" s="138"/>
      <c r="F926" s="138"/>
      <c r="G926" s="138"/>
      <c r="H926" s="138"/>
      <c r="I926" s="138"/>
      <c r="J926" s="138"/>
      <c r="K926" s="138"/>
      <c r="L926" s="138"/>
      <c r="M926" s="138"/>
      <c r="N926" s="138"/>
      <c r="O926" s="138"/>
    </row>
    <row r="927" spans="2:15" x14ac:dyDescent="0.2">
      <c r="B927" s="138"/>
      <c r="C927" s="126"/>
      <c r="D927" s="138"/>
      <c r="E927" s="138"/>
      <c r="F927" s="138"/>
      <c r="G927" s="138"/>
      <c r="H927" s="138"/>
      <c r="I927" s="138"/>
      <c r="J927" s="138"/>
      <c r="K927" s="138"/>
      <c r="L927" s="138"/>
      <c r="M927" s="138"/>
      <c r="N927" s="138"/>
      <c r="O927" s="138"/>
    </row>
    <row r="928" spans="2:15" x14ac:dyDescent="0.2">
      <c r="B928" s="138"/>
      <c r="C928" s="126"/>
      <c r="D928" s="138"/>
      <c r="E928" s="138"/>
      <c r="F928" s="138"/>
      <c r="G928" s="138"/>
      <c r="H928" s="138"/>
      <c r="I928" s="138"/>
      <c r="J928" s="138"/>
      <c r="K928" s="138"/>
      <c r="L928" s="138"/>
      <c r="M928" s="138"/>
      <c r="N928" s="138"/>
      <c r="O928" s="138"/>
    </row>
    <row r="929" spans="2:15" x14ac:dyDescent="0.2">
      <c r="B929" s="138"/>
      <c r="C929" s="126"/>
      <c r="D929" s="138"/>
      <c r="E929" s="138"/>
      <c r="F929" s="138"/>
      <c r="G929" s="138"/>
      <c r="H929" s="138"/>
      <c r="I929" s="138"/>
      <c r="J929" s="138"/>
      <c r="K929" s="138"/>
      <c r="L929" s="138"/>
      <c r="M929" s="138"/>
      <c r="N929" s="138"/>
      <c r="O929" s="138"/>
    </row>
    <row r="930" spans="2:15" x14ac:dyDescent="0.2">
      <c r="B930" s="138"/>
      <c r="C930" s="126"/>
      <c r="D930" s="138"/>
      <c r="E930" s="138"/>
      <c r="F930" s="138"/>
      <c r="G930" s="138"/>
      <c r="H930" s="138"/>
      <c r="I930" s="138"/>
      <c r="J930" s="138"/>
      <c r="K930" s="138"/>
      <c r="L930" s="138"/>
      <c r="M930" s="138"/>
      <c r="N930" s="138"/>
      <c r="O930" s="138"/>
    </row>
    <row r="931" spans="2:15" x14ac:dyDescent="0.2">
      <c r="B931" s="138"/>
      <c r="C931" s="126"/>
      <c r="D931" s="138"/>
      <c r="E931" s="138"/>
      <c r="F931" s="138"/>
      <c r="G931" s="138"/>
      <c r="H931" s="138"/>
      <c r="I931" s="138"/>
      <c r="J931" s="138"/>
      <c r="K931" s="138"/>
      <c r="L931" s="138"/>
      <c r="M931" s="138"/>
      <c r="N931" s="138"/>
      <c r="O931" s="138"/>
    </row>
    <row r="932" spans="2:15" x14ac:dyDescent="0.2">
      <c r="B932" s="138"/>
      <c r="C932" s="126"/>
      <c r="D932" s="138"/>
      <c r="E932" s="138"/>
      <c r="F932" s="138"/>
      <c r="G932" s="138"/>
      <c r="H932" s="138"/>
      <c r="I932" s="138"/>
      <c r="J932" s="138"/>
      <c r="K932" s="138"/>
      <c r="L932" s="138"/>
      <c r="M932" s="138"/>
      <c r="N932" s="138"/>
      <c r="O932" s="138"/>
    </row>
    <row r="933" spans="2:15" x14ac:dyDescent="0.2">
      <c r="B933" s="138"/>
      <c r="C933" s="126"/>
      <c r="D933" s="138"/>
      <c r="E933" s="138"/>
      <c r="F933" s="138"/>
      <c r="G933" s="138"/>
      <c r="H933" s="138"/>
      <c r="I933" s="138"/>
      <c r="J933" s="138"/>
      <c r="K933" s="138"/>
      <c r="L933" s="138"/>
      <c r="M933" s="138"/>
      <c r="N933" s="138"/>
      <c r="O933" s="138"/>
    </row>
    <row r="934" spans="2:15" x14ac:dyDescent="0.2">
      <c r="B934" s="138"/>
      <c r="C934" s="126"/>
      <c r="D934" s="138"/>
      <c r="E934" s="138"/>
      <c r="F934" s="138"/>
      <c r="G934" s="138"/>
      <c r="H934" s="138"/>
      <c r="I934" s="138"/>
      <c r="J934" s="138"/>
      <c r="K934" s="138"/>
      <c r="L934" s="138"/>
      <c r="M934" s="138"/>
      <c r="N934" s="138"/>
      <c r="O934" s="138"/>
    </row>
    <row r="935" spans="2:15" x14ac:dyDescent="0.2">
      <c r="B935" s="138"/>
      <c r="C935" s="126"/>
      <c r="D935" s="138"/>
      <c r="E935" s="138"/>
      <c r="F935" s="138"/>
      <c r="G935" s="138"/>
      <c r="H935" s="138"/>
      <c r="I935" s="138"/>
      <c r="J935" s="138"/>
      <c r="K935" s="138"/>
      <c r="L935" s="138"/>
      <c r="M935" s="138"/>
      <c r="N935" s="138"/>
      <c r="O935" s="138"/>
    </row>
    <row r="936" spans="2:15" x14ac:dyDescent="0.2">
      <c r="B936" s="138"/>
      <c r="C936" s="126"/>
      <c r="D936" s="138"/>
      <c r="E936" s="138"/>
      <c r="F936" s="138"/>
      <c r="G936" s="138"/>
      <c r="H936" s="138"/>
      <c r="I936" s="138"/>
      <c r="J936" s="138"/>
      <c r="K936" s="138"/>
      <c r="L936" s="138"/>
      <c r="M936" s="138"/>
      <c r="N936" s="138"/>
      <c r="O936" s="138"/>
    </row>
    <row r="937" spans="2:15" x14ac:dyDescent="0.2">
      <c r="B937" s="138"/>
      <c r="C937" s="126"/>
      <c r="D937" s="138"/>
      <c r="E937" s="138"/>
      <c r="F937" s="138"/>
      <c r="G937" s="138"/>
      <c r="H937" s="138"/>
      <c r="I937" s="138"/>
      <c r="J937" s="138"/>
      <c r="K937" s="138"/>
      <c r="L937" s="138"/>
      <c r="M937" s="138"/>
      <c r="N937" s="138"/>
      <c r="O937" s="138"/>
    </row>
    <row r="938" spans="2:15" x14ac:dyDescent="0.2">
      <c r="B938" s="138"/>
      <c r="C938" s="126"/>
      <c r="D938" s="138"/>
      <c r="E938" s="138"/>
      <c r="F938" s="138"/>
      <c r="G938" s="138"/>
      <c r="H938" s="138"/>
      <c r="I938" s="138"/>
      <c r="J938" s="138"/>
      <c r="K938" s="138"/>
      <c r="L938" s="138"/>
      <c r="M938" s="138"/>
      <c r="N938" s="138"/>
      <c r="O938" s="138"/>
    </row>
    <row r="939" spans="2:15" x14ac:dyDescent="0.2">
      <c r="B939" s="138"/>
      <c r="C939" s="126"/>
      <c r="D939" s="138"/>
      <c r="E939" s="138"/>
      <c r="F939" s="138"/>
      <c r="G939" s="138"/>
      <c r="H939" s="138"/>
      <c r="I939" s="138"/>
      <c r="J939" s="138"/>
      <c r="K939" s="138"/>
      <c r="L939" s="138"/>
      <c r="M939" s="138"/>
      <c r="N939" s="138"/>
      <c r="O939" s="138"/>
    </row>
    <row r="940" spans="2:15" x14ac:dyDescent="0.2">
      <c r="B940" s="138"/>
      <c r="C940" s="126"/>
      <c r="D940" s="138"/>
      <c r="E940" s="138"/>
      <c r="F940" s="138"/>
      <c r="G940" s="138"/>
      <c r="H940" s="138"/>
      <c r="I940" s="138"/>
      <c r="J940" s="138"/>
      <c r="K940" s="138"/>
      <c r="L940" s="138"/>
      <c r="M940" s="138"/>
      <c r="N940" s="138"/>
      <c r="O940" s="138"/>
    </row>
    <row r="941" spans="2:15" x14ac:dyDescent="0.2">
      <c r="B941" s="138"/>
      <c r="C941" s="126"/>
      <c r="D941" s="138"/>
      <c r="E941" s="138"/>
      <c r="F941" s="138"/>
      <c r="G941" s="138"/>
      <c r="H941" s="138"/>
      <c r="I941" s="138"/>
      <c r="J941" s="138"/>
      <c r="K941" s="138"/>
      <c r="L941" s="138"/>
      <c r="M941" s="138"/>
      <c r="N941" s="138"/>
      <c r="O941" s="138"/>
    </row>
    <row r="942" spans="2:15" x14ac:dyDescent="0.2">
      <c r="B942" s="138"/>
      <c r="C942" s="126"/>
      <c r="D942" s="138"/>
      <c r="E942" s="138"/>
      <c r="F942" s="138"/>
      <c r="G942" s="138"/>
      <c r="H942" s="138"/>
      <c r="I942" s="138"/>
      <c r="J942" s="138"/>
      <c r="K942" s="138"/>
      <c r="L942" s="138"/>
      <c r="M942" s="138"/>
      <c r="N942" s="138"/>
      <c r="O942" s="138"/>
    </row>
    <row r="943" spans="2:15" x14ac:dyDescent="0.2">
      <c r="B943" s="138"/>
      <c r="C943" s="126"/>
      <c r="D943" s="138"/>
      <c r="E943" s="138"/>
      <c r="F943" s="138"/>
      <c r="G943" s="138"/>
      <c r="H943" s="138"/>
      <c r="I943" s="138"/>
      <c r="J943" s="138"/>
      <c r="K943" s="138"/>
      <c r="L943" s="138"/>
      <c r="M943" s="138"/>
      <c r="N943" s="138"/>
      <c r="O943" s="138"/>
    </row>
    <row r="944" spans="2:15" x14ac:dyDescent="0.2">
      <c r="B944" s="138"/>
      <c r="C944" s="126"/>
      <c r="D944" s="138"/>
      <c r="E944" s="138"/>
      <c r="F944" s="138"/>
      <c r="G944" s="138"/>
      <c r="H944" s="138"/>
      <c r="I944" s="138"/>
      <c r="J944" s="138"/>
      <c r="K944" s="138"/>
      <c r="L944" s="138"/>
      <c r="M944" s="138"/>
      <c r="N944" s="138"/>
      <c r="O944" s="138"/>
    </row>
    <row r="945" spans="2:15" x14ac:dyDescent="0.2">
      <c r="B945" s="138"/>
      <c r="C945" s="126"/>
      <c r="D945" s="138"/>
      <c r="E945" s="138"/>
      <c r="F945" s="138"/>
      <c r="G945" s="138"/>
      <c r="H945" s="138"/>
      <c r="I945" s="138"/>
      <c r="J945" s="138"/>
      <c r="K945" s="138"/>
      <c r="L945" s="138"/>
      <c r="M945" s="138"/>
      <c r="N945" s="138"/>
      <c r="O945" s="138"/>
    </row>
    <row r="946" spans="2:15" x14ac:dyDescent="0.2">
      <c r="B946" s="138"/>
      <c r="C946" s="126"/>
      <c r="D946" s="138"/>
      <c r="E946" s="138"/>
      <c r="F946" s="138"/>
      <c r="G946" s="138"/>
      <c r="H946" s="138"/>
      <c r="I946" s="138"/>
      <c r="J946" s="138"/>
      <c r="K946" s="138"/>
      <c r="L946" s="138"/>
      <c r="M946" s="138"/>
      <c r="N946" s="138"/>
      <c r="O946" s="138"/>
    </row>
    <row r="947" spans="2:15" x14ac:dyDescent="0.2">
      <c r="B947" s="138"/>
      <c r="C947" s="126"/>
      <c r="D947" s="138"/>
      <c r="E947" s="138"/>
      <c r="F947" s="138"/>
      <c r="G947" s="138"/>
      <c r="H947" s="138"/>
      <c r="I947" s="138"/>
      <c r="J947" s="138"/>
      <c r="K947" s="138"/>
      <c r="L947" s="138"/>
      <c r="M947" s="138"/>
      <c r="N947" s="138"/>
      <c r="O947" s="138"/>
    </row>
    <row r="948" spans="2:15" x14ac:dyDescent="0.2">
      <c r="B948" s="138"/>
      <c r="C948" s="126"/>
      <c r="D948" s="138"/>
      <c r="E948" s="138"/>
      <c r="F948" s="138"/>
      <c r="G948" s="138"/>
      <c r="H948" s="138"/>
      <c r="I948" s="138"/>
      <c r="J948" s="138"/>
      <c r="K948" s="138"/>
      <c r="L948" s="138"/>
      <c r="M948" s="138"/>
      <c r="N948" s="138"/>
      <c r="O948" s="138"/>
    </row>
    <row r="949" spans="2:15" x14ac:dyDescent="0.2">
      <c r="B949" s="138"/>
      <c r="C949" s="126"/>
      <c r="D949" s="138"/>
      <c r="E949" s="138"/>
      <c r="F949" s="138"/>
      <c r="G949" s="138"/>
      <c r="H949" s="138"/>
      <c r="I949" s="138"/>
      <c r="J949" s="138"/>
      <c r="K949" s="138"/>
      <c r="L949" s="138"/>
      <c r="M949" s="138"/>
      <c r="N949" s="138"/>
      <c r="O949" s="138"/>
    </row>
    <row r="950" spans="2:15" x14ac:dyDescent="0.2">
      <c r="B950" s="138"/>
      <c r="C950" s="126"/>
      <c r="D950" s="138"/>
      <c r="E950" s="138"/>
      <c r="F950" s="138"/>
      <c r="G950" s="138"/>
      <c r="H950" s="138"/>
      <c r="I950" s="138"/>
      <c r="J950" s="138"/>
      <c r="K950" s="138"/>
      <c r="L950" s="138"/>
      <c r="M950" s="138"/>
      <c r="N950" s="138"/>
      <c r="O950" s="138"/>
    </row>
    <row r="951" spans="2:15" x14ac:dyDescent="0.2">
      <c r="B951" s="138"/>
      <c r="C951" s="126"/>
      <c r="D951" s="138"/>
      <c r="E951" s="138"/>
      <c r="F951" s="138"/>
      <c r="G951" s="138"/>
      <c r="H951" s="138"/>
      <c r="I951" s="138"/>
      <c r="J951" s="138"/>
      <c r="K951" s="138"/>
      <c r="L951" s="138"/>
      <c r="M951" s="138"/>
      <c r="N951" s="138"/>
      <c r="O951" s="138"/>
    </row>
    <row r="952" spans="2:15" x14ac:dyDescent="0.2">
      <c r="B952" s="138"/>
      <c r="C952" s="126"/>
      <c r="D952" s="138"/>
      <c r="E952" s="138"/>
      <c r="F952" s="138"/>
      <c r="G952" s="138"/>
      <c r="H952" s="138"/>
      <c r="I952" s="138"/>
      <c r="J952" s="138"/>
      <c r="K952" s="138"/>
      <c r="L952" s="138"/>
      <c r="M952" s="138"/>
      <c r="N952" s="138"/>
      <c r="O952" s="138"/>
    </row>
    <row r="953" spans="2:15" x14ac:dyDescent="0.2">
      <c r="B953" s="138"/>
      <c r="C953" s="126"/>
      <c r="D953" s="138"/>
      <c r="E953" s="138"/>
      <c r="F953" s="138"/>
      <c r="G953" s="138"/>
      <c r="H953" s="138"/>
      <c r="I953" s="138"/>
      <c r="J953" s="138"/>
      <c r="K953" s="138"/>
      <c r="L953" s="138"/>
      <c r="M953" s="138"/>
      <c r="N953" s="138"/>
      <c r="O953" s="138"/>
    </row>
    <row r="954" spans="2:15" x14ac:dyDescent="0.2">
      <c r="B954" s="138"/>
      <c r="C954" s="126"/>
      <c r="D954" s="138"/>
      <c r="E954" s="138"/>
      <c r="F954" s="138"/>
      <c r="G954" s="138"/>
      <c r="H954" s="138"/>
      <c r="I954" s="138"/>
      <c r="J954" s="138"/>
      <c r="K954" s="138"/>
      <c r="L954" s="138"/>
      <c r="M954" s="138"/>
      <c r="N954" s="138"/>
      <c r="O954" s="138"/>
    </row>
    <row r="955" spans="2:15" x14ac:dyDescent="0.2">
      <c r="B955" s="138"/>
      <c r="C955" s="126"/>
      <c r="D955" s="138"/>
      <c r="E955" s="138"/>
      <c r="F955" s="138"/>
      <c r="G955" s="138"/>
      <c r="H955" s="138"/>
      <c r="I955" s="138"/>
      <c r="J955" s="138"/>
      <c r="K955" s="138"/>
      <c r="L955" s="138"/>
      <c r="M955" s="138"/>
      <c r="N955" s="138"/>
      <c r="O955" s="138"/>
    </row>
    <row r="956" spans="2:15" x14ac:dyDescent="0.2">
      <c r="B956" s="138"/>
      <c r="C956" s="126"/>
      <c r="D956" s="138"/>
      <c r="E956" s="138"/>
      <c r="F956" s="138"/>
      <c r="G956" s="138"/>
      <c r="H956" s="138"/>
      <c r="I956" s="138"/>
      <c r="J956" s="138"/>
      <c r="K956" s="138"/>
      <c r="L956" s="138"/>
      <c r="M956" s="138"/>
      <c r="N956" s="138"/>
      <c r="O956" s="138"/>
    </row>
    <row r="957" spans="2:15" x14ac:dyDescent="0.2">
      <c r="B957" s="138"/>
      <c r="C957" s="126"/>
      <c r="D957" s="138"/>
      <c r="E957" s="138"/>
      <c r="F957" s="138"/>
      <c r="G957" s="138"/>
      <c r="H957" s="138"/>
      <c r="I957" s="138"/>
      <c r="J957" s="138"/>
      <c r="K957" s="138"/>
      <c r="L957" s="138"/>
      <c r="M957" s="138"/>
      <c r="N957" s="138"/>
      <c r="O957" s="138"/>
    </row>
    <row r="958" spans="2:15" x14ac:dyDescent="0.2">
      <c r="B958" s="138"/>
      <c r="C958" s="126"/>
      <c r="D958" s="138"/>
      <c r="E958" s="138"/>
      <c r="F958" s="138"/>
      <c r="G958" s="138"/>
      <c r="H958" s="138"/>
      <c r="I958" s="138"/>
      <c r="J958" s="138"/>
      <c r="K958" s="138"/>
      <c r="L958" s="138"/>
      <c r="M958" s="138"/>
      <c r="N958" s="138"/>
      <c r="O958" s="138"/>
    </row>
    <row r="959" spans="2:15" x14ac:dyDescent="0.2">
      <c r="B959" s="138"/>
      <c r="C959" s="126"/>
      <c r="D959" s="138"/>
      <c r="E959" s="138"/>
      <c r="F959" s="138"/>
      <c r="G959" s="138"/>
      <c r="H959" s="138"/>
      <c r="I959" s="138"/>
      <c r="J959" s="138"/>
      <c r="K959" s="138"/>
      <c r="L959" s="138"/>
      <c r="M959" s="138"/>
      <c r="N959" s="138"/>
      <c r="O959" s="138"/>
    </row>
    <row r="960" spans="2:15" x14ac:dyDescent="0.2">
      <c r="B960" s="138"/>
      <c r="C960" s="126"/>
      <c r="D960" s="138"/>
      <c r="E960" s="138"/>
      <c r="F960" s="138"/>
      <c r="G960" s="138"/>
      <c r="H960" s="138"/>
      <c r="I960" s="138"/>
      <c r="J960" s="138"/>
      <c r="K960" s="138"/>
      <c r="L960" s="138"/>
      <c r="M960" s="138"/>
      <c r="N960" s="138"/>
      <c r="O960" s="138"/>
    </row>
    <row r="961" spans="2:15" x14ac:dyDescent="0.2">
      <c r="B961" s="138"/>
      <c r="C961" s="126"/>
      <c r="D961" s="138"/>
      <c r="E961" s="138"/>
      <c r="F961" s="138"/>
      <c r="G961" s="138"/>
      <c r="H961" s="138"/>
      <c r="I961" s="138"/>
      <c r="J961" s="138"/>
      <c r="K961" s="138"/>
      <c r="L961" s="138"/>
      <c r="M961" s="138"/>
      <c r="N961" s="138"/>
      <c r="O961" s="138"/>
    </row>
    <row r="962" spans="2:15" x14ac:dyDescent="0.2">
      <c r="B962" s="138"/>
      <c r="C962" s="126"/>
      <c r="D962" s="138"/>
      <c r="E962" s="138"/>
      <c r="F962" s="138"/>
      <c r="G962" s="138"/>
      <c r="H962" s="138"/>
      <c r="I962" s="138"/>
      <c r="J962" s="138"/>
      <c r="K962" s="138"/>
      <c r="L962" s="138"/>
      <c r="M962" s="138"/>
      <c r="N962" s="138"/>
      <c r="O962" s="138"/>
    </row>
    <row r="963" spans="2:15" x14ac:dyDescent="0.2">
      <c r="B963" s="138"/>
      <c r="C963" s="126"/>
      <c r="D963" s="138"/>
      <c r="E963" s="138"/>
      <c r="F963" s="138"/>
      <c r="G963" s="138"/>
      <c r="H963" s="138"/>
      <c r="I963" s="138"/>
      <c r="J963" s="138"/>
      <c r="K963" s="138"/>
      <c r="L963" s="138"/>
      <c r="M963" s="138"/>
      <c r="N963" s="138"/>
      <c r="O963" s="138"/>
    </row>
    <row r="964" spans="2:15" x14ac:dyDescent="0.2">
      <c r="B964" s="138"/>
      <c r="C964" s="126"/>
      <c r="D964" s="138"/>
      <c r="E964" s="138"/>
      <c r="F964" s="138"/>
      <c r="G964" s="138"/>
      <c r="H964" s="138"/>
      <c r="I964" s="138"/>
      <c r="J964" s="138"/>
      <c r="K964" s="138"/>
      <c r="L964" s="138"/>
      <c r="M964" s="138"/>
      <c r="N964" s="138"/>
      <c r="O964" s="138"/>
    </row>
    <row r="965" spans="2:15" x14ac:dyDescent="0.2">
      <c r="B965" s="138"/>
      <c r="C965" s="126"/>
      <c r="D965" s="138"/>
      <c r="E965" s="138"/>
      <c r="F965" s="138"/>
      <c r="G965" s="138"/>
      <c r="H965" s="138"/>
      <c r="I965" s="138"/>
      <c r="J965" s="138"/>
      <c r="K965" s="138"/>
      <c r="L965" s="138"/>
      <c r="M965" s="138"/>
      <c r="N965" s="138"/>
      <c r="O965" s="138"/>
    </row>
    <row r="966" spans="2:15" x14ac:dyDescent="0.2">
      <c r="B966" s="138"/>
      <c r="C966" s="126"/>
      <c r="D966" s="138"/>
      <c r="E966" s="138"/>
      <c r="F966" s="138"/>
      <c r="G966" s="138"/>
      <c r="H966" s="138"/>
      <c r="I966" s="138"/>
      <c r="J966" s="138"/>
      <c r="K966" s="138"/>
      <c r="L966" s="138"/>
      <c r="M966" s="138"/>
      <c r="N966" s="138"/>
      <c r="O966" s="138"/>
    </row>
    <row r="967" spans="2:15" x14ac:dyDescent="0.2">
      <c r="B967" s="138"/>
      <c r="C967" s="126"/>
      <c r="D967" s="138"/>
      <c r="E967" s="138"/>
      <c r="F967" s="138"/>
      <c r="G967" s="138"/>
      <c r="H967" s="138"/>
      <c r="I967" s="138"/>
      <c r="J967" s="138"/>
      <c r="K967" s="138"/>
      <c r="L967" s="138"/>
      <c r="M967" s="138"/>
      <c r="N967" s="138"/>
      <c r="O967" s="138"/>
    </row>
    <row r="968" spans="2:15" x14ac:dyDescent="0.2">
      <c r="B968" s="138"/>
      <c r="C968" s="126"/>
      <c r="D968" s="138"/>
      <c r="E968" s="138"/>
      <c r="F968" s="138"/>
      <c r="G968" s="138"/>
      <c r="H968" s="138"/>
      <c r="I968" s="138"/>
      <c r="J968" s="138"/>
      <c r="K968" s="138"/>
      <c r="L968" s="138"/>
      <c r="M968" s="138"/>
      <c r="N968" s="138"/>
      <c r="O968" s="138"/>
    </row>
    <row r="969" spans="2:15" x14ac:dyDescent="0.2">
      <c r="B969" s="138"/>
      <c r="C969" s="126"/>
      <c r="D969" s="138"/>
      <c r="E969" s="138"/>
      <c r="F969" s="138"/>
      <c r="G969" s="138"/>
      <c r="H969" s="138"/>
      <c r="I969" s="138"/>
      <c r="J969" s="138"/>
      <c r="K969" s="138"/>
      <c r="L969" s="138"/>
      <c r="M969" s="138"/>
      <c r="N969" s="138"/>
      <c r="O969" s="138"/>
    </row>
    <row r="970" spans="2:15" x14ac:dyDescent="0.2">
      <c r="B970" s="138"/>
      <c r="C970" s="126"/>
      <c r="D970" s="138"/>
      <c r="E970" s="138"/>
      <c r="F970" s="138"/>
      <c r="G970" s="138"/>
      <c r="H970" s="138"/>
      <c r="I970" s="138"/>
      <c r="J970" s="138"/>
      <c r="K970" s="138"/>
      <c r="L970" s="138"/>
      <c r="M970" s="138"/>
      <c r="N970" s="138"/>
      <c r="O970" s="138"/>
    </row>
    <row r="971" spans="2:15" x14ac:dyDescent="0.2">
      <c r="B971" s="138"/>
      <c r="C971" s="126"/>
      <c r="D971" s="138"/>
      <c r="E971" s="138"/>
      <c r="F971" s="138"/>
      <c r="G971" s="138"/>
      <c r="H971" s="138"/>
      <c r="I971" s="138"/>
      <c r="J971" s="138"/>
      <c r="K971" s="138"/>
      <c r="L971" s="138"/>
      <c r="M971" s="138"/>
      <c r="N971" s="138"/>
      <c r="O971" s="138"/>
    </row>
    <row r="972" spans="2:15" x14ac:dyDescent="0.2">
      <c r="B972" s="138"/>
      <c r="C972" s="126"/>
      <c r="D972" s="138"/>
      <c r="E972" s="138"/>
      <c r="F972" s="138"/>
      <c r="G972" s="138"/>
      <c r="H972" s="138"/>
      <c r="I972" s="138"/>
      <c r="J972" s="138"/>
      <c r="K972" s="138"/>
      <c r="L972" s="138"/>
      <c r="M972" s="138"/>
      <c r="N972" s="138"/>
      <c r="O972" s="138"/>
    </row>
    <row r="973" spans="2:15" x14ac:dyDescent="0.2">
      <c r="B973" s="138"/>
      <c r="C973" s="126"/>
      <c r="D973" s="138"/>
      <c r="E973" s="138"/>
      <c r="F973" s="138"/>
      <c r="G973" s="138"/>
      <c r="H973" s="138"/>
      <c r="I973" s="138"/>
      <c r="J973" s="138"/>
      <c r="K973" s="138"/>
      <c r="L973" s="138"/>
      <c r="M973" s="138"/>
      <c r="N973" s="138"/>
      <c r="O973" s="138"/>
    </row>
    <row r="974" spans="2:15" x14ac:dyDescent="0.2">
      <c r="B974" s="138"/>
      <c r="C974" s="126"/>
      <c r="D974" s="138"/>
      <c r="E974" s="138"/>
      <c r="F974" s="138"/>
      <c r="G974" s="138"/>
      <c r="H974" s="138"/>
      <c r="I974" s="138"/>
      <c r="J974" s="138"/>
      <c r="K974" s="138"/>
      <c r="L974" s="138"/>
      <c r="M974" s="138"/>
      <c r="N974" s="138"/>
      <c r="O974" s="138"/>
    </row>
    <row r="975" spans="2:15" x14ac:dyDescent="0.2">
      <c r="B975" s="138"/>
      <c r="C975" s="126"/>
      <c r="D975" s="138"/>
      <c r="E975" s="138"/>
      <c r="F975" s="138"/>
      <c r="G975" s="138"/>
      <c r="H975" s="138"/>
      <c r="I975" s="138"/>
      <c r="J975" s="138"/>
      <c r="K975" s="138"/>
      <c r="L975" s="138"/>
      <c r="M975" s="138"/>
      <c r="N975" s="138"/>
      <c r="O975" s="138"/>
    </row>
    <row r="976" spans="2:15" x14ac:dyDescent="0.2">
      <c r="B976" s="138"/>
      <c r="C976" s="126"/>
      <c r="D976" s="138"/>
      <c r="E976" s="138"/>
      <c r="F976" s="138"/>
      <c r="G976" s="138"/>
      <c r="H976" s="138"/>
      <c r="I976" s="138"/>
      <c r="J976" s="138"/>
      <c r="K976" s="138"/>
      <c r="L976" s="138"/>
      <c r="M976" s="138"/>
      <c r="N976" s="138"/>
      <c r="O976" s="138"/>
    </row>
    <row r="977" spans="2:15" x14ac:dyDescent="0.2">
      <c r="B977" s="138"/>
      <c r="C977" s="126"/>
      <c r="D977" s="138"/>
      <c r="E977" s="138"/>
      <c r="F977" s="138"/>
      <c r="G977" s="138"/>
      <c r="H977" s="138"/>
      <c r="I977" s="138"/>
      <c r="J977" s="138"/>
      <c r="K977" s="138"/>
      <c r="L977" s="138"/>
      <c r="M977" s="138"/>
      <c r="N977" s="138"/>
      <c r="O977" s="138"/>
    </row>
    <row r="978" spans="2:15" x14ac:dyDescent="0.2">
      <c r="B978" s="138"/>
      <c r="C978" s="126"/>
      <c r="D978" s="138"/>
      <c r="E978" s="138"/>
      <c r="F978" s="138"/>
      <c r="G978" s="138"/>
      <c r="H978" s="138"/>
      <c r="I978" s="138"/>
      <c r="J978" s="138"/>
      <c r="K978" s="138"/>
      <c r="L978" s="138"/>
      <c r="M978" s="138"/>
      <c r="N978" s="138"/>
      <c r="O978" s="138"/>
    </row>
    <row r="979" spans="2:15" x14ac:dyDescent="0.2">
      <c r="B979" s="138"/>
      <c r="C979" s="126"/>
      <c r="D979" s="138"/>
      <c r="E979" s="138"/>
      <c r="F979" s="138"/>
      <c r="G979" s="138"/>
      <c r="H979" s="138"/>
      <c r="I979" s="138"/>
      <c r="J979" s="138"/>
      <c r="K979" s="138"/>
      <c r="L979" s="138"/>
      <c r="M979" s="138"/>
      <c r="N979" s="138"/>
      <c r="O979" s="138"/>
    </row>
    <row r="980" spans="2:15" x14ac:dyDescent="0.2">
      <c r="B980" s="138"/>
      <c r="C980" s="126"/>
      <c r="D980" s="138"/>
      <c r="E980" s="138"/>
      <c r="F980" s="138"/>
      <c r="G980" s="138"/>
      <c r="H980" s="138"/>
      <c r="I980" s="138"/>
      <c r="J980" s="138"/>
      <c r="K980" s="138"/>
      <c r="L980" s="138"/>
      <c r="M980" s="138"/>
      <c r="N980" s="138"/>
      <c r="O980" s="138"/>
    </row>
    <row r="981" spans="2:15" x14ac:dyDescent="0.2">
      <c r="B981" s="138"/>
      <c r="C981" s="126"/>
      <c r="D981" s="138"/>
      <c r="E981" s="138"/>
      <c r="F981" s="138"/>
      <c r="G981" s="138"/>
      <c r="H981" s="138"/>
      <c r="I981" s="138"/>
      <c r="J981" s="138"/>
      <c r="K981" s="138"/>
      <c r="L981" s="138"/>
      <c r="M981" s="138"/>
      <c r="N981" s="138"/>
      <c r="O981" s="138"/>
    </row>
    <row r="982" spans="2:15" x14ac:dyDescent="0.2">
      <c r="B982" s="138"/>
      <c r="C982" s="126"/>
      <c r="D982" s="138"/>
      <c r="E982" s="138"/>
      <c r="F982" s="138"/>
      <c r="G982" s="138"/>
      <c r="H982" s="138"/>
      <c r="I982" s="138"/>
      <c r="J982" s="138"/>
      <c r="K982" s="138"/>
      <c r="L982" s="138"/>
      <c r="M982" s="138"/>
      <c r="N982" s="138"/>
      <c r="O982" s="138"/>
    </row>
    <row r="983" spans="2:15" x14ac:dyDescent="0.2">
      <c r="B983" s="138"/>
      <c r="C983" s="126"/>
      <c r="D983" s="138"/>
      <c r="E983" s="138"/>
      <c r="F983" s="138"/>
      <c r="G983" s="138"/>
      <c r="H983" s="138"/>
      <c r="I983" s="138"/>
      <c r="J983" s="138"/>
      <c r="K983" s="138"/>
      <c r="L983" s="138"/>
      <c r="M983" s="138"/>
      <c r="N983" s="138"/>
      <c r="O983" s="138"/>
    </row>
    <row r="984" spans="2:15" x14ac:dyDescent="0.2">
      <c r="B984" s="138"/>
      <c r="C984" s="126"/>
      <c r="D984" s="138"/>
      <c r="E984" s="138"/>
      <c r="F984" s="138"/>
      <c r="G984" s="138"/>
      <c r="H984" s="138"/>
      <c r="I984" s="138"/>
      <c r="J984" s="138"/>
      <c r="K984" s="138"/>
      <c r="L984" s="138"/>
      <c r="M984" s="138"/>
      <c r="N984" s="138"/>
      <c r="O984" s="138"/>
    </row>
    <row r="985" spans="2:15" x14ac:dyDescent="0.2">
      <c r="B985" s="138"/>
      <c r="C985" s="126"/>
      <c r="D985" s="138"/>
      <c r="E985" s="138"/>
      <c r="F985" s="138"/>
      <c r="G985" s="138"/>
      <c r="H985" s="138"/>
      <c r="I985" s="138"/>
      <c r="J985" s="138"/>
      <c r="K985" s="138"/>
      <c r="L985" s="138"/>
      <c r="M985" s="138"/>
      <c r="N985" s="138"/>
      <c r="O985" s="138"/>
    </row>
    <row r="986" spans="2:15" x14ac:dyDescent="0.2">
      <c r="B986" s="138"/>
      <c r="C986" s="126"/>
      <c r="D986" s="138"/>
      <c r="E986" s="138"/>
      <c r="F986" s="138"/>
      <c r="G986" s="138"/>
      <c r="H986" s="138"/>
      <c r="I986" s="138"/>
      <c r="J986" s="138"/>
      <c r="K986" s="138"/>
      <c r="L986" s="138"/>
      <c r="M986" s="138"/>
      <c r="N986" s="138"/>
      <c r="O986" s="138"/>
    </row>
    <row r="987" spans="2:15" x14ac:dyDescent="0.2">
      <c r="B987" s="138"/>
      <c r="C987" s="126"/>
      <c r="D987" s="138"/>
      <c r="E987" s="138"/>
      <c r="F987" s="138"/>
      <c r="G987" s="138"/>
      <c r="H987" s="138"/>
      <c r="I987" s="138"/>
      <c r="J987" s="138"/>
      <c r="K987" s="138"/>
      <c r="L987" s="138"/>
      <c r="M987" s="138"/>
      <c r="N987" s="138"/>
      <c r="O987" s="138"/>
    </row>
    <row r="988" spans="2:15" x14ac:dyDescent="0.2">
      <c r="B988" s="138"/>
      <c r="C988" s="126"/>
      <c r="D988" s="138"/>
      <c r="E988" s="138"/>
      <c r="F988" s="138"/>
      <c r="G988" s="138"/>
      <c r="H988" s="138"/>
      <c r="I988" s="138"/>
      <c r="J988" s="138"/>
      <c r="K988" s="138"/>
      <c r="L988" s="138"/>
      <c r="M988" s="138"/>
      <c r="N988" s="138"/>
      <c r="O988" s="138"/>
    </row>
    <row r="989" spans="2:15" x14ac:dyDescent="0.2">
      <c r="B989" s="138"/>
      <c r="C989" s="126"/>
      <c r="D989" s="138"/>
      <c r="E989" s="138"/>
      <c r="F989" s="138"/>
      <c r="G989" s="138"/>
      <c r="H989" s="138"/>
      <c r="I989" s="138"/>
      <c r="J989" s="138"/>
      <c r="K989" s="138"/>
      <c r="L989" s="138"/>
      <c r="M989" s="138"/>
      <c r="N989" s="138"/>
      <c r="O989" s="138"/>
    </row>
    <row r="990" spans="2:15" x14ac:dyDescent="0.2">
      <c r="B990" s="138"/>
      <c r="C990" s="126"/>
      <c r="D990" s="138"/>
      <c r="E990" s="138"/>
      <c r="F990" s="138"/>
      <c r="G990" s="138"/>
      <c r="H990" s="138"/>
      <c r="I990" s="138"/>
      <c r="J990" s="138"/>
      <c r="K990" s="138"/>
      <c r="L990" s="138"/>
      <c r="M990" s="138"/>
      <c r="N990" s="138"/>
      <c r="O990" s="138"/>
    </row>
    <row r="991" spans="2:15" x14ac:dyDescent="0.2">
      <c r="B991" s="138"/>
      <c r="C991" s="126"/>
      <c r="D991" s="138"/>
      <c r="E991" s="138"/>
      <c r="F991" s="138"/>
      <c r="G991" s="138"/>
      <c r="H991" s="138"/>
      <c r="I991" s="138"/>
      <c r="J991" s="138"/>
      <c r="K991" s="138"/>
      <c r="L991" s="138"/>
      <c r="M991" s="138"/>
      <c r="N991" s="138"/>
      <c r="O991" s="138"/>
    </row>
    <row r="992" spans="2:15" x14ac:dyDescent="0.2">
      <c r="B992" s="138"/>
      <c r="C992" s="126"/>
      <c r="D992" s="138"/>
      <c r="E992" s="138"/>
      <c r="F992" s="138"/>
      <c r="G992" s="138"/>
      <c r="H992" s="138"/>
      <c r="I992" s="138"/>
      <c r="J992" s="138"/>
      <c r="K992" s="138"/>
      <c r="L992" s="138"/>
      <c r="M992" s="138"/>
      <c r="N992" s="138"/>
      <c r="O992" s="138"/>
    </row>
    <row r="993" spans="2:15" x14ac:dyDescent="0.2">
      <c r="B993" s="138"/>
      <c r="C993" s="126"/>
      <c r="D993" s="138"/>
      <c r="E993" s="138"/>
      <c r="F993" s="138"/>
      <c r="G993" s="138"/>
      <c r="H993" s="138"/>
      <c r="I993" s="138"/>
      <c r="J993" s="138"/>
      <c r="K993" s="138"/>
      <c r="L993" s="138"/>
      <c r="M993" s="138"/>
      <c r="N993" s="138"/>
      <c r="O993" s="138"/>
    </row>
    <row r="994" spans="2:15" x14ac:dyDescent="0.2">
      <c r="B994" s="138"/>
      <c r="C994" s="126"/>
      <c r="D994" s="138"/>
      <c r="E994" s="138"/>
      <c r="F994" s="138"/>
      <c r="G994" s="138"/>
      <c r="H994" s="138"/>
      <c r="I994" s="138"/>
      <c r="J994" s="138"/>
      <c r="K994" s="138"/>
      <c r="L994" s="138"/>
      <c r="M994" s="138"/>
      <c r="N994" s="138"/>
      <c r="O994" s="138"/>
    </row>
    <row r="995" spans="2:15" x14ac:dyDescent="0.2">
      <c r="B995" s="138"/>
      <c r="C995" s="126"/>
      <c r="D995" s="138"/>
      <c r="E995" s="138"/>
      <c r="F995" s="138"/>
      <c r="G995" s="138"/>
      <c r="H995" s="138"/>
      <c r="I995" s="138"/>
      <c r="J995" s="138"/>
      <c r="K995" s="138"/>
      <c r="L995" s="138"/>
      <c r="M995" s="138"/>
      <c r="N995" s="138"/>
      <c r="O995" s="138"/>
    </row>
    <row r="996" spans="2:15" x14ac:dyDescent="0.2">
      <c r="B996" s="138"/>
      <c r="C996" s="126"/>
      <c r="D996" s="138"/>
      <c r="E996" s="138"/>
      <c r="F996" s="138"/>
      <c r="G996" s="138"/>
      <c r="H996" s="138"/>
      <c r="I996" s="138"/>
      <c r="J996" s="138"/>
      <c r="K996" s="138"/>
      <c r="L996" s="138"/>
      <c r="M996" s="138"/>
      <c r="N996" s="138"/>
      <c r="O996" s="138"/>
    </row>
    <row r="997" spans="2:15" x14ac:dyDescent="0.2">
      <c r="B997" s="138"/>
      <c r="C997" s="126"/>
      <c r="D997" s="138"/>
      <c r="E997" s="138"/>
      <c r="F997" s="138"/>
      <c r="G997" s="138"/>
      <c r="H997" s="138"/>
      <c r="I997" s="138"/>
      <c r="J997" s="138"/>
      <c r="K997" s="138"/>
      <c r="L997" s="138"/>
      <c r="M997" s="138"/>
      <c r="N997" s="138"/>
      <c r="O997" s="138"/>
    </row>
    <row r="998" spans="2:15" x14ac:dyDescent="0.2">
      <c r="B998" s="138"/>
      <c r="C998" s="126"/>
      <c r="D998" s="138"/>
      <c r="E998" s="138"/>
      <c r="F998" s="138"/>
      <c r="G998" s="138"/>
      <c r="H998" s="138"/>
      <c r="I998" s="138"/>
      <c r="J998" s="138"/>
      <c r="K998" s="138"/>
      <c r="L998" s="138"/>
      <c r="M998" s="138"/>
      <c r="N998" s="138"/>
      <c r="O998" s="138"/>
    </row>
    <row r="999" spans="2:15" x14ac:dyDescent="0.2">
      <c r="B999" s="138"/>
      <c r="C999" s="126"/>
      <c r="D999" s="138"/>
      <c r="E999" s="138"/>
      <c r="F999" s="138"/>
      <c r="G999" s="138"/>
      <c r="H999" s="138"/>
      <c r="I999" s="138"/>
      <c r="J999" s="138"/>
      <c r="K999" s="138"/>
      <c r="L999" s="138"/>
      <c r="M999" s="138"/>
      <c r="N999" s="138"/>
      <c r="O999" s="138"/>
    </row>
    <row r="1000" spans="2:15" x14ac:dyDescent="0.2">
      <c r="B1000" s="138"/>
      <c r="C1000" s="126"/>
      <c r="D1000" s="138"/>
      <c r="E1000" s="138"/>
      <c r="F1000" s="138"/>
      <c r="G1000" s="138"/>
      <c r="H1000" s="138"/>
      <c r="I1000" s="138"/>
      <c r="J1000" s="138"/>
      <c r="K1000" s="138"/>
      <c r="L1000" s="138"/>
      <c r="M1000" s="138"/>
      <c r="N1000" s="138"/>
      <c r="O1000" s="138"/>
    </row>
    <row r="1001" spans="2:15" x14ac:dyDescent="0.2">
      <c r="B1001" s="138"/>
      <c r="C1001" s="126"/>
      <c r="D1001" s="138"/>
      <c r="E1001" s="138"/>
      <c r="F1001" s="138"/>
      <c r="G1001" s="138"/>
      <c r="H1001" s="138"/>
      <c r="I1001" s="138"/>
      <c r="J1001" s="138"/>
      <c r="K1001" s="138"/>
      <c r="L1001" s="138"/>
      <c r="M1001" s="138"/>
      <c r="N1001" s="138"/>
      <c r="O1001" s="138"/>
    </row>
    <row r="1002" spans="2:15" x14ac:dyDescent="0.2">
      <c r="B1002" s="138"/>
      <c r="C1002" s="126"/>
      <c r="D1002" s="138"/>
      <c r="E1002" s="138"/>
      <c r="F1002" s="138"/>
      <c r="G1002" s="138"/>
      <c r="H1002" s="138"/>
      <c r="I1002" s="138"/>
      <c r="J1002" s="138"/>
      <c r="K1002" s="138"/>
      <c r="L1002" s="138"/>
      <c r="M1002" s="138"/>
      <c r="N1002" s="138"/>
      <c r="O1002" s="138"/>
    </row>
    <row r="1003" spans="2:15" x14ac:dyDescent="0.2">
      <c r="B1003" s="138"/>
      <c r="C1003" s="126"/>
      <c r="D1003" s="138"/>
      <c r="E1003" s="138"/>
      <c r="F1003" s="138"/>
      <c r="G1003" s="138"/>
      <c r="H1003" s="138"/>
      <c r="I1003" s="138"/>
      <c r="J1003" s="138"/>
      <c r="K1003" s="138"/>
      <c r="L1003" s="138"/>
      <c r="M1003" s="138"/>
      <c r="N1003" s="138"/>
      <c r="O1003" s="138"/>
    </row>
    <row r="1004" spans="2:15" x14ac:dyDescent="0.2">
      <c r="B1004" s="138"/>
      <c r="C1004" s="126"/>
      <c r="D1004" s="138"/>
      <c r="E1004" s="138"/>
      <c r="F1004" s="138"/>
      <c r="G1004" s="138"/>
      <c r="H1004" s="138"/>
      <c r="I1004" s="138"/>
      <c r="J1004" s="138"/>
      <c r="K1004" s="138"/>
      <c r="L1004" s="138"/>
      <c r="M1004" s="138"/>
      <c r="N1004" s="138"/>
      <c r="O1004" s="138"/>
    </row>
    <row r="1005" spans="2:15" x14ac:dyDescent="0.2">
      <c r="B1005" s="138"/>
      <c r="C1005" s="126"/>
      <c r="D1005" s="138"/>
      <c r="E1005" s="138"/>
      <c r="F1005" s="138"/>
      <c r="G1005" s="138"/>
      <c r="H1005" s="138"/>
      <c r="I1005" s="138"/>
      <c r="J1005" s="138"/>
      <c r="K1005" s="138"/>
      <c r="L1005" s="138"/>
      <c r="M1005" s="138"/>
      <c r="N1005" s="138"/>
      <c r="O1005" s="138"/>
    </row>
    <row r="1006" spans="2:15" x14ac:dyDescent="0.2">
      <c r="B1006" s="138"/>
      <c r="C1006" s="126"/>
      <c r="D1006" s="138"/>
      <c r="E1006" s="138"/>
      <c r="F1006" s="138"/>
      <c r="G1006" s="138"/>
      <c r="H1006" s="138"/>
      <c r="I1006" s="138"/>
      <c r="J1006" s="138"/>
      <c r="K1006" s="138"/>
      <c r="L1006" s="138"/>
      <c r="M1006" s="138"/>
      <c r="N1006" s="138"/>
      <c r="O1006" s="138"/>
    </row>
    <row r="1007" spans="2:15" x14ac:dyDescent="0.2">
      <c r="B1007" s="138"/>
      <c r="C1007" s="126"/>
      <c r="D1007" s="138"/>
      <c r="E1007" s="138"/>
      <c r="F1007" s="138"/>
      <c r="G1007" s="138"/>
      <c r="H1007" s="138"/>
      <c r="I1007" s="138"/>
      <c r="J1007" s="138"/>
      <c r="K1007" s="138"/>
      <c r="L1007" s="138"/>
      <c r="M1007" s="138"/>
      <c r="N1007" s="138"/>
      <c r="O1007" s="138"/>
    </row>
    <row r="1008" spans="2:15" x14ac:dyDescent="0.2">
      <c r="B1008" s="138"/>
      <c r="C1008" s="126"/>
      <c r="D1008" s="138"/>
      <c r="E1008" s="138"/>
      <c r="F1008" s="138"/>
      <c r="G1008" s="138"/>
      <c r="H1008" s="138"/>
      <c r="I1008" s="138"/>
      <c r="J1008" s="138"/>
      <c r="K1008" s="138"/>
      <c r="L1008" s="138"/>
      <c r="M1008" s="138"/>
      <c r="N1008" s="138"/>
      <c r="O1008" s="138"/>
    </row>
    <row r="1009" spans="2:15" x14ac:dyDescent="0.2">
      <c r="B1009" s="138"/>
      <c r="C1009" s="126"/>
      <c r="D1009" s="138"/>
      <c r="E1009" s="138"/>
      <c r="F1009" s="138"/>
      <c r="G1009" s="138"/>
      <c r="H1009" s="138"/>
      <c r="I1009" s="138"/>
      <c r="J1009" s="138"/>
      <c r="K1009" s="138"/>
      <c r="L1009" s="138"/>
      <c r="M1009" s="138"/>
      <c r="N1009" s="138"/>
      <c r="O1009" s="138"/>
    </row>
    <row r="1010" spans="2:15" x14ac:dyDescent="0.2">
      <c r="B1010" s="138"/>
      <c r="C1010" s="126"/>
      <c r="D1010" s="138"/>
      <c r="E1010" s="138"/>
      <c r="F1010" s="138"/>
      <c r="G1010" s="138"/>
      <c r="H1010" s="138"/>
      <c r="I1010" s="138"/>
      <c r="J1010" s="138"/>
      <c r="K1010" s="138"/>
      <c r="L1010" s="138"/>
      <c r="M1010" s="138"/>
      <c r="N1010" s="138"/>
      <c r="O1010" s="138"/>
    </row>
    <row r="1011" spans="2:15" x14ac:dyDescent="0.2">
      <c r="B1011" s="138"/>
      <c r="C1011" s="126"/>
      <c r="D1011" s="138"/>
      <c r="E1011" s="138"/>
      <c r="F1011" s="138"/>
      <c r="G1011" s="138"/>
      <c r="H1011" s="138"/>
      <c r="I1011" s="138"/>
      <c r="J1011" s="138"/>
      <c r="K1011" s="138"/>
      <c r="L1011" s="138"/>
      <c r="M1011" s="138"/>
      <c r="N1011" s="138"/>
      <c r="O1011" s="138"/>
    </row>
    <row r="1012" spans="2:15" x14ac:dyDescent="0.2">
      <c r="B1012" s="138"/>
      <c r="C1012" s="126"/>
      <c r="D1012" s="138"/>
      <c r="E1012" s="138"/>
      <c r="F1012" s="138"/>
      <c r="G1012" s="138"/>
      <c r="H1012" s="138"/>
      <c r="I1012" s="138"/>
      <c r="J1012" s="138"/>
      <c r="K1012" s="138"/>
      <c r="L1012" s="138"/>
      <c r="M1012" s="138"/>
      <c r="N1012" s="138"/>
      <c r="O1012" s="138"/>
    </row>
    <row r="1013" spans="2:15" x14ac:dyDescent="0.2">
      <c r="B1013" s="138"/>
      <c r="C1013" s="126"/>
      <c r="D1013" s="138"/>
      <c r="E1013" s="138"/>
      <c r="F1013" s="138"/>
      <c r="G1013" s="138"/>
      <c r="H1013" s="138"/>
      <c r="I1013" s="138"/>
      <c r="J1013" s="138"/>
      <c r="K1013" s="138"/>
      <c r="L1013" s="138"/>
      <c r="M1013" s="138"/>
      <c r="N1013" s="138"/>
      <c r="O1013" s="138"/>
    </row>
    <row r="1014" spans="2:15" x14ac:dyDescent="0.2">
      <c r="B1014" s="138"/>
      <c r="C1014" s="126"/>
      <c r="D1014" s="138"/>
      <c r="E1014" s="138"/>
      <c r="F1014" s="138"/>
      <c r="G1014" s="138"/>
      <c r="H1014" s="138"/>
      <c r="I1014" s="138"/>
      <c r="J1014" s="138"/>
      <c r="K1014" s="138"/>
      <c r="L1014" s="138"/>
      <c r="M1014" s="138"/>
      <c r="N1014" s="138"/>
      <c r="O1014" s="138"/>
    </row>
    <row r="1015" spans="2:15" x14ac:dyDescent="0.2">
      <c r="B1015" s="138"/>
      <c r="C1015" s="126"/>
      <c r="D1015" s="138"/>
      <c r="E1015" s="138"/>
      <c r="F1015" s="138"/>
      <c r="G1015" s="138"/>
      <c r="H1015" s="138"/>
      <c r="I1015" s="138"/>
      <c r="J1015" s="138"/>
      <c r="K1015" s="138"/>
      <c r="L1015" s="138"/>
      <c r="M1015" s="138"/>
      <c r="N1015" s="138"/>
      <c r="O1015" s="138"/>
    </row>
    <row r="1016" spans="2:15" x14ac:dyDescent="0.2">
      <c r="B1016" s="138"/>
      <c r="C1016" s="126"/>
      <c r="D1016" s="138"/>
      <c r="E1016" s="138"/>
      <c r="F1016" s="138"/>
      <c r="G1016" s="138"/>
      <c r="H1016" s="138"/>
      <c r="I1016" s="138"/>
      <c r="J1016" s="138"/>
      <c r="K1016" s="138"/>
      <c r="L1016" s="138"/>
      <c r="M1016" s="138"/>
      <c r="N1016" s="138"/>
      <c r="O1016" s="138"/>
    </row>
    <row r="1017" spans="2:15" x14ac:dyDescent="0.2">
      <c r="B1017" s="138"/>
      <c r="C1017" s="126"/>
      <c r="D1017" s="138"/>
      <c r="E1017" s="138"/>
      <c r="F1017" s="138"/>
      <c r="G1017" s="138"/>
      <c r="H1017" s="138"/>
      <c r="I1017" s="138"/>
      <c r="J1017" s="138"/>
      <c r="K1017" s="138"/>
      <c r="L1017" s="138"/>
      <c r="M1017" s="138"/>
      <c r="N1017" s="138"/>
      <c r="O1017" s="138"/>
    </row>
    <row r="1018" spans="2:15" x14ac:dyDescent="0.2">
      <c r="B1018" s="138"/>
      <c r="C1018" s="126"/>
      <c r="D1018" s="138"/>
      <c r="E1018" s="138"/>
      <c r="F1018" s="138"/>
      <c r="G1018" s="138"/>
      <c r="H1018" s="138"/>
      <c r="I1018" s="138"/>
      <c r="J1018" s="138"/>
      <c r="K1018" s="138"/>
      <c r="L1018" s="138"/>
      <c r="M1018" s="138"/>
      <c r="N1018" s="138"/>
      <c r="O1018" s="138"/>
    </row>
    <row r="1019" spans="2:15" x14ac:dyDescent="0.2">
      <c r="B1019" s="138"/>
      <c r="C1019" s="126"/>
      <c r="D1019" s="138"/>
      <c r="E1019" s="138"/>
      <c r="F1019" s="138"/>
      <c r="G1019" s="138"/>
      <c r="H1019" s="138"/>
      <c r="I1019" s="138"/>
      <c r="J1019" s="138"/>
      <c r="K1019" s="138"/>
      <c r="L1019" s="138"/>
      <c r="M1019" s="138"/>
      <c r="N1019" s="138"/>
      <c r="O1019" s="138"/>
    </row>
    <row r="1020" spans="2:15" x14ac:dyDescent="0.2">
      <c r="B1020" s="138"/>
      <c r="C1020" s="126"/>
      <c r="D1020" s="138"/>
      <c r="E1020" s="138"/>
      <c r="F1020" s="138"/>
      <c r="G1020" s="138"/>
      <c r="H1020" s="138"/>
      <c r="I1020" s="138"/>
      <c r="J1020" s="138"/>
      <c r="K1020" s="138"/>
      <c r="L1020" s="138"/>
      <c r="M1020" s="138"/>
      <c r="N1020" s="138"/>
      <c r="O1020" s="138"/>
    </row>
    <row r="1021" spans="2:15" x14ac:dyDescent="0.2">
      <c r="B1021" s="138"/>
      <c r="C1021" s="126"/>
      <c r="D1021" s="138"/>
      <c r="E1021" s="138"/>
      <c r="F1021" s="138"/>
      <c r="G1021" s="138"/>
      <c r="H1021" s="138"/>
      <c r="I1021" s="138"/>
      <c r="J1021" s="138"/>
      <c r="K1021" s="138"/>
      <c r="L1021" s="138"/>
      <c r="M1021" s="138"/>
      <c r="N1021" s="138"/>
      <c r="O1021" s="138"/>
    </row>
    <row r="1022" spans="2:15" x14ac:dyDescent="0.2">
      <c r="B1022" s="138"/>
      <c r="C1022" s="126"/>
      <c r="D1022" s="138"/>
      <c r="E1022" s="138"/>
      <c r="F1022" s="138"/>
      <c r="G1022" s="138"/>
      <c r="H1022" s="138"/>
      <c r="I1022" s="138"/>
      <c r="J1022" s="138"/>
      <c r="K1022" s="138"/>
      <c r="L1022" s="138"/>
      <c r="M1022" s="138"/>
      <c r="N1022" s="138"/>
      <c r="O1022" s="138"/>
    </row>
    <row r="1023" spans="2:15" x14ac:dyDescent="0.2">
      <c r="B1023" s="138"/>
      <c r="C1023" s="126"/>
      <c r="D1023" s="138"/>
      <c r="E1023" s="138"/>
      <c r="F1023" s="138"/>
      <c r="G1023" s="138"/>
      <c r="H1023" s="138"/>
      <c r="I1023" s="138"/>
      <c r="J1023" s="138"/>
      <c r="K1023" s="138"/>
      <c r="L1023" s="138"/>
      <c r="M1023" s="138"/>
      <c r="N1023" s="138"/>
      <c r="O1023" s="138"/>
    </row>
    <row r="1024" spans="2:15" x14ac:dyDescent="0.2">
      <c r="B1024" s="138"/>
      <c r="C1024" s="126"/>
      <c r="D1024" s="138"/>
      <c r="E1024" s="138"/>
      <c r="F1024" s="138"/>
      <c r="G1024" s="138"/>
      <c r="H1024" s="138"/>
      <c r="I1024" s="138"/>
      <c r="J1024" s="138"/>
      <c r="K1024" s="138"/>
      <c r="L1024" s="138"/>
      <c r="M1024" s="138"/>
      <c r="N1024" s="138"/>
      <c r="O1024" s="138"/>
    </row>
    <row r="1025" spans="2:15" x14ac:dyDescent="0.2">
      <c r="B1025" s="138"/>
      <c r="C1025" s="126"/>
      <c r="D1025" s="138"/>
      <c r="E1025" s="138"/>
      <c r="F1025" s="138"/>
      <c r="G1025" s="138"/>
      <c r="H1025" s="138"/>
      <c r="I1025" s="138"/>
      <c r="J1025" s="138"/>
      <c r="K1025" s="138"/>
      <c r="L1025" s="138"/>
      <c r="M1025" s="138"/>
      <c r="N1025" s="138"/>
      <c r="O1025" s="138"/>
    </row>
    <row r="1026" spans="2:15" x14ac:dyDescent="0.2">
      <c r="B1026" s="138"/>
      <c r="C1026" s="126"/>
      <c r="D1026" s="138"/>
      <c r="E1026" s="138"/>
      <c r="F1026" s="138"/>
      <c r="G1026" s="138"/>
      <c r="H1026" s="138"/>
      <c r="I1026" s="138"/>
      <c r="J1026" s="138"/>
      <c r="K1026" s="138"/>
      <c r="L1026" s="138"/>
      <c r="M1026" s="138"/>
      <c r="N1026" s="138"/>
      <c r="O1026" s="138"/>
    </row>
    <row r="1027" spans="2:15" x14ac:dyDescent="0.2">
      <c r="B1027" s="138"/>
      <c r="C1027" s="126"/>
      <c r="D1027" s="138"/>
      <c r="E1027" s="138"/>
      <c r="F1027" s="138"/>
      <c r="G1027" s="138"/>
      <c r="H1027" s="138"/>
      <c r="I1027" s="138"/>
      <c r="J1027" s="138"/>
      <c r="K1027" s="138"/>
      <c r="L1027" s="138"/>
      <c r="M1027" s="138"/>
      <c r="N1027" s="138"/>
      <c r="O1027" s="138"/>
    </row>
    <row r="1028" spans="2:15" x14ac:dyDescent="0.2">
      <c r="B1028" s="138"/>
      <c r="C1028" s="126"/>
      <c r="D1028" s="138"/>
      <c r="E1028" s="138"/>
      <c r="F1028" s="138"/>
      <c r="G1028" s="138"/>
      <c r="H1028" s="138"/>
      <c r="I1028" s="138"/>
      <c r="J1028" s="138"/>
      <c r="K1028" s="138"/>
      <c r="L1028" s="138"/>
      <c r="M1028" s="138"/>
      <c r="N1028" s="138"/>
      <c r="O1028" s="138"/>
    </row>
    <row r="1029" spans="2:15" x14ac:dyDescent="0.2">
      <c r="B1029" s="138"/>
      <c r="C1029" s="126"/>
      <c r="D1029" s="138"/>
      <c r="E1029" s="138"/>
      <c r="F1029" s="138"/>
      <c r="G1029" s="138"/>
      <c r="H1029" s="138"/>
      <c r="I1029" s="138"/>
      <c r="J1029" s="138"/>
      <c r="K1029" s="138"/>
      <c r="L1029" s="138"/>
      <c r="M1029" s="138"/>
      <c r="N1029" s="138"/>
      <c r="O1029" s="138"/>
    </row>
    <row r="1030" spans="2:15" x14ac:dyDescent="0.2">
      <c r="B1030" s="138"/>
      <c r="C1030" s="126"/>
      <c r="D1030" s="138"/>
      <c r="E1030" s="138"/>
      <c r="F1030" s="138"/>
      <c r="G1030" s="138"/>
      <c r="H1030" s="138"/>
      <c r="I1030" s="138"/>
      <c r="J1030" s="138"/>
      <c r="K1030" s="138"/>
      <c r="L1030" s="138"/>
      <c r="M1030" s="138"/>
      <c r="N1030" s="138"/>
      <c r="O1030" s="138"/>
    </row>
    <row r="1031" spans="2:15" x14ac:dyDescent="0.2">
      <c r="B1031" s="138"/>
      <c r="C1031" s="126"/>
      <c r="D1031" s="138"/>
      <c r="E1031" s="138"/>
      <c r="F1031" s="138"/>
      <c r="G1031" s="138"/>
      <c r="H1031" s="138"/>
      <c r="I1031" s="138"/>
      <c r="J1031" s="138"/>
      <c r="K1031" s="138"/>
      <c r="L1031" s="138"/>
      <c r="M1031" s="138"/>
      <c r="N1031" s="138"/>
      <c r="O1031" s="138"/>
    </row>
    <row r="1032" spans="2:15" x14ac:dyDescent="0.2">
      <c r="B1032" s="138"/>
      <c r="C1032" s="126"/>
      <c r="D1032" s="138"/>
      <c r="E1032" s="138"/>
      <c r="F1032" s="138"/>
      <c r="G1032" s="138"/>
      <c r="H1032" s="138"/>
      <c r="I1032" s="138"/>
      <c r="J1032" s="138"/>
      <c r="K1032" s="138"/>
      <c r="L1032" s="138"/>
      <c r="M1032" s="138"/>
      <c r="N1032" s="138"/>
      <c r="O1032" s="138"/>
    </row>
    <row r="1033" spans="2:15" x14ac:dyDescent="0.2">
      <c r="B1033" s="138"/>
      <c r="C1033" s="126"/>
      <c r="D1033" s="138"/>
      <c r="E1033" s="138"/>
      <c r="F1033" s="138"/>
      <c r="G1033" s="138"/>
      <c r="H1033" s="138"/>
      <c r="I1033" s="138"/>
      <c r="J1033" s="138"/>
      <c r="K1033" s="138"/>
      <c r="L1033" s="138"/>
      <c r="M1033" s="138"/>
      <c r="N1033" s="138"/>
      <c r="O1033" s="138"/>
    </row>
    <row r="1034" spans="2:15" x14ac:dyDescent="0.2">
      <c r="B1034" s="138"/>
      <c r="C1034" s="126"/>
      <c r="D1034" s="138"/>
      <c r="E1034" s="138"/>
      <c r="F1034" s="138"/>
      <c r="G1034" s="138"/>
      <c r="H1034" s="138"/>
      <c r="I1034" s="138"/>
      <c r="J1034" s="138"/>
      <c r="K1034" s="138"/>
      <c r="L1034" s="138"/>
      <c r="M1034" s="138"/>
      <c r="N1034" s="138"/>
      <c r="O1034" s="138"/>
    </row>
    <row r="1035" spans="2:15" x14ac:dyDescent="0.2">
      <c r="B1035" s="138"/>
      <c r="C1035" s="126"/>
      <c r="D1035" s="138"/>
      <c r="E1035" s="138"/>
      <c r="F1035" s="138"/>
      <c r="G1035" s="138"/>
      <c r="H1035" s="138"/>
      <c r="I1035" s="138"/>
      <c r="J1035" s="138"/>
      <c r="K1035" s="138"/>
      <c r="L1035" s="138"/>
      <c r="M1035" s="138"/>
      <c r="N1035" s="138"/>
      <c r="O1035" s="138"/>
    </row>
    <row r="1036" spans="2:15" x14ac:dyDescent="0.2">
      <c r="B1036" s="138"/>
      <c r="C1036" s="126"/>
      <c r="D1036" s="138"/>
      <c r="E1036" s="138"/>
      <c r="F1036" s="138"/>
      <c r="G1036" s="138"/>
      <c r="H1036" s="138"/>
      <c r="I1036" s="138"/>
      <c r="J1036" s="138"/>
      <c r="K1036" s="138"/>
      <c r="L1036" s="138"/>
      <c r="M1036" s="138"/>
      <c r="N1036" s="138"/>
      <c r="O1036" s="138"/>
    </row>
    <row r="1037" spans="2:15" x14ac:dyDescent="0.2">
      <c r="B1037" s="138"/>
      <c r="C1037" s="126"/>
      <c r="D1037" s="138"/>
      <c r="E1037" s="138"/>
      <c r="F1037" s="138"/>
      <c r="G1037" s="138"/>
      <c r="H1037" s="138"/>
      <c r="I1037" s="138"/>
      <c r="J1037" s="138"/>
      <c r="K1037" s="138"/>
      <c r="L1037" s="138"/>
      <c r="M1037" s="138"/>
      <c r="N1037" s="138"/>
      <c r="O1037" s="138"/>
    </row>
    <row r="1038" spans="2:15" x14ac:dyDescent="0.2">
      <c r="B1038" s="138"/>
      <c r="C1038" s="126"/>
      <c r="D1038" s="138"/>
      <c r="E1038" s="138"/>
      <c r="F1038" s="138"/>
      <c r="G1038" s="138"/>
      <c r="H1038" s="138"/>
      <c r="I1038" s="138"/>
      <c r="J1038" s="138"/>
      <c r="K1038" s="138"/>
      <c r="L1038" s="138"/>
      <c r="M1038" s="138"/>
      <c r="N1038" s="138"/>
      <c r="O1038" s="138"/>
    </row>
    <row r="1039" spans="2:15" x14ac:dyDescent="0.2">
      <c r="B1039" s="138"/>
      <c r="C1039" s="126"/>
      <c r="D1039" s="138"/>
      <c r="E1039" s="138"/>
      <c r="F1039" s="138"/>
      <c r="G1039" s="138"/>
      <c r="H1039" s="138"/>
      <c r="I1039" s="138"/>
      <c r="J1039" s="138"/>
      <c r="K1039" s="138"/>
      <c r="L1039" s="138"/>
      <c r="M1039" s="138"/>
      <c r="N1039" s="138"/>
      <c r="O1039" s="138"/>
    </row>
    <row r="1040" spans="2:15" x14ac:dyDescent="0.2">
      <c r="B1040" s="138"/>
      <c r="C1040" s="126"/>
      <c r="D1040" s="138"/>
      <c r="E1040" s="138"/>
      <c r="F1040" s="138"/>
      <c r="G1040" s="138"/>
      <c r="H1040" s="138"/>
      <c r="I1040" s="138"/>
      <c r="J1040" s="138"/>
      <c r="K1040" s="138"/>
      <c r="L1040" s="138"/>
      <c r="M1040" s="138"/>
      <c r="N1040" s="138"/>
      <c r="O1040" s="138"/>
    </row>
    <row r="1041" spans="2:15" x14ac:dyDescent="0.2">
      <c r="B1041" s="138"/>
      <c r="C1041" s="126"/>
      <c r="D1041" s="138"/>
      <c r="E1041" s="138"/>
      <c r="F1041" s="138"/>
      <c r="G1041" s="138"/>
      <c r="H1041" s="138"/>
      <c r="I1041" s="138"/>
      <c r="J1041" s="138"/>
      <c r="K1041" s="138"/>
      <c r="L1041" s="138"/>
      <c r="M1041" s="138"/>
      <c r="N1041" s="138"/>
      <c r="O1041" s="138"/>
    </row>
    <row r="1042" spans="2:15" x14ac:dyDescent="0.2">
      <c r="B1042" s="138"/>
      <c r="C1042" s="126"/>
      <c r="D1042" s="138"/>
      <c r="E1042" s="138"/>
      <c r="F1042" s="138"/>
      <c r="G1042" s="138"/>
      <c r="H1042" s="138"/>
      <c r="I1042" s="138"/>
      <c r="J1042" s="138"/>
      <c r="K1042" s="138"/>
      <c r="L1042" s="138"/>
      <c r="M1042" s="138"/>
      <c r="N1042" s="138"/>
      <c r="O1042" s="138"/>
    </row>
    <row r="1043" spans="2:15" x14ac:dyDescent="0.2">
      <c r="B1043" s="138"/>
      <c r="C1043" s="126"/>
      <c r="D1043" s="138"/>
      <c r="E1043" s="138"/>
      <c r="F1043" s="138"/>
      <c r="G1043" s="138"/>
      <c r="H1043" s="138"/>
      <c r="I1043" s="138"/>
      <c r="J1043" s="138"/>
      <c r="K1043" s="138"/>
      <c r="L1043" s="138"/>
      <c r="M1043" s="138"/>
      <c r="N1043" s="138"/>
      <c r="O1043" s="138"/>
    </row>
    <row r="1044" spans="2:15" x14ac:dyDescent="0.2">
      <c r="B1044" s="138"/>
      <c r="C1044" s="126"/>
      <c r="D1044" s="138"/>
      <c r="E1044" s="138"/>
      <c r="F1044" s="138"/>
      <c r="G1044" s="138"/>
      <c r="H1044" s="138"/>
      <c r="I1044" s="138"/>
      <c r="J1044" s="138"/>
      <c r="K1044" s="138"/>
      <c r="L1044" s="138"/>
      <c r="M1044" s="138"/>
      <c r="N1044" s="138"/>
      <c r="O1044" s="138"/>
    </row>
    <row r="1045" spans="2:15" x14ac:dyDescent="0.2">
      <c r="B1045" s="138"/>
      <c r="C1045" s="126"/>
      <c r="D1045" s="138"/>
      <c r="E1045" s="138"/>
      <c r="F1045" s="138"/>
      <c r="G1045" s="138"/>
      <c r="H1045" s="138"/>
      <c r="I1045" s="138"/>
      <c r="J1045" s="138"/>
      <c r="K1045" s="138"/>
      <c r="L1045" s="138"/>
      <c r="M1045" s="138"/>
      <c r="N1045" s="138"/>
      <c r="O1045" s="138"/>
    </row>
    <row r="1046" spans="2:15" x14ac:dyDescent="0.2">
      <c r="B1046" s="138"/>
      <c r="C1046" s="126"/>
      <c r="D1046" s="138"/>
      <c r="E1046" s="138"/>
      <c r="F1046" s="138"/>
      <c r="G1046" s="138"/>
      <c r="H1046" s="138"/>
      <c r="I1046" s="138"/>
      <c r="J1046" s="138"/>
      <c r="K1046" s="138"/>
      <c r="L1046" s="138"/>
      <c r="M1046" s="138"/>
      <c r="N1046" s="138"/>
      <c r="O1046" s="138"/>
    </row>
    <row r="1047" spans="2:15" x14ac:dyDescent="0.2">
      <c r="B1047" s="138"/>
      <c r="C1047" s="126"/>
      <c r="D1047" s="138"/>
      <c r="E1047" s="138"/>
      <c r="F1047" s="138"/>
      <c r="G1047" s="138"/>
      <c r="H1047" s="138"/>
      <c r="I1047" s="138"/>
      <c r="J1047" s="138"/>
      <c r="K1047" s="138"/>
      <c r="L1047" s="138"/>
      <c r="M1047" s="138"/>
      <c r="N1047" s="138"/>
      <c r="O1047" s="138"/>
    </row>
    <row r="1048" spans="2:15" x14ac:dyDescent="0.2">
      <c r="B1048" s="138"/>
      <c r="C1048" s="126"/>
      <c r="D1048" s="138"/>
      <c r="E1048" s="138"/>
      <c r="F1048" s="138"/>
      <c r="G1048" s="138"/>
      <c r="H1048" s="138"/>
      <c r="I1048" s="138"/>
      <c r="J1048" s="138"/>
      <c r="K1048" s="138"/>
      <c r="L1048" s="138"/>
      <c r="M1048" s="138"/>
      <c r="N1048" s="138"/>
      <c r="O1048" s="138"/>
    </row>
    <row r="1049" spans="2:15" x14ac:dyDescent="0.2">
      <c r="B1049" s="138"/>
      <c r="C1049" s="126"/>
      <c r="D1049" s="138"/>
      <c r="E1049" s="138"/>
      <c r="F1049" s="138"/>
      <c r="G1049" s="138"/>
      <c r="H1049" s="138"/>
      <c r="I1049" s="138"/>
      <c r="J1049" s="138"/>
      <c r="K1049" s="138"/>
      <c r="L1049" s="138"/>
      <c r="M1049" s="138"/>
      <c r="N1049" s="138"/>
      <c r="O1049" s="138"/>
    </row>
    <row r="1050" spans="2:15" x14ac:dyDescent="0.2">
      <c r="B1050" s="138"/>
      <c r="C1050" s="126"/>
      <c r="D1050" s="138"/>
      <c r="E1050" s="138"/>
      <c r="F1050" s="138"/>
      <c r="G1050" s="138"/>
      <c r="H1050" s="138"/>
      <c r="I1050" s="138"/>
      <c r="J1050" s="138"/>
      <c r="K1050" s="138"/>
      <c r="L1050" s="138"/>
      <c r="M1050" s="138"/>
      <c r="N1050" s="138"/>
      <c r="O1050" s="138"/>
    </row>
    <row r="1051" spans="2:15" x14ac:dyDescent="0.2">
      <c r="B1051" s="138"/>
      <c r="C1051" s="126"/>
      <c r="D1051" s="138"/>
      <c r="E1051" s="138"/>
      <c r="F1051" s="138"/>
      <c r="G1051" s="138"/>
      <c r="H1051" s="138"/>
      <c r="I1051" s="138"/>
      <c r="J1051" s="138"/>
      <c r="K1051" s="138"/>
      <c r="L1051" s="138"/>
      <c r="M1051" s="138"/>
      <c r="N1051" s="138"/>
      <c r="O1051" s="138"/>
    </row>
    <row r="1052" spans="2:15" x14ac:dyDescent="0.2">
      <c r="B1052" s="138"/>
      <c r="C1052" s="126"/>
      <c r="D1052" s="138"/>
      <c r="E1052" s="138"/>
      <c r="F1052" s="138"/>
      <c r="G1052" s="138"/>
      <c r="H1052" s="138"/>
      <c r="I1052" s="138"/>
      <c r="J1052" s="138"/>
      <c r="K1052" s="138"/>
      <c r="L1052" s="138"/>
      <c r="M1052" s="138"/>
      <c r="N1052" s="138"/>
      <c r="O1052" s="138"/>
    </row>
    <row r="1053" spans="2:15" x14ac:dyDescent="0.2">
      <c r="B1053" s="138"/>
      <c r="C1053" s="126"/>
      <c r="D1053" s="138"/>
      <c r="E1053" s="138"/>
      <c r="F1053" s="138"/>
      <c r="G1053" s="138"/>
      <c r="H1053" s="138"/>
      <c r="I1053" s="138"/>
      <c r="J1053" s="138"/>
      <c r="K1053" s="138"/>
      <c r="L1053" s="138"/>
      <c r="M1053" s="138"/>
      <c r="N1053" s="138"/>
      <c r="O1053" s="138"/>
    </row>
    <row r="1054" spans="2:15" x14ac:dyDescent="0.2">
      <c r="B1054" s="138"/>
      <c r="C1054" s="126"/>
      <c r="D1054" s="138"/>
      <c r="E1054" s="138"/>
      <c r="F1054" s="138"/>
      <c r="G1054" s="138"/>
      <c r="H1054" s="138"/>
      <c r="I1054" s="138"/>
      <c r="J1054" s="138"/>
      <c r="K1054" s="138"/>
      <c r="L1054" s="138"/>
      <c r="M1054" s="138"/>
      <c r="N1054" s="138"/>
      <c r="O1054" s="138"/>
    </row>
    <row r="1055" spans="2:15" x14ac:dyDescent="0.2">
      <c r="B1055" s="138"/>
      <c r="C1055" s="126"/>
      <c r="D1055" s="138"/>
      <c r="E1055" s="138"/>
      <c r="F1055" s="138"/>
      <c r="G1055" s="138"/>
      <c r="H1055" s="138"/>
      <c r="I1055" s="138"/>
      <c r="J1055" s="138"/>
      <c r="K1055" s="138"/>
      <c r="L1055" s="138"/>
      <c r="M1055" s="138"/>
      <c r="N1055" s="138"/>
      <c r="O1055" s="138"/>
    </row>
    <row r="1056" spans="2:15" x14ac:dyDescent="0.2">
      <c r="B1056" s="138"/>
      <c r="C1056" s="126"/>
      <c r="D1056" s="138"/>
      <c r="E1056" s="138"/>
      <c r="F1056" s="138"/>
      <c r="G1056" s="138"/>
      <c r="H1056" s="138"/>
      <c r="I1056" s="138"/>
      <c r="J1056" s="138"/>
      <c r="K1056" s="138"/>
      <c r="L1056" s="138"/>
      <c r="M1056" s="138"/>
      <c r="N1056" s="138"/>
      <c r="O1056" s="138"/>
    </row>
    <row r="1057" spans="2:15" x14ac:dyDescent="0.2">
      <c r="B1057" s="138"/>
      <c r="C1057" s="126"/>
      <c r="D1057" s="138"/>
      <c r="E1057" s="138"/>
      <c r="F1057" s="138"/>
      <c r="G1057" s="138"/>
      <c r="H1057" s="138"/>
      <c r="I1057" s="138"/>
      <c r="J1057" s="138"/>
      <c r="K1057" s="138"/>
      <c r="L1057" s="138"/>
      <c r="M1057" s="138"/>
      <c r="N1057" s="138"/>
      <c r="O1057" s="138"/>
    </row>
    <row r="1058" spans="2:15" x14ac:dyDescent="0.2">
      <c r="B1058" s="138"/>
      <c r="C1058" s="126"/>
      <c r="D1058" s="138"/>
      <c r="E1058" s="138"/>
      <c r="F1058" s="138"/>
      <c r="G1058" s="138"/>
      <c r="H1058" s="138"/>
      <c r="I1058" s="138"/>
      <c r="J1058" s="138"/>
      <c r="K1058" s="138"/>
      <c r="L1058" s="138"/>
      <c r="M1058" s="138"/>
      <c r="N1058" s="138"/>
      <c r="O1058" s="138"/>
    </row>
    <row r="1059" spans="2:15" x14ac:dyDescent="0.2">
      <c r="B1059" s="138"/>
      <c r="C1059" s="126"/>
      <c r="D1059" s="138"/>
      <c r="E1059" s="138"/>
      <c r="F1059" s="138"/>
      <c r="G1059" s="138"/>
      <c r="H1059" s="138"/>
      <c r="I1059" s="138"/>
      <c r="J1059" s="138"/>
      <c r="K1059" s="138"/>
      <c r="L1059" s="138"/>
      <c r="M1059" s="138"/>
      <c r="N1059" s="138"/>
      <c r="O1059" s="138"/>
    </row>
    <row r="1060" spans="2:15" x14ac:dyDescent="0.2">
      <c r="B1060" s="138"/>
      <c r="C1060" s="126"/>
      <c r="D1060" s="138"/>
      <c r="E1060" s="138"/>
      <c r="F1060" s="138"/>
      <c r="G1060" s="138"/>
      <c r="H1060" s="138"/>
      <c r="I1060" s="138"/>
      <c r="J1060" s="138"/>
      <c r="K1060" s="138"/>
      <c r="L1060" s="138"/>
      <c r="M1060" s="138"/>
      <c r="N1060" s="138"/>
      <c r="O1060" s="138"/>
    </row>
    <row r="1061" spans="2:15" x14ac:dyDescent="0.2">
      <c r="B1061" s="138"/>
      <c r="C1061" s="126"/>
      <c r="D1061" s="138"/>
      <c r="E1061" s="138"/>
      <c r="F1061" s="138"/>
      <c r="G1061" s="138"/>
      <c r="H1061" s="138"/>
      <c r="I1061" s="138"/>
      <c r="J1061" s="138"/>
      <c r="K1061" s="138"/>
      <c r="L1061" s="138"/>
      <c r="M1061" s="138"/>
      <c r="N1061" s="138"/>
      <c r="O1061" s="138"/>
    </row>
    <row r="1062" spans="2:15" x14ac:dyDescent="0.2">
      <c r="B1062" s="138"/>
      <c r="C1062" s="126"/>
      <c r="D1062" s="138"/>
      <c r="E1062" s="138"/>
      <c r="F1062" s="138"/>
      <c r="G1062" s="138"/>
      <c r="H1062" s="138"/>
      <c r="I1062" s="138"/>
      <c r="J1062" s="138"/>
      <c r="K1062" s="138"/>
      <c r="L1062" s="138"/>
      <c r="M1062" s="138"/>
      <c r="N1062" s="138"/>
      <c r="O1062" s="138"/>
    </row>
    <row r="1063" spans="2:15" x14ac:dyDescent="0.2">
      <c r="B1063" s="138"/>
      <c r="C1063" s="126"/>
      <c r="D1063" s="138"/>
      <c r="E1063" s="138"/>
      <c r="F1063" s="138"/>
      <c r="G1063" s="138"/>
      <c r="H1063" s="138"/>
      <c r="I1063" s="138"/>
      <c r="J1063" s="138"/>
      <c r="K1063" s="138"/>
      <c r="L1063" s="138"/>
      <c r="M1063" s="138"/>
      <c r="N1063" s="138"/>
      <c r="O1063" s="138"/>
    </row>
    <row r="1064" spans="2:15" x14ac:dyDescent="0.2">
      <c r="B1064" s="138"/>
      <c r="C1064" s="126"/>
      <c r="D1064" s="138"/>
      <c r="E1064" s="138"/>
      <c r="F1064" s="138"/>
      <c r="G1064" s="138"/>
      <c r="H1064" s="138"/>
      <c r="I1064" s="138"/>
      <c r="J1064" s="138"/>
      <c r="K1064" s="138"/>
      <c r="L1064" s="138"/>
      <c r="M1064" s="138"/>
      <c r="N1064" s="138"/>
      <c r="O1064" s="138"/>
    </row>
    <row r="1065" spans="2:15" x14ac:dyDescent="0.2">
      <c r="B1065" s="138"/>
      <c r="C1065" s="126"/>
      <c r="D1065" s="138"/>
      <c r="E1065" s="138"/>
      <c r="F1065" s="138"/>
      <c r="G1065" s="138"/>
      <c r="H1065" s="138"/>
      <c r="I1065" s="138"/>
      <c r="J1065" s="138"/>
      <c r="K1065" s="138"/>
      <c r="L1065" s="138"/>
      <c r="M1065" s="138"/>
      <c r="N1065" s="138"/>
      <c r="O1065" s="138"/>
    </row>
    <row r="1066" spans="2:15" x14ac:dyDescent="0.2">
      <c r="B1066" s="138"/>
      <c r="C1066" s="126"/>
      <c r="D1066" s="138"/>
      <c r="E1066" s="138"/>
      <c r="F1066" s="138"/>
      <c r="G1066" s="138"/>
      <c r="H1066" s="138"/>
      <c r="I1066" s="138"/>
      <c r="J1066" s="138"/>
      <c r="K1066" s="138"/>
      <c r="L1066" s="138"/>
      <c r="M1066" s="138"/>
      <c r="N1066" s="138"/>
      <c r="O1066" s="138"/>
    </row>
    <row r="1067" spans="2:15" x14ac:dyDescent="0.2">
      <c r="B1067" s="138"/>
      <c r="C1067" s="126"/>
      <c r="D1067" s="138"/>
      <c r="E1067" s="138"/>
      <c r="F1067" s="138"/>
      <c r="G1067" s="138"/>
      <c r="H1067" s="138"/>
      <c r="I1067" s="138"/>
      <c r="J1067" s="138"/>
      <c r="K1067" s="138"/>
      <c r="L1067" s="138"/>
      <c r="M1067" s="138"/>
      <c r="N1067" s="138"/>
      <c r="O1067" s="138"/>
    </row>
    <row r="1068" spans="2:15" x14ac:dyDescent="0.2">
      <c r="B1068" s="138"/>
      <c r="C1068" s="126"/>
      <c r="D1068" s="138"/>
      <c r="E1068" s="138"/>
      <c r="F1068" s="138"/>
      <c r="G1068" s="138"/>
      <c r="H1068" s="138"/>
      <c r="I1068" s="138"/>
      <c r="J1068" s="138"/>
      <c r="K1068" s="138"/>
      <c r="L1068" s="138"/>
      <c r="M1068" s="138"/>
      <c r="N1068" s="138"/>
      <c r="O1068" s="138"/>
    </row>
    <row r="1069" spans="2:15" x14ac:dyDescent="0.2">
      <c r="B1069" s="138"/>
      <c r="C1069" s="126"/>
      <c r="D1069" s="138"/>
      <c r="E1069" s="138"/>
      <c r="F1069" s="138"/>
      <c r="G1069" s="138"/>
      <c r="H1069" s="138"/>
      <c r="I1069" s="138"/>
      <c r="J1069" s="138"/>
      <c r="K1069" s="138"/>
      <c r="L1069" s="138"/>
      <c r="M1069" s="138"/>
      <c r="N1069" s="138"/>
      <c r="O1069" s="138"/>
    </row>
    <row r="1070" spans="2:15" x14ac:dyDescent="0.2">
      <c r="B1070" s="138"/>
      <c r="C1070" s="126"/>
      <c r="D1070" s="138"/>
      <c r="E1070" s="138"/>
      <c r="F1070" s="138"/>
      <c r="G1070" s="138"/>
      <c r="H1070" s="138"/>
      <c r="I1070" s="138"/>
      <c r="J1070" s="138"/>
      <c r="K1070" s="138"/>
      <c r="L1070" s="138"/>
      <c r="M1070" s="138"/>
      <c r="N1070" s="138"/>
      <c r="O1070" s="138"/>
    </row>
    <row r="1071" spans="2:15" x14ac:dyDescent="0.2">
      <c r="B1071" s="138"/>
      <c r="C1071" s="126"/>
      <c r="D1071" s="138"/>
      <c r="E1071" s="138"/>
      <c r="F1071" s="138"/>
      <c r="G1071" s="138"/>
      <c r="H1071" s="138"/>
      <c r="I1071" s="138"/>
      <c r="J1071" s="138"/>
      <c r="K1071" s="138"/>
      <c r="L1071" s="138"/>
      <c r="M1071" s="138"/>
      <c r="N1071" s="138"/>
      <c r="O1071" s="138"/>
    </row>
    <row r="1072" spans="2:15" x14ac:dyDescent="0.2">
      <c r="B1072" s="138"/>
      <c r="C1072" s="126"/>
      <c r="D1072" s="138"/>
      <c r="E1072" s="138"/>
      <c r="F1072" s="138"/>
      <c r="G1072" s="138"/>
      <c r="H1072" s="138"/>
      <c r="I1072" s="138"/>
      <c r="J1072" s="138"/>
      <c r="K1072" s="138"/>
      <c r="L1072" s="138"/>
      <c r="M1072" s="138"/>
      <c r="N1072" s="138"/>
      <c r="O1072" s="138"/>
    </row>
    <row r="1073" spans="2:15" x14ac:dyDescent="0.2">
      <c r="B1073" s="138"/>
      <c r="C1073" s="126"/>
      <c r="D1073" s="138"/>
      <c r="E1073" s="138"/>
      <c r="F1073" s="138"/>
      <c r="G1073" s="138"/>
      <c r="H1073" s="138"/>
      <c r="I1073" s="138"/>
      <c r="J1073" s="138"/>
      <c r="K1073" s="138"/>
      <c r="L1073" s="138"/>
      <c r="M1073" s="138"/>
      <c r="N1073" s="138"/>
      <c r="O1073" s="138"/>
    </row>
    <row r="1074" spans="2:15" x14ac:dyDescent="0.2">
      <c r="B1074" s="138"/>
      <c r="C1074" s="126"/>
      <c r="D1074" s="138"/>
      <c r="E1074" s="138"/>
      <c r="F1074" s="138"/>
      <c r="G1074" s="138"/>
      <c r="H1074" s="138"/>
      <c r="I1074" s="138"/>
      <c r="J1074" s="138"/>
      <c r="K1074" s="138"/>
      <c r="L1074" s="138"/>
      <c r="M1074" s="138"/>
      <c r="N1074" s="138"/>
      <c r="O1074" s="138"/>
    </row>
    <row r="1075" spans="2:15" x14ac:dyDescent="0.2">
      <c r="B1075" s="138"/>
      <c r="C1075" s="126"/>
      <c r="D1075" s="138"/>
      <c r="E1075" s="138"/>
      <c r="F1075" s="138"/>
      <c r="G1075" s="138"/>
      <c r="H1075" s="138"/>
      <c r="I1075" s="138"/>
      <c r="J1075" s="138"/>
      <c r="K1075" s="138"/>
      <c r="L1075" s="138"/>
      <c r="M1075" s="138"/>
      <c r="N1075" s="138"/>
      <c r="O1075" s="138"/>
    </row>
    <row r="1076" spans="2:15" x14ac:dyDescent="0.2">
      <c r="B1076" s="138"/>
      <c r="C1076" s="126"/>
      <c r="D1076" s="138"/>
      <c r="E1076" s="138"/>
      <c r="F1076" s="138"/>
      <c r="G1076" s="138"/>
      <c r="H1076" s="138"/>
      <c r="I1076" s="138"/>
      <c r="J1076" s="138"/>
      <c r="K1076" s="138"/>
      <c r="L1076" s="138"/>
      <c r="M1076" s="138"/>
      <c r="N1076" s="138"/>
      <c r="O1076" s="138"/>
    </row>
    <row r="1077" spans="2:15" x14ac:dyDescent="0.2">
      <c r="B1077" s="138"/>
      <c r="C1077" s="126"/>
      <c r="D1077" s="138"/>
      <c r="E1077" s="138"/>
      <c r="F1077" s="138"/>
      <c r="G1077" s="138"/>
      <c r="H1077" s="138"/>
      <c r="I1077" s="138"/>
      <c r="J1077" s="138"/>
      <c r="K1077" s="138"/>
      <c r="L1077" s="138"/>
      <c r="M1077" s="138"/>
      <c r="N1077" s="138"/>
      <c r="O1077" s="138"/>
    </row>
    <row r="1078" spans="2:15" x14ac:dyDescent="0.2">
      <c r="B1078" s="138"/>
      <c r="C1078" s="126"/>
      <c r="D1078" s="138"/>
      <c r="E1078" s="138"/>
      <c r="F1078" s="138"/>
      <c r="G1078" s="138"/>
      <c r="H1078" s="138"/>
      <c r="I1078" s="138"/>
      <c r="J1078" s="138"/>
      <c r="K1078" s="138"/>
      <c r="L1078" s="138"/>
      <c r="M1078" s="138"/>
      <c r="N1078" s="138"/>
      <c r="O1078" s="138"/>
    </row>
    <row r="1079" spans="2:15" x14ac:dyDescent="0.2">
      <c r="B1079" s="138"/>
      <c r="C1079" s="126"/>
      <c r="D1079" s="138"/>
      <c r="E1079" s="138"/>
      <c r="F1079" s="138"/>
      <c r="G1079" s="138"/>
      <c r="H1079" s="138"/>
      <c r="I1079" s="138"/>
      <c r="J1079" s="138"/>
      <c r="K1079" s="138"/>
      <c r="L1079" s="138"/>
      <c r="M1079" s="138"/>
      <c r="N1079" s="138"/>
      <c r="O1079" s="138"/>
    </row>
    <row r="1080" spans="2:15" x14ac:dyDescent="0.2">
      <c r="B1080" s="138"/>
      <c r="C1080" s="126"/>
      <c r="D1080" s="138"/>
      <c r="E1080" s="138"/>
      <c r="F1080" s="138"/>
      <c r="G1080" s="138"/>
      <c r="H1080" s="138"/>
      <c r="I1080" s="138"/>
      <c r="J1080" s="138"/>
      <c r="K1080" s="138"/>
      <c r="L1080" s="138"/>
      <c r="M1080" s="138"/>
      <c r="N1080" s="138"/>
      <c r="O1080" s="138"/>
    </row>
    <row r="1081" spans="2:15" x14ac:dyDescent="0.2">
      <c r="B1081" s="138"/>
      <c r="C1081" s="126"/>
      <c r="D1081" s="138"/>
      <c r="E1081" s="138"/>
      <c r="F1081" s="138"/>
      <c r="G1081" s="138"/>
      <c r="H1081" s="138"/>
      <c r="I1081" s="138"/>
      <c r="J1081" s="138"/>
      <c r="K1081" s="138"/>
      <c r="L1081" s="138"/>
      <c r="M1081" s="138"/>
      <c r="N1081" s="138"/>
      <c r="O1081" s="138"/>
    </row>
    <row r="1082" spans="2:15" x14ac:dyDescent="0.2">
      <c r="B1082" s="138"/>
      <c r="C1082" s="126"/>
      <c r="D1082" s="138"/>
      <c r="E1082" s="138"/>
      <c r="F1082" s="138"/>
      <c r="G1082" s="138"/>
      <c r="H1082" s="138"/>
      <c r="I1082" s="138"/>
      <c r="J1082" s="138"/>
      <c r="K1082" s="138"/>
      <c r="L1082" s="138"/>
      <c r="M1082" s="138"/>
      <c r="N1082" s="138"/>
      <c r="O1082" s="138"/>
    </row>
    <row r="1083" spans="2:15" x14ac:dyDescent="0.2">
      <c r="B1083" s="138"/>
      <c r="C1083" s="126"/>
      <c r="D1083" s="138"/>
      <c r="E1083" s="138"/>
      <c r="F1083" s="138"/>
      <c r="G1083" s="138"/>
      <c r="H1083" s="138"/>
      <c r="I1083" s="138"/>
      <c r="J1083" s="138"/>
      <c r="K1083" s="138"/>
      <c r="L1083" s="138"/>
      <c r="M1083" s="138"/>
      <c r="N1083" s="138"/>
      <c r="O1083" s="138"/>
    </row>
    <row r="1084" spans="2:15" x14ac:dyDescent="0.2">
      <c r="B1084" s="138"/>
      <c r="C1084" s="126"/>
      <c r="D1084" s="138"/>
      <c r="E1084" s="138"/>
      <c r="F1084" s="138"/>
      <c r="G1084" s="138"/>
      <c r="H1084" s="138"/>
      <c r="I1084" s="138"/>
      <c r="J1084" s="138"/>
      <c r="K1084" s="138"/>
      <c r="L1084" s="138"/>
      <c r="M1084" s="138"/>
      <c r="N1084" s="138"/>
      <c r="O1084" s="138"/>
    </row>
    <row r="1085" spans="2:15" x14ac:dyDescent="0.2">
      <c r="B1085" s="138"/>
      <c r="C1085" s="126"/>
      <c r="D1085" s="138"/>
      <c r="E1085" s="138"/>
      <c r="F1085" s="138"/>
      <c r="G1085" s="138"/>
      <c r="H1085" s="138"/>
      <c r="I1085" s="138"/>
      <c r="J1085" s="138"/>
      <c r="K1085" s="138"/>
      <c r="L1085" s="138"/>
      <c r="M1085" s="138"/>
      <c r="N1085" s="138"/>
      <c r="O1085" s="138"/>
    </row>
    <row r="1086" spans="2:15" x14ac:dyDescent="0.2">
      <c r="B1086" s="138"/>
      <c r="C1086" s="126"/>
      <c r="D1086" s="138"/>
      <c r="E1086" s="138"/>
      <c r="F1086" s="138"/>
      <c r="G1086" s="138"/>
      <c r="H1086" s="138"/>
      <c r="I1086" s="138"/>
      <c r="J1086" s="138"/>
      <c r="K1086" s="138"/>
      <c r="L1086" s="138"/>
      <c r="M1086" s="138"/>
      <c r="N1086" s="138"/>
      <c r="O1086" s="138"/>
    </row>
    <row r="1087" spans="2:15" x14ac:dyDescent="0.2">
      <c r="B1087" s="138"/>
      <c r="C1087" s="126"/>
      <c r="D1087" s="138"/>
      <c r="E1087" s="138"/>
      <c r="F1087" s="138"/>
      <c r="G1087" s="138"/>
      <c r="H1087" s="138"/>
      <c r="I1087" s="138"/>
      <c r="J1087" s="138"/>
      <c r="K1087" s="138"/>
      <c r="L1087" s="138"/>
      <c r="M1087" s="138"/>
      <c r="N1087" s="138"/>
      <c r="O1087" s="138"/>
    </row>
    <row r="1088" spans="2:15" x14ac:dyDescent="0.2">
      <c r="B1088" s="138"/>
      <c r="C1088" s="126"/>
      <c r="D1088" s="138"/>
      <c r="E1088" s="138"/>
      <c r="F1088" s="138"/>
      <c r="G1088" s="138"/>
      <c r="H1088" s="138"/>
      <c r="I1088" s="138"/>
      <c r="J1088" s="138"/>
      <c r="K1088" s="138"/>
      <c r="L1088" s="138"/>
      <c r="M1088" s="138"/>
      <c r="N1088" s="138"/>
      <c r="O1088" s="138"/>
    </row>
    <row r="1089" spans="2:15" x14ac:dyDescent="0.2">
      <c r="B1089" s="138"/>
      <c r="C1089" s="126"/>
      <c r="D1089" s="138"/>
      <c r="E1089" s="138"/>
      <c r="F1089" s="138"/>
      <c r="G1089" s="138"/>
      <c r="H1089" s="138"/>
      <c r="I1089" s="138"/>
      <c r="J1089" s="138"/>
      <c r="K1089" s="138"/>
      <c r="L1089" s="138"/>
      <c r="M1089" s="138"/>
      <c r="N1089" s="138"/>
      <c r="O1089" s="138"/>
    </row>
    <row r="1090" spans="2:15" x14ac:dyDescent="0.2">
      <c r="B1090" s="138"/>
      <c r="C1090" s="126"/>
      <c r="D1090" s="138"/>
      <c r="E1090" s="138"/>
      <c r="F1090" s="138"/>
      <c r="G1090" s="138"/>
      <c r="H1090" s="138"/>
      <c r="I1090" s="138"/>
      <c r="J1090" s="138"/>
      <c r="K1090" s="138"/>
      <c r="L1090" s="138"/>
      <c r="M1090" s="138"/>
      <c r="N1090" s="138"/>
      <c r="O1090" s="138"/>
    </row>
    <row r="1091" spans="2:15" x14ac:dyDescent="0.2">
      <c r="B1091" s="138"/>
      <c r="C1091" s="126"/>
      <c r="D1091" s="138"/>
      <c r="E1091" s="138"/>
      <c r="F1091" s="138"/>
      <c r="G1091" s="138"/>
      <c r="H1091" s="138"/>
      <c r="I1091" s="138"/>
      <c r="J1091" s="138"/>
      <c r="K1091" s="138"/>
      <c r="L1091" s="138"/>
      <c r="M1091" s="138"/>
      <c r="N1091" s="138"/>
      <c r="O1091" s="138"/>
    </row>
    <row r="1092" spans="2:15" x14ac:dyDescent="0.2">
      <c r="B1092" s="138"/>
      <c r="C1092" s="126"/>
      <c r="D1092" s="138"/>
      <c r="E1092" s="138"/>
      <c r="F1092" s="138"/>
      <c r="G1092" s="138"/>
      <c r="H1092" s="138"/>
      <c r="I1092" s="138"/>
      <c r="J1092" s="138"/>
      <c r="K1092" s="138"/>
      <c r="L1092" s="138"/>
      <c r="M1092" s="138"/>
      <c r="N1092" s="138"/>
      <c r="O1092" s="138"/>
    </row>
    <row r="1093" spans="2:15" x14ac:dyDescent="0.2">
      <c r="B1093" s="138"/>
      <c r="C1093" s="126"/>
      <c r="D1093" s="138"/>
      <c r="E1093" s="138"/>
      <c r="F1093" s="138"/>
      <c r="G1093" s="138"/>
      <c r="H1093" s="138"/>
      <c r="I1093" s="138"/>
      <c r="J1093" s="138"/>
      <c r="K1093" s="138"/>
      <c r="L1093" s="138"/>
      <c r="M1093" s="138"/>
      <c r="N1093" s="138"/>
      <c r="O1093" s="138"/>
    </row>
    <row r="1094" spans="2:15" x14ac:dyDescent="0.2">
      <c r="B1094" s="138"/>
      <c r="C1094" s="126"/>
      <c r="D1094" s="138"/>
      <c r="E1094" s="138"/>
      <c r="F1094" s="138"/>
      <c r="G1094" s="138"/>
      <c r="H1094" s="138"/>
      <c r="I1094" s="138"/>
      <c r="J1094" s="138"/>
      <c r="K1094" s="138"/>
      <c r="L1094" s="138"/>
      <c r="M1094" s="138"/>
      <c r="N1094" s="138"/>
      <c r="O1094" s="138"/>
    </row>
    <row r="1095" spans="2:15" x14ac:dyDescent="0.2">
      <c r="B1095" s="138"/>
      <c r="C1095" s="126"/>
      <c r="D1095" s="138"/>
      <c r="E1095" s="138"/>
      <c r="F1095" s="138"/>
      <c r="G1095" s="138"/>
      <c r="H1095" s="138"/>
      <c r="I1095" s="138"/>
      <c r="J1095" s="138"/>
      <c r="K1095" s="138"/>
      <c r="L1095" s="138"/>
      <c r="M1095" s="138"/>
      <c r="N1095" s="138"/>
      <c r="O1095" s="138"/>
    </row>
    <row r="1096" spans="2:15" x14ac:dyDescent="0.2">
      <c r="B1096" s="138"/>
      <c r="C1096" s="126"/>
      <c r="D1096" s="138"/>
      <c r="E1096" s="138"/>
      <c r="F1096" s="138"/>
      <c r="G1096" s="138"/>
      <c r="H1096" s="138"/>
      <c r="I1096" s="138"/>
      <c r="J1096" s="138"/>
      <c r="K1096" s="138"/>
      <c r="L1096" s="138"/>
      <c r="M1096" s="138"/>
      <c r="N1096" s="138"/>
      <c r="O1096" s="138"/>
    </row>
    <row r="1097" spans="2:15" x14ac:dyDescent="0.2">
      <c r="B1097" s="138"/>
      <c r="C1097" s="126"/>
      <c r="D1097" s="138"/>
      <c r="E1097" s="138"/>
      <c r="F1097" s="138"/>
      <c r="G1097" s="138"/>
      <c r="H1097" s="138"/>
      <c r="I1097" s="138"/>
      <c r="J1097" s="138"/>
      <c r="K1097" s="138"/>
      <c r="L1097" s="138"/>
      <c r="M1097" s="138"/>
      <c r="N1097" s="138"/>
      <c r="O1097" s="138"/>
    </row>
    <row r="1098" spans="2:15" x14ac:dyDescent="0.2">
      <c r="B1098" s="138"/>
      <c r="C1098" s="126"/>
      <c r="D1098" s="138"/>
      <c r="E1098" s="138"/>
      <c r="F1098" s="138"/>
      <c r="G1098" s="138"/>
      <c r="H1098" s="138"/>
      <c r="I1098" s="138"/>
      <c r="J1098" s="138"/>
      <c r="K1098" s="138"/>
      <c r="L1098" s="138"/>
      <c r="M1098" s="138"/>
      <c r="N1098" s="138"/>
      <c r="O1098" s="138"/>
    </row>
    <row r="1099" spans="2:15" x14ac:dyDescent="0.2">
      <c r="B1099" s="138"/>
      <c r="C1099" s="126"/>
      <c r="D1099" s="138"/>
      <c r="E1099" s="138"/>
      <c r="F1099" s="138"/>
      <c r="G1099" s="138"/>
      <c r="H1099" s="138"/>
      <c r="I1099" s="138"/>
      <c r="J1099" s="138"/>
      <c r="K1099" s="138"/>
      <c r="L1099" s="138"/>
      <c r="M1099" s="138"/>
      <c r="N1099" s="138"/>
      <c r="O1099" s="138"/>
    </row>
    <row r="1100" spans="2:15" x14ac:dyDescent="0.2">
      <c r="B1100" s="138"/>
      <c r="C1100" s="126"/>
      <c r="D1100" s="138"/>
      <c r="E1100" s="138"/>
      <c r="F1100" s="138"/>
      <c r="G1100" s="138"/>
      <c r="H1100" s="138"/>
      <c r="I1100" s="138"/>
      <c r="J1100" s="138"/>
      <c r="K1100" s="138"/>
      <c r="L1100" s="138"/>
      <c r="M1100" s="138"/>
      <c r="N1100" s="138"/>
      <c r="O1100" s="138"/>
    </row>
    <row r="1101" spans="2:15" x14ac:dyDescent="0.2">
      <c r="B1101" s="138"/>
      <c r="C1101" s="126"/>
      <c r="D1101" s="138"/>
      <c r="E1101" s="138"/>
      <c r="F1101" s="138"/>
      <c r="G1101" s="138"/>
      <c r="H1101" s="138"/>
      <c r="I1101" s="138"/>
      <c r="J1101" s="138"/>
      <c r="K1101" s="138"/>
      <c r="L1101" s="138"/>
      <c r="M1101" s="138"/>
      <c r="N1101" s="138"/>
      <c r="O1101" s="138"/>
    </row>
    <row r="1102" spans="2:15" x14ac:dyDescent="0.2">
      <c r="B1102" s="138"/>
      <c r="C1102" s="126"/>
      <c r="D1102" s="138"/>
      <c r="E1102" s="138"/>
      <c r="F1102" s="138"/>
      <c r="G1102" s="138"/>
      <c r="H1102" s="138"/>
      <c r="I1102" s="138"/>
      <c r="J1102" s="138"/>
      <c r="K1102" s="138"/>
      <c r="L1102" s="138"/>
      <c r="M1102" s="138"/>
      <c r="N1102" s="138"/>
      <c r="O1102" s="138"/>
    </row>
    <row r="1103" spans="2:15" x14ac:dyDescent="0.2">
      <c r="B1103" s="138"/>
      <c r="C1103" s="126"/>
      <c r="D1103" s="138"/>
      <c r="E1103" s="138"/>
      <c r="F1103" s="138"/>
      <c r="G1103" s="138"/>
      <c r="H1103" s="138"/>
      <c r="I1103" s="138"/>
      <c r="J1103" s="138"/>
      <c r="K1103" s="138"/>
      <c r="L1103" s="138"/>
      <c r="M1103" s="138"/>
      <c r="N1103" s="138"/>
      <c r="O1103" s="138"/>
    </row>
    <row r="1104" spans="2:15" x14ac:dyDescent="0.2">
      <c r="B1104" s="138"/>
      <c r="C1104" s="126"/>
      <c r="D1104" s="138"/>
      <c r="E1104" s="138"/>
      <c r="F1104" s="138"/>
      <c r="G1104" s="138"/>
      <c r="H1104" s="138"/>
      <c r="I1104" s="138"/>
      <c r="J1104" s="138"/>
      <c r="K1104" s="138"/>
      <c r="L1104" s="138"/>
      <c r="M1104" s="138"/>
      <c r="N1104" s="138"/>
      <c r="O1104" s="138"/>
    </row>
    <row r="1105" spans="2:15" x14ac:dyDescent="0.2">
      <c r="B1105" s="138"/>
      <c r="C1105" s="126"/>
      <c r="D1105" s="138"/>
      <c r="E1105" s="138"/>
      <c r="F1105" s="138"/>
      <c r="G1105" s="138"/>
      <c r="H1105" s="138"/>
      <c r="I1105" s="138"/>
      <c r="J1105" s="138"/>
      <c r="K1105" s="138"/>
      <c r="L1105" s="138"/>
      <c r="M1105" s="138"/>
      <c r="N1105" s="138"/>
      <c r="O1105" s="138"/>
    </row>
    <row r="1106" spans="2:15" x14ac:dyDescent="0.2">
      <c r="B1106" s="138"/>
      <c r="C1106" s="126"/>
      <c r="D1106" s="138"/>
      <c r="E1106" s="138"/>
      <c r="F1106" s="138"/>
      <c r="G1106" s="138"/>
      <c r="H1106" s="138"/>
      <c r="I1106" s="138"/>
      <c r="J1106" s="138"/>
      <c r="K1106" s="138"/>
      <c r="L1106" s="138"/>
      <c r="M1106" s="138"/>
      <c r="N1106" s="138"/>
      <c r="O1106" s="138"/>
    </row>
    <row r="1107" spans="2:15" x14ac:dyDescent="0.2">
      <c r="B1107" s="138"/>
      <c r="C1107" s="126"/>
      <c r="D1107" s="138"/>
      <c r="E1107" s="138"/>
      <c r="F1107" s="138"/>
      <c r="G1107" s="138"/>
      <c r="H1107" s="138"/>
      <c r="I1107" s="138"/>
      <c r="J1107" s="138"/>
      <c r="K1107" s="138"/>
      <c r="L1107" s="138"/>
      <c r="M1107" s="138"/>
      <c r="N1107" s="138"/>
      <c r="O1107" s="138"/>
    </row>
    <row r="1108" spans="2:15" x14ac:dyDescent="0.2">
      <c r="B1108" s="138"/>
      <c r="C1108" s="126"/>
      <c r="D1108" s="138"/>
      <c r="E1108" s="138"/>
      <c r="F1108" s="138"/>
      <c r="G1108" s="138"/>
      <c r="H1108" s="138"/>
      <c r="I1108" s="138"/>
      <c r="J1108" s="138"/>
      <c r="K1108" s="138"/>
      <c r="L1108" s="138"/>
      <c r="M1108" s="138"/>
      <c r="N1108" s="138"/>
      <c r="O1108" s="138"/>
    </row>
    <row r="1109" spans="2:15" x14ac:dyDescent="0.2">
      <c r="B1109" s="138"/>
      <c r="C1109" s="126"/>
      <c r="D1109" s="138"/>
      <c r="E1109" s="138"/>
      <c r="F1109" s="138"/>
      <c r="G1109" s="138"/>
      <c r="H1109" s="138"/>
      <c r="I1109" s="138"/>
      <c r="J1109" s="138"/>
      <c r="K1109" s="138"/>
      <c r="L1109" s="138"/>
      <c r="M1109" s="138"/>
      <c r="N1109" s="138"/>
      <c r="O1109" s="138"/>
    </row>
    <row r="1110" spans="2:15" x14ac:dyDescent="0.2">
      <c r="B1110" s="138"/>
      <c r="C1110" s="126"/>
      <c r="D1110" s="138"/>
      <c r="E1110" s="138"/>
      <c r="F1110" s="138"/>
      <c r="G1110" s="138"/>
      <c r="H1110" s="138"/>
      <c r="I1110" s="138"/>
      <c r="J1110" s="138"/>
      <c r="K1110" s="138"/>
      <c r="L1110" s="138"/>
      <c r="M1110" s="138"/>
      <c r="N1110" s="138"/>
      <c r="O1110" s="138"/>
    </row>
    <row r="1111" spans="2:15" x14ac:dyDescent="0.2">
      <c r="B1111" s="138"/>
      <c r="C1111" s="126"/>
      <c r="D1111" s="138"/>
      <c r="E1111" s="138"/>
      <c r="F1111" s="138"/>
      <c r="G1111" s="138"/>
      <c r="H1111" s="138"/>
      <c r="I1111" s="138"/>
      <c r="J1111" s="138"/>
      <c r="K1111" s="138"/>
      <c r="L1111" s="138"/>
      <c r="M1111" s="138"/>
      <c r="N1111" s="138"/>
      <c r="O1111" s="138"/>
    </row>
    <row r="1112" spans="2:15" x14ac:dyDescent="0.2">
      <c r="B1112" s="138"/>
      <c r="C1112" s="126"/>
      <c r="D1112" s="138"/>
      <c r="E1112" s="138"/>
      <c r="F1112" s="138"/>
      <c r="G1112" s="138"/>
      <c r="H1112" s="138"/>
      <c r="I1112" s="138"/>
      <c r="J1112" s="138"/>
      <c r="K1112" s="138"/>
      <c r="L1112" s="138"/>
      <c r="M1112" s="138"/>
      <c r="N1112" s="138"/>
      <c r="O1112" s="138"/>
    </row>
    <row r="1113" spans="2:15" x14ac:dyDescent="0.2">
      <c r="B1113" s="138"/>
      <c r="C1113" s="126"/>
      <c r="D1113" s="138"/>
      <c r="E1113" s="138"/>
      <c r="F1113" s="138"/>
      <c r="G1113" s="138"/>
      <c r="H1113" s="138"/>
      <c r="I1113" s="138"/>
      <c r="J1113" s="138"/>
      <c r="K1113" s="138"/>
      <c r="L1113" s="138"/>
      <c r="M1113" s="138"/>
      <c r="N1113" s="138"/>
      <c r="O1113" s="138"/>
    </row>
    <row r="1114" spans="2:15" x14ac:dyDescent="0.2">
      <c r="B1114" s="138"/>
      <c r="C1114" s="126"/>
      <c r="D1114" s="138"/>
      <c r="E1114" s="138"/>
      <c r="F1114" s="138"/>
      <c r="G1114" s="138"/>
      <c r="H1114" s="138"/>
      <c r="I1114" s="138"/>
      <c r="J1114" s="138"/>
      <c r="K1114" s="138"/>
      <c r="L1114" s="138"/>
      <c r="M1114" s="138"/>
      <c r="N1114" s="138"/>
      <c r="O1114" s="138"/>
    </row>
    <row r="1115" spans="2:15" x14ac:dyDescent="0.2">
      <c r="B1115" s="138"/>
      <c r="C1115" s="126"/>
      <c r="D1115" s="138"/>
      <c r="E1115" s="138"/>
      <c r="F1115" s="138"/>
      <c r="G1115" s="138"/>
      <c r="H1115" s="138"/>
      <c r="I1115" s="138"/>
      <c r="J1115" s="138"/>
      <c r="K1115" s="138"/>
      <c r="L1115" s="138"/>
      <c r="M1115" s="138"/>
      <c r="N1115" s="138"/>
      <c r="O1115" s="138"/>
    </row>
    <row r="1116" spans="2:15" x14ac:dyDescent="0.2">
      <c r="B1116" s="138"/>
      <c r="C1116" s="126"/>
      <c r="D1116" s="138"/>
      <c r="E1116" s="138"/>
      <c r="F1116" s="138"/>
      <c r="G1116" s="138"/>
      <c r="H1116" s="138"/>
      <c r="I1116" s="138"/>
      <c r="J1116" s="138"/>
      <c r="K1116" s="138"/>
      <c r="L1116" s="138"/>
      <c r="M1116" s="138"/>
      <c r="N1116" s="138"/>
      <c r="O1116" s="138"/>
    </row>
    <row r="1117" spans="2:15" x14ac:dyDescent="0.2">
      <c r="B1117" s="138"/>
      <c r="C1117" s="126"/>
      <c r="D1117" s="138"/>
      <c r="E1117" s="138"/>
      <c r="F1117" s="138"/>
      <c r="G1117" s="138"/>
      <c r="H1117" s="138"/>
      <c r="I1117" s="138"/>
      <c r="J1117" s="138"/>
      <c r="K1117" s="138"/>
      <c r="L1117" s="138"/>
      <c r="M1117" s="138"/>
      <c r="N1117" s="138"/>
      <c r="O1117" s="138"/>
    </row>
    <row r="1118" spans="2:15" x14ac:dyDescent="0.2">
      <c r="B1118" s="138"/>
      <c r="C1118" s="126"/>
      <c r="D1118" s="138"/>
      <c r="E1118" s="138"/>
      <c r="F1118" s="138"/>
      <c r="G1118" s="138"/>
      <c r="H1118" s="138"/>
      <c r="I1118" s="138"/>
      <c r="J1118" s="138"/>
      <c r="K1118" s="138"/>
      <c r="L1118" s="138"/>
      <c r="M1118" s="138"/>
      <c r="N1118" s="138"/>
      <c r="O1118" s="138"/>
    </row>
    <row r="1119" spans="2:15" x14ac:dyDescent="0.2">
      <c r="B1119" s="138"/>
      <c r="C1119" s="126"/>
      <c r="D1119" s="138"/>
      <c r="E1119" s="138"/>
      <c r="F1119" s="138"/>
      <c r="G1119" s="138"/>
      <c r="H1119" s="138"/>
      <c r="I1119" s="138"/>
      <c r="J1119" s="138"/>
      <c r="K1119" s="138"/>
      <c r="L1119" s="138"/>
      <c r="M1119" s="138"/>
      <c r="N1119" s="138"/>
      <c r="O1119" s="138"/>
    </row>
    <row r="1120" spans="2:15" x14ac:dyDescent="0.2">
      <c r="B1120" s="138"/>
      <c r="C1120" s="126"/>
      <c r="D1120" s="138"/>
      <c r="E1120" s="138"/>
      <c r="F1120" s="138"/>
      <c r="G1120" s="138"/>
      <c r="H1120" s="138"/>
      <c r="I1120" s="138"/>
      <c r="J1120" s="138"/>
      <c r="K1120" s="138"/>
      <c r="L1120" s="138"/>
      <c r="M1120" s="138"/>
      <c r="N1120" s="138"/>
      <c r="O1120" s="138"/>
    </row>
    <row r="1121" spans="2:15" x14ac:dyDescent="0.2">
      <c r="B1121" s="138"/>
      <c r="C1121" s="126"/>
      <c r="D1121" s="138"/>
      <c r="E1121" s="138"/>
      <c r="F1121" s="138"/>
      <c r="G1121" s="138"/>
      <c r="H1121" s="138"/>
      <c r="I1121" s="138"/>
      <c r="J1121" s="138"/>
      <c r="K1121" s="138"/>
      <c r="L1121" s="138"/>
      <c r="M1121" s="138"/>
      <c r="N1121" s="138"/>
      <c r="O1121" s="138"/>
    </row>
    <row r="1122" spans="2:15" x14ac:dyDescent="0.2">
      <c r="B1122" s="138"/>
      <c r="C1122" s="126"/>
      <c r="D1122" s="138"/>
      <c r="E1122" s="138"/>
      <c r="F1122" s="138"/>
      <c r="G1122" s="138"/>
      <c r="H1122" s="138"/>
      <c r="I1122" s="138"/>
      <c r="J1122" s="138"/>
      <c r="K1122" s="138"/>
      <c r="L1122" s="138"/>
      <c r="M1122" s="138"/>
      <c r="N1122" s="138"/>
      <c r="O1122" s="138"/>
    </row>
    <row r="1123" spans="2:15" x14ac:dyDescent="0.2">
      <c r="B1123" s="138"/>
      <c r="C1123" s="126"/>
      <c r="D1123" s="138"/>
      <c r="E1123" s="138"/>
      <c r="F1123" s="138"/>
      <c r="G1123" s="138"/>
      <c r="H1123" s="138"/>
      <c r="I1123" s="138"/>
      <c r="J1123" s="138"/>
      <c r="K1123" s="138"/>
      <c r="L1123" s="138"/>
      <c r="M1123" s="138"/>
      <c r="N1123" s="138"/>
      <c r="O1123" s="138"/>
    </row>
    <row r="1124" spans="2:15" x14ac:dyDescent="0.2">
      <c r="B1124" s="138"/>
      <c r="C1124" s="126"/>
      <c r="D1124" s="138"/>
      <c r="E1124" s="138"/>
      <c r="F1124" s="138"/>
      <c r="G1124" s="138"/>
      <c r="H1124" s="138"/>
      <c r="I1124" s="138"/>
      <c r="J1124" s="138"/>
      <c r="K1124" s="138"/>
      <c r="L1124" s="138"/>
      <c r="M1124" s="138"/>
      <c r="N1124" s="138"/>
      <c r="O1124" s="138"/>
    </row>
    <row r="1125" spans="2:15" x14ac:dyDescent="0.2">
      <c r="B1125" s="138"/>
      <c r="C1125" s="126"/>
      <c r="D1125" s="138"/>
      <c r="E1125" s="138"/>
      <c r="F1125" s="138"/>
      <c r="G1125" s="138"/>
      <c r="H1125" s="138"/>
      <c r="I1125" s="138"/>
      <c r="J1125" s="138"/>
      <c r="K1125" s="138"/>
      <c r="L1125" s="138"/>
      <c r="M1125" s="138"/>
      <c r="N1125" s="138"/>
      <c r="O1125" s="138"/>
    </row>
    <row r="1126" spans="2:15" x14ac:dyDescent="0.2">
      <c r="B1126" s="138"/>
      <c r="C1126" s="126"/>
      <c r="D1126" s="138"/>
      <c r="E1126" s="138"/>
      <c r="F1126" s="138"/>
      <c r="G1126" s="138"/>
      <c r="H1126" s="138"/>
      <c r="I1126" s="138"/>
      <c r="J1126" s="138"/>
      <c r="K1126" s="138"/>
      <c r="L1126" s="138"/>
      <c r="M1126" s="138"/>
      <c r="N1126" s="138"/>
      <c r="O1126" s="138"/>
    </row>
    <row r="1127" spans="2:15" x14ac:dyDescent="0.2">
      <c r="B1127" s="138"/>
      <c r="C1127" s="126"/>
      <c r="D1127" s="138"/>
      <c r="E1127" s="138"/>
      <c r="F1127" s="138"/>
      <c r="G1127" s="138"/>
      <c r="H1127" s="138"/>
      <c r="I1127" s="138"/>
      <c r="J1127" s="138"/>
      <c r="K1127" s="138"/>
      <c r="L1127" s="138"/>
      <c r="M1127" s="138"/>
      <c r="N1127" s="138"/>
      <c r="O1127" s="138"/>
    </row>
    <row r="1128" spans="2:15" x14ac:dyDescent="0.2">
      <c r="B1128" s="138"/>
      <c r="C1128" s="126"/>
      <c r="D1128" s="138"/>
      <c r="E1128" s="138"/>
      <c r="F1128" s="138"/>
      <c r="G1128" s="138"/>
      <c r="H1128" s="138"/>
      <c r="I1128" s="138"/>
      <c r="J1128" s="138"/>
      <c r="K1128" s="138"/>
      <c r="L1128" s="138"/>
      <c r="M1128" s="138"/>
      <c r="N1128" s="138"/>
      <c r="O1128" s="138"/>
    </row>
    <row r="1129" spans="2:15" x14ac:dyDescent="0.2">
      <c r="B1129" s="138"/>
      <c r="C1129" s="126"/>
      <c r="D1129" s="138"/>
      <c r="E1129" s="138"/>
      <c r="F1129" s="138"/>
      <c r="G1129" s="138"/>
      <c r="H1129" s="138"/>
      <c r="I1129" s="138"/>
      <c r="J1129" s="138"/>
      <c r="K1129" s="138"/>
      <c r="L1129" s="138"/>
      <c r="M1129" s="138"/>
      <c r="N1129" s="138"/>
      <c r="O1129" s="138"/>
    </row>
    <row r="1130" spans="2:15" x14ac:dyDescent="0.2">
      <c r="B1130" s="138"/>
      <c r="C1130" s="126"/>
      <c r="D1130" s="138"/>
      <c r="E1130" s="138"/>
      <c r="F1130" s="138"/>
      <c r="G1130" s="138"/>
      <c r="H1130" s="138"/>
      <c r="I1130" s="138"/>
      <c r="J1130" s="138"/>
      <c r="K1130" s="138"/>
      <c r="L1130" s="138"/>
      <c r="M1130" s="138"/>
      <c r="N1130" s="138"/>
      <c r="O1130" s="138"/>
    </row>
    <row r="1131" spans="2:15" x14ac:dyDescent="0.2">
      <c r="B1131" s="138"/>
      <c r="C1131" s="126"/>
      <c r="D1131" s="138"/>
      <c r="E1131" s="138"/>
      <c r="F1131" s="138"/>
      <c r="G1131" s="138"/>
      <c r="H1131" s="138"/>
      <c r="I1131" s="138"/>
      <c r="J1131" s="138"/>
      <c r="K1131" s="138"/>
      <c r="L1131" s="138"/>
      <c r="M1131" s="138"/>
      <c r="N1131" s="138"/>
      <c r="O1131" s="138"/>
    </row>
    <row r="1132" spans="2:15" x14ac:dyDescent="0.2">
      <c r="B1132" s="138"/>
      <c r="C1132" s="126"/>
      <c r="D1132" s="138"/>
      <c r="E1132" s="138"/>
      <c r="F1132" s="138"/>
      <c r="G1132" s="138"/>
      <c r="H1132" s="138"/>
      <c r="I1132" s="138"/>
      <c r="J1132" s="138"/>
      <c r="K1132" s="138"/>
      <c r="L1132" s="138"/>
      <c r="M1132" s="138"/>
      <c r="N1132" s="138"/>
      <c r="O1132" s="138"/>
    </row>
    <row r="1133" spans="2:15" x14ac:dyDescent="0.2">
      <c r="B1133" s="138"/>
      <c r="C1133" s="126"/>
      <c r="D1133" s="138"/>
      <c r="E1133" s="138"/>
      <c r="F1133" s="138"/>
      <c r="G1133" s="138"/>
      <c r="H1133" s="138"/>
      <c r="I1133" s="138"/>
      <c r="J1133" s="138"/>
      <c r="K1133" s="138"/>
      <c r="L1133" s="138"/>
      <c r="M1133" s="138"/>
      <c r="N1133" s="138"/>
      <c r="O1133" s="138"/>
    </row>
    <row r="1134" spans="2:15" x14ac:dyDescent="0.2">
      <c r="B1134" s="138"/>
      <c r="C1134" s="126"/>
      <c r="D1134" s="138"/>
      <c r="E1134" s="138"/>
      <c r="F1134" s="138"/>
      <c r="G1134" s="138"/>
      <c r="H1134" s="138"/>
      <c r="I1134" s="138"/>
      <c r="J1134" s="138"/>
      <c r="K1134" s="138"/>
      <c r="L1134" s="138"/>
      <c r="M1134" s="138"/>
      <c r="N1134" s="138"/>
      <c r="O1134" s="138"/>
    </row>
    <row r="1135" spans="2:15" x14ac:dyDescent="0.2">
      <c r="B1135" s="138"/>
      <c r="C1135" s="126"/>
      <c r="D1135" s="138"/>
      <c r="E1135" s="138"/>
      <c r="F1135" s="138"/>
      <c r="G1135" s="138"/>
      <c r="H1135" s="138"/>
      <c r="I1135" s="138"/>
      <c r="J1135" s="138"/>
      <c r="K1135" s="138"/>
      <c r="L1135" s="138"/>
      <c r="M1135" s="138"/>
      <c r="N1135" s="138"/>
      <c r="O1135" s="138"/>
    </row>
    <row r="1136" spans="2:15" x14ac:dyDescent="0.2">
      <c r="B1136" s="138"/>
      <c r="C1136" s="126"/>
      <c r="D1136" s="138"/>
      <c r="E1136" s="138"/>
      <c r="F1136" s="138"/>
      <c r="G1136" s="138"/>
      <c r="H1136" s="138"/>
      <c r="I1136" s="138"/>
      <c r="J1136" s="138"/>
      <c r="K1136" s="138"/>
      <c r="L1136" s="138"/>
      <c r="M1136" s="138"/>
      <c r="N1136" s="138"/>
      <c r="O1136" s="138"/>
    </row>
    <row r="1137" spans="2:15" x14ac:dyDescent="0.2">
      <c r="B1137" s="138"/>
      <c r="C1137" s="126"/>
      <c r="D1137" s="138"/>
      <c r="E1137" s="138"/>
      <c r="F1137" s="138"/>
      <c r="G1137" s="138"/>
      <c r="H1137" s="138"/>
      <c r="I1137" s="138"/>
      <c r="J1137" s="138"/>
      <c r="K1137" s="138"/>
      <c r="L1137" s="138"/>
      <c r="M1137" s="138"/>
      <c r="N1137" s="138"/>
      <c r="O1137" s="138"/>
    </row>
    <row r="1138" spans="2:15" x14ac:dyDescent="0.2">
      <c r="B1138" s="138"/>
      <c r="C1138" s="126"/>
      <c r="D1138" s="138"/>
      <c r="E1138" s="138"/>
      <c r="F1138" s="138"/>
      <c r="G1138" s="138"/>
      <c r="H1138" s="138"/>
      <c r="I1138" s="138"/>
      <c r="J1138" s="138"/>
      <c r="K1138" s="138"/>
      <c r="L1138" s="138"/>
      <c r="M1138" s="138"/>
      <c r="N1138" s="138"/>
      <c r="O1138" s="138"/>
    </row>
    <row r="1139" spans="2:15" x14ac:dyDescent="0.2">
      <c r="B1139" s="138"/>
      <c r="C1139" s="126"/>
      <c r="D1139" s="138"/>
      <c r="E1139" s="138"/>
      <c r="F1139" s="138"/>
      <c r="G1139" s="138"/>
      <c r="H1139" s="138"/>
      <c r="I1139" s="138"/>
      <c r="J1139" s="138"/>
      <c r="K1139" s="138"/>
      <c r="L1139" s="138"/>
      <c r="M1139" s="138"/>
      <c r="N1139" s="138"/>
      <c r="O1139" s="138"/>
    </row>
    <row r="1140" spans="2:15" x14ac:dyDescent="0.2">
      <c r="B1140" s="138"/>
      <c r="C1140" s="126"/>
      <c r="D1140" s="138"/>
      <c r="E1140" s="138"/>
      <c r="F1140" s="138"/>
      <c r="G1140" s="138"/>
      <c r="H1140" s="138"/>
      <c r="I1140" s="138"/>
      <c r="J1140" s="138"/>
      <c r="K1140" s="138"/>
      <c r="L1140" s="138"/>
      <c r="M1140" s="138"/>
      <c r="N1140" s="138"/>
      <c r="O1140" s="138"/>
    </row>
    <row r="1141" spans="2:15" x14ac:dyDescent="0.2">
      <c r="B1141" s="138"/>
      <c r="C1141" s="126"/>
      <c r="D1141" s="138"/>
      <c r="E1141" s="138"/>
      <c r="F1141" s="138"/>
      <c r="G1141" s="138"/>
      <c r="H1141" s="138"/>
      <c r="I1141" s="138"/>
      <c r="J1141" s="138"/>
      <c r="K1141" s="138"/>
      <c r="L1141" s="138"/>
      <c r="M1141" s="138"/>
      <c r="N1141" s="138"/>
      <c r="O1141" s="138"/>
    </row>
    <row r="1142" spans="2:15" x14ac:dyDescent="0.2">
      <c r="B1142" s="138"/>
      <c r="C1142" s="126"/>
      <c r="D1142" s="138"/>
      <c r="E1142" s="138"/>
      <c r="F1142" s="138"/>
      <c r="G1142" s="138"/>
      <c r="H1142" s="138"/>
      <c r="I1142" s="138"/>
      <c r="J1142" s="138"/>
      <c r="K1142" s="138"/>
      <c r="L1142" s="138"/>
      <c r="M1142" s="138"/>
      <c r="N1142" s="138"/>
      <c r="O1142" s="138"/>
    </row>
    <row r="1143" spans="2:15" x14ac:dyDescent="0.2">
      <c r="B1143" s="138"/>
      <c r="C1143" s="126"/>
      <c r="D1143" s="138"/>
      <c r="E1143" s="138"/>
      <c r="F1143" s="138"/>
      <c r="G1143" s="138"/>
      <c r="H1143" s="138"/>
      <c r="I1143" s="138"/>
      <c r="J1143" s="138"/>
      <c r="K1143" s="138"/>
      <c r="L1143" s="138"/>
      <c r="M1143" s="138"/>
      <c r="N1143" s="138"/>
      <c r="O1143" s="138"/>
    </row>
    <row r="1144" spans="2:15" x14ac:dyDescent="0.2">
      <c r="B1144" s="138"/>
      <c r="C1144" s="126"/>
      <c r="D1144" s="138"/>
      <c r="E1144" s="138"/>
      <c r="F1144" s="138"/>
      <c r="G1144" s="138"/>
      <c r="H1144" s="138"/>
      <c r="I1144" s="138"/>
      <c r="J1144" s="138"/>
      <c r="K1144" s="138"/>
      <c r="L1144" s="138"/>
      <c r="M1144" s="138"/>
      <c r="N1144" s="138"/>
      <c r="O1144" s="138"/>
    </row>
    <row r="1145" spans="2:15" x14ac:dyDescent="0.2">
      <c r="B1145" s="138"/>
      <c r="C1145" s="126"/>
      <c r="D1145" s="138"/>
      <c r="E1145" s="138"/>
      <c r="F1145" s="138"/>
      <c r="G1145" s="138"/>
      <c r="H1145" s="138"/>
      <c r="I1145" s="138"/>
      <c r="J1145" s="138"/>
      <c r="K1145" s="138"/>
      <c r="L1145" s="138"/>
      <c r="M1145" s="138"/>
      <c r="N1145" s="138"/>
      <c r="O1145" s="138"/>
    </row>
    <row r="1146" spans="2:15" x14ac:dyDescent="0.2">
      <c r="B1146" s="138"/>
      <c r="C1146" s="126"/>
      <c r="D1146" s="138"/>
      <c r="E1146" s="138"/>
      <c r="F1146" s="138"/>
      <c r="G1146" s="138"/>
      <c r="H1146" s="138"/>
      <c r="I1146" s="138"/>
      <c r="J1146" s="138"/>
      <c r="K1146" s="138"/>
      <c r="L1146" s="138"/>
      <c r="M1146" s="138"/>
      <c r="N1146" s="138"/>
      <c r="O1146" s="138"/>
    </row>
    <row r="1147" spans="2:15" x14ac:dyDescent="0.2">
      <c r="B1147" s="138"/>
      <c r="C1147" s="126"/>
      <c r="D1147" s="138"/>
      <c r="E1147" s="138"/>
      <c r="F1147" s="138"/>
      <c r="G1147" s="138"/>
      <c r="H1147" s="138"/>
      <c r="I1147" s="138"/>
      <c r="J1147" s="138"/>
      <c r="K1147" s="138"/>
      <c r="L1147" s="138"/>
      <c r="M1147" s="138"/>
      <c r="N1147" s="138"/>
      <c r="O1147" s="138"/>
    </row>
    <row r="1148" spans="2:15" x14ac:dyDescent="0.2">
      <c r="B1148" s="138"/>
      <c r="C1148" s="126"/>
      <c r="D1148" s="138"/>
      <c r="E1148" s="138"/>
      <c r="F1148" s="138"/>
      <c r="G1148" s="138"/>
      <c r="H1148" s="138"/>
      <c r="I1148" s="138"/>
      <c r="J1148" s="138"/>
      <c r="K1148" s="138"/>
      <c r="L1148" s="138"/>
      <c r="M1148" s="138"/>
      <c r="N1148" s="138"/>
      <c r="O1148" s="138"/>
    </row>
    <row r="1149" spans="2:15" x14ac:dyDescent="0.2">
      <c r="B1149" s="138"/>
      <c r="C1149" s="126"/>
      <c r="D1149" s="138"/>
      <c r="E1149" s="138"/>
      <c r="F1149" s="138"/>
      <c r="G1149" s="138"/>
      <c r="H1149" s="138"/>
      <c r="I1149" s="138"/>
      <c r="J1149" s="138"/>
      <c r="K1149" s="138"/>
      <c r="L1149" s="138"/>
      <c r="M1149" s="138"/>
      <c r="N1149" s="138"/>
      <c r="O1149" s="138"/>
    </row>
    <row r="1150" spans="2:15" x14ac:dyDescent="0.2">
      <c r="B1150" s="138"/>
      <c r="C1150" s="126"/>
      <c r="D1150" s="138"/>
      <c r="E1150" s="138"/>
      <c r="F1150" s="138"/>
      <c r="G1150" s="138"/>
      <c r="H1150" s="138"/>
      <c r="I1150" s="138"/>
      <c r="J1150" s="138"/>
      <c r="K1150" s="138"/>
      <c r="L1150" s="138"/>
      <c r="M1150" s="138"/>
      <c r="N1150" s="138"/>
      <c r="O1150" s="138"/>
    </row>
    <row r="1151" spans="2:15" x14ac:dyDescent="0.2">
      <c r="B1151" s="138"/>
      <c r="C1151" s="126"/>
      <c r="D1151" s="138"/>
      <c r="E1151" s="138"/>
      <c r="F1151" s="138"/>
      <c r="G1151" s="138"/>
      <c r="H1151" s="138"/>
      <c r="I1151" s="138"/>
      <c r="J1151" s="138"/>
      <c r="K1151" s="138"/>
      <c r="L1151" s="138"/>
      <c r="M1151" s="138"/>
      <c r="N1151" s="138"/>
      <c r="O1151" s="138"/>
    </row>
    <row r="1152" spans="2:15" x14ac:dyDescent="0.2">
      <c r="B1152" s="138"/>
      <c r="C1152" s="126"/>
      <c r="D1152" s="138"/>
      <c r="E1152" s="138"/>
      <c r="F1152" s="138"/>
      <c r="G1152" s="138"/>
      <c r="H1152" s="138"/>
      <c r="I1152" s="138"/>
      <c r="J1152" s="138"/>
      <c r="K1152" s="138"/>
      <c r="L1152" s="138"/>
      <c r="M1152" s="138"/>
      <c r="N1152" s="138"/>
      <c r="O1152" s="138"/>
    </row>
    <row r="1153" spans="2:15" x14ac:dyDescent="0.2">
      <c r="B1153" s="138"/>
      <c r="C1153" s="126"/>
      <c r="D1153" s="138"/>
      <c r="E1153" s="138"/>
      <c r="F1153" s="138"/>
      <c r="G1153" s="138"/>
      <c r="H1153" s="138"/>
      <c r="I1153" s="138"/>
      <c r="J1153" s="138"/>
      <c r="K1153" s="138"/>
      <c r="L1153" s="138"/>
      <c r="M1153" s="138"/>
      <c r="N1153" s="138"/>
      <c r="O1153" s="138"/>
    </row>
    <row r="1154" spans="2:15" x14ac:dyDescent="0.2">
      <c r="B1154" s="138"/>
      <c r="C1154" s="126"/>
      <c r="D1154" s="138"/>
      <c r="E1154" s="138"/>
      <c r="F1154" s="138"/>
      <c r="G1154" s="138"/>
      <c r="H1154" s="138"/>
      <c r="I1154" s="138"/>
      <c r="J1154" s="138"/>
      <c r="K1154" s="138"/>
      <c r="L1154" s="138"/>
      <c r="M1154" s="138"/>
      <c r="N1154" s="138"/>
      <c r="O1154" s="138"/>
    </row>
    <row r="1155" spans="2:15" x14ac:dyDescent="0.2">
      <c r="B1155" s="138"/>
      <c r="C1155" s="126"/>
      <c r="D1155" s="138"/>
      <c r="E1155" s="138"/>
      <c r="F1155" s="138"/>
      <c r="G1155" s="138"/>
      <c r="H1155" s="138"/>
      <c r="I1155" s="138"/>
      <c r="J1155" s="138"/>
      <c r="K1155" s="138"/>
      <c r="L1155" s="138"/>
      <c r="M1155" s="138"/>
      <c r="N1155" s="138"/>
      <c r="O1155" s="138"/>
    </row>
    <row r="1156" spans="2:15" x14ac:dyDescent="0.2">
      <c r="B1156" s="138"/>
      <c r="C1156" s="126"/>
      <c r="D1156" s="138"/>
      <c r="E1156" s="138"/>
      <c r="F1156" s="138"/>
      <c r="G1156" s="138"/>
      <c r="H1156" s="138"/>
      <c r="I1156" s="138"/>
      <c r="J1156" s="138"/>
      <c r="K1156" s="138"/>
      <c r="L1156" s="138"/>
      <c r="M1156" s="138"/>
      <c r="N1156" s="138"/>
      <c r="O1156" s="138"/>
    </row>
    <row r="1157" spans="2:15" x14ac:dyDescent="0.2">
      <c r="B1157" s="138"/>
      <c r="C1157" s="126"/>
      <c r="D1157" s="138"/>
      <c r="E1157" s="138"/>
      <c r="F1157" s="138"/>
      <c r="G1157" s="138"/>
      <c r="H1157" s="138"/>
      <c r="I1157" s="138"/>
      <c r="J1157" s="138"/>
      <c r="K1157" s="138"/>
      <c r="L1157" s="138"/>
      <c r="M1157" s="138"/>
      <c r="N1157" s="138"/>
      <c r="O1157" s="138"/>
    </row>
    <row r="1158" spans="2:15" x14ac:dyDescent="0.2">
      <c r="B1158" s="138"/>
      <c r="C1158" s="126"/>
      <c r="D1158" s="138"/>
      <c r="E1158" s="138"/>
      <c r="F1158" s="138"/>
      <c r="G1158" s="138"/>
      <c r="H1158" s="138"/>
      <c r="I1158" s="138"/>
      <c r="J1158" s="138"/>
      <c r="K1158" s="138"/>
      <c r="L1158" s="138"/>
      <c r="M1158" s="138"/>
      <c r="N1158" s="138"/>
      <c r="O1158" s="138"/>
    </row>
    <row r="1159" spans="2:15" x14ac:dyDescent="0.2">
      <c r="B1159" s="138"/>
      <c r="C1159" s="126"/>
      <c r="D1159" s="138"/>
      <c r="E1159" s="138"/>
      <c r="F1159" s="138"/>
      <c r="G1159" s="138"/>
      <c r="H1159" s="138"/>
      <c r="I1159" s="138"/>
      <c r="J1159" s="138"/>
      <c r="K1159" s="138"/>
      <c r="L1159" s="138"/>
      <c r="M1159" s="138"/>
      <c r="N1159" s="138"/>
      <c r="O1159" s="138"/>
    </row>
    <row r="1160" spans="2:15" x14ac:dyDescent="0.2">
      <c r="B1160" s="138"/>
      <c r="C1160" s="126"/>
      <c r="D1160" s="138"/>
      <c r="E1160" s="138"/>
      <c r="F1160" s="138"/>
      <c r="G1160" s="138"/>
      <c r="H1160" s="138"/>
      <c r="I1160" s="138"/>
      <c r="J1160" s="138"/>
      <c r="K1160" s="138"/>
      <c r="L1160" s="138"/>
      <c r="M1160" s="138"/>
      <c r="N1160" s="138"/>
      <c r="O1160" s="138"/>
    </row>
    <row r="1161" spans="2:15" x14ac:dyDescent="0.2">
      <c r="B1161" s="138"/>
      <c r="C1161" s="126"/>
      <c r="D1161" s="138"/>
      <c r="E1161" s="138"/>
      <c r="F1161" s="138"/>
      <c r="G1161" s="138"/>
      <c r="H1161" s="138"/>
      <c r="I1161" s="138"/>
      <c r="J1161" s="138"/>
      <c r="K1161" s="138"/>
      <c r="L1161" s="138"/>
      <c r="M1161" s="138"/>
      <c r="N1161" s="138"/>
      <c r="O1161" s="138"/>
    </row>
    <row r="1162" spans="2:15" x14ac:dyDescent="0.2">
      <c r="B1162" s="138"/>
      <c r="C1162" s="126"/>
      <c r="D1162" s="138"/>
      <c r="E1162" s="138"/>
      <c r="F1162" s="138"/>
      <c r="G1162" s="138"/>
      <c r="H1162" s="138"/>
      <c r="I1162" s="138"/>
      <c r="J1162" s="138"/>
      <c r="K1162" s="138"/>
      <c r="L1162" s="138"/>
      <c r="M1162" s="138"/>
      <c r="N1162" s="138"/>
      <c r="O1162" s="138"/>
    </row>
    <row r="1163" spans="2:15" x14ac:dyDescent="0.2">
      <c r="B1163" s="138"/>
      <c r="C1163" s="126"/>
      <c r="D1163" s="138"/>
      <c r="E1163" s="138"/>
      <c r="F1163" s="138"/>
      <c r="G1163" s="138"/>
      <c r="H1163" s="138"/>
      <c r="I1163" s="138"/>
      <c r="J1163" s="138"/>
      <c r="K1163" s="138"/>
      <c r="L1163" s="138"/>
      <c r="M1163" s="138"/>
      <c r="N1163" s="138"/>
      <c r="O1163" s="138"/>
    </row>
    <row r="1164" spans="2:15" x14ac:dyDescent="0.2">
      <c r="B1164" s="138"/>
      <c r="C1164" s="126"/>
      <c r="D1164" s="138"/>
      <c r="E1164" s="138"/>
      <c r="F1164" s="138"/>
      <c r="G1164" s="138"/>
      <c r="H1164" s="138"/>
      <c r="I1164" s="138"/>
      <c r="J1164" s="138"/>
      <c r="K1164" s="138"/>
      <c r="L1164" s="138"/>
      <c r="M1164" s="138"/>
      <c r="N1164" s="138"/>
      <c r="O1164" s="138"/>
    </row>
    <row r="1165" spans="2:15" x14ac:dyDescent="0.2">
      <c r="B1165" s="138"/>
      <c r="C1165" s="126"/>
      <c r="D1165" s="138"/>
      <c r="E1165" s="138"/>
      <c r="F1165" s="138"/>
      <c r="G1165" s="138"/>
      <c r="H1165" s="138"/>
      <c r="I1165" s="138"/>
      <c r="J1165" s="138"/>
      <c r="K1165" s="138"/>
      <c r="L1165" s="138"/>
      <c r="M1165" s="138"/>
      <c r="N1165" s="138"/>
      <c r="O1165" s="138"/>
    </row>
    <row r="1166" spans="2:15" x14ac:dyDescent="0.2">
      <c r="B1166" s="138"/>
      <c r="C1166" s="126"/>
      <c r="D1166" s="138"/>
      <c r="E1166" s="138"/>
      <c r="F1166" s="138"/>
      <c r="G1166" s="138"/>
      <c r="H1166" s="138"/>
      <c r="I1166" s="138"/>
      <c r="J1166" s="138"/>
      <c r="K1166" s="138"/>
      <c r="L1166" s="138"/>
      <c r="M1166" s="138"/>
      <c r="N1166" s="138"/>
      <c r="O1166" s="138"/>
    </row>
    <row r="1167" spans="2:15" x14ac:dyDescent="0.2">
      <c r="B1167" s="138"/>
      <c r="C1167" s="126"/>
      <c r="D1167" s="138"/>
      <c r="E1167" s="138"/>
      <c r="F1167" s="138"/>
      <c r="G1167" s="138"/>
      <c r="H1167" s="138"/>
      <c r="I1167" s="138"/>
      <c r="J1167" s="138"/>
      <c r="K1167" s="138"/>
      <c r="L1167" s="138"/>
      <c r="M1167" s="138"/>
      <c r="N1167" s="138"/>
      <c r="O1167" s="138"/>
    </row>
    <row r="1168" spans="2:15" x14ac:dyDescent="0.2">
      <c r="B1168" s="138"/>
      <c r="C1168" s="126"/>
      <c r="D1168" s="138"/>
      <c r="E1168" s="138"/>
      <c r="F1168" s="138"/>
      <c r="G1168" s="138"/>
      <c r="H1168" s="138"/>
      <c r="I1168" s="138"/>
      <c r="J1168" s="138"/>
      <c r="K1168" s="138"/>
      <c r="L1168" s="138"/>
      <c r="M1168" s="138"/>
      <c r="N1168" s="138"/>
      <c r="O1168" s="138"/>
    </row>
    <row r="1169" spans="2:15" x14ac:dyDescent="0.2">
      <c r="B1169" s="138"/>
      <c r="C1169" s="126"/>
      <c r="D1169" s="138"/>
      <c r="E1169" s="138"/>
      <c r="F1169" s="138"/>
      <c r="G1169" s="138"/>
      <c r="H1169" s="138"/>
      <c r="I1169" s="138"/>
      <c r="J1169" s="138"/>
      <c r="K1169" s="138"/>
      <c r="L1169" s="138"/>
      <c r="M1169" s="138"/>
      <c r="N1169" s="138"/>
      <c r="O1169" s="138"/>
    </row>
    <row r="1170" spans="2:15" x14ac:dyDescent="0.2">
      <c r="B1170" s="138"/>
      <c r="C1170" s="126"/>
      <c r="D1170" s="138"/>
      <c r="E1170" s="138"/>
      <c r="F1170" s="138"/>
      <c r="G1170" s="138"/>
      <c r="H1170" s="138"/>
      <c r="I1170" s="138"/>
      <c r="J1170" s="138"/>
      <c r="K1170" s="138"/>
      <c r="L1170" s="138"/>
      <c r="M1170" s="138"/>
      <c r="N1170" s="138"/>
      <c r="O1170" s="138"/>
    </row>
    <row r="1171" spans="2:15" x14ac:dyDescent="0.2">
      <c r="B1171" s="138"/>
      <c r="C1171" s="126"/>
      <c r="D1171" s="138"/>
      <c r="E1171" s="138"/>
      <c r="F1171" s="138"/>
      <c r="G1171" s="138"/>
      <c r="H1171" s="138"/>
      <c r="I1171" s="138"/>
      <c r="J1171" s="138"/>
      <c r="K1171" s="138"/>
      <c r="L1171" s="138"/>
      <c r="M1171" s="138"/>
      <c r="N1171" s="138"/>
      <c r="O1171" s="138"/>
    </row>
    <row r="1172" spans="2:15" x14ac:dyDescent="0.2">
      <c r="B1172" s="138"/>
      <c r="C1172" s="126"/>
      <c r="D1172" s="138"/>
      <c r="E1172" s="138"/>
      <c r="F1172" s="138"/>
      <c r="G1172" s="138"/>
      <c r="H1172" s="138"/>
      <c r="I1172" s="138"/>
      <c r="J1172" s="138"/>
      <c r="K1172" s="138"/>
      <c r="L1172" s="138"/>
      <c r="M1172" s="138"/>
      <c r="N1172" s="138"/>
      <c r="O1172" s="138"/>
    </row>
    <row r="1173" spans="2:15" x14ac:dyDescent="0.2">
      <c r="B1173" s="138"/>
      <c r="C1173" s="126"/>
      <c r="D1173" s="138"/>
      <c r="E1173" s="138"/>
      <c r="F1173" s="138"/>
      <c r="G1173" s="138"/>
      <c r="H1173" s="138"/>
      <c r="I1173" s="138"/>
      <c r="J1173" s="138"/>
      <c r="K1173" s="138"/>
      <c r="L1173" s="138"/>
      <c r="M1173" s="138"/>
      <c r="N1173" s="138"/>
      <c r="O1173" s="138"/>
    </row>
    <row r="1174" spans="2:15" x14ac:dyDescent="0.2">
      <c r="B1174" s="138"/>
      <c r="C1174" s="126"/>
      <c r="D1174" s="138"/>
      <c r="E1174" s="138"/>
      <c r="F1174" s="138"/>
      <c r="G1174" s="138"/>
      <c r="H1174" s="138"/>
      <c r="I1174" s="138"/>
      <c r="J1174" s="138"/>
      <c r="K1174" s="138"/>
      <c r="L1174" s="138"/>
      <c r="M1174" s="138"/>
      <c r="N1174" s="138"/>
      <c r="O1174" s="138"/>
    </row>
    <row r="1175" spans="2:15" x14ac:dyDescent="0.2">
      <c r="B1175" s="138"/>
      <c r="C1175" s="126"/>
      <c r="D1175" s="138"/>
      <c r="E1175" s="138"/>
      <c r="F1175" s="138"/>
      <c r="G1175" s="138"/>
      <c r="H1175" s="138"/>
      <c r="I1175" s="138"/>
      <c r="J1175" s="138"/>
      <c r="K1175" s="138"/>
      <c r="L1175" s="138"/>
      <c r="M1175" s="138"/>
      <c r="N1175" s="138"/>
      <c r="O1175" s="138"/>
    </row>
    <row r="1176" spans="2:15" x14ac:dyDescent="0.2">
      <c r="B1176" s="138"/>
      <c r="C1176" s="126"/>
      <c r="D1176" s="138"/>
      <c r="E1176" s="138"/>
      <c r="F1176" s="138"/>
      <c r="G1176" s="138"/>
      <c r="H1176" s="138"/>
      <c r="I1176" s="138"/>
      <c r="J1176" s="138"/>
      <c r="K1176" s="138"/>
      <c r="L1176" s="138"/>
      <c r="M1176" s="138"/>
      <c r="N1176" s="138"/>
      <c r="O1176" s="138"/>
    </row>
    <row r="1177" spans="2:15" x14ac:dyDescent="0.2">
      <c r="B1177" s="138"/>
      <c r="C1177" s="126"/>
      <c r="D1177" s="138"/>
      <c r="E1177" s="138"/>
      <c r="F1177" s="138"/>
      <c r="G1177" s="138"/>
      <c r="H1177" s="138"/>
      <c r="I1177" s="138"/>
      <c r="J1177" s="138"/>
      <c r="K1177" s="138"/>
      <c r="L1177" s="138"/>
      <c r="M1177" s="138"/>
      <c r="N1177" s="138"/>
      <c r="O1177" s="138"/>
    </row>
    <row r="1178" spans="2:15" x14ac:dyDescent="0.2">
      <c r="B1178" s="138"/>
      <c r="C1178" s="126"/>
      <c r="D1178" s="138"/>
      <c r="E1178" s="138"/>
      <c r="F1178" s="138"/>
      <c r="G1178" s="138"/>
      <c r="H1178" s="138"/>
      <c r="I1178" s="138"/>
      <c r="J1178" s="138"/>
      <c r="K1178" s="138"/>
      <c r="L1178" s="138"/>
      <c r="M1178" s="138"/>
      <c r="N1178" s="138"/>
      <c r="O1178" s="138"/>
    </row>
    <row r="1179" spans="2:15" x14ac:dyDescent="0.2">
      <c r="B1179" s="138"/>
      <c r="C1179" s="126"/>
      <c r="D1179" s="138"/>
      <c r="E1179" s="138"/>
      <c r="F1179" s="138"/>
      <c r="G1179" s="138"/>
      <c r="H1179" s="138"/>
      <c r="I1179" s="138"/>
      <c r="J1179" s="138"/>
      <c r="K1179" s="138"/>
      <c r="L1179" s="138"/>
      <c r="M1179" s="138"/>
      <c r="N1179" s="138"/>
      <c r="O1179" s="138"/>
    </row>
    <row r="1180" spans="2:15" x14ac:dyDescent="0.2">
      <c r="B1180" s="138"/>
      <c r="C1180" s="126"/>
      <c r="D1180" s="138"/>
      <c r="E1180" s="138"/>
      <c r="F1180" s="138"/>
      <c r="G1180" s="138"/>
      <c r="H1180" s="138"/>
      <c r="I1180" s="138"/>
      <c r="J1180" s="138"/>
      <c r="K1180" s="138"/>
      <c r="L1180" s="138"/>
      <c r="M1180" s="138"/>
      <c r="N1180" s="138"/>
      <c r="O1180" s="138"/>
    </row>
    <row r="1181" spans="2:15" x14ac:dyDescent="0.2">
      <c r="B1181" s="138"/>
      <c r="C1181" s="126"/>
      <c r="D1181" s="138"/>
      <c r="E1181" s="138"/>
      <c r="F1181" s="138"/>
      <c r="G1181" s="138"/>
      <c r="H1181" s="138"/>
      <c r="I1181" s="138"/>
      <c r="J1181" s="138"/>
      <c r="K1181" s="138"/>
      <c r="L1181" s="138"/>
      <c r="M1181" s="138"/>
      <c r="N1181" s="138"/>
      <c r="O1181" s="138"/>
    </row>
    <row r="1182" spans="2:15" x14ac:dyDescent="0.2">
      <c r="B1182" s="138"/>
      <c r="C1182" s="126"/>
      <c r="D1182" s="138"/>
      <c r="E1182" s="138"/>
      <c r="F1182" s="138"/>
      <c r="G1182" s="138"/>
      <c r="H1182" s="138"/>
      <c r="I1182" s="138"/>
      <c r="J1182" s="138"/>
      <c r="K1182" s="138"/>
      <c r="L1182" s="138"/>
      <c r="M1182" s="138"/>
      <c r="N1182" s="138"/>
      <c r="O1182" s="138"/>
    </row>
    <row r="1183" spans="2:15" x14ac:dyDescent="0.2">
      <c r="B1183" s="138"/>
      <c r="C1183" s="126"/>
      <c r="D1183" s="138"/>
      <c r="E1183" s="138"/>
      <c r="F1183" s="138"/>
      <c r="G1183" s="138"/>
      <c r="H1183" s="138"/>
      <c r="I1183" s="138"/>
      <c r="J1183" s="138"/>
      <c r="K1183" s="138"/>
      <c r="L1183" s="138"/>
      <c r="M1183" s="138"/>
      <c r="N1183" s="138"/>
      <c r="O1183" s="138"/>
    </row>
    <row r="1184" spans="2:15" x14ac:dyDescent="0.2">
      <c r="B1184" s="138"/>
      <c r="C1184" s="126"/>
      <c r="D1184" s="138"/>
      <c r="E1184" s="138"/>
      <c r="F1184" s="138"/>
      <c r="G1184" s="138"/>
      <c r="H1184" s="138"/>
      <c r="I1184" s="138"/>
      <c r="J1184" s="138"/>
      <c r="K1184" s="138"/>
      <c r="L1184" s="138"/>
      <c r="M1184" s="138"/>
      <c r="N1184" s="138"/>
      <c r="O1184" s="138"/>
    </row>
    <row r="1185" spans="2:15" x14ac:dyDescent="0.2">
      <c r="B1185" s="138"/>
      <c r="C1185" s="126"/>
      <c r="D1185" s="138"/>
      <c r="E1185" s="138"/>
      <c r="F1185" s="138"/>
      <c r="G1185" s="138"/>
      <c r="H1185" s="138"/>
      <c r="I1185" s="138"/>
      <c r="J1185" s="138"/>
      <c r="K1185" s="138"/>
      <c r="L1185" s="138"/>
      <c r="M1185" s="138"/>
      <c r="N1185" s="138"/>
      <c r="O1185" s="138"/>
    </row>
    <row r="1186" spans="2:15" x14ac:dyDescent="0.2">
      <c r="B1186" s="138"/>
      <c r="C1186" s="126"/>
      <c r="D1186" s="138"/>
      <c r="E1186" s="138"/>
      <c r="F1186" s="138"/>
      <c r="G1186" s="138"/>
      <c r="H1186" s="138"/>
      <c r="I1186" s="138"/>
      <c r="J1186" s="138"/>
      <c r="K1186" s="138"/>
      <c r="L1186" s="138"/>
      <c r="M1186" s="138"/>
      <c r="N1186" s="138"/>
      <c r="O1186" s="138"/>
    </row>
    <row r="1187" spans="2:15" x14ac:dyDescent="0.2">
      <c r="B1187" s="138"/>
      <c r="C1187" s="126"/>
      <c r="D1187" s="138"/>
      <c r="E1187" s="138"/>
      <c r="F1187" s="138"/>
      <c r="G1187" s="138"/>
      <c r="H1187" s="138"/>
      <c r="I1187" s="138"/>
      <c r="J1187" s="138"/>
      <c r="K1187" s="138"/>
      <c r="L1187" s="138"/>
      <c r="M1187" s="138"/>
      <c r="N1187" s="138"/>
      <c r="O1187" s="138"/>
    </row>
    <row r="1188" spans="2:15" x14ac:dyDescent="0.2">
      <c r="B1188" s="138"/>
      <c r="C1188" s="126"/>
      <c r="D1188" s="138"/>
      <c r="E1188" s="138"/>
      <c r="F1188" s="138"/>
      <c r="G1188" s="138"/>
      <c r="H1188" s="138"/>
      <c r="I1188" s="138"/>
      <c r="J1188" s="138"/>
      <c r="K1188" s="138"/>
      <c r="L1188" s="138"/>
      <c r="M1188" s="138"/>
      <c r="N1188" s="138"/>
      <c r="O1188" s="138"/>
    </row>
    <row r="1189" spans="2:15" x14ac:dyDescent="0.2">
      <c r="B1189" s="138"/>
      <c r="C1189" s="126"/>
      <c r="D1189" s="138"/>
      <c r="E1189" s="138"/>
      <c r="F1189" s="138"/>
      <c r="G1189" s="138"/>
      <c r="H1189" s="138"/>
      <c r="I1189" s="138"/>
      <c r="J1189" s="138"/>
      <c r="K1189" s="138"/>
      <c r="L1189" s="138"/>
      <c r="M1189" s="138"/>
      <c r="N1189" s="138"/>
      <c r="O1189" s="138"/>
    </row>
    <row r="1190" spans="2:15" x14ac:dyDescent="0.2">
      <c r="B1190" s="138"/>
      <c r="C1190" s="126"/>
      <c r="D1190" s="138"/>
      <c r="E1190" s="138"/>
      <c r="F1190" s="138"/>
      <c r="G1190" s="138"/>
      <c r="H1190" s="138"/>
      <c r="I1190" s="138"/>
      <c r="J1190" s="138"/>
      <c r="K1190" s="138"/>
      <c r="L1190" s="138"/>
      <c r="M1190" s="138"/>
      <c r="N1190" s="138"/>
      <c r="O1190" s="138"/>
    </row>
    <row r="1191" spans="2:15" x14ac:dyDescent="0.2">
      <c r="B1191" s="138"/>
      <c r="C1191" s="126"/>
      <c r="D1191" s="138"/>
      <c r="E1191" s="138"/>
      <c r="F1191" s="138"/>
      <c r="G1191" s="138"/>
      <c r="H1191" s="138"/>
      <c r="I1191" s="138"/>
      <c r="J1191" s="138"/>
      <c r="K1191" s="138"/>
      <c r="L1191" s="138"/>
      <c r="M1191" s="138"/>
      <c r="N1191" s="138"/>
      <c r="O1191" s="138"/>
    </row>
    <row r="1192" spans="2:15" x14ac:dyDescent="0.2">
      <c r="B1192" s="138"/>
      <c r="C1192" s="126"/>
      <c r="D1192" s="138"/>
      <c r="E1192" s="138"/>
      <c r="F1192" s="138"/>
      <c r="G1192" s="138"/>
      <c r="H1192" s="138"/>
      <c r="I1192" s="138"/>
      <c r="J1192" s="138"/>
      <c r="K1192" s="138"/>
      <c r="L1192" s="138"/>
      <c r="M1192" s="138"/>
      <c r="N1192" s="138"/>
      <c r="O1192" s="138"/>
    </row>
    <row r="1193" spans="2:15" x14ac:dyDescent="0.2">
      <c r="B1193" s="138"/>
      <c r="C1193" s="126"/>
      <c r="D1193" s="138"/>
      <c r="E1193" s="138"/>
      <c r="F1193" s="138"/>
      <c r="G1193" s="138"/>
      <c r="H1193" s="138"/>
      <c r="I1193" s="138"/>
      <c r="J1193" s="138"/>
      <c r="K1193" s="138"/>
      <c r="L1193" s="138"/>
      <c r="M1193" s="138"/>
      <c r="N1193" s="138"/>
      <c r="O1193" s="138"/>
    </row>
    <row r="1194" spans="2:15" x14ac:dyDescent="0.2">
      <c r="B1194" s="138"/>
      <c r="C1194" s="126"/>
      <c r="D1194" s="138"/>
      <c r="E1194" s="138"/>
      <c r="F1194" s="138"/>
      <c r="G1194" s="138"/>
      <c r="H1194" s="138"/>
      <c r="I1194" s="138"/>
      <c r="J1194" s="138"/>
      <c r="K1194" s="138"/>
      <c r="L1194" s="138"/>
      <c r="M1194" s="138"/>
      <c r="N1194" s="138"/>
      <c r="O1194" s="138"/>
    </row>
    <row r="1195" spans="2:15" x14ac:dyDescent="0.2">
      <c r="B1195" s="138"/>
      <c r="C1195" s="126"/>
      <c r="D1195" s="138"/>
      <c r="E1195" s="138"/>
      <c r="F1195" s="138"/>
      <c r="G1195" s="138"/>
      <c r="H1195" s="138"/>
      <c r="I1195" s="138"/>
      <c r="J1195" s="138"/>
      <c r="K1195" s="138"/>
      <c r="L1195" s="138"/>
      <c r="M1195" s="138"/>
      <c r="N1195" s="138"/>
      <c r="O1195" s="138"/>
    </row>
    <row r="1196" spans="2:15" x14ac:dyDescent="0.2">
      <c r="B1196" s="138"/>
      <c r="C1196" s="126"/>
      <c r="D1196" s="138"/>
      <c r="E1196" s="138"/>
      <c r="F1196" s="138"/>
      <c r="G1196" s="138"/>
      <c r="H1196" s="138"/>
      <c r="I1196" s="138"/>
      <c r="J1196" s="138"/>
      <c r="K1196" s="138"/>
      <c r="L1196" s="138"/>
      <c r="M1196" s="138"/>
      <c r="N1196" s="138"/>
      <c r="O1196" s="138"/>
    </row>
    <row r="1197" spans="2:15" x14ac:dyDescent="0.2">
      <c r="B1197" s="138"/>
      <c r="C1197" s="126"/>
      <c r="D1197" s="138"/>
      <c r="E1197" s="138"/>
      <c r="F1197" s="138"/>
      <c r="G1197" s="138"/>
      <c r="H1197" s="138"/>
      <c r="I1197" s="138"/>
      <c r="J1197" s="138"/>
      <c r="K1197" s="138"/>
      <c r="L1197" s="138"/>
      <c r="M1197" s="138"/>
      <c r="N1197" s="138"/>
      <c r="O1197" s="138"/>
    </row>
    <row r="1198" spans="2:15" x14ac:dyDescent="0.2">
      <c r="B1198" s="138"/>
      <c r="C1198" s="126"/>
      <c r="D1198" s="138"/>
      <c r="E1198" s="138"/>
      <c r="F1198" s="138"/>
      <c r="G1198" s="138"/>
      <c r="H1198" s="138"/>
      <c r="I1198" s="138"/>
      <c r="J1198" s="138"/>
      <c r="K1198" s="138"/>
      <c r="L1198" s="138"/>
      <c r="M1198" s="138"/>
      <c r="N1198" s="138"/>
      <c r="O1198" s="138"/>
    </row>
    <row r="1199" spans="2:15" x14ac:dyDescent="0.2">
      <c r="B1199" s="138"/>
      <c r="C1199" s="126"/>
      <c r="D1199" s="138"/>
      <c r="E1199" s="138"/>
      <c r="F1199" s="138"/>
      <c r="G1199" s="138"/>
      <c r="H1199" s="138"/>
      <c r="I1199" s="138"/>
      <c r="J1199" s="138"/>
      <c r="K1199" s="138"/>
      <c r="L1199" s="138"/>
      <c r="M1199" s="138"/>
      <c r="N1199" s="138"/>
      <c r="O1199" s="138"/>
    </row>
    <row r="1200" spans="2:15" x14ac:dyDescent="0.2">
      <c r="B1200" s="138"/>
      <c r="C1200" s="126"/>
      <c r="D1200" s="138"/>
      <c r="E1200" s="138"/>
      <c r="F1200" s="138"/>
      <c r="G1200" s="138"/>
      <c r="H1200" s="138"/>
      <c r="I1200" s="138"/>
      <c r="J1200" s="138"/>
      <c r="K1200" s="138"/>
      <c r="L1200" s="138"/>
      <c r="M1200" s="138"/>
      <c r="N1200" s="138"/>
      <c r="O1200" s="138"/>
    </row>
    <row r="1201" spans="2:15" x14ac:dyDescent="0.2">
      <c r="B1201" s="138"/>
      <c r="C1201" s="126"/>
      <c r="D1201" s="138"/>
      <c r="E1201" s="138"/>
      <c r="F1201" s="138"/>
      <c r="G1201" s="138"/>
      <c r="H1201" s="138"/>
      <c r="I1201" s="138"/>
      <c r="J1201" s="138"/>
      <c r="K1201" s="138"/>
      <c r="L1201" s="138"/>
      <c r="M1201" s="138"/>
      <c r="N1201" s="138"/>
      <c r="O1201" s="138"/>
    </row>
    <row r="1202" spans="2:15" x14ac:dyDescent="0.2">
      <c r="B1202" s="138"/>
      <c r="C1202" s="126"/>
      <c r="D1202" s="138"/>
      <c r="E1202" s="138"/>
      <c r="F1202" s="138"/>
      <c r="G1202" s="138"/>
      <c r="H1202" s="138"/>
      <c r="I1202" s="138"/>
      <c r="J1202" s="138"/>
      <c r="K1202" s="138"/>
      <c r="L1202" s="138"/>
      <c r="M1202" s="138"/>
      <c r="N1202" s="138"/>
      <c r="O1202" s="138"/>
    </row>
    <row r="1203" spans="2:15" x14ac:dyDescent="0.2">
      <c r="B1203" s="138"/>
      <c r="C1203" s="126"/>
      <c r="D1203" s="138"/>
      <c r="E1203" s="138"/>
      <c r="F1203" s="138"/>
      <c r="G1203" s="138"/>
      <c r="H1203" s="138"/>
      <c r="I1203" s="138"/>
      <c r="J1203" s="138"/>
      <c r="K1203" s="138"/>
      <c r="L1203" s="138"/>
      <c r="M1203" s="138"/>
      <c r="N1203" s="138"/>
      <c r="O1203" s="138"/>
    </row>
    <row r="1204" spans="2:15" x14ac:dyDescent="0.2">
      <c r="B1204" s="138"/>
      <c r="C1204" s="126"/>
      <c r="D1204" s="138"/>
      <c r="E1204" s="138"/>
      <c r="F1204" s="138"/>
      <c r="G1204" s="138"/>
      <c r="H1204" s="138"/>
      <c r="I1204" s="138"/>
      <c r="J1204" s="138"/>
      <c r="K1204" s="138"/>
      <c r="L1204" s="138"/>
      <c r="M1204" s="138"/>
      <c r="N1204" s="138"/>
      <c r="O1204" s="138"/>
    </row>
    <row r="1205" spans="2:15" x14ac:dyDescent="0.2">
      <c r="B1205" s="138"/>
      <c r="C1205" s="126"/>
      <c r="D1205" s="138"/>
      <c r="E1205" s="138"/>
      <c r="F1205" s="138"/>
      <c r="G1205" s="138"/>
      <c r="H1205" s="138"/>
      <c r="I1205" s="138"/>
      <c r="J1205" s="138"/>
      <c r="K1205" s="138"/>
      <c r="L1205" s="138"/>
      <c r="M1205" s="138"/>
      <c r="N1205" s="138"/>
      <c r="O1205" s="138"/>
    </row>
    <row r="1206" spans="2:15" x14ac:dyDescent="0.2">
      <c r="B1206" s="138"/>
      <c r="C1206" s="126"/>
      <c r="D1206" s="138"/>
      <c r="E1206" s="138"/>
      <c r="F1206" s="138"/>
      <c r="G1206" s="138"/>
      <c r="H1206" s="138"/>
      <c r="I1206" s="138"/>
      <c r="J1206" s="138"/>
      <c r="K1206" s="138"/>
      <c r="L1206" s="138"/>
      <c r="M1206" s="138"/>
      <c r="N1206" s="138"/>
      <c r="O1206" s="138"/>
    </row>
    <row r="1207" spans="2:15" x14ac:dyDescent="0.2">
      <c r="B1207" s="138"/>
      <c r="C1207" s="126"/>
      <c r="D1207" s="138"/>
      <c r="E1207" s="138"/>
      <c r="F1207" s="138"/>
      <c r="G1207" s="138"/>
      <c r="H1207" s="138"/>
      <c r="I1207" s="138"/>
      <c r="J1207" s="138"/>
      <c r="K1207" s="138"/>
      <c r="L1207" s="138"/>
      <c r="M1207" s="138"/>
      <c r="N1207" s="138"/>
      <c r="O1207" s="138"/>
    </row>
    <row r="1208" spans="2:15" x14ac:dyDescent="0.2">
      <c r="B1208" s="138"/>
      <c r="C1208" s="126"/>
      <c r="D1208" s="138"/>
      <c r="E1208" s="138"/>
      <c r="F1208" s="138"/>
      <c r="G1208" s="138"/>
      <c r="H1208" s="138"/>
      <c r="I1208" s="138"/>
      <c r="J1208" s="138"/>
      <c r="K1208" s="138"/>
      <c r="L1208" s="138"/>
      <c r="M1208" s="138"/>
      <c r="N1208" s="138"/>
      <c r="O1208" s="138"/>
    </row>
    <row r="1209" spans="2:15" x14ac:dyDescent="0.2">
      <c r="B1209" s="138"/>
      <c r="C1209" s="126"/>
      <c r="D1209" s="138"/>
      <c r="E1209" s="138"/>
      <c r="F1209" s="138"/>
      <c r="G1209" s="138"/>
      <c r="H1209" s="138"/>
      <c r="I1209" s="138"/>
      <c r="J1209" s="138"/>
      <c r="K1209" s="138"/>
      <c r="L1209" s="138"/>
      <c r="M1209" s="138"/>
      <c r="N1209" s="138"/>
      <c r="O1209" s="138"/>
    </row>
    <row r="1210" spans="2:15" x14ac:dyDescent="0.2">
      <c r="B1210" s="138"/>
      <c r="C1210" s="126"/>
      <c r="D1210" s="138"/>
      <c r="E1210" s="138"/>
      <c r="F1210" s="138"/>
      <c r="G1210" s="138"/>
      <c r="H1210" s="138"/>
      <c r="I1210" s="138"/>
      <c r="J1210" s="138"/>
      <c r="K1210" s="138"/>
      <c r="L1210" s="138"/>
      <c r="M1210" s="138"/>
      <c r="N1210" s="138"/>
      <c r="O1210" s="138"/>
    </row>
    <row r="1211" spans="2:15" x14ac:dyDescent="0.2">
      <c r="B1211" s="138"/>
      <c r="C1211" s="126"/>
      <c r="D1211" s="138"/>
      <c r="E1211" s="138"/>
      <c r="F1211" s="138"/>
      <c r="G1211" s="138"/>
      <c r="H1211" s="138"/>
      <c r="I1211" s="138"/>
      <c r="J1211" s="138"/>
      <c r="K1211" s="138"/>
      <c r="L1211" s="138"/>
      <c r="M1211" s="138"/>
      <c r="N1211" s="138"/>
      <c r="O1211" s="138"/>
    </row>
    <row r="1212" spans="2:15" x14ac:dyDescent="0.2">
      <c r="B1212" s="138"/>
      <c r="C1212" s="126"/>
      <c r="D1212" s="138"/>
      <c r="E1212" s="138"/>
      <c r="F1212" s="138"/>
      <c r="G1212" s="138"/>
      <c r="H1212" s="138"/>
      <c r="I1212" s="138"/>
      <c r="J1212" s="138"/>
      <c r="K1212" s="138"/>
      <c r="L1212" s="138"/>
      <c r="M1212" s="138"/>
      <c r="N1212" s="138"/>
      <c r="O1212" s="138"/>
    </row>
    <row r="1213" spans="2:15" x14ac:dyDescent="0.2">
      <c r="B1213" s="138"/>
      <c r="C1213" s="126"/>
      <c r="D1213" s="138"/>
      <c r="E1213" s="138"/>
      <c r="F1213" s="138"/>
      <c r="G1213" s="138"/>
      <c r="H1213" s="138"/>
      <c r="I1213" s="138"/>
      <c r="J1213" s="138"/>
      <c r="K1213" s="138"/>
      <c r="L1213" s="138"/>
      <c r="M1213" s="138"/>
      <c r="N1213" s="138"/>
      <c r="O1213" s="138"/>
    </row>
    <row r="1214" spans="2:15" x14ac:dyDescent="0.2">
      <c r="B1214" s="138"/>
      <c r="C1214" s="126"/>
      <c r="D1214" s="138"/>
      <c r="E1214" s="138"/>
      <c r="F1214" s="138"/>
      <c r="G1214" s="138"/>
      <c r="H1214" s="138"/>
      <c r="I1214" s="138"/>
      <c r="J1214" s="138"/>
      <c r="K1214" s="138"/>
      <c r="L1214" s="138"/>
      <c r="M1214" s="138"/>
      <c r="N1214" s="138"/>
      <c r="O1214" s="138"/>
    </row>
    <row r="1215" spans="2:15" x14ac:dyDescent="0.2">
      <c r="B1215" s="138"/>
      <c r="C1215" s="126"/>
      <c r="D1215" s="138"/>
      <c r="E1215" s="138"/>
      <c r="F1215" s="138"/>
      <c r="G1215" s="138"/>
      <c r="H1215" s="138"/>
      <c r="I1215" s="138"/>
      <c r="J1215" s="138"/>
      <c r="K1215" s="138"/>
      <c r="L1215" s="138"/>
      <c r="M1215" s="138"/>
      <c r="N1215" s="138"/>
      <c r="O1215" s="138"/>
    </row>
    <row r="1216" spans="2:15" x14ac:dyDescent="0.2">
      <c r="B1216" s="138"/>
      <c r="C1216" s="126"/>
      <c r="D1216" s="138"/>
      <c r="E1216" s="138"/>
      <c r="F1216" s="138"/>
      <c r="G1216" s="138"/>
      <c r="H1216" s="138"/>
      <c r="I1216" s="138"/>
      <c r="J1216" s="138"/>
      <c r="K1216" s="138"/>
      <c r="L1216" s="138"/>
      <c r="M1216" s="138"/>
      <c r="N1216" s="138"/>
      <c r="O1216" s="138"/>
    </row>
    <row r="1217" spans="2:15" x14ac:dyDescent="0.2">
      <c r="B1217" s="138"/>
      <c r="C1217" s="126"/>
      <c r="D1217" s="138"/>
      <c r="E1217" s="138"/>
      <c r="F1217" s="138"/>
      <c r="G1217" s="138"/>
      <c r="H1217" s="138"/>
      <c r="I1217" s="138"/>
      <c r="J1217" s="138"/>
      <c r="K1217" s="138"/>
      <c r="L1217" s="138"/>
      <c r="M1217" s="138"/>
      <c r="N1217" s="138"/>
      <c r="O1217" s="138"/>
    </row>
    <row r="1218" spans="2:15" x14ac:dyDescent="0.2">
      <c r="B1218" s="138"/>
      <c r="C1218" s="126"/>
      <c r="D1218" s="138"/>
      <c r="E1218" s="138"/>
      <c r="F1218" s="138"/>
      <c r="G1218" s="138"/>
      <c r="H1218" s="138"/>
      <c r="I1218" s="138"/>
      <c r="J1218" s="138"/>
      <c r="K1218" s="138"/>
      <c r="L1218" s="138"/>
      <c r="M1218" s="138"/>
      <c r="N1218" s="138"/>
      <c r="O1218" s="138"/>
    </row>
    <row r="1219" spans="2:15" x14ac:dyDescent="0.2">
      <c r="B1219" s="138"/>
      <c r="C1219" s="126"/>
      <c r="D1219" s="138"/>
      <c r="E1219" s="138"/>
      <c r="F1219" s="138"/>
      <c r="G1219" s="138"/>
      <c r="H1219" s="138"/>
      <c r="I1219" s="138"/>
      <c r="J1219" s="138"/>
      <c r="K1219" s="138"/>
      <c r="L1219" s="138"/>
      <c r="M1219" s="138"/>
      <c r="N1219" s="138"/>
      <c r="O1219" s="138"/>
    </row>
    <row r="1220" spans="2:15" x14ac:dyDescent="0.2">
      <c r="B1220" s="138"/>
      <c r="C1220" s="126"/>
      <c r="D1220" s="138"/>
      <c r="E1220" s="138"/>
      <c r="F1220" s="138"/>
      <c r="G1220" s="138"/>
      <c r="H1220" s="138"/>
      <c r="I1220" s="138"/>
      <c r="J1220" s="138"/>
      <c r="K1220" s="138"/>
      <c r="L1220" s="138"/>
      <c r="M1220" s="138"/>
      <c r="N1220" s="138"/>
      <c r="O1220" s="138"/>
    </row>
    <row r="1221" spans="2:15" x14ac:dyDescent="0.2">
      <c r="B1221" s="138"/>
      <c r="C1221" s="126"/>
      <c r="D1221" s="138"/>
      <c r="E1221" s="138"/>
      <c r="F1221" s="138"/>
      <c r="G1221" s="138"/>
      <c r="H1221" s="138"/>
      <c r="I1221" s="138"/>
      <c r="J1221" s="138"/>
      <c r="K1221" s="138"/>
      <c r="L1221" s="138"/>
      <c r="M1221" s="138"/>
      <c r="N1221" s="138"/>
      <c r="O1221" s="138"/>
    </row>
    <row r="1222" spans="2:15" x14ac:dyDescent="0.2">
      <c r="B1222" s="138"/>
      <c r="C1222" s="126"/>
      <c r="D1222" s="138"/>
      <c r="E1222" s="138"/>
      <c r="F1222" s="138"/>
      <c r="G1222" s="138"/>
      <c r="H1222" s="138"/>
      <c r="I1222" s="138"/>
      <c r="J1222" s="138"/>
      <c r="K1222" s="138"/>
      <c r="L1222" s="138"/>
      <c r="M1222" s="138"/>
      <c r="N1222" s="138"/>
      <c r="O1222" s="138"/>
    </row>
    <row r="1223" spans="2:15" x14ac:dyDescent="0.2">
      <c r="B1223" s="138"/>
      <c r="C1223" s="126"/>
      <c r="D1223" s="138"/>
      <c r="E1223" s="138"/>
      <c r="F1223" s="138"/>
      <c r="G1223" s="138"/>
      <c r="H1223" s="138"/>
      <c r="I1223" s="138"/>
      <c r="J1223" s="138"/>
      <c r="K1223" s="138"/>
      <c r="L1223" s="138"/>
      <c r="M1223" s="138"/>
      <c r="N1223" s="138"/>
      <c r="O1223" s="138"/>
    </row>
    <row r="1224" spans="2:15" x14ac:dyDescent="0.2">
      <c r="B1224" s="138"/>
      <c r="C1224" s="126"/>
      <c r="D1224" s="138"/>
      <c r="E1224" s="138"/>
      <c r="F1224" s="138"/>
      <c r="G1224" s="138"/>
      <c r="H1224" s="138"/>
      <c r="I1224" s="138"/>
      <c r="J1224" s="138"/>
      <c r="K1224" s="138"/>
      <c r="L1224" s="138"/>
      <c r="M1224" s="138"/>
      <c r="N1224" s="138"/>
      <c r="O1224" s="138"/>
    </row>
    <row r="1225" spans="2:15" x14ac:dyDescent="0.2">
      <c r="B1225" s="138"/>
      <c r="C1225" s="126"/>
      <c r="D1225" s="138"/>
      <c r="E1225" s="138"/>
      <c r="F1225" s="138"/>
      <c r="G1225" s="138"/>
      <c r="H1225" s="138"/>
      <c r="I1225" s="138"/>
      <c r="J1225" s="138"/>
      <c r="K1225" s="138"/>
      <c r="L1225" s="138"/>
      <c r="M1225" s="138"/>
      <c r="N1225" s="138"/>
      <c r="O1225" s="138"/>
    </row>
    <row r="1226" spans="2:15" x14ac:dyDescent="0.2">
      <c r="B1226" s="138"/>
      <c r="C1226" s="126"/>
      <c r="D1226" s="138"/>
      <c r="E1226" s="138"/>
      <c r="F1226" s="138"/>
      <c r="G1226" s="138"/>
      <c r="H1226" s="138"/>
      <c r="I1226" s="138"/>
      <c r="J1226" s="138"/>
      <c r="K1226" s="138"/>
      <c r="L1226" s="138"/>
      <c r="M1226" s="138"/>
      <c r="N1226" s="138"/>
      <c r="O1226" s="138"/>
    </row>
    <row r="1227" spans="2:15" x14ac:dyDescent="0.2">
      <c r="B1227" s="138"/>
      <c r="C1227" s="126"/>
      <c r="D1227" s="138"/>
      <c r="E1227" s="138"/>
      <c r="F1227" s="138"/>
      <c r="G1227" s="138"/>
      <c r="H1227" s="138"/>
      <c r="I1227" s="138"/>
      <c r="J1227" s="138"/>
      <c r="K1227" s="138"/>
      <c r="L1227" s="138"/>
      <c r="M1227" s="138"/>
      <c r="N1227" s="138"/>
      <c r="O1227" s="138"/>
    </row>
    <row r="1228" spans="2:15" x14ac:dyDescent="0.2">
      <c r="B1228" s="138"/>
      <c r="C1228" s="126"/>
      <c r="D1228" s="138"/>
      <c r="E1228" s="138"/>
      <c r="F1228" s="138"/>
      <c r="G1228" s="138"/>
      <c r="H1228" s="138"/>
      <c r="I1228" s="138"/>
      <c r="J1228" s="138"/>
      <c r="K1228" s="138"/>
      <c r="L1228" s="138"/>
      <c r="M1228" s="138"/>
      <c r="N1228" s="138"/>
      <c r="O1228" s="138"/>
    </row>
    <row r="1229" spans="2:15" x14ac:dyDescent="0.2">
      <c r="B1229" s="138"/>
      <c r="C1229" s="126"/>
      <c r="D1229" s="138"/>
      <c r="E1229" s="138"/>
      <c r="F1229" s="138"/>
      <c r="G1229" s="138"/>
      <c r="H1229" s="138"/>
      <c r="I1229" s="138"/>
      <c r="J1229" s="138"/>
      <c r="K1229" s="138"/>
      <c r="L1229" s="138"/>
      <c r="M1229" s="138"/>
      <c r="N1229" s="138"/>
      <c r="O1229" s="138"/>
    </row>
    <row r="1230" spans="2:15" x14ac:dyDescent="0.2">
      <c r="B1230" s="138"/>
      <c r="C1230" s="126"/>
      <c r="D1230" s="138"/>
      <c r="E1230" s="138"/>
      <c r="F1230" s="138"/>
      <c r="G1230" s="138"/>
      <c r="H1230" s="138"/>
      <c r="I1230" s="138"/>
      <c r="J1230" s="138"/>
      <c r="K1230" s="138"/>
      <c r="L1230" s="138"/>
      <c r="M1230" s="138"/>
      <c r="N1230" s="138"/>
      <c r="O1230" s="138"/>
    </row>
    <row r="1231" spans="2:15" x14ac:dyDescent="0.2">
      <c r="B1231" s="138"/>
      <c r="C1231" s="126"/>
      <c r="D1231" s="138"/>
      <c r="E1231" s="138"/>
      <c r="F1231" s="138"/>
      <c r="G1231" s="138"/>
      <c r="H1231" s="138"/>
      <c r="I1231" s="138"/>
      <c r="J1231" s="138"/>
      <c r="K1231" s="138"/>
      <c r="L1231" s="138"/>
      <c r="M1231" s="138"/>
      <c r="N1231" s="138"/>
      <c r="O1231" s="138"/>
    </row>
    <row r="1232" spans="2:15" x14ac:dyDescent="0.2">
      <c r="B1232" s="138"/>
      <c r="C1232" s="126"/>
      <c r="D1232" s="138"/>
      <c r="E1232" s="138"/>
      <c r="F1232" s="138"/>
      <c r="G1232" s="138"/>
      <c r="H1232" s="138"/>
      <c r="I1232" s="138"/>
      <c r="J1232" s="138"/>
      <c r="K1232" s="138"/>
      <c r="L1232" s="138"/>
      <c r="M1232" s="138"/>
      <c r="N1232" s="138"/>
      <c r="O1232" s="138"/>
    </row>
    <row r="1233" spans="2:15" x14ac:dyDescent="0.2">
      <c r="B1233" s="138"/>
      <c r="C1233" s="126"/>
      <c r="D1233" s="138"/>
      <c r="E1233" s="138"/>
      <c r="F1233" s="138"/>
      <c r="G1233" s="138"/>
      <c r="H1233" s="138"/>
      <c r="I1233" s="138"/>
      <c r="J1233" s="138"/>
      <c r="K1233" s="138"/>
      <c r="L1233" s="138"/>
      <c r="M1233" s="138"/>
      <c r="N1233" s="138"/>
      <c r="O1233" s="138"/>
    </row>
    <row r="1234" spans="2:15" x14ac:dyDescent="0.2">
      <c r="B1234" s="138"/>
      <c r="C1234" s="126"/>
      <c r="D1234" s="138"/>
      <c r="E1234" s="138"/>
      <c r="F1234" s="138"/>
      <c r="G1234" s="138"/>
      <c r="H1234" s="138"/>
      <c r="I1234" s="138"/>
      <c r="J1234" s="138"/>
      <c r="K1234" s="138"/>
      <c r="L1234" s="138"/>
      <c r="M1234" s="138"/>
      <c r="N1234" s="138"/>
      <c r="O1234" s="138"/>
    </row>
    <row r="1235" spans="2:15" x14ac:dyDescent="0.2">
      <c r="B1235" s="138"/>
      <c r="C1235" s="126"/>
      <c r="D1235" s="138"/>
      <c r="E1235" s="138"/>
      <c r="F1235" s="138"/>
      <c r="G1235" s="138"/>
      <c r="H1235" s="138"/>
      <c r="I1235" s="138"/>
      <c r="J1235" s="138"/>
      <c r="K1235" s="138"/>
      <c r="L1235" s="138"/>
      <c r="M1235" s="138"/>
      <c r="N1235" s="138"/>
      <c r="O1235" s="138"/>
    </row>
    <row r="1236" spans="2:15" x14ac:dyDescent="0.2">
      <c r="B1236" s="138"/>
      <c r="C1236" s="126"/>
      <c r="D1236" s="138"/>
      <c r="E1236" s="138"/>
      <c r="F1236" s="138"/>
      <c r="G1236" s="138"/>
      <c r="H1236" s="138"/>
      <c r="I1236" s="138"/>
      <c r="J1236" s="138"/>
      <c r="K1236" s="138"/>
      <c r="L1236" s="138"/>
      <c r="M1236" s="138"/>
      <c r="N1236" s="138"/>
      <c r="O1236" s="138"/>
    </row>
    <row r="1237" spans="2:15" x14ac:dyDescent="0.2">
      <c r="B1237" s="138"/>
      <c r="C1237" s="126"/>
      <c r="D1237" s="138"/>
      <c r="E1237" s="138"/>
      <c r="F1237" s="138"/>
      <c r="G1237" s="138"/>
      <c r="H1237" s="138"/>
      <c r="I1237" s="138"/>
      <c r="J1237" s="138"/>
      <c r="K1237" s="138"/>
      <c r="L1237" s="138"/>
      <c r="M1237" s="138"/>
      <c r="N1237" s="138"/>
      <c r="O1237" s="138"/>
    </row>
    <row r="1238" spans="2:15" x14ac:dyDescent="0.2">
      <c r="B1238" s="138"/>
      <c r="C1238" s="126"/>
      <c r="D1238" s="138"/>
      <c r="E1238" s="138"/>
      <c r="F1238" s="138"/>
      <c r="G1238" s="138"/>
      <c r="H1238" s="138"/>
      <c r="I1238" s="138"/>
      <c r="J1238" s="138"/>
      <c r="K1238" s="138"/>
      <c r="L1238" s="138"/>
      <c r="M1238" s="138"/>
      <c r="N1238" s="138"/>
      <c r="O1238" s="138"/>
    </row>
    <row r="1239" spans="2:15" x14ac:dyDescent="0.2">
      <c r="B1239" s="138"/>
      <c r="C1239" s="126"/>
      <c r="D1239" s="138"/>
      <c r="E1239" s="138"/>
      <c r="F1239" s="138"/>
      <c r="G1239" s="138"/>
      <c r="H1239" s="138"/>
      <c r="I1239" s="138"/>
      <c r="J1239" s="138"/>
      <c r="K1239" s="138"/>
      <c r="L1239" s="138"/>
      <c r="M1239" s="138"/>
      <c r="N1239" s="138"/>
      <c r="O1239" s="138"/>
    </row>
    <row r="1240" spans="2:15" x14ac:dyDescent="0.2">
      <c r="B1240" s="138"/>
      <c r="C1240" s="126"/>
      <c r="D1240" s="138"/>
      <c r="E1240" s="138"/>
      <c r="F1240" s="138"/>
      <c r="G1240" s="138"/>
      <c r="H1240" s="138"/>
      <c r="I1240" s="138"/>
      <c r="J1240" s="138"/>
      <c r="K1240" s="138"/>
      <c r="L1240" s="138"/>
      <c r="M1240" s="138"/>
      <c r="N1240" s="138"/>
      <c r="O1240" s="138"/>
    </row>
    <row r="1241" spans="2:15" x14ac:dyDescent="0.2">
      <c r="B1241" s="138"/>
      <c r="C1241" s="126"/>
      <c r="D1241" s="138"/>
      <c r="E1241" s="138"/>
      <c r="F1241" s="138"/>
      <c r="G1241" s="138"/>
      <c r="H1241" s="138"/>
      <c r="I1241" s="138"/>
      <c r="J1241" s="138"/>
      <c r="K1241" s="138"/>
      <c r="L1241" s="138"/>
      <c r="M1241" s="138"/>
      <c r="N1241" s="138"/>
      <c r="O1241" s="138"/>
    </row>
    <row r="1242" spans="2:15" x14ac:dyDescent="0.2">
      <c r="B1242" s="138"/>
      <c r="C1242" s="126"/>
      <c r="D1242" s="138"/>
      <c r="E1242" s="138"/>
      <c r="F1242" s="138"/>
      <c r="G1242" s="138"/>
      <c r="H1242" s="138"/>
      <c r="I1242" s="138"/>
      <c r="J1242" s="138"/>
      <c r="K1242" s="138"/>
      <c r="L1242" s="138"/>
      <c r="M1242" s="138"/>
      <c r="N1242" s="138"/>
      <c r="O1242" s="138"/>
    </row>
    <row r="1243" spans="2:15" x14ac:dyDescent="0.2">
      <c r="B1243" s="138"/>
      <c r="C1243" s="126"/>
      <c r="D1243" s="138"/>
      <c r="E1243" s="138"/>
      <c r="F1243" s="138"/>
      <c r="G1243" s="138"/>
      <c r="H1243" s="138"/>
      <c r="I1243" s="138"/>
      <c r="J1243" s="138"/>
      <c r="K1243" s="138"/>
      <c r="L1243" s="138"/>
      <c r="M1243" s="138"/>
      <c r="N1243" s="138"/>
      <c r="O1243" s="138"/>
    </row>
    <row r="1244" spans="2:15" x14ac:dyDescent="0.2">
      <c r="B1244" s="138"/>
      <c r="C1244" s="126"/>
      <c r="D1244" s="138"/>
      <c r="E1244" s="138"/>
      <c r="F1244" s="138"/>
      <c r="G1244" s="138"/>
      <c r="H1244" s="138"/>
      <c r="I1244" s="138"/>
      <c r="J1244" s="138"/>
      <c r="K1244" s="138"/>
      <c r="L1244" s="138"/>
      <c r="M1244" s="138"/>
      <c r="N1244" s="138"/>
      <c r="O1244" s="138"/>
    </row>
    <row r="1245" spans="2:15" x14ac:dyDescent="0.2">
      <c r="B1245" s="138"/>
      <c r="C1245" s="126"/>
      <c r="D1245" s="138"/>
      <c r="E1245" s="138"/>
      <c r="F1245" s="138"/>
      <c r="G1245" s="138"/>
      <c r="H1245" s="138"/>
      <c r="I1245" s="138"/>
      <c r="J1245" s="138"/>
      <c r="K1245" s="138"/>
      <c r="L1245" s="138"/>
      <c r="M1245" s="138"/>
      <c r="N1245" s="138"/>
      <c r="O1245" s="138"/>
    </row>
    <row r="1246" spans="2:15" x14ac:dyDescent="0.2">
      <c r="B1246" s="138"/>
      <c r="C1246" s="126"/>
      <c r="D1246" s="138"/>
      <c r="E1246" s="138"/>
      <c r="F1246" s="138"/>
      <c r="G1246" s="138"/>
      <c r="H1246" s="138"/>
      <c r="I1246" s="138"/>
      <c r="J1246" s="138"/>
      <c r="K1246" s="138"/>
      <c r="L1246" s="138"/>
      <c r="M1246" s="138"/>
      <c r="N1246" s="138"/>
      <c r="O1246" s="138"/>
    </row>
    <row r="1247" spans="2:15" x14ac:dyDescent="0.2">
      <c r="B1247" s="138"/>
      <c r="C1247" s="126"/>
      <c r="D1247" s="138"/>
      <c r="E1247" s="138"/>
      <c r="F1247" s="138"/>
      <c r="G1247" s="138"/>
      <c r="H1247" s="138"/>
      <c r="I1247" s="138"/>
      <c r="J1247" s="138"/>
      <c r="K1247" s="138"/>
      <c r="L1247" s="138"/>
      <c r="M1247" s="138"/>
      <c r="N1247" s="138"/>
      <c r="O1247" s="138"/>
    </row>
    <row r="1248" spans="2:15" x14ac:dyDescent="0.2">
      <c r="B1248" s="138"/>
      <c r="C1248" s="126"/>
      <c r="D1248" s="138"/>
      <c r="E1248" s="138"/>
      <c r="F1248" s="138"/>
      <c r="G1248" s="138"/>
      <c r="H1248" s="138"/>
      <c r="I1248" s="138"/>
      <c r="J1248" s="138"/>
      <c r="K1248" s="138"/>
      <c r="L1248" s="138"/>
      <c r="M1248" s="138"/>
      <c r="N1248" s="138"/>
      <c r="O1248" s="138"/>
    </row>
    <row r="1249" spans="2:15" x14ac:dyDescent="0.2">
      <c r="B1249" s="138"/>
      <c r="C1249" s="126"/>
      <c r="D1249" s="138"/>
      <c r="E1249" s="138"/>
      <c r="F1249" s="138"/>
      <c r="G1249" s="138"/>
      <c r="H1249" s="138"/>
      <c r="I1249" s="138"/>
      <c r="J1249" s="138"/>
      <c r="K1249" s="138"/>
      <c r="L1249" s="138"/>
      <c r="M1249" s="138"/>
      <c r="N1249" s="138"/>
      <c r="O1249" s="138"/>
    </row>
    <row r="1250" spans="2:15" x14ac:dyDescent="0.2">
      <c r="B1250" s="138"/>
      <c r="C1250" s="126"/>
      <c r="D1250" s="138"/>
      <c r="E1250" s="138"/>
      <c r="F1250" s="138"/>
      <c r="G1250" s="138"/>
      <c r="H1250" s="138"/>
      <c r="I1250" s="138"/>
      <c r="J1250" s="138"/>
      <c r="K1250" s="138"/>
      <c r="L1250" s="138"/>
      <c r="M1250" s="138"/>
      <c r="N1250" s="138"/>
      <c r="O1250" s="138"/>
    </row>
    <row r="1251" spans="2:15" x14ac:dyDescent="0.2">
      <c r="B1251" s="138"/>
      <c r="C1251" s="126"/>
      <c r="D1251" s="138"/>
      <c r="E1251" s="138"/>
      <c r="F1251" s="138"/>
      <c r="G1251" s="138"/>
      <c r="H1251" s="138"/>
      <c r="I1251" s="138"/>
      <c r="J1251" s="138"/>
      <c r="K1251" s="138"/>
      <c r="L1251" s="138"/>
      <c r="M1251" s="138"/>
      <c r="N1251" s="138"/>
      <c r="O1251" s="138"/>
    </row>
    <row r="1252" spans="2:15" x14ac:dyDescent="0.2">
      <c r="B1252" s="138"/>
      <c r="C1252" s="126"/>
      <c r="D1252" s="138"/>
      <c r="E1252" s="138"/>
      <c r="F1252" s="138"/>
      <c r="G1252" s="138"/>
      <c r="H1252" s="138"/>
      <c r="I1252" s="138"/>
      <c r="J1252" s="138"/>
      <c r="K1252" s="138"/>
      <c r="L1252" s="138"/>
      <c r="M1252" s="138"/>
      <c r="N1252" s="138"/>
      <c r="O1252" s="138"/>
    </row>
    <row r="1253" spans="2:15" x14ac:dyDescent="0.2">
      <c r="B1253" s="138"/>
      <c r="C1253" s="126"/>
      <c r="D1253" s="138"/>
      <c r="E1253" s="138"/>
      <c r="F1253" s="138"/>
      <c r="G1253" s="138"/>
      <c r="H1253" s="138"/>
      <c r="I1253" s="138"/>
      <c r="J1253" s="138"/>
      <c r="K1253" s="138"/>
      <c r="L1253" s="138"/>
      <c r="M1253" s="138"/>
      <c r="N1253" s="138"/>
      <c r="O1253" s="138"/>
    </row>
    <row r="1254" spans="2:15" x14ac:dyDescent="0.2">
      <c r="B1254" s="138"/>
      <c r="C1254" s="126"/>
      <c r="D1254" s="138"/>
      <c r="E1254" s="138"/>
      <c r="F1254" s="138"/>
      <c r="G1254" s="138"/>
      <c r="H1254" s="138"/>
      <c r="I1254" s="138"/>
      <c r="J1254" s="138"/>
      <c r="K1254" s="138"/>
      <c r="L1254" s="138"/>
      <c r="M1254" s="138"/>
      <c r="N1254" s="138"/>
      <c r="O1254" s="138"/>
    </row>
    <row r="1255" spans="2:15" x14ac:dyDescent="0.2">
      <c r="B1255" s="138"/>
      <c r="C1255" s="126"/>
      <c r="D1255" s="138"/>
      <c r="E1255" s="138"/>
      <c r="F1255" s="138"/>
      <c r="G1255" s="138"/>
      <c r="H1255" s="138"/>
      <c r="I1255" s="138"/>
      <c r="J1255" s="138"/>
      <c r="K1255" s="138"/>
      <c r="L1255" s="138"/>
      <c r="M1255" s="138"/>
      <c r="N1255" s="138"/>
      <c r="O1255" s="138"/>
    </row>
    <row r="1256" spans="2:15" x14ac:dyDescent="0.2">
      <c r="B1256" s="138"/>
      <c r="C1256" s="126"/>
      <c r="D1256" s="138"/>
      <c r="E1256" s="138"/>
      <c r="F1256" s="138"/>
      <c r="G1256" s="138"/>
      <c r="H1256" s="138"/>
      <c r="I1256" s="138"/>
      <c r="J1256" s="138"/>
      <c r="K1256" s="138"/>
      <c r="L1256" s="138"/>
      <c r="M1256" s="138"/>
      <c r="N1256" s="138"/>
      <c r="O1256" s="138"/>
    </row>
    <row r="1257" spans="2:15" x14ac:dyDescent="0.2">
      <c r="B1257" s="138"/>
      <c r="C1257" s="126"/>
      <c r="D1257" s="138"/>
      <c r="E1257" s="138"/>
      <c r="F1257" s="138"/>
      <c r="G1257" s="138"/>
      <c r="H1257" s="138"/>
      <c r="I1257" s="138"/>
      <c r="J1257" s="138"/>
      <c r="K1257" s="138"/>
      <c r="L1257" s="138"/>
      <c r="M1257" s="138"/>
      <c r="N1257" s="138"/>
      <c r="O1257" s="138"/>
    </row>
    <row r="1258" spans="2:15" x14ac:dyDescent="0.2">
      <c r="B1258" s="138"/>
      <c r="C1258" s="126"/>
      <c r="D1258" s="138"/>
      <c r="E1258" s="138"/>
      <c r="F1258" s="138"/>
      <c r="G1258" s="138"/>
      <c r="H1258" s="138"/>
      <c r="I1258" s="138"/>
      <c r="J1258" s="138"/>
      <c r="K1258" s="138"/>
      <c r="L1258" s="138"/>
      <c r="M1258" s="138"/>
      <c r="N1258" s="138"/>
      <c r="O1258" s="138"/>
    </row>
    <row r="1259" spans="2:15" x14ac:dyDescent="0.2">
      <c r="B1259" s="138"/>
      <c r="C1259" s="126"/>
      <c r="D1259" s="138"/>
      <c r="E1259" s="138"/>
      <c r="F1259" s="138"/>
      <c r="G1259" s="138"/>
      <c r="H1259" s="138"/>
      <c r="I1259" s="138"/>
      <c r="J1259" s="138"/>
      <c r="K1259" s="138"/>
      <c r="L1259" s="138"/>
      <c r="M1259" s="138"/>
      <c r="N1259" s="138"/>
      <c r="O1259" s="138"/>
    </row>
    <row r="1260" spans="2:15" x14ac:dyDescent="0.2">
      <c r="B1260" s="138"/>
      <c r="C1260" s="126"/>
      <c r="D1260" s="138"/>
      <c r="E1260" s="138"/>
      <c r="F1260" s="138"/>
      <c r="G1260" s="138"/>
      <c r="H1260" s="138"/>
      <c r="I1260" s="138"/>
      <c r="J1260" s="138"/>
      <c r="K1260" s="138"/>
      <c r="L1260" s="138"/>
      <c r="M1260" s="138"/>
      <c r="N1260" s="138"/>
      <c r="O1260" s="138"/>
    </row>
    <row r="1261" spans="2:15" x14ac:dyDescent="0.2">
      <c r="B1261" s="138"/>
      <c r="C1261" s="126"/>
      <c r="D1261" s="138"/>
      <c r="E1261" s="138"/>
      <c r="F1261" s="138"/>
      <c r="G1261" s="138"/>
      <c r="H1261" s="138"/>
      <c r="I1261" s="138"/>
      <c r="J1261" s="138"/>
      <c r="K1261" s="138"/>
      <c r="L1261" s="138"/>
      <c r="M1261" s="138"/>
      <c r="N1261" s="138"/>
      <c r="O1261" s="138"/>
    </row>
    <row r="1262" spans="2:15" x14ac:dyDescent="0.2">
      <c r="B1262" s="138"/>
      <c r="C1262" s="126"/>
      <c r="D1262" s="138"/>
      <c r="E1262" s="138"/>
      <c r="F1262" s="138"/>
      <c r="G1262" s="138"/>
      <c r="H1262" s="138"/>
      <c r="I1262" s="138"/>
      <c r="J1262" s="138"/>
      <c r="K1262" s="138"/>
      <c r="L1262" s="138"/>
      <c r="M1262" s="138"/>
      <c r="N1262" s="138"/>
      <c r="O1262" s="138"/>
    </row>
    <row r="1263" spans="2:15" x14ac:dyDescent="0.2">
      <c r="B1263" s="138"/>
      <c r="C1263" s="126"/>
      <c r="D1263" s="138"/>
      <c r="E1263" s="138"/>
      <c r="F1263" s="138"/>
      <c r="G1263" s="138"/>
      <c r="H1263" s="138"/>
      <c r="I1263" s="138"/>
      <c r="J1263" s="138"/>
      <c r="K1263" s="138"/>
      <c r="L1263" s="138"/>
      <c r="M1263" s="138"/>
      <c r="N1263" s="138"/>
      <c r="O1263" s="138"/>
    </row>
    <row r="1264" spans="2:15" x14ac:dyDescent="0.2">
      <c r="B1264" s="138"/>
      <c r="C1264" s="126"/>
      <c r="D1264" s="138"/>
      <c r="E1264" s="138"/>
      <c r="F1264" s="138"/>
      <c r="G1264" s="138"/>
      <c r="H1264" s="138"/>
      <c r="I1264" s="138"/>
      <c r="J1264" s="138"/>
      <c r="K1264" s="138"/>
      <c r="L1264" s="138"/>
      <c r="M1264" s="138"/>
      <c r="N1264" s="138"/>
      <c r="O1264" s="138"/>
    </row>
    <row r="1265" spans="2:15" x14ac:dyDescent="0.2">
      <c r="B1265" s="138"/>
      <c r="C1265" s="126"/>
      <c r="D1265" s="138"/>
      <c r="E1265" s="138"/>
      <c r="F1265" s="138"/>
      <c r="G1265" s="138"/>
      <c r="H1265" s="138"/>
      <c r="I1265" s="138"/>
      <c r="J1265" s="138"/>
      <c r="K1265" s="138"/>
      <c r="L1265" s="138"/>
      <c r="M1265" s="138"/>
      <c r="N1265" s="138"/>
      <c r="O1265" s="138"/>
    </row>
    <row r="1266" spans="2:15" x14ac:dyDescent="0.2">
      <c r="B1266" s="138"/>
      <c r="C1266" s="126"/>
      <c r="D1266" s="138"/>
      <c r="E1266" s="138"/>
      <c r="F1266" s="138"/>
      <c r="G1266" s="138"/>
      <c r="H1266" s="138"/>
      <c r="I1266" s="138"/>
      <c r="J1266" s="138"/>
      <c r="K1266" s="138"/>
      <c r="L1266" s="138"/>
      <c r="M1266" s="138"/>
      <c r="N1266" s="138"/>
      <c r="O1266" s="138"/>
    </row>
    <row r="1267" spans="2:15" x14ac:dyDescent="0.2">
      <c r="B1267" s="138"/>
      <c r="C1267" s="126"/>
      <c r="D1267" s="138"/>
      <c r="E1267" s="138"/>
      <c r="F1267" s="138"/>
      <c r="G1267" s="138"/>
      <c r="H1267" s="138"/>
      <c r="I1267" s="138"/>
      <c r="J1267" s="138"/>
      <c r="K1267" s="138"/>
      <c r="L1267" s="138"/>
      <c r="M1267" s="138"/>
      <c r="N1267" s="138"/>
      <c r="O1267" s="138"/>
    </row>
    <row r="1268" spans="2:15" x14ac:dyDescent="0.2">
      <c r="B1268" s="138"/>
      <c r="C1268" s="126"/>
      <c r="D1268" s="138"/>
      <c r="E1268" s="138"/>
      <c r="F1268" s="138"/>
      <c r="G1268" s="138"/>
      <c r="H1268" s="138"/>
      <c r="I1268" s="138"/>
      <c r="J1268" s="138"/>
      <c r="K1268" s="138"/>
      <c r="L1268" s="138"/>
      <c r="M1268" s="138"/>
      <c r="N1268" s="138"/>
      <c r="O1268" s="138"/>
    </row>
    <row r="1269" spans="2:15" x14ac:dyDescent="0.2">
      <c r="B1269" s="138"/>
      <c r="C1269" s="126"/>
      <c r="D1269" s="138"/>
      <c r="E1269" s="138"/>
      <c r="F1269" s="138"/>
      <c r="G1269" s="138"/>
      <c r="H1269" s="138"/>
      <c r="I1269" s="138"/>
      <c r="J1269" s="138"/>
      <c r="K1269" s="138"/>
      <c r="L1269" s="138"/>
      <c r="M1269" s="138"/>
      <c r="N1269" s="138"/>
      <c r="O1269" s="138"/>
    </row>
    <row r="1270" spans="2:15" x14ac:dyDescent="0.2">
      <c r="B1270" s="138"/>
      <c r="C1270" s="126"/>
      <c r="D1270" s="138"/>
      <c r="E1270" s="138"/>
      <c r="F1270" s="138"/>
      <c r="G1270" s="138"/>
      <c r="H1270" s="138"/>
      <c r="I1270" s="138"/>
      <c r="J1270" s="138"/>
      <c r="K1270" s="138"/>
      <c r="L1270" s="138"/>
      <c r="M1270" s="138"/>
      <c r="N1270" s="138"/>
      <c r="O1270" s="138"/>
    </row>
    <row r="1271" spans="2:15" x14ac:dyDescent="0.2">
      <c r="B1271" s="138"/>
      <c r="C1271" s="126"/>
      <c r="D1271" s="138"/>
      <c r="E1271" s="138"/>
      <c r="F1271" s="138"/>
      <c r="G1271" s="138"/>
      <c r="H1271" s="138"/>
      <c r="I1271" s="138"/>
      <c r="J1271" s="138"/>
      <c r="K1271" s="138"/>
      <c r="L1271" s="138"/>
      <c r="M1271" s="138"/>
      <c r="N1271" s="138"/>
      <c r="O1271" s="138"/>
    </row>
    <row r="1272" spans="2:15" x14ac:dyDescent="0.2">
      <c r="B1272" s="138"/>
      <c r="C1272" s="126"/>
      <c r="D1272" s="138"/>
      <c r="E1272" s="138"/>
      <c r="F1272" s="138"/>
      <c r="G1272" s="138"/>
      <c r="H1272" s="138"/>
      <c r="I1272" s="138"/>
      <c r="J1272" s="138"/>
      <c r="K1272" s="138"/>
      <c r="L1272" s="138"/>
      <c r="M1272" s="138"/>
      <c r="N1272" s="138"/>
      <c r="O1272" s="138"/>
    </row>
    <row r="1273" spans="2:15" x14ac:dyDescent="0.2">
      <c r="B1273" s="138"/>
      <c r="C1273" s="126"/>
      <c r="D1273" s="138"/>
      <c r="E1273" s="138"/>
      <c r="F1273" s="138"/>
      <c r="G1273" s="138"/>
      <c r="H1273" s="138"/>
      <c r="I1273" s="138"/>
      <c r="J1273" s="138"/>
      <c r="K1273" s="138"/>
      <c r="L1273" s="138"/>
      <c r="M1273" s="138"/>
      <c r="N1273" s="138"/>
      <c r="O1273" s="138"/>
    </row>
    <row r="1274" spans="2:15" x14ac:dyDescent="0.2">
      <c r="B1274" s="138"/>
      <c r="C1274" s="126"/>
      <c r="D1274" s="138"/>
      <c r="E1274" s="138"/>
      <c r="F1274" s="138"/>
      <c r="G1274" s="138"/>
      <c r="H1274" s="138"/>
      <c r="I1274" s="138"/>
      <c r="J1274" s="138"/>
      <c r="K1274" s="138"/>
      <c r="L1274" s="138"/>
      <c r="M1274" s="138"/>
      <c r="N1274" s="138"/>
      <c r="O1274" s="138"/>
    </row>
    <row r="1275" spans="2:15" x14ac:dyDescent="0.2">
      <c r="B1275" s="138"/>
      <c r="C1275" s="126"/>
      <c r="D1275" s="138"/>
      <c r="E1275" s="138"/>
      <c r="F1275" s="138"/>
      <c r="G1275" s="138"/>
      <c r="H1275" s="138"/>
      <c r="I1275" s="138"/>
      <c r="J1275" s="138"/>
      <c r="K1275" s="138"/>
      <c r="L1275" s="138"/>
      <c r="M1275" s="138"/>
      <c r="N1275" s="138"/>
      <c r="O1275" s="138"/>
    </row>
    <row r="1276" spans="2:15" x14ac:dyDescent="0.2">
      <c r="B1276" s="138"/>
      <c r="C1276" s="126"/>
      <c r="D1276" s="138"/>
      <c r="E1276" s="138"/>
      <c r="F1276" s="138"/>
      <c r="G1276" s="138"/>
      <c r="H1276" s="138"/>
      <c r="I1276" s="138"/>
      <c r="J1276" s="138"/>
      <c r="K1276" s="138"/>
      <c r="L1276" s="138"/>
      <c r="M1276" s="138"/>
      <c r="N1276" s="138"/>
      <c r="O1276" s="138"/>
    </row>
    <row r="1277" spans="2:15" x14ac:dyDescent="0.2">
      <c r="B1277" s="138"/>
      <c r="C1277" s="126"/>
      <c r="D1277" s="138"/>
      <c r="E1277" s="138"/>
      <c r="F1277" s="138"/>
      <c r="G1277" s="138"/>
      <c r="H1277" s="138"/>
      <c r="I1277" s="138"/>
      <c r="J1277" s="138"/>
      <c r="K1277" s="138"/>
      <c r="L1277" s="138"/>
      <c r="M1277" s="138"/>
      <c r="N1277" s="138"/>
      <c r="O1277" s="138"/>
    </row>
    <row r="1278" spans="2:15" x14ac:dyDescent="0.2">
      <c r="B1278" s="138"/>
      <c r="C1278" s="126"/>
      <c r="D1278" s="138"/>
      <c r="E1278" s="138"/>
      <c r="F1278" s="138"/>
      <c r="G1278" s="138"/>
      <c r="H1278" s="138"/>
      <c r="I1278" s="138"/>
      <c r="J1278" s="138"/>
      <c r="K1278" s="138"/>
      <c r="L1278" s="138"/>
      <c r="M1278" s="138"/>
      <c r="N1278" s="138"/>
      <c r="O1278" s="138"/>
    </row>
    <row r="1279" spans="2:15" x14ac:dyDescent="0.2">
      <c r="B1279" s="138"/>
      <c r="C1279" s="126"/>
      <c r="D1279" s="138"/>
      <c r="E1279" s="138"/>
      <c r="F1279" s="138"/>
      <c r="G1279" s="138"/>
      <c r="H1279" s="138"/>
      <c r="I1279" s="138"/>
      <c r="J1279" s="138"/>
      <c r="K1279" s="138"/>
      <c r="L1279" s="138"/>
      <c r="M1279" s="138"/>
      <c r="N1279" s="138"/>
      <c r="O1279" s="138"/>
    </row>
    <row r="1280" spans="2:15" x14ac:dyDescent="0.2">
      <c r="B1280" s="138"/>
      <c r="C1280" s="126"/>
      <c r="D1280" s="138"/>
      <c r="E1280" s="138"/>
      <c r="F1280" s="138"/>
      <c r="G1280" s="138"/>
      <c r="H1280" s="138"/>
      <c r="I1280" s="138"/>
      <c r="J1280" s="138"/>
      <c r="K1280" s="138"/>
      <c r="L1280" s="138"/>
      <c r="M1280" s="138"/>
      <c r="N1280" s="138"/>
      <c r="O1280" s="138"/>
    </row>
    <row r="1281" spans="2:15" x14ac:dyDescent="0.2">
      <c r="B1281" s="138"/>
      <c r="C1281" s="126"/>
      <c r="D1281" s="138"/>
      <c r="E1281" s="138"/>
      <c r="F1281" s="138"/>
      <c r="G1281" s="138"/>
      <c r="H1281" s="138"/>
      <c r="I1281" s="138"/>
      <c r="J1281" s="138"/>
      <c r="K1281" s="138"/>
      <c r="L1281" s="138"/>
      <c r="M1281" s="138"/>
      <c r="N1281" s="138"/>
      <c r="O1281" s="138"/>
    </row>
    <row r="1282" spans="2:15" x14ac:dyDescent="0.2">
      <c r="B1282" s="138"/>
      <c r="C1282" s="126"/>
      <c r="D1282" s="138"/>
      <c r="E1282" s="138"/>
      <c r="F1282" s="138"/>
      <c r="G1282" s="138"/>
      <c r="H1282" s="138"/>
      <c r="I1282" s="138"/>
      <c r="J1282" s="138"/>
      <c r="K1282" s="138"/>
      <c r="L1282" s="138"/>
      <c r="M1282" s="138"/>
      <c r="N1282" s="138"/>
      <c r="O1282" s="138"/>
    </row>
    <row r="1283" spans="2:15" x14ac:dyDescent="0.2">
      <c r="B1283" s="138"/>
      <c r="C1283" s="126"/>
      <c r="D1283" s="138"/>
      <c r="E1283" s="138"/>
      <c r="F1283" s="138"/>
      <c r="G1283" s="138"/>
      <c r="H1283" s="138"/>
      <c r="I1283" s="138"/>
      <c r="J1283" s="138"/>
      <c r="K1283" s="138"/>
      <c r="L1283" s="138"/>
      <c r="M1283" s="138"/>
      <c r="N1283" s="138"/>
      <c r="O1283" s="138"/>
    </row>
    <row r="1284" spans="2:15" x14ac:dyDescent="0.2">
      <c r="B1284" s="138"/>
      <c r="C1284" s="126"/>
      <c r="D1284" s="138"/>
      <c r="E1284" s="138"/>
      <c r="F1284" s="138"/>
      <c r="G1284" s="138"/>
      <c r="H1284" s="138"/>
      <c r="I1284" s="138"/>
      <c r="J1284" s="138"/>
      <c r="K1284" s="138"/>
      <c r="L1284" s="138"/>
      <c r="M1284" s="138"/>
      <c r="N1284" s="138"/>
      <c r="O1284" s="138"/>
    </row>
    <row r="1285" spans="2:15" x14ac:dyDescent="0.2">
      <c r="B1285" s="138"/>
      <c r="C1285" s="126"/>
      <c r="D1285" s="138"/>
      <c r="E1285" s="138"/>
      <c r="F1285" s="138"/>
      <c r="G1285" s="138"/>
      <c r="H1285" s="138"/>
      <c r="I1285" s="138"/>
      <c r="J1285" s="138"/>
      <c r="K1285" s="138"/>
      <c r="L1285" s="138"/>
      <c r="M1285" s="138"/>
      <c r="N1285" s="138"/>
      <c r="O1285" s="138"/>
    </row>
    <row r="1286" spans="2:15" x14ac:dyDescent="0.2">
      <c r="B1286" s="138"/>
      <c r="C1286" s="126"/>
      <c r="D1286" s="138"/>
      <c r="E1286" s="138"/>
      <c r="F1286" s="138"/>
      <c r="G1286" s="138"/>
      <c r="H1286" s="138"/>
      <c r="I1286" s="138"/>
      <c r="J1286" s="138"/>
      <c r="K1286" s="138"/>
      <c r="L1286" s="138"/>
      <c r="M1286" s="138"/>
      <c r="N1286" s="138"/>
      <c r="O1286" s="138"/>
    </row>
    <row r="1287" spans="2:15" x14ac:dyDescent="0.2">
      <c r="B1287" s="138"/>
      <c r="C1287" s="126"/>
      <c r="D1287" s="138"/>
      <c r="E1287" s="138"/>
      <c r="F1287" s="138"/>
      <c r="G1287" s="138"/>
      <c r="H1287" s="138"/>
      <c r="I1287" s="138"/>
      <c r="J1287" s="138"/>
      <c r="K1287" s="138"/>
      <c r="L1287" s="138"/>
      <c r="M1287" s="138"/>
      <c r="N1287" s="138"/>
      <c r="O1287" s="138"/>
    </row>
    <row r="1288" spans="2:15" x14ac:dyDescent="0.2">
      <c r="B1288" s="138"/>
      <c r="C1288" s="126"/>
      <c r="D1288" s="138"/>
      <c r="E1288" s="138"/>
      <c r="F1288" s="138"/>
      <c r="G1288" s="138"/>
      <c r="H1288" s="138"/>
      <c r="I1288" s="138"/>
      <c r="J1288" s="138"/>
      <c r="K1288" s="138"/>
      <c r="L1288" s="138"/>
      <c r="M1288" s="138"/>
      <c r="N1288" s="138"/>
      <c r="O1288" s="138"/>
    </row>
    <row r="1289" spans="2:15" x14ac:dyDescent="0.2">
      <c r="B1289" s="138"/>
      <c r="C1289" s="126"/>
      <c r="D1289" s="138"/>
      <c r="E1289" s="138"/>
      <c r="F1289" s="138"/>
      <c r="G1289" s="138"/>
      <c r="H1289" s="138"/>
      <c r="I1289" s="138"/>
      <c r="J1289" s="138"/>
      <c r="K1289" s="138"/>
      <c r="L1289" s="138"/>
      <c r="M1289" s="138"/>
      <c r="N1289" s="138"/>
      <c r="O1289" s="138"/>
    </row>
    <row r="1290" spans="2:15" x14ac:dyDescent="0.2">
      <c r="B1290" s="138"/>
      <c r="C1290" s="126"/>
      <c r="D1290" s="138"/>
      <c r="E1290" s="138"/>
      <c r="F1290" s="138"/>
      <c r="G1290" s="138"/>
      <c r="H1290" s="138"/>
      <c r="I1290" s="138"/>
      <c r="J1290" s="138"/>
      <c r="K1290" s="138"/>
      <c r="L1290" s="138"/>
      <c r="M1290" s="138"/>
      <c r="N1290" s="138"/>
      <c r="O1290" s="138"/>
    </row>
    <row r="1291" spans="2:15" x14ac:dyDescent="0.2">
      <c r="B1291" s="138"/>
      <c r="C1291" s="126"/>
      <c r="D1291" s="138"/>
      <c r="E1291" s="138"/>
      <c r="F1291" s="138"/>
      <c r="G1291" s="138"/>
      <c r="H1291" s="138"/>
      <c r="I1291" s="138"/>
      <c r="J1291" s="138"/>
      <c r="K1291" s="138"/>
      <c r="L1291" s="138"/>
      <c r="M1291" s="138"/>
      <c r="N1291" s="138"/>
      <c r="O1291" s="138"/>
    </row>
    <row r="1292" spans="2:15" x14ac:dyDescent="0.2">
      <c r="B1292" s="138"/>
      <c r="C1292" s="126"/>
      <c r="D1292" s="138"/>
      <c r="E1292" s="138"/>
      <c r="F1292" s="138"/>
      <c r="G1292" s="138"/>
      <c r="H1292" s="138"/>
      <c r="I1292" s="138"/>
      <c r="J1292" s="138"/>
      <c r="K1292" s="138"/>
      <c r="L1292" s="138"/>
      <c r="M1292" s="138"/>
      <c r="N1292" s="138"/>
      <c r="O1292" s="138"/>
    </row>
    <row r="1293" spans="2:15" x14ac:dyDescent="0.2">
      <c r="B1293" s="138"/>
      <c r="C1293" s="126"/>
      <c r="D1293" s="138"/>
      <c r="E1293" s="138"/>
      <c r="F1293" s="138"/>
      <c r="G1293" s="138"/>
      <c r="H1293" s="138"/>
      <c r="I1293" s="138"/>
      <c r="J1293" s="138"/>
      <c r="K1293" s="138"/>
      <c r="L1293" s="138"/>
      <c r="M1293" s="138"/>
      <c r="N1293" s="138"/>
      <c r="O1293" s="138"/>
    </row>
    <row r="1294" spans="2:15" x14ac:dyDescent="0.2">
      <c r="B1294" s="138"/>
      <c r="C1294" s="126"/>
      <c r="D1294" s="138"/>
      <c r="E1294" s="138"/>
      <c r="F1294" s="138"/>
      <c r="G1294" s="138"/>
      <c r="H1294" s="138"/>
      <c r="I1294" s="138"/>
      <c r="J1294" s="138"/>
      <c r="K1294" s="138"/>
      <c r="L1294" s="138"/>
      <c r="M1294" s="138"/>
      <c r="N1294" s="138"/>
      <c r="O1294" s="138"/>
    </row>
    <row r="1295" spans="2:15" x14ac:dyDescent="0.2">
      <c r="B1295" s="138"/>
      <c r="C1295" s="126"/>
      <c r="D1295" s="138"/>
      <c r="E1295" s="138"/>
      <c r="F1295" s="138"/>
      <c r="G1295" s="138"/>
      <c r="H1295" s="138"/>
      <c r="I1295" s="138"/>
      <c r="J1295" s="138"/>
      <c r="K1295" s="138"/>
      <c r="L1295" s="138"/>
      <c r="M1295" s="138"/>
      <c r="N1295" s="138"/>
      <c r="O1295" s="138"/>
    </row>
    <row r="1296" spans="2:15" x14ac:dyDescent="0.2">
      <c r="B1296" s="138"/>
      <c r="C1296" s="126"/>
      <c r="D1296" s="138"/>
      <c r="E1296" s="138"/>
      <c r="F1296" s="138"/>
      <c r="G1296" s="138"/>
      <c r="H1296" s="138"/>
      <c r="I1296" s="138"/>
      <c r="J1296" s="138"/>
      <c r="K1296" s="138"/>
      <c r="L1296" s="138"/>
      <c r="M1296" s="138"/>
      <c r="N1296" s="138"/>
      <c r="O1296" s="138"/>
    </row>
    <row r="1297" spans="2:15" x14ac:dyDescent="0.2">
      <c r="B1297" s="138"/>
      <c r="C1297" s="126"/>
      <c r="D1297" s="138"/>
      <c r="E1297" s="138"/>
      <c r="F1297" s="138"/>
      <c r="G1297" s="138"/>
      <c r="H1297" s="138"/>
      <c r="I1297" s="138"/>
      <c r="J1297" s="138"/>
      <c r="K1297" s="138"/>
      <c r="L1297" s="138"/>
      <c r="M1297" s="138"/>
      <c r="N1297" s="138"/>
      <c r="O1297" s="138"/>
    </row>
    <row r="1298" spans="2:15" x14ac:dyDescent="0.2">
      <c r="B1298" s="138"/>
      <c r="C1298" s="126"/>
      <c r="D1298" s="138"/>
      <c r="E1298" s="138"/>
      <c r="F1298" s="138"/>
      <c r="G1298" s="138"/>
      <c r="H1298" s="138"/>
      <c r="I1298" s="138"/>
      <c r="J1298" s="138"/>
      <c r="K1298" s="138"/>
      <c r="L1298" s="138"/>
      <c r="M1298" s="138"/>
      <c r="N1298" s="138"/>
      <c r="O1298" s="138"/>
    </row>
    <row r="1299" spans="2:15" x14ac:dyDescent="0.2">
      <c r="B1299" s="138"/>
      <c r="C1299" s="126"/>
      <c r="D1299" s="138"/>
      <c r="E1299" s="138"/>
      <c r="F1299" s="138"/>
      <c r="G1299" s="138"/>
      <c r="H1299" s="138"/>
      <c r="I1299" s="138"/>
      <c r="J1299" s="138"/>
      <c r="K1299" s="138"/>
      <c r="L1299" s="138"/>
      <c r="M1299" s="138"/>
      <c r="N1299" s="138"/>
      <c r="O1299" s="138"/>
    </row>
    <row r="1300" spans="2:15" x14ac:dyDescent="0.2">
      <c r="B1300" s="138"/>
      <c r="C1300" s="126"/>
      <c r="D1300" s="138"/>
      <c r="E1300" s="138"/>
      <c r="F1300" s="138"/>
      <c r="G1300" s="138"/>
      <c r="H1300" s="138"/>
      <c r="I1300" s="138"/>
      <c r="J1300" s="138"/>
      <c r="K1300" s="138"/>
      <c r="L1300" s="138"/>
      <c r="M1300" s="138"/>
      <c r="N1300" s="138"/>
      <c r="O1300" s="138"/>
    </row>
    <row r="1301" spans="2:15" x14ac:dyDescent="0.2">
      <c r="B1301" s="138"/>
      <c r="C1301" s="126"/>
      <c r="D1301" s="138"/>
      <c r="E1301" s="138"/>
      <c r="F1301" s="138"/>
      <c r="G1301" s="138"/>
      <c r="H1301" s="138"/>
      <c r="I1301" s="138"/>
      <c r="J1301" s="138"/>
      <c r="K1301" s="138"/>
      <c r="L1301" s="138"/>
      <c r="M1301" s="138"/>
      <c r="N1301" s="138"/>
      <c r="O1301" s="138"/>
    </row>
    <row r="1302" spans="2:15" x14ac:dyDescent="0.2">
      <c r="B1302" s="138"/>
      <c r="C1302" s="126"/>
      <c r="D1302" s="138"/>
      <c r="E1302" s="138"/>
      <c r="F1302" s="138"/>
      <c r="G1302" s="138"/>
      <c r="H1302" s="138"/>
      <c r="I1302" s="138"/>
      <c r="J1302" s="138"/>
      <c r="K1302" s="138"/>
      <c r="L1302" s="138"/>
      <c r="M1302" s="138"/>
      <c r="N1302" s="138"/>
      <c r="O1302" s="138"/>
    </row>
    <row r="1303" spans="2:15" x14ac:dyDescent="0.2">
      <c r="B1303" s="138"/>
      <c r="C1303" s="126"/>
      <c r="D1303" s="138"/>
      <c r="E1303" s="138"/>
      <c r="F1303" s="138"/>
      <c r="G1303" s="138"/>
      <c r="H1303" s="138"/>
      <c r="I1303" s="138"/>
      <c r="J1303" s="138"/>
      <c r="K1303" s="138"/>
      <c r="L1303" s="138"/>
      <c r="M1303" s="138"/>
      <c r="N1303" s="138"/>
      <c r="O1303" s="138"/>
    </row>
    <row r="1304" spans="2:15" x14ac:dyDescent="0.2">
      <c r="B1304" s="138"/>
      <c r="C1304" s="126"/>
      <c r="D1304" s="138"/>
      <c r="E1304" s="138"/>
      <c r="F1304" s="138"/>
      <c r="G1304" s="138"/>
      <c r="H1304" s="138"/>
      <c r="I1304" s="138"/>
      <c r="J1304" s="138"/>
      <c r="K1304" s="138"/>
      <c r="L1304" s="138"/>
      <c r="M1304" s="138"/>
      <c r="N1304" s="138"/>
      <c r="O1304" s="138"/>
    </row>
    <row r="1305" spans="2:15" x14ac:dyDescent="0.2">
      <c r="B1305" s="138"/>
      <c r="C1305" s="126"/>
      <c r="D1305" s="138"/>
      <c r="E1305" s="138"/>
      <c r="F1305" s="138"/>
      <c r="G1305" s="138"/>
      <c r="H1305" s="138"/>
      <c r="I1305" s="138"/>
      <c r="J1305" s="138"/>
      <c r="K1305" s="138"/>
      <c r="L1305" s="138"/>
      <c r="M1305" s="138"/>
      <c r="N1305" s="138"/>
      <c r="O1305" s="138"/>
    </row>
    <row r="1306" spans="2:15" x14ac:dyDescent="0.2">
      <c r="B1306" s="138"/>
      <c r="C1306" s="126"/>
      <c r="D1306" s="138"/>
      <c r="E1306" s="138"/>
      <c r="F1306" s="138"/>
      <c r="G1306" s="138"/>
      <c r="H1306" s="138"/>
      <c r="I1306" s="138"/>
      <c r="J1306" s="138"/>
      <c r="K1306" s="138"/>
      <c r="L1306" s="138"/>
      <c r="M1306" s="138"/>
      <c r="N1306" s="138"/>
      <c r="O1306" s="138"/>
    </row>
    <row r="1307" spans="2:15" x14ac:dyDescent="0.2">
      <c r="B1307" s="138"/>
      <c r="C1307" s="126"/>
      <c r="D1307" s="138"/>
      <c r="E1307" s="138"/>
      <c r="F1307" s="138"/>
      <c r="G1307" s="138"/>
      <c r="H1307" s="138"/>
      <c r="I1307" s="138"/>
      <c r="J1307" s="138"/>
      <c r="K1307" s="138"/>
      <c r="L1307" s="138"/>
      <c r="M1307" s="138"/>
      <c r="N1307" s="138"/>
      <c r="O1307" s="138"/>
    </row>
    <row r="1308" spans="2:15" x14ac:dyDescent="0.2">
      <c r="B1308" s="138"/>
      <c r="C1308" s="126"/>
      <c r="D1308" s="138"/>
      <c r="E1308" s="138"/>
      <c r="F1308" s="138"/>
      <c r="G1308" s="138"/>
      <c r="H1308" s="138"/>
      <c r="I1308" s="138"/>
      <c r="J1308" s="138"/>
      <c r="K1308" s="138"/>
      <c r="L1308" s="138"/>
      <c r="M1308" s="138"/>
      <c r="N1308" s="138"/>
      <c r="O1308" s="138"/>
    </row>
    <row r="1309" spans="2:15" x14ac:dyDescent="0.2">
      <c r="B1309" s="138"/>
      <c r="C1309" s="126"/>
      <c r="D1309" s="138"/>
      <c r="E1309" s="138"/>
      <c r="F1309" s="138"/>
      <c r="G1309" s="138"/>
      <c r="H1309" s="138"/>
      <c r="I1309" s="138"/>
      <c r="J1309" s="138"/>
      <c r="K1309" s="138"/>
      <c r="L1309" s="138"/>
      <c r="M1309" s="138"/>
      <c r="N1309" s="138"/>
      <c r="O1309" s="138"/>
    </row>
    <row r="1310" spans="2:15" x14ac:dyDescent="0.2">
      <c r="B1310" s="138"/>
      <c r="C1310" s="126"/>
      <c r="D1310" s="138"/>
      <c r="E1310" s="138"/>
      <c r="F1310" s="138"/>
      <c r="G1310" s="138"/>
      <c r="H1310" s="138"/>
      <c r="I1310" s="138"/>
      <c r="J1310" s="138"/>
      <c r="K1310" s="138"/>
      <c r="L1310" s="138"/>
      <c r="M1310" s="138"/>
      <c r="N1310" s="138"/>
      <c r="O1310" s="138"/>
    </row>
    <row r="1311" spans="2:15" x14ac:dyDescent="0.2">
      <c r="B1311" s="138"/>
      <c r="C1311" s="126"/>
      <c r="D1311" s="138"/>
      <c r="E1311" s="138"/>
      <c r="F1311" s="138"/>
      <c r="G1311" s="138"/>
      <c r="H1311" s="138"/>
      <c r="I1311" s="138"/>
      <c r="J1311" s="138"/>
      <c r="K1311" s="138"/>
      <c r="L1311" s="138"/>
      <c r="M1311" s="138"/>
      <c r="N1311" s="138"/>
      <c r="O1311" s="138"/>
    </row>
    <row r="1312" spans="2:15" x14ac:dyDescent="0.2">
      <c r="B1312" s="138"/>
      <c r="C1312" s="126"/>
      <c r="D1312" s="138"/>
      <c r="E1312" s="138"/>
      <c r="F1312" s="138"/>
      <c r="G1312" s="138"/>
      <c r="H1312" s="138"/>
      <c r="I1312" s="138"/>
      <c r="J1312" s="138"/>
      <c r="K1312" s="138"/>
      <c r="L1312" s="138"/>
      <c r="M1312" s="138"/>
      <c r="N1312" s="138"/>
      <c r="O1312" s="138"/>
    </row>
    <row r="1313" spans="2:15" x14ac:dyDescent="0.2">
      <c r="B1313" s="138"/>
      <c r="C1313" s="126"/>
      <c r="D1313" s="138"/>
      <c r="E1313" s="138"/>
      <c r="F1313" s="138"/>
      <c r="G1313" s="138"/>
      <c r="H1313" s="138"/>
      <c r="I1313" s="138"/>
      <c r="J1313" s="138"/>
      <c r="K1313" s="138"/>
      <c r="L1313" s="138"/>
      <c r="M1313" s="138"/>
      <c r="N1313" s="138"/>
      <c r="O1313" s="138"/>
    </row>
    <row r="1314" spans="2:15" x14ac:dyDescent="0.2">
      <c r="B1314" s="138"/>
      <c r="C1314" s="126"/>
      <c r="D1314" s="138"/>
      <c r="E1314" s="138"/>
      <c r="F1314" s="138"/>
      <c r="G1314" s="138"/>
      <c r="H1314" s="138"/>
      <c r="I1314" s="138"/>
      <c r="J1314" s="138"/>
      <c r="K1314" s="138"/>
      <c r="L1314" s="138"/>
      <c r="M1314" s="138"/>
      <c r="N1314" s="138"/>
      <c r="O1314" s="138"/>
    </row>
    <row r="1315" spans="2:15" x14ac:dyDescent="0.2">
      <c r="B1315" s="138"/>
      <c r="C1315" s="126"/>
      <c r="D1315" s="138"/>
      <c r="E1315" s="138"/>
      <c r="F1315" s="138"/>
      <c r="G1315" s="138"/>
      <c r="H1315" s="138"/>
      <c r="I1315" s="138"/>
      <c r="J1315" s="138"/>
      <c r="K1315" s="138"/>
      <c r="L1315" s="138"/>
      <c r="M1315" s="138"/>
      <c r="N1315" s="138"/>
      <c r="O1315" s="138"/>
    </row>
    <row r="1316" spans="2:15" x14ac:dyDescent="0.2">
      <c r="B1316" s="138"/>
      <c r="C1316" s="126"/>
      <c r="D1316" s="138"/>
      <c r="E1316" s="138"/>
      <c r="F1316" s="138"/>
      <c r="G1316" s="138"/>
      <c r="H1316" s="138"/>
      <c r="I1316" s="138"/>
      <c r="J1316" s="138"/>
      <c r="K1316" s="138"/>
      <c r="L1316" s="138"/>
      <c r="M1316" s="138"/>
      <c r="N1316" s="138"/>
      <c r="O1316" s="138"/>
    </row>
    <row r="1317" spans="2:15" x14ac:dyDescent="0.2">
      <c r="B1317" s="138"/>
      <c r="C1317" s="126"/>
      <c r="D1317" s="138"/>
      <c r="E1317" s="138"/>
      <c r="F1317" s="138"/>
      <c r="G1317" s="138"/>
      <c r="H1317" s="138"/>
      <c r="I1317" s="138"/>
      <c r="J1317" s="138"/>
      <c r="K1317" s="138"/>
      <c r="L1317" s="138"/>
      <c r="M1317" s="138"/>
      <c r="N1317" s="138"/>
      <c r="O1317" s="138"/>
    </row>
    <row r="1318" spans="2:15" x14ac:dyDescent="0.2">
      <c r="B1318" s="138"/>
      <c r="C1318" s="126"/>
      <c r="D1318" s="138"/>
      <c r="E1318" s="138"/>
      <c r="F1318" s="138"/>
      <c r="G1318" s="138"/>
      <c r="H1318" s="138"/>
      <c r="I1318" s="138"/>
      <c r="J1318" s="138"/>
      <c r="K1318" s="138"/>
      <c r="L1318" s="138"/>
      <c r="M1318" s="138"/>
      <c r="N1318" s="138"/>
      <c r="O1318" s="138"/>
    </row>
    <row r="1319" spans="2:15" x14ac:dyDescent="0.2">
      <c r="B1319" s="138"/>
      <c r="C1319" s="126"/>
      <c r="D1319" s="138"/>
      <c r="E1319" s="138"/>
      <c r="F1319" s="138"/>
      <c r="G1319" s="138"/>
      <c r="H1319" s="138"/>
      <c r="I1319" s="138"/>
      <c r="J1319" s="138"/>
      <c r="K1319" s="138"/>
      <c r="L1319" s="138"/>
      <c r="M1319" s="138"/>
      <c r="N1319" s="138"/>
      <c r="O1319" s="138"/>
    </row>
    <row r="1320" spans="2:15" x14ac:dyDescent="0.2">
      <c r="B1320" s="138"/>
      <c r="C1320" s="126"/>
      <c r="D1320" s="138"/>
      <c r="E1320" s="138"/>
      <c r="F1320" s="138"/>
      <c r="G1320" s="138"/>
      <c r="H1320" s="138"/>
      <c r="I1320" s="138"/>
      <c r="J1320" s="138"/>
      <c r="K1320" s="138"/>
      <c r="L1320" s="138"/>
      <c r="M1320" s="138"/>
      <c r="N1320" s="138"/>
      <c r="O1320" s="138"/>
    </row>
    <row r="1321" spans="2:15" x14ac:dyDescent="0.2">
      <c r="B1321" s="138"/>
      <c r="C1321" s="126"/>
      <c r="D1321" s="138"/>
      <c r="E1321" s="138"/>
      <c r="F1321" s="138"/>
      <c r="G1321" s="138"/>
      <c r="H1321" s="138"/>
      <c r="I1321" s="138"/>
      <c r="J1321" s="138"/>
      <c r="K1321" s="138"/>
      <c r="L1321" s="138"/>
      <c r="M1321" s="138"/>
      <c r="N1321" s="138"/>
      <c r="O1321" s="138"/>
    </row>
    <row r="1322" spans="2:15" x14ac:dyDescent="0.2">
      <c r="B1322" s="138"/>
      <c r="C1322" s="126"/>
      <c r="D1322" s="138"/>
      <c r="E1322" s="138"/>
      <c r="F1322" s="138"/>
      <c r="G1322" s="138"/>
      <c r="H1322" s="138"/>
      <c r="I1322" s="138"/>
      <c r="J1322" s="138"/>
      <c r="K1322" s="138"/>
      <c r="L1322" s="138"/>
      <c r="M1322" s="138"/>
      <c r="N1322" s="138"/>
      <c r="O1322" s="138"/>
    </row>
    <row r="1323" spans="2:15" x14ac:dyDescent="0.2">
      <c r="B1323" s="138"/>
      <c r="C1323" s="126"/>
      <c r="D1323" s="138"/>
      <c r="E1323" s="138"/>
      <c r="F1323" s="138"/>
      <c r="G1323" s="138"/>
      <c r="H1323" s="138"/>
      <c r="I1323" s="138"/>
      <c r="J1323" s="138"/>
      <c r="K1323" s="138"/>
      <c r="L1323" s="138"/>
      <c r="M1323" s="138"/>
      <c r="N1323" s="138"/>
      <c r="O1323" s="138"/>
    </row>
    <row r="1324" spans="2:15" x14ac:dyDescent="0.2">
      <c r="B1324" s="138"/>
      <c r="C1324" s="126"/>
      <c r="D1324" s="138"/>
      <c r="E1324" s="138"/>
      <c r="F1324" s="138"/>
      <c r="G1324" s="138"/>
      <c r="H1324" s="138"/>
      <c r="I1324" s="138"/>
      <c r="J1324" s="138"/>
      <c r="K1324" s="138"/>
      <c r="L1324" s="138"/>
      <c r="M1324" s="138"/>
      <c r="N1324" s="138"/>
      <c r="O1324" s="138"/>
    </row>
    <row r="1325" spans="2:15" x14ac:dyDescent="0.2">
      <c r="B1325" s="138"/>
      <c r="C1325" s="126"/>
      <c r="D1325" s="138"/>
      <c r="E1325" s="138"/>
      <c r="F1325" s="138"/>
      <c r="G1325" s="138"/>
      <c r="H1325" s="138"/>
      <c r="I1325" s="138"/>
      <c r="J1325" s="138"/>
      <c r="K1325" s="138"/>
      <c r="L1325" s="138"/>
      <c r="M1325" s="138"/>
      <c r="N1325" s="138"/>
      <c r="O1325" s="138"/>
    </row>
    <row r="1326" spans="2:15" x14ac:dyDescent="0.2">
      <c r="B1326" s="138"/>
      <c r="C1326" s="126"/>
      <c r="D1326" s="138"/>
      <c r="E1326" s="138"/>
      <c r="F1326" s="138"/>
      <c r="G1326" s="138"/>
      <c r="H1326" s="138"/>
      <c r="I1326" s="138"/>
      <c r="J1326" s="138"/>
      <c r="K1326" s="138"/>
      <c r="L1326" s="138"/>
      <c r="M1326" s="138"/>
      <c r="N1326" s="138"/>
      <c r="O1326" s="138"/>
    </row>
    <row r="1327" spans="2:15" x14ac:dyDescent="0.2">
      <c r="B1327" s="138"/>
      <c r="C1327" s="126"/>
      <c r="D1327" s="138"/>
      <c r="E1327" s="138"/>
      <c r="F1327" s="138"/>
      <c r="G1327" s="138"/>
      <c r="H1327" s="138"/>
      <c r="I1327" s="138"/>
      <c r="J1327" s="138"/>
      <c r="K1327" s="138"/>
      <c r="L1327" s="138"/>
      <c r="M1327" s="138"/>
      <c r="N1327" s="138"/>
      <c r="O1327" s="138"/>
    </row>
    <row r="1328" spans="2:15" x14ac:dyDescent="0.2">
      <c r="B1328" s="138"/>
      <c r="C1328" s="126"/>
      <c r="D1328" s="138"/>
      <c r="E1328" s="138"/>
      <c r="F1328" s="138"/>
      <c r="G1328" s="138"/>
      <c r="H1328" s="138"/>
      <c r="I1328" s="138"/>
      <c r="J1328" s="138"/>
      <c r="K1328" s="138"/>
      <c r="L1328" s="138"/>
      <c r="M1328" s="138"/>
      <c r="N1328" s="138"/>
      <c r="O1328" s="138"/>
    </row>
    <row r="1329" spans="2:15" x14ac:dyDescent="0.2">
      <c r="B1329" s="138"/>
      <c r="C1329" s="126"/>
      <c r="D1329" s="138"/>
      <c r="E1329" s="138"/>
      <c r="F1329" s="138"/>
      <c r="G1329" s="138"/>
      <c r="H1329" s="138"/>
      <c r="I1329" s="138"/>
      <c r="J1329" s="138"/>
      <c r="K1329" s="138"/>
      <c r="L1329" s="138"/>
      <c r="M1329" s="138"/>
      <c r="N1329" s="138"/>
      <c r="O1329" s="138"/>
    </row>
    <row r="1330" spans="2:15" x14ac:dyDescent="0.2">
      <c r="B1330" s="138"/>
      <c r="C1330" s="126"/>
      <c r="D1330" s="138"/>
      <c r="E1330" s="138"/>
      <c r="F1330" s="138"/>
      <c r="G1330" s="138"/>
      <c r="H1330" s="138"/>
      <c r="I1330" s="138"/>
      <c r="J1330" s="138"/>
      <c r="K1330" s="138"/>
      <c r="L1330" s="138"/>
      <c r="M1330" s="138"/>
      <c r="N1330" s="138"/>
      <c r="O1330" s="138"/>
    </row>
    <row r="1331" spans="2:15" x14ac:dyDescent="0.2">
      <c r="B1331" s="138"/>
      <c r="C1331" s="126"/>
      <c r="D1331" s="138"/>
      <c r="E1331" s="138"/>
      <c r="F1331" s="138"/>
      <c r="G1331" s="138"/>
      <c r="H1331" s="138"/>
      <c r="I1331" s="138"/>
      <c r="J1331" s="138"/>
      <c r="K1331" s="138"/>
      <c r="L1331" s="138"/>
      <c r="M1331" s="138"/>
      <c r="N1331" s="138"/>
      <c r="O1331" s="138"/>
    </row>
    <row r="1332" spans="2:15" x14ac:dyDescent="0.2">
      <c r="B1332" s="138"/>
      <c r="C1332" s="126"/>
      <c r="D1332" s="138"/>
      <c r="E1332" s="138"/>
      <c r="F1332" s="138"/>
      <c r="G1332" s="138"/>
      <c r="H1332" s="138"/>
      <c r="I1332" s="138"/>
      <c r="J1332" s="138"/>
      <c r="K1332" s="138"/>
      <c r="L1332" s="138"/>
      <c r="M1332" s="138"/>
      <c r="N1332" s="138"/>
      <c r="O1332" s="138"/>
    </row>
    <row r="1333" spans="2:15" x14ac:dyDescent="0.2">
      <c r="B1333" s="138"/>
      <c r="C1333" s="126"/>
      <c r="D1333" s="138"/>
      <c r="E1333" s="138"/>
      <c r="F1333" s="138"/>
      <c r="G1333" s="138"/>
      <c r="H1333" s="138"/>
      <c r="I1333" s="138"/>
      <c r="J1333" s="138"/>
      <c r="K1333" s="138"/>
      <c r="L1333" s="138"/>
      <c r="M1333" s="138"/>
      <c r="N1333" s="138"/>
      <c r="O1333" s="138"/>
    </row>
    <row r="1334" spans="2:15" x14ac:dyDescent="0.2">
      <c r="B1334" s="138"/>
      <c r="C1334" s="126"/>
      <c r="D1334" s="138"/>
      <c r="E1334" s="138"/>
      <c r="F1334" s="138"/>
      <c r="G1334" s="138"/>
      <c r="H1334" s="138"/>
      <c r="I1334" s="138"/>
      <c r="J1334" s="138"/>
      <c r="K1334" s="138"/>
      <c r="L1334" s="138"/>
      <c r="M1334" s="138"/>
      <c r="N1334" s="138"/>
      <c r="O1334" s="138"/>
    </row>
    <row r="1335" spans="2:15" x14ac:dyDescent="0.2">
      <c r="B1335" s="138"/>
      <c r="C1335" s="126"/>
      <c r="D1335" s="138"/>
      <c r="E1335" s="138"/>
      <c r="F1335" s="138"/>
      <c r="G1335" s="138"/>
      <c r="H1335" s="138"/>
      <c r="I1335" s="138"/>
      <c r="J1335" s="138"/>
      <c r="K1335" s="138"/>
      <c r="L1335" s="138"/>
      <c r="M1335" s="138"/>
      <c r="N1335" s="138"/>
      <c r="O1335" s="138"/>
    </row>
    <row r="1336" spans="2:15" x14ac:dyDescent="0.2">
      <c r="B1336" s="138"/>
      <c r="C1336" s="126"/>
      <c r="D1336" s="138"/>
      <c r="E1336" s="138"/>
      <c r="F1336" s="138"/>
      <c r="G1336" s="138"/>
      <c r="H1336" s="138"/>
      <c r="I1336" s="138"/>
      <c r="J1336" s="138"/>
      <c r="K1336" s="138"/>
      <c r="L1336" s="138"/>
      <c r="M1336" s="138"/>
      <c r="N1336" s="138"/>
      <c r="O1336" s="138"/>
    </row>
    <row r="1337" spans="2:15" x14ac:dyDescent="0.2">
      <c r="B1337" s="138"/>
      <c r="C1337" s="126"/>
      <c r="D1337" s="138"/>
      <c r="E1337" s="138"/>
      <c r="F1337" s="138"/>
      <c r="G1337" s="138"/>
      <c r="H1337" s="138"/>
      <c r="I1337" s="138"/>
      <c r="J1337" s="138"/>
      <c r="K1337" s="138"/>
      <c r="L1337" s="138"/>
      <c r="M1337" s="138"/>
      <c r="N1337" s="138"/>
      <c r="O1337" s="138"/>
    </row>
    <row r="1338" spans="2:15" x14ac:dyDescent="0.2">
      <c r="B1338" s="138"/>
      <c r="C1338" s="126"/>
      <c r="D1338" s="138"/>
      <c r="E1338" s="138"/>
      <c r="F1338" s="138"/>
      <c r="G1338" s="138"/>
      <c r="H1338" s="138"/>
      <c r="I1338" s="138"/>
      <c r="J1338" s="138"/>
      <c r="K1338" s="138"/>
      <c r="L1338" s="138"/>
      <c r="M1338" s="138"/>
      <c r="N1338" s="138"/>
      <c r="O1338" s="138"/>
    </row>
    <row r="1339" spans="2:15" x14ac:dyDescent="0.2">
      <c r="B1339" s="138"/>
      <c r="C1339" s="126"/>
      <c r="D1339" s="138"/>
      <c r="E1339" s="138"/>
      <c r="F1339" s="138"/>
      <c r="G1339" s="138"/>
      <c r="H1339" s="138"/>
      <c r="I1339" s="138"/>
      <c r="J1339" s="138"/>
      <c r="K1339" s="138"/>
      <c r="L1339" s="138"/>
      <c r="M1339" s="138"/>
      <c r="N1339" s="138"/>
      <c r="O1339" s="138"/>
    </row>
    <row r="1340" spans="2:15" x14ac:dyDescent="0.2">
      <c r="B1340" s="138"/>
      <c r="C1340" s="126"/>
      <c r="D1340" s="138"/>
      <c r="E1340" s="138"/>
      <c r="F1340" s="138"/>
      <c r="G1340" s="138"/>
      <c r="H1340" s="138"/>
      <c r="I1340" s="138"/>
      <c r="J1340" s="138"/>
      <c r="K1340" s="138"/>
      <c r="L1340" s="138"/>
      <c r="M1340" s="138"/>
      <c r="N1340" s="138"/>
      <c r="O1340" s="138"/>
    </row>
    <row r="1341" spans="2:15" x14ac:dyDescent="0.2">
      <c r="B1341" s="138"/>
      <c r="C1341" s="126"/>
      <c r="D1341" s="138"/>
      <c r="E1341" s="138"/>
      <c r="F1341" s="138"/>
      <c r="G1341" s="138"/>
      <c r="H1341" s="138"/>
      <c r="I1341" s="138"/>
      <c r="J1341" s="138"/>
      <c r="K1341" s="138"/>
      <c r="L1341" s="138"/>
      <c r="M1341" s="138"/>
      <c r="N1341" s="138"/>
      <c r="O1341" s="138"/>
    </row>
    <row r="1342" spans="2:15" x14ac:dyDescent="0.2">
      <c r="B1342" s="138"/>
      <c r="C1342" s="126"/>
      <c r="D1342" s="138"/>
      <c r="E1342" s="138"/>
      <c r="F1342" s="138"/>
      <c r="G1342" s="138"/>
      <c r="H1342" s="138"/>
      <c r="I1342" s="138"/>
      <c r="J1342" s="138"/>
      <c r="K1342" s="138"/>
      <c r="L1342" s="138"/>
      <c r="M1342" s="138"/>
      <c r="N1342" s="138"/>
      <c r="O1342" s="138"/>
    </row>
    <row r="1343" spans="2:15" x14ac:dyDescent="0.2">
      <c r="B1343" s="138"/>
      <c r="C1343" s="126"/>
      <c r="D1343" s="138"/>
      <c r="E1343" s="138"/>
      <c r="F1343" s="138"/>
      <c r="G1343" s="138"/>
      <c r="H1343" s="138"/>
      <c r="I1343" s="138"/>
      <c r="J1343" s="138"/>
      <c r="K1343" s="138"/>
      <c r="L1343" s="138"/>
      <c r="M1343" s="138"/>
      <c r="N1343" s="138"/>
      <c r="O1343" s="138"/>
    </row>
    <row r="1344" spans="2:15" x14ac:dyDescent="0.2">
      <c r="B1344" s="138"/>
      <c r="C1344" s="126"/>
      <c r="D1344" s="138"/>
      <c r="E1344" s="138"/>
      <c r="F1344" s="138"/>
      <c r="G1344" s="138"/>
      <c r="H1344" s="138"/>
      <c r="I1344" s="138"/>
      <c r="J1344" s="138"/>
      <c r="K1344" s="138"/>
      <c r="L1344" s="138"/>
      <c r="M1344" s="138"/>
      <c r="N1344" s="138"/>
      <c r="O1344" s="138"/>
    </row>
    <row r="1345" spans="2:15" x14ac:dyDescent="0.2">
      <c r="B1345" s="138"/>
      <c r="C1345" s="126"/>
      <c r="D1345" s="138"/>
      <c r="E1345" s="138"/>
      <c r="F1345" s="138"/>
      <c r="G1345" s="138"/>
      <c r="H1345" s="138"/>
      <c r="I1345" s="138"/>
      <c r="J1345" s="138"/>
      <c r="K1345" s="138"/>
      <c r="L1345" s="138"/>
      <c r="M1345" s="138"/>
      <c r="N1345" s="138"/>
      <c r="O1345" s="138"/>
    </row>
    <row r="1346" spans="2:15" x14ac:dyDescent="0.2">
      <c r="B1346" s="138"/>
      <c r="C1346" s="126"/>
      <c r="D1346" s="138"/>
      <c r="E1346" s="138"/>
      <c r="F1346" s="138"/>
      <c r="G1346" s="138"/>
      <c r="H1346" s="138"/>
      <c r="I1346" s="138"/>
      <c r="J1346" s="138"/>
      <c r="K1346" s="138"/>
      <c r="L1346" s="138"/>
      <c r="M1346" s="138"/>
      <c r="N1346" s="138"/>
      <c r="O1346" s="138"/>
    </row>
    <row r="1347" spans="2:15" x14ac:dyDescent="0.2">
      <c r="B1347" s="138"/>
      <c r="C1347" s="126"/>
      <c r="D1347" s="138"/>
      <c r="E1347" s="138"/>
      <c r="F1347" s="138"/>
      <c r="G1347" s="138"/>
      <c r="H1347" s="138"/>
      <c r="I1347" s="138"/>
      <c r="J1347" s="138"/>
      <c r="K1347" s="138"/>
      <c r="L1347" s="138"/>
      <c r="M1347" s="138"/>
      <c r="N1347" s="138"/>
      <c r="O1347" s="138"/>
    </row>
    <row r="1348" spans="2:15" x14ac:dyDescent="0.2">
      <c r="B1348" s="138"/>
      <c r="C1348" s="126"/>
      <c r="D1348" s="138"/>
      <c r="E1348" s="138"/>
      <c r="F1348" s="138"/>
      <c r="G1348" s="138"/>
      <c r="H1348" s="138"/>
      <c r="I1348" s="138"/>
      <c r="J1348" s="138"/>
      <c r="K1348" s="138"/>
      <c r="L1348" s="138"/>
      <c r="M1348" s="138"/>
      <c r="N1348" s="138"/>
      <c r="O1348" s="138"/>
    </row>
    <row r="1349" spans="2:15" x14ac:dyDescent="0.2">
      <c r="B1349" s="138"/>
      <c r="C1349" s="126"/>
      <c r="D1349" s="138"/>
      <c r="E1349" s="138"/>
      <c r="F1349" s="138"/>
      <c r="G1349" s="138"/>
      <c r="H1349" s="138"/>
      <c r="I1349" s="138"/>
      <c r="J1349" s="138"/>
      <c r="K1349" s="138"/>
      <c r="L1349" s="138"/>
      <c r="M1349" s="138"/>
      <c r="N1349" s="138"/>
      <c r="O1349" s="138"/>
    </row>
    <row r="1350" spans="2:15" x14ac:dyDescent="0.2">
      <c r="B1350" s="138"/>
      <c r="C1350" s="126"/>
      <c r="D1350" s="138"/>
      <c r="E1350" s="138"/>
      <c r="F1350" s="138"/>
      <c r="G1350" s="138"/>
      <c r="H1350" s="138"/>
      <c r="I1350" s="138"/>
      <c r="J1350" s="138"/>
      <c r="K1350" s="138"/>
      <c r="L1350" s="138"/>
      <c r="M1350" s="138"/>
      <c r="N1350" s="138"/>
      <c r="O1350" s="138"/>
    </row>
    <row r="1351" spans="2:15" x14ac:dyDescent="0.2">
      <c r="B1351" s="138"/>
      <c r="C1351" s="126"/>
      <c r="D1351" s="138"/>
      <c r="E1351" s="138"/>
      <c r="F1351" s="138"/>
      <c r="G1351" s="138"/>
      <c r="H1351" s="138"/>
      <c r="I1351" s="138"/>
      <c r="J1351" s="138"/>
      <c r="K1351" s="138"/>
      <c r="L1351" s="138"/>
      <c r="M1351" s="138"/>
      <c r="N1351" s="138"/>
      <c r="O1351" s="138"/>
    </row>
    <row r="1352" spans="2:15" x14ac:dyDescent="0.2">
      <c r="B1352" s="138"/>
      <c r="C1352" s="126"/>
      <c r="D1352" s="138"/>
      <c r="E1352" s="138"/>
      <c r="F1352" s="138"/>
      <c r="G1352" s="138"/>
      <c r="H1352" s="138"/>
      <c r="I1352" s="138"/>
      <c r="J1352" s="138"/>
      <c r="K1352" s="138"/>
      <c r="L1352" s="138"/>
      <c r="M1352" s="138"/>
      <c r="N1352" s="138"/>
      <c r="O1352" s="138"/>
    </row>
    <row r="1353" spans="2:15" x14ac:dyDescent="0.2">
      <c r="B1353" s="138"/>
      <c r="C1353" s="126"/>
      <c r="D1353" s="138"/>
      <c r="E1353" s="138"/>
      <c r="F1353" s="138"/>
      <c r="G1353" s="138"/>
      <c r="H1353" s="138"/>
      <c r="I1353" s="138"/>
      <c r="J1353" s="138"/>
      <c r="K1353" s="138"/>
      <c r="L1353" s="138"/>
      <c r="M1353" s="138"/>
      <c r="N1353" s="138"/>
      <c r="O1353" s="138"/>
    </row>
    <row r="1354" spans="2:15" x14ac:dyDescent="0.2">
      <c r="B1354" s="138"/>
      <c r="C1354" s="126"/>
      <c r="D1354" s="138"/>
      <c r="E1354" s="138"/>
      <c r="F1354" s="138"/>
      <c r="G1354" s="138"/>
      <c r="H1354" s="138"/>
      <c r="I1354" s="138"/>
      <c r="J1354" s="138"/>
      <c r="K1354" s="138"/>
      <c r="L1354" s="138"/>
      <c r="M1354" s="138"/>
      <c r="N1354" s="138"/>
      <c r="O1354" s="138"/>
    </row>
    <row r="1355" spans="2:15" x14ac:dyDescent="0.2">
      <c r="B1355" s="138"/>
      <c r="C1355" s="126"/>
      <c r="D1355" s="138"/>
      <c r="E1355" s="138"/>
      <c r="F1355" s="138"/>
      <c r="G1355" s="138"/>
      <c r="H1355" s="138"/>
      <c r="I1355" s="138"/>
      <c r="J1355" s="138"/>
      <c r="K1355" s="138"/>
      <c r="L1355" s="138"/>
      <c r="M1355" s="138"/>
      <c r="N1355" s="138"/>
      <c r="O1355" s="138"/>
    </row>
    <row r="1356" spans="2:15" x14ac:dyDescent="0.2">
      <c r="B1356" s="138"/>
      <c r="C1356" s="126"/>
      <c r="D1356" s="138"/>
      <c r="E1356" s="138"/>
      <c r="F1356" s="138"/>
      <c r="G1356" s="138"/>
      <c r="H1356" s="138"/>
      <c r="I1356" s="138"/>
      <c r="J1356" s="138"/>
      <c r="K1356" s="138"/>
      <c r="L1356" s="138"/>
      <c r="M1356" s="138"/>
      <c r="N1356" s="138"/>
      <c r="O1356" s="138"/>
    </row>
    <row r="1357" spans="2:15" x14ac:dyDescent="0.2">
      <c r="B1357" s="138"/>
      <c r="C1357" s="126"/>
      <c r="D1357" s="138"/>
      <c r="E1357" s="138"/>
      <c r="F1357" s="138"/>
      <c r="G1357" s="138"/>
      <c r="H1357" s="138"/>
      <c r="I1357" s="138"/>
      <c r="J1357" s="138"/>
      <c r="K1357" s="138"/>
      <c r="L1357" s="138"/>
      <c r="M1357" s="138"/>
      <c r="N1357" s="138"/>
      <c r="O1357" s="138"/>
    </row>
    <row r="1358" spans="2:15" x14ac:dyDescent="0.2">
      <c r="B1358" s="138"/>
      <c r="C1358" s="126"/>
      <c r="D1358" s="138"/>
      <c r="E1358" s="138"/>
      <c r="F1358" s="138"/>
      <c r="G1358" s="138"/>
      <c r="H1358" s="138"/>
      <c r="I1358" s="138"/>
      <c r="J1358" s="138"/>
      <c r="K1358" s="138"/>
      <c r="L1358" s="138"/>
      <c r="M1358" s="138"/>
      <c r="N1358" s="138"/>
      <c r="O1358" s="138"/>
    </row>
    <row r="1359" spans="2:15" x14ac:dyDescent="0.2">
      <c r="B1359" s="138"/>
      <c r="C1359" s="126"/>
      <c r="D1359" s="138"/>
      <c r="E1359" s="138"/>
      <c r="F1359" s="138"/>
      <c r="G1359" s="138"/>
      <c r="H1359" s="138"/>
      <c r="I1359" s="138"/>
      <c r="J1359" s="138"/>
      <c r="K1359" s="138"/>
      <c r="L1359" s="138"/>
      <c r="M1359" s="138"/>
      <c r="N1359" s="138"/>
      <c r="O1359" s="138"/>
    </row>
    <row r="1360" spans="2:15" x14ac:dyDescent="0.2">
      <c r="B1360" s="138"/>
      <c r="C1360" s="126"/>
      <c r="D1360" s="138"/>
      <c r="E1360" s="138"/>
      <c r="F1360" s="138"/>
      <c r="G1360" s="138"/>
      <c r="H1360" s="138"/>
      <c r="I1360" s="138"/>
      <c r="J1360" s="138"/>
      <c r="K1360" s="138"/>
      <c r="L1360" s="138"/>
      <c r="M1360" s="138"/>
      <c r="N1360" s="138"/>
      <c r="O1360" s="138"/>
    </row>
    <row r="1361" spans="2:15" x14ac:dyDescent="0.2">
      <c r="B1361" s="138"/>
      <c r="C1361" s="126"/>
      <c r="D1361" s="138"/>
      <c r="E1361" s="138"/>
      <c r="F1361" s="138"/>
      <c r="G1361" s="138"/>
      <c r="H1361" s="138"/>
      <c r="I1361" s="138"/>
      <c r="J1361" s="138"/>
      <c r="K1361" s="138"/>
      <c r="L1361" s="138"/>
      <c r="M1361" s="138"/>
      <c r="N1361" s="138"/>
      <c r="O1361" s="138"/>
    </row>
    <row r="1362" spans="2:15" x14ac:dyDescent="0.2">
      <c r="B1362" s="138"/>
      <c r="C1362" s="126"/>
      <c r="D1362" s="138"/>
      <c r="E1362" s="138"/>
      <c r="F1362" s="138"/>
      <c r="G1362" s="138"/>
      <c r="H1362" s="138"/>
      <c r="I1362" s="138"/>
      <c r="J1362" s="138"/>
      <c r="K1362" s="138"/>
      <c r="L1362" s="138"/>
      <c r="M1362" s="138"/>
      <c r="N1362" s="138"/>
      <c r="O1362" s="138"/>
    </row>
    <row r="1363" spans="2:15" x14ac:dyDescent="0.2">
      <c r="B1363" s="138"/>
      <c r="C1363" s="126"/>
      <c r="D1363" s="138"/>
      <c r="E1363" s="138"/>
      <c r="F1363" s="138"/>
      <c r="G1363" s="138"/>
      <c r="H1363" s="138"/>
      <c r="I1363" s="138"/>
      <c r="J1363" s="138"/>
      <c r="K1363" s="138"/>
      <c r="L1363" s="138"/>
      <c r="M1363" s="138"/>
      <c r="N1363" s="138"/>
      <c r="O1363" s="138"/>
    </row>
    <row r="1364" spans="2:15" x14ac:dyDescent="0.2">
      <c r="B1364" s="138"/>
      <c r="C1364" s="126"/>
      <c r="D1364" s="138"/>
      <c r="E1364" s="138"/>
      <c r="F1364" s="138"/>
      <c r="G1364" s="138"/>
      <c r="H1364" s="138"/>
      <c r="I1364" s="138"/>
      <c r="J1364" s="138"/>
      <c r="K1364" s="138"/>
      <c r="L1364" s="138"/>
      <c r="M1364" s="138"/>
      <c r="N1364" s="138"/>
      <c r="O1364" s="138"/>
    </row>
    <row r="1365" spans="2:15" x14ac:dyDescent="0.2">
      <c r="B1365" s="138"/>
      <c r="C1365" s="126"/>
      <c r="D1365" s="138"/>
      <c r="E1365" s="138"/>
      <c r="F1365" s="138"/>
      <c r="G1365" s="138"/>
      <c r="H1365" s="138"/>
      <c r="I1365" s="138"/>
      <c r="J1365" s="138"/>
      <c r="K1365" s="138"/>
      <c r="L1365" s="138"/>
      <c r="M1365" s="138"/>
      <c r="N1365" s="138"/>
      <c r="O1365" s="138"/>
    </row>
    <row r="1366" spans="2:15" x14ac:dyDescent="0.2">
      <c r="B1366" s="138"/>
      <c r="C1366" s="126"/>
      <c r="D1366" s="138"/>
      <c r="E1366" s="138"/>
      <c r="F1366" s="138"/>
      <c r="G1366" s="138"/>
      <c r="H1366" s="138"/>
      <c r="I1366" s="138"/>
      <c r="J1366" s="138"/>
      <c r="K1366" s="138"/>
      <c r="L1366" s="138"/>
      <c r="M1366" s="138"/>
      <c r="N1366" s="138"/>
      <c r="O1366" s="138"/>
    </row>
    <row r="1367" spans="2:15" x14ac:dyDescent="0.2">
      <c r="B1367" s="138"/>
      <c r="C1367" s="126"/>
      <c r="D1367" s="138"/>
      <c r="E1367" s="138"/>
      <c r="F1367" s="138"/>
      <c r="G1367" s="138"/>
      <c r="H1367" s="138"/>
      <c r="I1367" s="138"/>
      <c r="J1367" s="138"/>
      <c r="K1367" s="138"/>
      <c r="L1367" s="138"/>
      <c r="M1367" s="138"/>
      <c r="N1367" s="138"/>
      <c r="O1367" s="138"/>
    </row>
    <row r="1368" spans="2:15" x14ac:dyDescent="0.2">
      <c r="B1368" s="138"/>
      <c r="C1368" s="126"/>
      <c r="D1368" s="138"/>
      <c r="E1368" s="138"/>
      <c r="F1368" s="138"/>
      <c r="G1368" s="138"/>
      <c r="H1368" s="138"/>
      <c r="I1368" s="138"/>
      <c r="J1368" s="138"/>
      <c r="K1368" s="138"/>
      <c r="L1368" s="138"/>
      <c r="M1368" s="138"/>
      <c r="N1368" s="138"/>
      <c r="O1368" s="138"/>
    </row>
    <row r="1369" spans="2:15" x14ac:dyDescent="0.2">
      <c r="B1369" s="138"/>
      <c r="C1369" s="126"/>
      <c r="D1369" s="138"/>
      <c r="E1369" s="138"/>
      <c r="F1369" s="138"/>
      <c r="G1369" s="138"/>
      <c r="H1369" s="138"/>
      <c r="I1369" s="138"/>
      <c r="J1369" s="138"/>
      <c r="K1369" s="138"/>
      <c r="L1369" s="138"/>
      <c r="M1369" s="138"/>
      <c r="N1369" s="138"/>
      <c r="O1369" s="138"/>
    </row>
    <row r="1370" spans="2:15" x14ac:dyDescent="0.2">
      <c r="B1370" s="138"/>
      <c r="C1370" s="126"/>
      <c r="D1370" s="138"/>
      <c r="E1370" s="138"/>
      <c r="F1370" s="138"/>
      <c r="G1370" s="138"/>
      <c r="H1370" s="138"/>
      <c r="I1370" s="138"/>
      <c r="J1370" s="138"/>
      <c r="K1370" s="138"/>
      <c r="L1370" s="138"/>
      <c r="M1370" s="138"/>
      <c r="N1370" s="138"/>
      <c r="O1370" s="138"/>
    </row>
    <row r="1371" spans="2:15" x14ac:dyDescent="0.2">
      <c r="B1371" s="138"/>
      <c r="C1371" s="126"/>
      <c r="D1371" s="138"/>
      <c r="E1371" s="138"/>
      <c r="F1371" s="138"/>
      <c r="G1371" s="138"/>
      <c r="H1371" s="138"/>
      <c r="I1371" s="138"/>
      <c r="J1371" s="138"/>
      <c r="K1371" s="138"/>
      <c r="L1371" s="138"/>
      <c r="M1371" s="138"/>
      <c r="N1371" s="138"/>
      <c r="O1371" s="138"/>
    </row>
    <row r="1372" spans="2:15" x14ac:dyDescent="0.2">
      <c r="B1372" s="138"/>
      <c r="C1372" s="126"/>
      <c r="D1372" s="138"/>
      <c r="E1372" s="138"/>
      <c r="F1372" s="138"/>
      <c r="G1372" s="138"/>
      <c r="H1372" s="138"/>
      <c r="I1372" s="138"/>
      <c r="J1372" s="138"/>
      <c r="K1372" s="138"/>
      <c r="L1372" s="138"/>
      <c r="M1372" s="138"/>
      <c r="N1372" s="138"/>
      <c r="O1372" s="138"/>
    </row>
    <row r="1373" spans="2:15" x14ac:dyDescent="0.2">
      <c r="B1373" s="138"/>
      <c r="C1373" s="126"/>
      <c r="D1373" s="138"/>
      <c r="E1373" s="138"/>
      <c r="F1373" s="138"/>
      <c r="G1373" s="138"/>
      <c r="H1373" s="138"/>
      <c r="I1373" s="138"/>
      <c r="J1373" s="138"/>
      <c r="K1373" s="138"/>
      <c r="L1373" s="138"/>
      <c r="M1373" s="138"/>
      <c r="N1373" s="138"/>
      <c r="O1373" s="138"/>
    </row>
    <row r="1374" spans="2:15" x14ac:dyDescent="0.2">
      <c r="B1374" s="138"/>
      <c r="C1374" s="126"/>
      <c r="D1374" s="138"/>
      <c r="E1374" s="138"/>
      <c r="F1374" s="138"/>
      <c r="G1374" s="138"/>
      <c r="H1374" s="138"/>
      <c r="I1374" s="138"/>
      <c r="J1374" s="138"/>
      <c r="K1374" s="138"/>
      <c r="L1374" s="138"/>
      <c r="M1374" s="138"/>
      <c r="N1374" s="138"/>
      <c r="O1374" s="138"/>
    </row>
    <row r="1375" spans="2:15" x14ac:dyDescent="0.2">
      <c r="B1375" s="138"/>
      <c r="C1375" s="126"/>
      <c r="D1375" s="138"/>
      <c r="E1375" s="138"/>
      <c r="F1375" s="138"/>
      <c r="G1375" s="138"/>
      <c r="H1375" s="138"/>
      <c r="I1375" s="138"/>
      <c r="J1375" s="138"/>
      <c r="K1375" s="138"/>
      <c r="L1375" s="138"/>
      <c r="M1375" s="138"/>
      <c r="N1375" s="138"/>
      <c r="O1375" s="138"/>
    </row>
    <row r="1376" spans="2:15" x14ac:dyDescent="0.2">
      <c r="B1376" s="138"/>
      <c r="C1376" s="126"/>
      <c r="D1376" s="138"/>
      <c r="E1376" s="138"/>
      <c r="F1376" s="138"/>
      <c r="G1376" s="138"/>
      <c r="H1376" s="138"/>
      <c r="I1376" s="138"/>
      <c r="J1376" s="138"/>
      <c r="K1376" s="138"/>
      <c r="L1376" s="138"/>
      <c r="M1376" s="138"/>
      <c r="N1376" s="138"/>
      <c r="O1376" s="138"/>
    </row>
    <row r="1377" spans="2:15" x14ac:dyDescent="0.2">
      <c r="B1377" s="138"/>
      <c r="C1377" s="126"/>
      <c r="D1377" s="138"/>
      <c r="E1377" s="138"/>
      <c r="F1377" s="138"/>
      <c r="G1377" s="138"/>
      <c r="H1377" s="138"/>
      <c r="I1377" s="138"/>
      <c r="J1377" s="138"/>
      <c r="K1377" s="138"/>
      <c r="L1377" s="138"/>
      <c r="M1377" s="138"/>
      <c r="N1377" s="138"/>
      <c r="O1377" s="138"/>
    </row>
    <row r="1378" spans="2:15" x14ac:dyDescent="0.2">
      <c r="B1378" s="138"/>
      <c r="C1378" s="126"/>
      <c r="D1378" s="138"/>
      <c r="E1378" s="138"/>
      <c r="F1378" s="138"/>
      <c r="G1378" s="138"/>
      <c r="H1378" s="138"/>
      <c r="I1378" s="138"/>
      <c r="J1378" s="138"/>
      <c r="K1378" s="138"/>
      <c r="L1378" s="138"/>
      <c r="M1378" s="138"/>
      <c r="N1378" s="138"/>
      <c r="O1378" s="138"/>
    </row>
    <row r="1379" spans="2:15" x14ac:dyDescent="0.2">
      <c r="B1379" s="138"/>
      <c r="C1379" s="126"/>
      <c r="D1379" s="138"/>
      <c r="E1379" s="138"/>
      <c r="F1379" s="138"/>
      <c r="G1379" s="138"/>
      <c r="H1379" s="138"/>
      <c r="I1379" s="138"/>
      <c r="J1379" s="138"/>
      <c r="K1379" s="138"/>
      <c r="L1379" s="138"/>
      <c r="M1379" s="138"/>
      <c r="N1379" s="138"/>
      <c r="O1379" s="138"/>
    </row>
    <row r="1380" spans="2:15" x14ac:dyDescent="0.2">
      <c r="B1380" s="138"/>
      <c r="C1380" s="126"/>
      <c r="D1380" s="138"/>
      <c r="E1380" s="138"/>
      <c r="F1380" s="138"/>
      <c r="G1380" s="138"/>
      <c r="H1380" s="138"/>
      <c r="I1380" s="138"/>
      <c r="J1380" s="138"/>
      <c r="K1380" s="138"/>
      <c r="L1380" s="138"/>
      <c r="M1380" s="138"/>
      <c r="N1380" s="138"/>
      <c r="O1380" s="138"/>
    </row>
    <row r="1381" spans="2:15" x14ac:dyDescent="0.2">
      <c r="B1381" s="138"/>
      <c r="C1381" s="126"/>
      <c r="D1381" s="138"/>
      <c r="E1381" s="138"/>
      <c r="F1381" s="138"/>
      <c r="G1381" s="138"/>
      <c r="H1381" s="138"/>
      <c r="I1381" s="138"/>
      <c r="J1381" s="138"/>
      <c r="K1381" s="138"/>
      <c r="L1381" s="138"/>
      <c r="M1381" s="138"/>
      <c r="N1381" s="138"/>
      <c r="O1381" s="138"/>
    </row>
    <row r="1382" spans="2:15" x14ac:dyDescent="0.2">
      <c r="B1382" s="138"/>
      <c r="C1382" s="126"/>
      <c r="D1382" s="138"/>
      <c r="E1382" s="138"/>
      <c r="F1382" s="138"/>
      <c r="G1382" s="138"/>
      <c r="H1382" s="138"/>
      <c r="I1382" s="138"/>
      <c r="J1382" s="138"/>
      <c r="K1382" s="138"/>
      <c r="L1382" s="138"/>
      <c r="M1382" s="138"/>
      <c r="N1382" s="138"/>
      <c r="O1382" s="138"/>
    </row>
    <row r="1383" spans="2:15" x14ac:dyDescent="0.2">
      <c r="B1383" s="138"/>
      <c r="C1383" s="126"/>
      <c r="D1383" s="138"/>
      <c r="E1383" s="138"/>
      <c r="F1383" s="138"/>
      <c r="G1383" s="138"/>
      <c r="H1383" s="138"/>
      <c r="I1383" s="138"/>
      <c r="J1383" s="138"/>
      <c r="K1383" s="138"/>
      <c r="L1383" s="138"/>
      <c r="M1383" s="138"/>
      <c r="N1383" s="138"/>
      <c r="O1383" s="138"/>
    </row>
    <row r="1384" spans="2:15" x14ac:dyDescent="0.2">
      <c r="B1384" s="138"/>
      <c r="C1384" s="126"/>
      <c r="D1384" s="138"/>
      <c r="E1384" s="138"/>
      <c r="F1384" s="138"/>
      <c r="G1384" s="138"/>
      <c r="H1384" s="138"/>
      <c r="I1384" s="138"/>
      <c r="J1384" s="138"/>
      <c r="K1384" s="138"/>
      <c r="L1384" s="138"/>
      <c r="M1384" s="138"/>
      <c r="N1384" s="138"/>
      <c r="O1384" s="138"/>
    </row>
    <row r="1385" spans="2:15" x14ac:dyDescent="0.2">
      <c r="B1385" s="138"/>
      <c r="C1385" s="126"/>
      <c r="D1385" s="138"/>
      <c r="E1385" s="138"/>
      <c r="F1385" s="138"/>
      <c r="G1385" s="138"/>
      <c r="H1385" s="138"/>
      <c r="I1385" s="138"/>
      <c r="J1385" s="138"/>
      <c r="K1385" s="138"/>
      <c r="L1385" s="138"/>
      <c r="M1385" s="138"/>
      <c r="N1385" s="138"/>
      <c r="O1385" s="138"/>
    </row>
    <row r="1386" spans="2:15" x14ac:dyDescent="0.2">
      <c r="B1386" s="138"/>
      <c r="C1386" s="126"/>
      <c r="D1386" s="138"/>
      <c r="E1386" s="138"/>
      <c r="F1386" s="138"/>
      <c r="G1386" s="138"/>
      <c r="H1386" s="138"/>
      <c r="I1386" s="138"/>
      <c r="J1386" s="138"/>
      <c r="K1386" s="138"/>
      <c r="L1386" s="138"/>
      <c r="M1386" s="138"/>
      <c r="N1386" s="138"/>
      <c r="O1386" s="138"/>
    </row>
    <row r="1387" spans="2:15" x14ac:dyDescent="0.2">
      <c r="B1387" s="138"/>
      <c r="C1387" s="126"/>
      <c r="D1387" s="138"/>
      <c r="E1387" s="138"/>
      <c r="F1387" s="138"/>
      <c r="G1387" s="138"/>
      <c r="H1387" s="138"/>
      <c r="I1387" s="138"/>
      <c r="J1387" s="138"/>
      <c r="K1387" s="138"/>
      <c r="L1387" s="138"/>
      <c r="M1387" s="138"/>
      <c r="N1387" s="138"/>
      <c r="O1387" s="138"/>
    </row>
    <row r="1388" spans="2:15" x14ac:dyDescent="0.2">
      <c r="B1388" s="138"/>
      <c r="C1388" s="126"/>
      <c r="D1388" s="138"/>
      <c r="E1388" s="138"/>
      <c r="F1388" s="138"/>
      <c r="G1388" s="138"/>
      <c r="H1388" s="138"/>
      <c r="I1388" s="138"/>
      <c r="J1388" s="138"/>
      <c r="K1388" s="138"/>
      <c r="L1388" s="138"/>
      <c r="M1388" s="138"/>
      <c r="N1388" s="138"/>
      <c r="O1388" s="138"/>
    </row>
    <row r="1389" spans="2:15" x14ac:dyDescent="0.2">
      <c r="B1389" s="138"/>
      <c r="C1389" s="126"/>
      <c r="D1389" s="138"/>
      <c r="E1389" s="138"/>
      <c r="F1389" s="138"/>
      <c r="G1389" s="138"/>
      <c r="H1389" s="138"/>
      <c r="I1389" s="138"/>
      <c r="J1389" s="138"/>
      <c r="K1389" s="138"/>
      <c r="L1389" s="138"/>
      <c r="M1389" s="138"/>
      <c r="N1389" s="138"/>
      <c r="O1389" s="138"/>
    </row>
    <row r="1390" spans="2:15" x14ac:dyDescent="0.2">
      <c r="B1390" s="138"/>
      <c r="C1390" s="126"/>
      <c r="D1390" s="138"/>
      <c r="E1390" s="138"/>
      <c r="F1390" s="138"/>
      <c r="G1390" s="138"/>
      <c r="H1390" s="138"/>
      <c r="I1390" s="138"/>
      <c r="J1390" s="138"/>
      <c r="K1390" s="138"/>
      <c r="L1390" s="138"/>
      <c r="M1390" s="138"/>
      <c r="N1390" s="138"/>
      <c r="O1390" s="138"/>
    </row>
    <row r="1391" spans="2:15" x14ac:dyDescent="0.2">
      <c r="B1391" s="138"/>
      <c r="C1391" s="126"/>
      <c r="D1391" s="138"/>
      <c r="E1391" s="138"/>
      <c r="F1391" s="138"/>
      <c r="G1391" s="138"/>
      <c r="H1391" s="138"/>
      <c r="I1391" s="138"/>
      <c r="J1391" s="138"/>
      <c r="K1391" s="138"/>
      <c r="L1391" s="138"/>
      <c r="M1391" s="138"/>
      <c r="N1391" s="138"/>
      <c r="O1391" s="138"/>
    </row>
    <row r="1392" spans="2:15" x14ac:dyDescent="0.2">
      <c r="B1392" s="138"/>
      <c r="C1392" s="126"/>
      <c r="D1392" s="138"/>
      <c r="E1392" s="138"/>
      <c r="F1392" s="138"/>
      <c r="G1392" s="138"/>
      <c r="H1392" s="138"/>
      <c r="I1392" s="138"/>
      <c r="J1392" s="138"/>
      <c r="K1392" s="138"/>
      <c r="L1392" s="138"/>
      <c r="M1392" s="138"/>
      <c r="N1392" s="138"/>
      <c r="O1392" s="138"/>
    </row>
    <row r="1393" spans="2:15" x14ac:dyDescent="0.2">
      <c r="B1393" s="138"/>
      <c r="C1393" s="126"/>
      <c r="D1393" s="138"/>
      <c r="E1393" s="138"/>
      <c r="F1393" s="138"/>
      <c r="G1393" s="138"/>
      <c r="H1393" s="138"/>
      <c r="I1393" s="138"/>
      <c r="J1393" s="138"/>
      <c r="K1393" s="138"/>
      <c r="L1393" s="138"/>
      <c r="M1393" s="138"/>
      <c r="N1393" s="138"/>
      <c r="O1393" s="138"/>
    </row>
    <row r="1394" spans="2:15" x14ac:dyDescent="0.2">
      <c r="B1394" s="138"/>
      <c r="C1394" s="126"/>
      <c r="D1394" s="138"/>
      <c r="E1394" s="138"/>
      <c r="F1394" s="138"/>
      <c r="G1394" s="138"/>
      <c r="H1394" s="138"/>
      <c r="I1394" s="138"/>
      <c r="J1394" s="138"/>
      <c r="K1394" s="138"/>
      <c r="L1394" s="138"/>
      <c r="M1394" s="138"/>
      <c r="N1394" s="138"/>
      <c r="O1394" s="138"/>
    </row>
    <row r="1395" spans="2:15" x14ac:dyDescent="0.2">
      <c r="B1395" s="138"/>
      <c r="C1395" s="126"/>
      <c r="D1395" s="138"/>
      <c r="E1395" s="138"/>
      <c r="F1395" s="138"/>
      <c r="G1395" s="138"/>
      <c r="H1395" s="138"/>
      <c r="I1395" s="138"/>
      <c r="J1395" s="138"/>
      <c r="K1395" s="138"/>
      <c r="L1395" s="138"/>
      <c r="M1395" s="138"/>
      <c r="N1395" s="138"/>
      <c r="O1395" s="138"/>
    </row>
    <row r="1396" spans="2:15" x14ac:dyDescent="0.2">
      <c r="B1396" s="138"/>
      <c r="C1396" s="126"/>
      <c r="D1396" s="138"/>
      <c r="E1396" s="138"/>
      <c r="F1396" s="138"/>
      <c r="G1396" s="138"/>
      <c r="H1396" s="138"/>
      <c r="I1396" s="138"/>
      <c r="J1396" s="138"/>
      <c r="K1396" s="138"/>
      <c r="L1396" s="138"/>
      <c r="M1396" s="138"/>
      <c r="N1396" s="138"/>
      <c r="O1396" s="138"/>
    </row>
    <row r="1397" spans="2:15" x14ac:dyDescent="0.2">
      <c r="B1397" s="138"/>
      <c r="C1397" s="126"/>
      <c r="D1397" s="138"/>
      <c r="E1397" s="138"/>
      <c r="F1397" s="138"/>
      <c r="G1397" s="138"/>
      <c r="H1397" s="138"/>
      <c r="I1397" s="138"/>
      <c r="J1397" s="138"/>
      <c r="K1397" s="138"/>
      <c r="L1397" s="138"/>
      <c r="M1397" s="138"/>
      <c r="N1397" s="138"/>
      <c r="O1397" s="138"/>
    </row>
    <row r="1398" spans="2:15" x14ac:dyDescent="0.2">
      <c r="B1398" s="138"/>
      <c r="C1398" s="126"/>
      <c r="D1398" s="138"/>
      <c r="E1398" s="138"/>
      <c r="F1398" s="138"/>
      <c r="G1398" s="138"/>
      <c r="H1398" s="138"/>
      <c r="I1398" s="138"/>
      <c r="J1398" s="138"/>
      <c r="K1398" s="138"/>
      <c r="L1398" s="138"/>
      <c r="M1398" s="138"/>
      <c r="N1398" s="138"/>
      <c r="O1398" s="138"/>
    </row>
    <row r="1399" spans="2:15" x14ac:dyDescent="0.2">
      <c r="B1399" s="138"/>
      <c r="C1399" s="126"/>
      <c r="D1399" s="138"/>
      <c r="E1399" s="138"/>
      <c r="F1399" s="138"/>
      <c r="G1399" s="138"/>
      <c r="H1399" s="138"/>
      <c r="I1399" s="138"/>
      <c r="J1399" s="138"/>
      <c r="K1399" s="138"/>
      <c r="L1399" s="138"/>
      <c r="M1399" s="138"/>
      <c r="N1399" s="138"/>
      <c r="O1399" s="138"/>
    </row>
    <row r="1400" spans="2:15" x14ac:dyDescent="0.2">
      <c r="B1400" s="138"/>
      <c r="C1400" s="126"/>
      <c r="D1400" s="138"/>
      <c r="E1400" s="138"/>
      <c r="F1400" s="138"/>
      <c r="G1400" s="138"/>
      <c r="H1400" s="138"/>
      <c r="I1400" s="138"/>
      <c r="J1400" s="138"/>
      <c r="K1400" s="138"/>
      <c r="L1400" s="138"/>
      <c r="M1400" s="138"/>
      <c r="N1400" s="138"/>
      <c r="O1400" s="138"/>
    </row>
    <row r="1401" spans="2:15" x14ac:dyDescent="0.2">
      <c r="B1401" s="138"/>
      <c r="C1401" s="126"/>
      <c r="D1401" s="138"/>
      <c r="E1401" s="138"/>
      <c r="F1401" s="138"/>
      <c r="G1401" s="138"/>
      <c r="H1401" s="138"/>
      <c r="I1401" s="138"/>
      <c r="J1401" s="138"/>
      <c r="K1401" s="138"/>
      <c r="L1401" s="138"/>
      <c r="M1401" s="138"/>
      <c r="N1401" s="138"/>
      <c r="O1401" s="138"/>
    </row>
    <row r="1402" spans="2:15" x14ac:dyDescent="0.2">
      <c r="B1402" s="138"/>
      <c r="C1402" s="126"/>
      <c r="D1402" s="138"/>
      <c r="E1402" s="138"/>
      <c r="F1402" s="138"/>
      <c r="G1402" s="138"/>
      <c r="H1402" s="138"/>
      <c r="I1402" s="138"/>
      <c r="J1402" s="138"/>
      <c r="K1402" s="138"/>
      <c r="L1402" s="138"/>
      <c r="M1402" s="138"/>
      <c r="N1402" s="138"/>
      <c r="O1402" s="138"/>
    </row>
    <row r="1403" spans="2:15" x14ac:dyDescent="0.2">
      <c r="B1403" s="138"/>
      <c r="C1403" s="126"/>
      <c r="D1403" s="138"/>
      <c r="E1403" s="138"/>
      <c r="F1403" s="138"/>
      <c r="G1403" s="138"/>
      <c r="H1403" s="138"/>
      <c r="I1403" s="138"/>
      <c r="J1403" s="138"/>
      <c r="K1403" s="138"/>
      <c r="L1403" s="138"/>
      <c r="M1403" s="138"/>
      <c r="N1403" s="138"/>
      <c r="O1403" s="138"/>
    </row>
    <row r="1404" spans="2:15" x14ac:dyDescent="0.2">
      <c r="B1404" s="138"/>
      <c r="C1404" s="126"/>
      <c r="D1404" s="138"/>
      <c r="E1404" s="138"/>
      <c r="F1404" s="138"/>
      <c r="G1404" s="138"/>
      <c r="H1404" s="138"/>
      <c r="I1404" s="138"/>
      <c r="J1404" s="138"/>
      <c r="K1404" s="138"/>
      <c r="L1404" s="138"/>
      <c r="M1404" s="138"/>
      <c r="N1404" s="138"/>
      <c r="O1404" s="138"/>
    </row>
    <row r="1405" spans="2:15" x14ac:dyDescent="0.2">
      <c r="B1405" s="138"/>
      <c r="C1405" s="126"/>
      <c r="D1405" s="138"/>
      <c r="E1405" s="138"/>
      <c r="F1405" s="138"/>
      <c r="G1405" s="138"/>
      <c r="H1405" s="138"/>
      <c r="I1405" s="138"/>
      <c r="J1405" s="138"/>
      <c r="K1405" s="138"/>
      <c r="L1405" s="138"/>
      <c r="M1405" s="138"/>
      <c r="N1405" s="138"/>
      <c r="O1405" s="138"/>
    </row>
    <row r="1406" spans="2:15" x14ac:dyDescent="0.2">
      <c r="B1406" s="138"/>
      <c r="C1406" s="126"/>
      <c r="D1406" s="138"/>
      <c r="E1406" s="138"/>
      <c r="F1406" s="138"/>
      <c r="G1406" s="138"/>
      <c r="H1406" s="138"/>
      <c r="I1406" s="138"/>
      <c r="J1406" s="138"/>
      <c r="K1406" s="138"/>
      <c r="L1406" s="138"/>
      <c r="M1406" s="138"/>
      <c r="N1406" s="138"/>
      <c r="O1406" s="138"/>
    </row>
    <row r="1407" spans="2:15" x14ac:dyDescent="0.2">
      <c r="B1407" s="138"/>
      <c r="C1407" s="126"/>
      <c r="D1407" s="138"/>
      <c r="E1407" s="138"/>
      <c r="F1407" s="138"/>
      <c r="G1407" s="138"/>
      <c r="H1407" s="138"/>
      <c r="I1407" s="138"/>
      <c r="J1407" s="138"/>
      <c r="K1407" s="138"/>
      <c r="L1407" s="138"/>
      <c r="M1407" s="138"/>
      <c r="N1407" s="138"/>
      <c r="O1407" s="138"/>
    </row>
    <row r="1408" spans="2:15" x14ac:dyDescent="0.2">
      <c r="B1408" s="138"/>
      <c r="C1408" s="126"/>
      <c r="D1408" s="138"/>
      <c r="E1408" s="138"/>
      <c r="F1408" s="138"/>
      <c r="G1408" s="138"/>
      <c r="H1408" s="138"/>
      <c r="I1408" s="138"/>
      <c r="J1408" s="138"/>
      <c r="K1408" s="138"/>
      <c r="L1408" s="138"/>
      <c r="M1408" s="138"/>
      <c r="N1408" s="138"/>
      <c r="O1408" s="138"/>
    </row>
    <row r="1409" spans="2:15" x14ac:dyDescent="0.2">
      <c r="B1409" s="138"/>
      <c r="C1409" s="126"/>
      <c r="D1409" s="138"/>
      <c r="E1409" s="138"/>
      <c r="F1409" s="138"/>
      <c r="G1409" s="138"/>
      <c r="H1409" s="138"/>
      <c r="I1409" s="138"/>
      <c r="J1409" s="138"/>
      <c r="K1409" s="138"/>
      <c r="L1409" s="138"/>
      <c r="M1409" s="138"/>
      <c r="N1409" s="138"/>
      <c r="O1409" s="138"/>
    </row>
    <row r="1410" spans="2:15" x14ac:dyDescent="0.2">
      <c r="B1410" s="138"/>
      <c r="C1410" s="126"/>
      <c r="D1410" s="138"/>
      <c r="E1410" s="138"/>
      <c r="F1410" s="138"/>
      <c r="G1410" s="138"/>
      <c r="H1410" s="138"/>
      <c r="I1410" s="138"/>
      <c r="J1410" s="138"/>
      <c r="K1410" s="138"/>
      <c r="L1410" s="138"/>
      <c r="M1410" s="138"/>
      <c r="N1410" s="138"/>
      <c r="O1410" s="138"/>
    </row>
    <row r="1411" spans="2:15" x14ac:dyDescent="0.2">
      <c r="B1411" s="138"/>
      <c r="C1411" s="126"/>
      <c r="D1411" s="138"/>
      <c r="E1411" s="138"/>
      <c r="F1411" s="138"/>
      <c r="G1411" s="138"/>
      <c r="H1411" s="138"/>
      <c r="I1411" s="138"/>
      <c r="J1411" s="138"/>
      <c r="K1411" s="138"/>
      <c r="L1411" s="138"/>
      <c r="M1411" s="138"/>
      <c r="N1411" s="138"/>
      <c r="O1411" s="138"/>
    </row>
    <row r="1412" spans="2:15" x14ac:dyDescent="0.2">
      <c r="B1412" s="138"/>
      <c r="C1412" s="126"/>
      <c r="D1412" s="138"/>
      <c r="E1412" s="138"/>
      <c r="F1412" s="138"/>
      <c r="G1412" s="138"/>
      <c r="H1412" s="138"/>
      <c r="I1412" s="138"/>
      <c r="J1412" s="138"/>
      <c r="K1412" s="138"/>
      <c r="L1412" s="138"/>
      <c r="M1412" s="138"/>
      <c r="N1412" s="138"/>
      <c r="O1412" s="138"/>
    </row>
    <row r="1413" spans="2:15" x14ac:dyDescent="0.2">
      <c r="B1413" s="138"/>
      <c r="C1413" s="126"/>
      <c r="D1413" s="138"/>
      <c r="E1413" s="138"/>
      <c r="F1413" s="138"/>
      <c r="G1413" s="138"/>
      <c r="H1413" s="138"/>
      <c r="I1413" s="138"/>
      <c r="J1413" s="138"/>
      <c r="K1413" s="138"/>
      <c r="L1413" s="138"/>
      <c r="M1413" s="138"/>
      <c r="N1413" s="138"/>
      <c r="O1413" s="138"/>
    </row>
    <row r="1414" spans="2:15" x14ac:dyDescent="0.2">
      <c r="B1414" s="138"/>
      <c r="C1414" s="126"/>
      <c r="D1414" s="138"/>
      <c r="E1414" s="138"/>
      <c r="F1414" s="138"/>
      <c r="G1414" s="138"/>
      <c r="H1414" s="138"/>
      <c r="I1414" s="138"/>
      <c r="J1414" s="138"/>
      <c r="K1414" s="138"/>
      <c r="L1414" s="138"/>
      <c r="M1414" s="138"/>
      <c r="N1414" s="138"/>
      <c r="O1414" s="138"/>
    </row>
    <row r="1415" spans="2:15" x14ac:dyDescent="0.2">
      <c r="B1415" s="138"/>
      <c r="C1415" s="126"/>
      <c r="D1415" s="138"/>
      <c r="E1415" s="138"/>
      <c r="F1415" s="138"/>
      <c r="G1415" s="138"/>
      <c r="H1415" s="138"/>
      <c r="I1415" s="138"/>
      <c r="J1415" s="138"/>
      <c r="K1415" s="138"/>
      <c r="L1415" s="138"/>
      <c r="M1415" s="138"/>
      <c r="N1415" s="138"/>
      <c r="O1415" s="138"/>
    </row>
    <row r="1416" spans="2:15" x14ac:dyDescent="0.2">
      <c r="B1416" s="138"/>
      <c r="C1416" s="126"/>
      <c r="D1416" s="138"/>
      <c r="E1416" s="138"/>
      <c r="F1416" s="138"/>
      <c r="G1416" s="138"/>
      <c r="H1416" s="138"/>
      <c r="I1416" s="138"/>
      <c r="J1416" s="138"/>
      <c r="K1416" s="138"/>
      <c r="L1416" s="138"/>
      <c r="M1416" s="138"/>
      <c r="N1416" s="138"/>
      <c r="O1416" s="138"/>
    </row>
    <row r="1417" spans="2:15" x14ac:dyDescent="0.2">
      <c r="B1417" s="138"/>
      <c r="C1417" s="126"/>
      <c r="D1417" s="138"/>
      <c r="E1417" s="138"/>
      <c r="F1417" s="138"/>
      <c r="G1417" s="138"/>
      <c r="H1417" s="138"/>
      <c r="I1417" s="138"/>
      <c r="J1417" s="138"/>
      <c r="K1417" s="138"/>
      <c r="L1417" s="138"/>
      <c r="M1417" s="138"/>
      <c r="N1417" s="138"/>
      <c r="O1417" s="138"/>
    </row>
    <row r="1418" spans="2:15" x14ac:dyDescent="0.2">
      <c r="B1418" s="138"/>
      <c r="C1418" s="126"/>
      <c r="D1418" s="138"/>
      <c r="E1418" s="138"/>
      <c r="F1418" s="138"/>
      <c r="G1418" s="138"/>
      <c r="H1418" s="138"/>
      <c r="I1418" s="138"/>
      <c r="J1418" s="138"/>
      <c r="K1418" s="138"/>
      <c r="L1418" s="138"/>
      <c r="M1418" s="138"/>
      <c r="N1418" s="138"/>
      <c r="O1418" s="138"/>
    </row>
    <row r="1419" spans="2:15" x14ac:dyDescent="0.2">
      <c r="B1419" s="138"/>
      <c r="C1419" s="126"/>
      <c r="D1419" s="138"/>
      <c r="E1419" s="138"/>
      <c r="F1419" s="138"/>
      <c r="G1419" s="138"/>
      <c r="H1419" s="138"/>
      <c r="I1419" s="138"/>
      <c r="J1419" s="138"/>
      <c r="K1419" s="138"/>
      <c r="L1419" s="138"/>
      <c r="M1419" s="138"/>
      <c r="N1419" s="138"/>
      <c r="O1419" s="138"/>
    </row>
    <row r="1420" spans="2:15" x14ac:dyDescent="0.2">
      <c r="B1420" s="138"/>
      <c r="C1420" s="126"/>
      <c r="D1420" s="138"/>
      <c r="E1420" s="138"/>
      <c r="F1420" s="138"/>
      <c r="G1420" s="138"/>
      <c r="H1420" s="138"/>
      <c r="I1420" s="138"/>
      <c r="J1420" s="138"/>
      <c r="K1420" s="138"/>
      <c r="L1420" s="138"/>
      <c r="M1420" s="138"/>
      <c r="N1420" s="138"/>
      <c r="O1420" s="138"/>
    </row>
    <row r="1421" spans="2:15" x14ac:dyDescent="0.2">
      <c r="B1421" s="138"/>
      <c r="C1421" s="126"/>
      <c r="D1421" s="138"/>
      <c r="E1421" s="138"/>
      <c r="F1421" s="138"/>
      <c r="G1421" s="138"/>
      <c r="H1421" s="138"/>
      <c r="I1421" s="138"/>
      <c r="J1421" s="138"/>
      <c r="K1421" s="138"/>
      <c r="L1421" s="138"/>
      <c r="M1421" s="138"/>
      <c r="N1421" s="138"/>
      <c r="O1421" s="138"/>
    </row>
    <row r="1422" spans="2:15" x14ac:dyDescent="0.2">
      <c r="B1422" s="138"/>
      <c r="C1422" s="126"/>
      <c r="D1422" s="138"/>
      <c r="E1422" s="138"/>
      <c r="F1422" s="138"/>
      <c r="G1422" s="138"/>
      <c r="H1422" s="138"/>
      <c r="I1422" s="138"/>
      <c r="J1422" s="138"/>
      <c r="K1422" s="138"/>
      <c r="L1422" s="138"/>
      <c r="M1422" s="138"/>
      <c r="N1422" s="138"/>
      <c r="O1422" s="138"/>
    </row>
    <row r="1423" spans="2:15" x14ac:dyDescent="0.2">
      <c r="B1423" s="138"/>
      <c r="C1423" s="126"/>
      <c r="D1423" s="138"/>
      <c r="E1423" s="138"/>
      <c r="F1423" s="138"/>
      <c r="G1423" s="138"/>
      <c r="H1423" s="138"/>
      <c r="I1423" s="138"/>
      <c r="J1423" s="138"/>
      <c r="K1423" s="138"/>
      <c r="L1423" s="138"/>
      <c r="M1423" s="138"/>
      <c r="N1423" s="138"/>
      <c r="O1423" s="138"/>
    </row>
    <row r="1424" spans="2:15" x14ac:dyDescent="0.2">
      <c r="B1424" s="138"/>
      <c r="C1424" s="126"/>
      <c r="D1424" s="138"/>
      <c r="E1424" s="138"/>
      <c r="F1424" s="138"/>
      <c r="G1424" s="138"/>
      <c r="H1424" s="138"/>
      <c r="I1424" s="138"/>
      <c r="J1424" s="138"/>
      <c r="K1424" s="138"/>
      <c r="L1424" s="138"/>
      <c r="M1424" s="138"/>
      <c r="N1424" s="138"/>
      <c r="O1424" s="138"/>
    </row>
    <row r="1425" spans="2:15" x14ac:dyDescent="0.2">
      <c r="B1425" s="138"/>
      <c r="C1425" s="126"/>
      <c r="D1425" s="138"/>
      <c r="E1425" s="138"/>
      <c r="F1425" s="138"/>
      <c r="G1425" s="138"/>
      <c r="H1425" s="138"/>
      <c r="I1425" s="138"/>
      <c r="J1425" s="138"/>
      <c r="K1425" s="138"/>
      <c r="L1425" s="138"/>
      <c r="M1425" s="138"/>
      <c r="N1425" s="138"/>
      <c r="O1425" s="138"/>
    </row>
    <row r="1426" spans="2:15" x14ac:dyDescent="0.2">
      <c r="B1426" s="138"/>
      <c r="C1426" s="126"/>
      <c r="D1426" s="138"/>
      <c r="E1426" s="138"/>
      <c r="F1426" s="138"/>
      <c r="G1426" s="138"/>
      <c r="H1426" s="138"/>
      <c r="I1426" s="138"/>
      <c r="J1426" s="138"/>
      <c r="K1426" s="138"/>
      <c r="L1426" s="138"/>
      <c r="M1426" s="138"/>
      <c r="N1426" s="138"/>
      <c r="O1426" s="138"/>
    </row>
    <row r="1427" spans="2:15" x14ac:dyDescent="0.2">
      <c r="B1427" s="138"/>
      <c r="C1427" s="126"/>
      <c r="D1427" s="138"/>
      <c r="E1427" s="138"/>
      <c r="F1427" s="138"/>
      <c r="G1427" s="138"/>
      <c r="H1427" s="138"/>
      <c r="I1427" s="138"/>
      <c r="J1427" s="138"/>
      <c r="K1427" s="138"/>
      <c r="L1427" s="138"/>
      <c r="M1427" s="138"/>
      <c r="N1427" s="138"/>
      <c r="O1427" s="138"/>
    </row>
    <row r="1428" spans="2:15" x14ac:dyDescent="0.2">
      <c r="B1428" s="138"/>
      <c r="C1428" s="126"/>
      <c r="D1428" s="138"/>
      <c r="E1428" s="138"/>
      <c r="F1428" s="138"/>
      <c r="G1428" s="138"/>
      <c r="H1428" s="138"/>
      <c r="I1428" s="138"/>
      <c r="J1428" s="138"/>
      <c r="K1428" s="138"/>
      <c r="L1428" s="138"/>
      <c r="M1428" s="138"/>
      <c r="N1428" s="138"/>
      <c r="O1428" s="138"/>
    </row>
    <row r="1429" spans="2:15" x14ac:dyDescent="0.2">
      <c r="B1429" s="138"/>
      <c r="C1429" s="126"/>
      <c r="D1429" s="138"/>
      <c r="E1429" s="138"/>
      <c r="F1429" s="138"/>
      <c r="G1429" s="138"/>
      <c r="H1429" s="138"/>
      <c r="I1429" s="138"/>
      <c r="J1429" s="138"/>
      <c r="K1429" s="138"/>
      <c r="L1429" s="138"/>
      <c r="M1429" s="138"/>
      <c r="N1429" s="138"/>
      <c r="O1429" s="138"/>
    </row>
    <row r="1430" spans="2:15" x14ac:dyDescent="0.2">
      <c r="B1430" s="138"/>
      <c r="C1430" s="126"/>
      <c r="D1430" s="138"/>
      <c r="E1430" s="138"/>
      <c r="F1430" s="138"/>
      <c r="G1430" s="138"/>
      <c r="H1430" s="138"/>
      <c r="I1430" s="138"/>
      <c r="J1430" s="138"/>
      <c r="K1430" s="138"/>
      <c r="L1430" s="138"/>
      <c r="M1430" s="138"/>
      <c r="N1430" s="138"/>
      <c r="O1430" s="138"/>
    </row>
    <row r="1431" spans="2:15" x14ac:dyDescent="0.2">
      <c r="B1431" s="138"/>
      <c r="C1431" s="126"/>
      <c r="D1431" s="138"/>
      <c r="E1431" s="138"/>
      <c r="F1431" s="138"/>
      <c r="G1431" s="138"/>
      <c r="H1431" s="138"/>
      <c r="I1431" s="138"/>
      <c r="J1431" s="138"/>
      <c r="K1431" s="138"/>
      <c r="L1431" s="138"/>
      <c r="M1431" s="138"/>
      <c r="N1431" s="138"/>
      <c r="O1431" s="138"/>
    </row>
    <row r="1432" spans="2:15" x14ac:dyDescent="0.2">
      <c r="B1432" s="138"/>
      <c r="C1432" s="126"/>
      <c r="D1432" s="138"/>
      <c r="E1432" s="138"/>
      <c r="F1432" s="138"/>
      <c r="G1432" s="138"/>
      <c r="H1432" s="138"/>
      <c r="I1432" s="138"/>
      <c r="J1432" s="138"/>
      <c r="K1432" s="138"/>
      <c r="L1432" s="138"/>
      <c r="M1432" s="138"/>
      <c r="N1432" s="138"/>
      <c r="O1432" s="138"/>
    </row>
    <row r="1433" spans="2:15" x14ac:dyDescent="0.2">
      <c r="B1433" s="138"/>
      <c r="C1433" s="126"/>
      <c r="D1433" s="138"/>
      <c r="E1433" s="138"/>
      <c r="F1433" s="138"/>
      <c r="G1433" s="138"/>
      <c r="H1433" s="138"/>
      <c r="I1433" s="138"/>
      <c r="J1433" s="138"/>
      <c r="K1433" s="138"/>
      <c r="L1433" s="138"/>
      <c r="M1433" s="138"/>
      <c r="N1433" s="138"/>
      <c r="O1433" s="138"/>
    </row>
    <row r="1434" spans="2:15" x14ac:dyDescent="0.2">
      <c r="B1434" s="138"/>
      <c r="C1434" s="126"/>
      <c r="D1434" s="138"/>
      <c r="E1434" s="138"/>
      <c r="F1434" s="138"/>
      <c r="G1434" s="138"/>
      <c r="H1434" s="138"/>
      <c r="I1434" s="138"/>
      <c r="J1434" s="138"/>
      <c r="K1434" s="138"/>
      <c r="L1434" s="138"/>
      <c r="M1434" s="138"/>
      <c r="N1434" s="138"/>
      <c r="O1434" s="138"/>
    </row>
    <row r="1435" spans="2:15" x14ac:dyDescent="0.2">
      <c r="B1435" s="138"/>
      <c r="C1435" s="126"/>
      <c r="D1435" s="138"/>
      <c r="E1435" s="138"/>
      <c r="F1435" s="138"/>
      <c r="G1435" s="138"/>
      <c r="H1435" s="138"/>
      <c r="I1435" s="138"/>
      <c r="J1435" s="138"/>
      <c r="K1435" s="138"/>
      <c r="L1435" s="138"/>
      <c r="M1435" s="138"/>
      <c r="N1435" s="138"/>
      <c r="O1435" s="138"/>
    </row>
    <row r="1436" spans="2:15" x14ac:dyDescent="0.2">
      <c r="B1436" s="138"/>
      <c r="C1436" s="126"/>
      <c r="D1436" s="138"/>
      <c r="E1436" s="138"/>
      <c r="F1436" s="138"/>
      <c r="G1436" s="138"/>
      <c r="H1436" s="138"/>
      <c r="I1436" s="138"/>
      <c r="J1436" s="138"/>
      <c r="K1436" s="138"/>
      <c r="L1436" s="138"/>
      <c r="M1436" s="138"/>
      <c r="N1436" s="138"/>
      <c r="O1436" s="138"/>
    </row>
    <row r="1437" spans="2:15" x14ac:dyDescent="0.2">
      <c r="B1437" s="138"/>
      <c r="C1437" s="126"/>
      <c r="D1437" s="138"/>
      <c r="E1437" s="138"/>
      <c r="F1437" s="138"/>
      <c r="G1437" s="138"/>
      <c r="H1437" s="138"/>
      <c r="I1437" s="138"/>
      <c r="J1437" s="138"/>
      <c r="K1437" s="138"/>
      <c r="L1437" s="138"/>
      <c r="M1437" s="138"/>
      <c r="N1437" s="138"/>
      <c r="O1437" s="138"/>
    </row>
    <row r="1438" spans="2:15" x14ac:dyDescent="0.2">
      <c r="B1438" s="138"/>
      <c r="C1438" s="126"/>
      <c r="D1438" s="138"/>
      <c r="E1438" s="138"/>
      <c r="F1438" s="138"/>
      <c r="G1438" s="138"/>
      <c r="H1438" s="138"/>
      <c r="I1438" s="138"/>
      <c r="J1438" s="138"/>
      <c r="K1438" s="138"/>
      <c r="L1438" s="138"/>
      <c r="M1438" s="138"/>
      <c r="N1438" s="138"/>
      <c r="O1438" s="138"/>
    </row>
    <row r="1439" spans="2:15" x14ac:dyDescent="0.2">
      <c r="B1439" s="138"/>
      <c r="C1439" s="126"/>
      <c r="D1439" s="138"/>
      <c r="E1439" s="138"/>
      <c r="F1439" s="138"/>
      <c r="G1439" s="138"/>
      <c r="H1439" s="138"/>
      <c r="I1439" s="138"/>
      <c r="J1439" s="138"/>
      <c r="K1439" s="138"/>
      <c r="L1439" s="138"/>
      <c r="M1439" s="138"/>
      <c r="N1439" s="138"/>
      <c r="O1439" s="138"/>
    </row>
    <row r="1440" spans="2:15" x14ac:dyDescent="0.2">
      <c r="B1440" s="138"/>
      <c r="C1440" s="126"/>
      <c r="D1440" s="138"/>
      <c r="E1440" s="138"/>
      <c r="F1440" s="138"/>
      <c r="G1440" s="138"/>
      <c r="H1440" s="138"/>
      <c r="I1440" s="138"/>
      <c r="J1440" s="138"/>
      <c r="K1440" s="138"/>
      <c r="L1440" s="138"/>
      <c r="M1440" s="138"/>
      <c r="N1440" s="138"/>
      <c r="O1440" s="138"/>
    </row>
    <row r="1441" spans="2:15" x14ac:dyDescent="0.2">
      <c r="B1441" s="138"/>
      <c r="C1441" s="126"/>
      <c r="D1441" s="138"/>
      <c r="E1441" s="138"/>
      <c r="F1441" s="138"/>
      <c r="G1441" s="138"/>
      <c r="H1441" s="138"/>
      <c r="I1441" s="138"/>
      <c r="J1441" s="138"/>
      <c r="K1441" s="138"/>
      <c r="L1441" s="138"/>
      <c r="M1441" s="138"/>
      <c r="N1441" s="138"/>
      <c r="O1441" s="138"/>
    </row>
    <row r="1442" spans="2:15" x14ac:dyDescent="0.2">
      <c r="B1442" s="138"/>
      <c r="C1442" s="126"/>
      <c r="D1442" s="138"/>
      <c r="E1442" s="138"/>
      <c r="F1442" s="138"/>
      <c r="G1442" s="138"/>
      <c r="H1442" s="138"/>
      <c r="I1442" s="138"/>
      <c r="J1442" s="138"/>
      <c r="K1442" s="138"/>
      <c r="L1442" s="138"/>
      <c r="M1442" s="138"/>
      <c r="N1442" s="138"/>
      <c r="O1442" s="138"/>
    </row>
    <row r="1443" spans="2:15" x14ac:dyDescent="0.2">
      <c r="B1443" s="138"/>
      <c r="C1443" s="126"/>
      <c r="D1443" s="138"/>
      <c r="E1443" s="138"/>
      <c r="F1443" s="138"/>
      <c r="G1443" s="138"/>
      <c r="H1443" s="138"/>
      <c r="I1443" s="138"/>
      <c r="J1443" s="138"/>
      <c r="K1443" s="138"/>
      <c r="L1443" s="138"/>
      <c r="M1443" s="138"/>
      <c r="N1443" s="138"/>
      <c r="O1443" s="138"/>
    </row>
    <row r="1444" spans="2:15" x14ac:dyDescent="0.2">
      <c r="B1444" s="138"/>
      <c r="C1444" s="126"/>
      <c r="D1444" s="138"/>
      <c r="E1444" s="138"/>
      <c r="F1444" s="138"/>
      <c r="G1444" s="138"/>
      <c r="H1444" s="138"/>
      <c r="I1444" s="138"/>
      <c r="J1444" s="138"/>
      <c r="K1444" s="138"/>
      <c r="L1444" s="138"/>
      <c r="M1444" s="138"/>
      <c r="N1444" s="138"/>
      <c r="O1444" s="138"/>
    </row>
    <row r="1445" spans="2:15" x14ac:dyDescent="0.2">
      <c r="B1445" s="138"/>
      <c r="C1445" s="126"/>
      <c r="D1445" s="138"/>
      <c r="E1445" s="138"/>
      <c r="F1445" s="138"/>
      <c r="G1445" s="138"/>
      <c r="H1445" s="138"/>
      <c r="I1445" s="138"/>
      <c r="J1445" s="138"/>
      <c r="K1445" s="138"/>
      <c r="L1445" s="138"/>
      <c r="M1445" s="138"/>
      <c r="N1445" s="138"/>
      <c r="O1445" s="138"/>
    </row>
    <row r="1446" spans="2:15" x14ac:dyDescent="0.2">
      <c r="B1446" s="138"/>
      <c r="C1446" s="126"/>
      <c r="D1446" s="138"/>
      <c r="E1446" s="138"/>
      <c r="F1446" s="138"/>
      <c r="G1446" s="138"/>
      <c r="H1446" s="138"/>
      <c r="I1446" s="138"/>
      <c r="J1446" s="138"/>
      <c r="K1446" s="138"/>
      <c r="L1446" s="138"/>
      <c r="M1446" s="138"/>
      <c r="N1446" s="138"/>
      <c r="O1446" s="138"/>
    </row>
    <row r="1447" spans="2:15" x14ac:dyDescent="0.2">
      <c r="B1447" s="138"/>
      <c r="C1447" s="126"/>
      <c r="D1447" s="138"/>
      <c r="E1447" s="138"/>
      <c r="F1447" s="138"/>
      <c r="G1447" s="138"/>
      <c r="H1447" s="138"/>
      <c r="I1447" s="138"/>
      <c r="J1447" s="138"/>
      <c r="K1447" s="138"/>
      <c r="L1447" s="138"/>
      <c r="M1447" s="138"/>
      <c r="N1447" s="138"/>
      <c r="O1447" s="138"/>
    </row>
    <row r="1448" spans="2:15" x14ac:dyDescent="0.2">
      <c r="B1448" s="138"/>
      <c r="C1448" s="126"/>
      <c r="D1448" s="138"/>
      <c r="E1448" s="138"/>
      <c r="F1448" s="138"/>
      <c r="G1448" s="138"/>
      <c r="H1448" s="138"/>
      <c r="I1448" s="138"/>
      <c r="J1448" s="138"/>
      <c r="K1448" s="138"/>
      <c r="L1448" s="138"/>
      <c r="M1448" s="138"/>
      <c r="N1448" s="138"/>
      <c r="O1448" s="138"/>
    </row>
    <row r="1449" spans="2:15" x14ac:dyDescent="0.2">
      <c r="B1449" s="138"/>
      <c r="C1449" s="126"/>
      <c r="D1449" s="138"/>
      <c r="E1449" s="138"/>
      <c r="F1449" s="138"/>
      <c r="G1449" s="138"/>
      <c r="H1449" s="138"/>
      <c r="I1449" s="138"/>
      <c r="J1449" s="138"/>
      <c r="K1449" s="138"/>
      <c r="L1449" s="138"/>
      <c r="M1449" s="138"/>
      <c r="N1449" s="138"/>
      <c r="O1449" s="138"/>
    </row>
    <row r="1450" spans="2:15" x14ac:dyDescent="0.2">
      <c r="B1450" s="138"/>
      <c r="C1450" s="126"/>
      <c r="D1450" s="138"/>
      <c r="E1450" s="138"/>
      <c r="F1450" s="138"/>
      <c r="G1450" s="138"/>
      <c r="H1450" s="138"/>
      <c r="I1450" s="138"/>
      <c r="J1450" s="138"/>
      <c r="K1450" s="138"/>
      <c r="L1450" s="138"/>
      <c r="M1450" s="138"/>
      <c r="N1450" s="138"/>
      <c r="O1450" s="138"/>
    </row>
    <row r="1451" spans="2:15" x14ac:dyDescent="0.2">
      <c r="B1451" s="138"/>
      <c r="C1451" s="126"/>
      <c r="D1451" s="138"/>
      <c r="E1451" s="138"/>
      <c r="F1451" s="138"/>
      <c r="G1451" s="138"/>
      <c r="H1451" s="138"/>
      <c r="I1451" s="138"/>
      <c r="J1451" s="138"/>
      <c r="K1451" s="138"/>
      <c r="L1451" s="138"/>
      <c r="M1451" s="138"/>
      <c r="N1451" s="138"/>
      <c r="O1451" s="138"/>
    </row>
    <row r="1452" spans="2:15" x14ac:dyDescent="0.2">
      <c r="B1452" s="138"/>
      <c r="C1452" s="126"/>
      <c r="D1452" s="138"/>
      <c r="E1452" s="138"/>
      <c r="F1452" s="138"/>
      <c r="G1452" s="138"/>
      <c r="H1452" s="138"/>
      <c r="I1452" s="138"/>
      <c r="J1452" s="138"/>
      <c r="K1452" s="138"/>
      <c r="L1452" s="138"/>
      <c r="M1452" s="138"/>
      <c r="N1452" s="138"/>
      <c r="O1452" s="138"/>
    </row>
    <row r="1453" spans="2:15" x14ac:dyDescent="0.2">
      <c r="B1453" s="138"/>
      <c r="C1453" s="126"/>
      <c r="D1453" s="138"/>
      <c r="E1453" s="138"/>
      <c r="F1453" s="138"/>
      <c r="G1453" s="138"/>
      <c r="H1453" s="138"/>
      <c r="I1453" s="138"/>
      <c r="J1453" s="138"/>
      <c r="K1453" s="138"/>
      <c r="L1453" s="138"/>
      <c r="M1453" s="138"/>
      <c r="N1453" s="138"/>
      <c r="O1453" s="138"/>
    </row>
    <row r="1454" spans="2:15" x14ac:dyDescent="0.2">
      <c r="B1454" s="138"/>
      <c r="C1454" s="126"/>
      <c r="D1454" s="138"/>
      <c r="E1454" s="138"/>
      <c r="F1454" s="138"/>
      <c r="G1454" s="138"/>
      <c r="H1454" s="138"/>
      <c r="I1454" s="138"/>
      <c r="J1454" s="138"/>
      <c r="K1454" s="138"/>
      <c r="L1454" s="138"/>
      <c r="M1454" s="138"/>
      <c r="N1454" s="138"/>
      <c r="O1454" s="138"/>
    </row>
    <row r="1455" spans="2:15" x14ac:dyDescent="0.2">
      <c r="B1455" s="138"/>
      <c r="C1455" s="126"/>
      <c r="D1455" s="138"/>
      <c r="E1455" s="138"/>
      <c r="F1455" s="138"/>
      <c r="G1455" s="138"/>
      <c r="H1455" s="138"/>
      <c r="I1455" s="138"/>
      <c r="J1455" s="138"/>
      <c r="K1455" s="138"/>
      <c r="L1455" s="138"/>
      <c r="M1455" s="138"/>
      <c r="N1455" s="138"/>
      <c r="O1455" s="138"/>
    </row>
    <row r="1456" spans="2:15" x14ac:dyDescent="0.2">
      <c r="B1456" s="138"/>
      <c r="C1456" s="126"/>
      <c r="D1456" s="138"/>
      <c r="E1456" s="138"/>
      <c r="F1456" s="138"/>
      <c r="G1456" s="138"/>
      <c r="H1456" s="138"/>
      <c r="I1456" s="138"/>
      <c r="J1456" s="138"/>
      <c r="K1456" s="138"/>
      <c r="L1456" s="138"/>
      <c r="M1456" s="138"/>
      <c r="N1456" s="138"/>
      <c r="O1456" s="138"/>
    </row>
    <row r="1457" spans="2:15" x14ac:dyDescent="0.2">
      <c r="B1457" s="138"/>
      <c r="C1457" s="126"/>
      <c r="D1457" s="138"/>
      <c r="E1457" s="138"/>
      <c r="F1457" s="138"/>
      <c r="G1457" s="138"/>
      <c r="H1457" s="138"/>
      <c r="I1457" s="138"/>
      <c r="J1457" s="138"/>
      <c r="K1457" s="138"/>
      <c r="L1457" s="138"/>
      <c r="M1457" s="138"/>
      <c r="N1457" s="138"/>
      <c r="O1457" s="138"/>
    </row>
    <row r="1458" spans="2:15" x14ac:dyDescent="0.2">
      <c r="B1458" s="138"/>
      <c r="C1458" s="126"/>
      <c r="D1458" s="138"/>
      <c r="E1458" s="138"/>
      <c r="F1458" s="138"/>
      <c r="G1458" s="138"/>
      <c r="H1458" s="138"/>
      <c r="I1458" s="138"/>
      <c r="J1458" s="138"/>
      <c r="K1458" s="138"/>
      <c r="L1458" s="138"/>
      <c r="M1458" s="138"/>
      <c r="N1458" s="138"/>
      <c r="O1458" s="138"/>
    </row>
    <row r="1459" spans="2:15" x14ac:dyDescent="0.2">
      <c r="B1459" s="138"/>
      <c r="C1459" s="126"/>
      <c r="D1459" s="138"/>
      <c r="E1459" s="138"/>
      <c r="F1459" s="138"/>
      <c r="G1459" s="138"/>
      <c r="H1459" s="138"/>
      <c r="I1459" s="138"/>
      <c r="J1459" s="138"/>
      <c r="K1459" s="138"/>
      <c r="L1459" s="138"/>
      <c r="M1459" s="138"/>
      <c r="N1459" s="138"/>
      <c r="O1459" s="138"/>
    </row>
    <row r="1460" spans="2:15" x14ac:dyDescent="0.2">
      <c r="B1460" s="138"/>
      <c r="C1460" s="126"/>
      <c r="D1460" s="138"/>
      <c r="E1460" s="138"/>
      <c r="F1460" s="138"/>
      <c r="G1460" s="138"/>
      <c r="H1460" s="138"/>
      <c r="I1460" s="138"/>
      <c r="J1460" s="138"/>
      <c r="K1460" s="138"/>
      <c r="L1460" s="138"/>
      <c r="M1460" s="138"/>
      <c r="N1460" s="138"/>
      <c r="O1460" s="138"/>
    </row>
    <row r="1461" spans="2:15" x14ac:dyDescent="0.2">
      <c r="B1461" s="138"/>
      <c r="C1461" s="126"/>
      <c r="D1461" s="138"/>
      <c r="E1461" s="138"/>
      <c r="F1461" s="138"/>
      <c r="G1461" s="138"/>
      <c r="H1461" s="138"/>
      <c r="I1461" s="138"/>
      <c r="J1461" s="138"/>
      <c r="K1461" s="138"/>
      <c r="L1461" s="138"/>
      <c r="M1461" s="138"/>
      <c r="N1461" s="138"/>
      <c r="O1461" s="138"/>
    </row>
    <row r="1462" spans="2:15" x14ac:dyDescent="0.2">
      <c r="B1462" s="138"/>
      <c r="C1462" s="126"/>
      <c r="D1462" s="138"/>
      <c r="E1462" s="138"/>
      <c r="F1462" s="138"/>
      <c r="G1462" s="138"/>
      <c r="H1462" s="138"/>
      <c r="I1462" s="138"/>
      <c r="J1462" s="138"/>
      <c r="K1462" s="138"/>
      <c r="L1462" s="138"/>
      <c r="M1462" s="138"/>
      <c r="N1462" s="138"/>
      <c r="O1462" s="138"/>
    </row>
    <row r="1463" spans="2:15" x14ac:dyDescent="0.2">
      <c r="B1463" s="138"/>
      <c r="C1463" s="126"/>
      <c r="D1463" s="138"/>
      <c r="E1463" s="138"/>
      <c r="F1463" s="138"/>
      <c r="G1463" s="138"/>
      <c r="H1463" s="138"/>
      <c r="I1463" s="138"/>
      <c r="J1463" s="138"/>
      <c r="K1463" s="138"/>
      <c r="L1463" s="138"/>
      <c r="M1463" s="138"/>
      <c r="N1463" s="138"/>
      <c r="O1463" s="138"/>
    </row>
    <row r="1464" spans="2:15" x14ac:dyDescent="0.2">
      <c r="B1464" s="138"/>
      <c r="C1464" s="126"/>
      <c r="D1464" s="138"/>
      <c r="E1464" s="138"/>
      <c r="F1464" s="138"/>
      <c r="G1464" s="138"/>
      <c r="H1464" s="138"/>
      <c r="I1464" s="138"/>
      <c r="J1464" s="138"/>
      <c r="K1464" s="138"/>
      <c r="L1464" s="138"/>
      <c r="M1464" s="138"/>
      <c r="N1464" s="138"/>
      <c r="O1464" s="138"/>
    </row>
    <row r="1465" spans="2:15" x14ac:dyDescent="0.2">
      <c r="B1465" s="138"/>
      <c r="C1465" s="126"/>
      <c r="D1465" s="138"/>
      <c r="E1465" s="138"/>
      <c r="F1465" s="138"/>
      <c r="G1465" s="138"/>
      <c r="H1465" s="138"/>
      <c r="I1465" s="138"/>
      <c r="J1465" s="138"/>
      <c r="K1465" s="138"/>
      <c r="L1465" s="138"/>
      <c r="M1465" s="138"/>
      <c r="N1465" s="138"/>
      <c r="O1465" s="138"/>
    </row>
    <row r="1466" spans="2:15" x14ac:dyDescent="0.2">
      <c r="B1466" s="138"/>
      <c r="C1466" s="126"/>
      <c r="D1466" s="138"/>
      <c r="E1466" s="138"/>
      <c r="F1466" s="138"/>
      <c r="G1466" s="138"/>
      <c r="H1466" s="138"/>
      <c r="I1466" s="138"/>
      <c r="J1466" s="138"/>
      <c r="K1466" s="138"/>
      <c r="L1466" s="138"/>
      <c r="M1466" s="138"/>
      <c r="N1466" s="138"/>
      <c r="O1466" s="138"/>
    </row>
    <row r="1467" spans="2:15" x14ac:dyDescent="0.2">
      <c r="B1467" s="138"/>
      <c r="C1467" s="126"/>
      <c r="D1467" s="138"/>
      <c r="E1467" s="138"/>
      <c r="F1467" s="138"/>
      <c r="G1467" s="138"/>
      <c r="H1467" s="138"/>
      <c r="I1467" s="138"/>
      <c r="J1467" s="138"/>
      <c r="K1467" s="138"/>
      <c r="L1467" s="138"/>
      <c r="M1467" s="138"/>
      <c r="N1467" s="138"/>
      <c r="O1467" s="138"/>
    </row>
    <row r="1468" spans="2:15" x14ac:dyDescent="0.2">
      <c r="B1468" s="138"/>
      <c r="C1468" s="126"/>
      <c r="D1468" s="138"/>
      <c r="E1468" s="138"/>
      <c r="F1468" s="138"/>
      <c r="G1468" s="138"/>
      <c r="H1468" s="138"/>
      <c r="I1468" s="138"/>
      <c r="J1468" s="138"/>
      <c r="K1468" s="138"/>
      <c r="L1468" s="138"/>
      <c r="M1468" s="138"/>
      <c r="N1468" s="138"/>
      <c r="O1468" s="138"/>
    </row>
    <row r="1469" spans="2:15" x14ac:dyDescent="0.2">
      <c r="B1469" s="138"/>
      <c r="C1469" s="126"/>
      <c r="D1469" s="138"/>
      <c r="E1469" s="138"/>
      <c r="F1469" s="138"/>
      <c r="G1469" s="138"/>
      <c r="H1469" s="138"/>
      <c r="I1469" s="138"/>
      <c r="J1469" s="138"/>
      <c r="K1469" s="138"/>
      <c r="L1469" s="138"/>
      <c r="M1469" s="138"/>
      <c r="N1469" s="138"/>
      <c r="O1469" s="138"/>
    </row>
    <row r="1470" spans="2:15" x14ac:dyDescent="0.2">
      <c r="B1470" s="138"/>
      <c r="C1470" s="126"/>
      <c r="D1470" s="138"/>
      <c r="E1470" s="138"/>
      <c r="F1470" s="138"/>
      <c r="G1470" s="138"/>
      <c r="H1470" s="138"/>
      <c r="I1470" s="138"/>
      <c r="J1470" s="138"/>
      <c r="K1470" s="138"/>
      <c r="L1470" s="138"/>
      <c r="M1470" s="138"/>
      <c r="N1470" s="138"/>
      <c r="O1470" s="138"/>
    </row>
    <row r="1471" spans="2:15" x14ac:dyDescent="0.2">
      <c r="B1471" s="138"/>
      <c r="C1471" s="126"/>
      <c r="D1471" s="138"/>
      <c r="E1471" s="138"/>
      <c r="F1471" s="138"/>
      <c r="G1471" s="138"/>
      <c r="H1471" s="138"/>
      <c r="I1471" s="138"/>
      <c r="J1471" s="138"/>
      <c r="K1471" s="138"/>
      <c r="L1471" s="138"/>
      <c r="M1471" s="138"/>
      <c r="N1471" s="138"/>
      <c r="O1471" s="138"/>
    </row>
    <row r="1472" spans="2:15" x14ac:dyDescent="0.2">
      <c r="B1472" s="138"/>
      <c r="C1472" s="126"/>
      <c r="D1472" s="138"/>
      <c r="E1472" s="138"/>
      <c r="F1472" s="138"/>
      <c r="G1472" s="138"/>
      <c r="H1472" s="138"/>
      <c r="I1472" s="138"/>
      <c r="J1472" s="138"/>
      <c r="K1472" s="138"/>
      <c r="L1472" s="138"/>
      <c r="M1472" s="138"/>
      <c r="N1472" s="138"/>
      <c r="O1472" s="138"/>
    </row>
    <row r="1473" spans="2:15" x14ac:dyDescent="0.2">
      <c r="B1473" s="138"/>
      <c r="C1473" s="126"/>
      <c r="D1473" s="138"/>
      <c r="E1473" s="138"/>
      <c r="F1473" s="138"/>
      <c r="G1473" s="138"/>
      <c r="H1473" s="138"/>
      <c r="I1473" s="138"/>
      <c r="J1473" s="138"/>
      <c r="K1473" s="138"/>
      <c r="L1473" s="138"/>
      <c r="M1473" s="138"/>
      <c r="N1473" s="138"/>
      <c r="O1473" s="138"/>
    </row>
    <row r="1474" spans="2:15" x14ac:dyDescent="0.2">
      <c r="B1474" s="138"/>
      <c r="C1474" s="126"/>
      <c r="D1474" s="138"/>
      <c r="E1474" s="138"/>
      <c r="F1474" s="138"/>
      <c r="G1474" s="138"/>
      <c r="H1474" s="138"/>
      <c r="I1474" s="138"/>
      <c r="J1474" s="138"/>
      <c r="K1474" s="138"/>
      <c r="L1474" s="138"/>
      <c r="M1474" s="138"/>
      <c r="N1474" s="138"/>
      <c r="O1474" s="138"/>
    </row>
    <row r="1475" spans="2:15" x14ac:dyDescent="0.2">
      <c r="B1475" s="138"/>
      <c r="C1475" s="126"/>
      <c r="D1475" s="138"/>
      <c r="E1475" s="138"/>
      <c r="F1475" s="138"/>
      <c r="G1475" s="138"/>
      <c r="H1475" s="138"/>
      <c r="I1475" s="138"/>
      <c r="J1475" s="138"/>
      <c r="K1475" s="138"/>
      <c r="L1475" s="138"/>
      <c r="M1475" s="138"/>
      <c r="N1475" s="138"/>
      <c r="O1475" s="138"/>
    </row>
    <row r="1476" spans="2:15" x14ac:dyDescent="0.2">
      <c r="B1476" s="138"/>
      <c r="C1476" s="126"/>
      <c r="D1476" s="138"/>
      <c r="E1476" s="138"/>
      <c r="F1476" s="138"/>
      <c r="G1476" s="138"/>
      <c r="H1476" s="138"/>
      <c r="I1476" s="138"/>
      <c r="J1476" s="138"/>
      <c r="K1476" s="138"/>
      <c r="L1476" s="138"/>
      <c r="M1476" s="138"/>
      <c r="N1476" s="138"/>
      <c r="O1476" s="138"/>
    </row>
    <row r="1477" spans="2:15" x14ac:dyDescent="0.2">
      <c r="B1477" s="138"/>
      <c r="C1477" s="126"/>
      <c r="D1477" s="138"/>
      <c r="E1477" s="138"/>
      <c r="F1477" s="138"/>
      <c r="G1477" s="138"/>
      <c r="H1477" s="138"/>
      <c r="I1477" s="138"/>
      <c r="J1477" s="138"/>
      <c r="K1477" s="138"/>
      <c r="L1477" s="138"/>
      <c r="M1477" s="138"/>
      <c r="N1477" s="138"/>
      <c r="O1477" s="138"/>
    </row>
    <row r="1478" spans="2:15" x14ac:dyDescent="0.2">
      <c r="B1478" s="138"/>
      <c r="C1478" s="126"/>
      <c r="D1478" s="138"/>
      <c r="E1478" s="138"/>
      <c r="F1478" s="138"/>
      <c r="G1478" s="138"/>
      <c r="H1478" s="138"/>
      <c r="I1478" s="138"/>
      <c r="J1478" s="138"/>
      <c r="K1478" s="138"/>
      <c r="L1478" s="138"/>
      <c r="M1478" s="138"/>
      <c r="N1478" s="138"/>
      <c r="O1478" s="138"/>
    </row>
    <row r="1479" spans="2:15" x14ac:dyDescent="0.2">
      <c r="B1479" s="138"/>
      <c r="C1479" s="126"/>
      <c r="D1479" s="138"/>
      <c r="E1479" s="138"/>
      <c r="F1479" s="138"/>
      <c r="G1479" s="138"/>
      <c r="H1479" s="138"/>
      <c r="I1479" s="138"/>
      <c r="J1479" s="138"/>
      <c r="K1479" s="138"/>
      <c r="L1479" s="138"/>
      <c r="M1479" s="138"/>
      <c r="N1479" s="138"/>
      <c r="O1479" s="138"/>
    </row>
    <row r="1480" spans="2:15" x14ac:dyDescent="0.2">
      <c r="B1480" s="138"/>
      <c r="C1480" s="126"/>
      <c r="D1480" s="138"/>
      <c r="E1480" s="138"/>
      <c r="F1480" s="138"/>
      <c r="G1480" s="138"/>
      <c r="H1480" s="138"/>
      <c r="I1480" s="138"/>
      <c r="J1480" s="138"/>
      <c r="K1480" s="138"/>
      <c r="L1480" s="138"/>
      <c r="M1480" s="138"/>
      <c r="N1480" s="138"/>
      <c r="O1480" s="138"/>
    </row>
    <row r="1481" spans="2:15" x14ac:dyDescent="0.2">
      <c r="B1481" s="138"/>
      <c r="C1481" s="126"/>
      <c r="D1481" s="138"/>
      <c r="E1481" s="138"/>
      <c r="F1481" s="138"/>
      <c r="G1481" s="138"/>
      <c r="H1481" s="138"/>
      <c r="I1481" s="138"/>
      <c r="J1481" s="138"/>
      <c r="K1481" s="138"/>
      <c r="L1481" s="138"/>
      <c r="M1481" s="138"/>
      <c r="N1481" s="138"/>
      <c r="O1481" s="138"/>
    </row>
    <row r="1482" spans="2:15" x14ac:dyDescent="0.2">
      <c r="B1482" s="138"/>
      <c r="C1482" s="126"/>
      <c r="D1482" s="138"/>
      <c r="E1482" s="138"/>
      <c r="F1482" s="138"/>
      <c r="G1482" s="138"/>
      <c r="H1482" s="138"/>
      <c r="I1482" s="138"/>
      <c r="J1482" s="138"/>
      <c r="K1482" s="138"/>
      <c r="L1482" s="138"/>
      <c r="M1482" s="138"/>
      <c r="N1482" s="138"/>
      <c r="O1482" s="138"/>
    </row>
    <row r="1483" spans="2:15" x14ac:dyDescent="0.2">
      <c r="B1483" s="138"/>
      <c r="C1483" s="126"/>
      <c r="D1483" s="138"/>
      <c r="E1483" s="138"/>
      <c r="F1483" s="138"/>
      <c r="G1483" s="138"/>
      <c r="H1483" s="138"/>
      <c r="I1483" s="138"/>
      <c r="J1483" s="138"/>
      <c r="K1483" s="138"/>
      <c r="L1483" s="138"/>
      <c r="M1483" s="138"/>
      <c r="N1483" s="138"/>
      <c r="O1483" s="138"/>
    </row>
    <row r="1484" spans="2:15" x14ac:dyDescent="0.2">
      <c r="B1484" s="138"/>
      <c r="C1484" s="126"/>
      <c r="D1484" s="138"/>
      <c r="E1484" s="138"/>
      <c r="F1484" s="138"/>
      <c r="G1484" s="138"/>
      <c r="H1484" s="138"/>
      <c r="I1484" s="138"/>
      <c r="J1484" s="138"/>
      <c r="K1484" s="138"/>
      <c r="L1484" s="138"/>
      <c r="M1484" s="138"/>
      <c r="N1484" s="138"/>
      <c r="O1484" s="138"/>
    </row>
    <row r="1485" spans="2:15" x14ac:dyDescent="0.2">
      <c r="B1485" s="138"/>
      <c r="C1485" s="126"/>
      <c r="D1485" s="138"/>
      <c r="E1485" s="138"/>
      <c r="F1485" s="138"/>
      <c r="G1485" s="138"/>
      <c r="H1485" s="138"/>
      <c r="I1485" s="138"/>
      <c r="J1485" s="138"/>
      <c r="K1485" s="138"/>
      <c r="L1485" s="138"/>
      <c r="M1485" s="138"/>
      <c r="N1485" s="138"/>
      <c r="O1485" s="138"/>
    </row>
    <row r="1486" spans="2:15" x14ac:dyDescent="0.2">
      <c r="B1486" s="138"/>
      <c r="C1486" s="126"/>
      <c r="D1486" s="138"/>
      <c r="E1486" s="138"/>
      <c r="F1486" s="138"/>
      <c r="G1486" s="138"/>
      <c r="H1486" s="138"/>
      <c r="I1486" s="138"/>
      <c r="J1486" s="138"/>
      <c r="K1486" s="138"/>
      <c r="L1486" s="138"/>
      <c r="M1486" s="138"/>
      <c r="N1486" s="138"/>
      <c r="O1486" s="138"/>
    </row>
    <row r="1487" spans="2:15" x14ac:dyDescent="0.2">
      <c r="B1487" s="138"/>
      <c r="C1487" s="126"/>
      <c r="D1487" s="138"/>
      <c r="E1487" s="138"/>
      <c r="F1487" s="138"/>
      <c r="G1487" s="138"/>
      <c r="H1487" s="138"/>
      <c r="I1487" s="138"/>
      <c r="J1487" s="138"/>
      <c r="K1487" s="138"/>
      <c r="L1487" s="138"/>
      <c r="M1487" s="138"/>
      <c r="N1487" s="138"/>
      <c r="O1487" s="138"/>
    </row>
    <row r="1488" spans="2:15" x14ac:dyDescent="0.2">
      <c r="B1488" s="138"/>
      <c r="C1488" s="126"/>
      <c r="D1488" s="138"/>
      <c r="E1488" s="138"/>
      <c r="F1488" s="138"/>
      <c r="G1488" s="138"/>
      <c r="H1488" s="138"/>
      <c r="I1488" s="138"/>
      <c r="J1488" s="138"/>
      <c r="K1488" s="138"/>
      <c r="L1488" s="138"/>
      <c r="M1488" s="138"/>
      <c r="N1488" s="138"/>
      <c r="O1488" s="138"/>
    </row>
    <row r="1489" spans="2:15" x14ac:dyDescent="0.2">
      <c r="B1489" s="138"/>
      <c r="C1489" s="126"/>
      <c r="D1489" s="138"/>
      <c r="E1489" s="138"/>
      <c r="F1489" s="138"/>
      <c r="G1489" s="138"/>
      <c r="H1489" s="138"/>
      <c r="I1489" s="138"/>
      <c r="J1489" s="138"/>
      <c r="K1489" s="138"/>
      <c r="L1489" s="138"/>
      <c r="M1489" s="138"/>
      <c r="N1489" s="138"/>
      <c r="O1489" s="138"/>
    </row>
    <row r="1490" spans="2:15" x14ac:dyDescent="0.2">
      <c r="B1490" s="138"/>
      <c r="C1490" s="126"/>
      <c r="D1490" s="138"/>
      <c r="E1490" s="138"/>
      <c r="F1490" s="138"/>
      <c r="G1490" s="138"/>
      <c r="H1490" s="138"/>
      <c r="I1490" s="138"/>
      <c r="J1490" s="138"/>
      <c r="K1490" s="138"/>
      <c r="L1490" s="138"/>
      <c r="M1490" s="138"/>
      <c r="N1490" s="138"/>
      <c r="O1490" s="138"/>
    </row>
    <row r="1491" spans="2:15" x14ac:dyDescent="0.2">
      <c r="B1491" s="138"/>
      <c r="C1491" s="126"/>
      <c r="D1491" s="138"/>
      <c r="E1491" s="138"/>
      <c r="F1491" s="138"/>
      <c r="G1491" s="138"/>
      <c r="H1491" s="138"/>
      <c r="I1491" s="138"/>
      <c r="J1491" s="138"/>
      <c r="K1491" s="138"/>
      <c r="L1491" s="138"/>
      <c r="M1491" s="138"/>
      <c r="N1491" s="138"/>
      <c r="O1491" s="138"/>
    </row>
    <row r="1492" spans="2:15" x14ac:dyDescent="0.2">
      <c r="B1492" s="138"/>
      <c r="C1492" s="126"/>
      <c r="D1492" s="138"/>
      <c r="E1492" s="138"/>
      <c r="F1492" s="138"/>
      <c r="G1492" s="138"/>
      <c r="H1492" s="138"/>
      <c r="I1492" s="138"/>
      <c r="J1492" s="138"/>
      <c r="K1492" s="138"/>
      <c r="L1492" s="138"/>
      <c r="M1492" s="138"/>
      <c r="N1492" s="138"/>
      <c r="O1492" s="138"/>
    </row>
    <row r="1493" spans="2:15" x14ac:dyDescent="0.2">
      <c r="B1493" s="138"/>
      <c r="C1493" s="126"/>
      <c r="D1493" s="138"/>
      <c r="E1493" s="138"/>
      <c r="F1493" s="138"/>
      <c r="G1493" s="138"/>
      <c r="H1493" s="138"/>
      <c r="I1493" s="138"/>
      <c r="J1493" s="138"/>
      <c r="K1493" s="138"/>
      <c r="L1493" s="138"/>
      <c r="M1493" s="138"/>
      <c r="N1493" s="138"/>
      <c r="O1493" s="138"/>
    </row>
    <row r="1494" spans="2:15" x14ac:dyDescent="0.2">
      <c r="B1494" s="138"/>
      <c r="C1494" s="126"/>
      <c r="D1494" s="138"/>
      <c r="E1494" s="138"/>
      <c r="F1494" s="138"/>
      <c r="G1494" s="138"/>
      <c r="H1494" s="138"/>
      <c r="I1494" s="138"/>
      <c r="J1494" s="138"/>
      <c r="K1494" s="138"/>
      <c r="L1494" s="138"/>
      <c r="M1494" s="138"/>
      <c r="N1494" s="138"/>
      <c r="O1494" s="138"/>
    </row>
    <row r="1495" spans="2:15" x14ac:dyDescent="0.2">
      <c r="B1495" s="138"/>
      <c r="C1495" s="126"/>
      <c r="D1495" s="138"/>
      <c r="E1495" s="138"/>
      <c r="F1495" s="138"/>
      <c r="G1495" s="138"/>
      <c r="H1495" s="138"/>
      <c r="I1495" s="138"/>
      <c r="J1495" s="138"/>
      <c r="K1495" s="138"/>
      <c r="L1495" s="138"/>
      <c r="M1495" s="138"/>
      <c r="N1495" s="138"/>
      <c r="O1495" s="138"/>
    </row>
    <row r="1496" spans="2:15" x14ac:dyDescent="0.2">
      <c r="B1496" s="138"/>
      <c r="C1496" s="126"/>
      <c r="D1496" s="138"/>
      <c r="E1496" s="138"/>
      <c r="F1496" s="138"/>
      <c r="G1496" s="138"/>
      <c r="H1496" s="138"/>
      <c r="I1496" s="138"/>
      <c r="J1496" s="138"/>
      <c r="K1496" s="138"/>
      <c r="L1496" s="138"/>
      <c r="M1496" s="138"/>
      <c r="N1496" s="138"/>
      <c r="O1496" s="138"/>
    </row>
    <row r="1497" spans="2:15" x14ac:dyDescent="0.2">
      <c r="B1497" s="138"/>
      <c r="C1497" s="126"/>
      <c r="D1497" s="138"/>
      <c r="E1497" s="138"/>
      <c r="F1497" s="138"/>
      <c r="G1497" s="138"/>
      <c r="H1497" s="138"/>
      <c r="I1497" s="138"/>
      <c r="J1497" s="138"/>
      <c r="K1497" s="138"/>
      <c r="L1497" s="138"/>
      <c r="M1497" s="138"/>
      <c r="N1497" s="138"/>
      <c r="O1497" s="138"/>
    </row>
    <row r="1498" spans="2:15" x14ac:dyDescent="0.2">
      <c r="B1498" s="138"/>
      <c r="C1498" s="126"/>
      <c r="D1498" s="138"/>
      <c r="E1498" s="138"/>
      <c r="F1498" s="138"/>
      <c r="G1498" s="138"/>
      <c r="H1498" s="138"/>
      <c r="I1498" s="138"/>
      <c r="J1498" s="138"/>
      <c r="K1498" s="138"/>
      <c r="L1498" s="138"/>
      <c r="M1498" s="138"/>
      <c r="N1498" s="138"/>
      <c r="O1498" s="138"/>
    </row>
    <row r="1499" spans="2:15" x14ac:dyDescent="0.2">
      <c r="B1499" s="138"/>
      <c r="C1499" s="126"/>
      <c r="D1499" s="138"/>
      <c r="E1499" s="138"/>
      <c r="F1499" s="138"/>
      <c r="G1499" s="138"/>
      <c r="H1499" s="138"/>
      <c r="I1499" s="138"/>
      <c r="J1499" s="138"/>
      <c r="K1499" s="138"/>
      <c r="L1499" s="138"/>
      <c r="M1499" s="138"/>
      <c r="N1499" s="138"/>
      <c r="O1499" s="138"/>
    </row>
    <row r="1500" spans="2:15" x14ac:dyDescent="0.2">
      <c r="B1500" s="138"/>
      <c r="C1500" s="126"/>
      <c r="D1500" s="138"/>
      <c r="E1500" s="138"/>
      <c r="F1500" s="138"/>
      <c r="G1500" s="138"/>
      <c r="H1500" s="138"/>
      <c r="I1500" s="138"/>
      <c r="J1500" s="138"/>
      <c r="K1500" s="138"/>
      <c r="L1500" s="138"/>
      <c r="M1500" s="138"/>
      <c r="N1500" s="138"/>
      <c r="O1500" s="138"/>
    </row>
    <row r="1501" spans="2:15" x14ac:dyDescent="0.2">
      <c r="B1501" s="138"/>
      <c r="C1501" s="126"/>
      <c r="D1501" s="138"/>
      <c r="E1501" s="138"/>
      <c r="F1501" s="138"/>
      <c r="G1501" s="138"/>
      <c r="H1501" s="138"/>
      <c r="I1501" s="138"/>
      <c r="J1501" s="138"/>
      <c r="K1501" s="138"/>
      <c r="L1501" s="138"/>
      <c r="M1501" s="138"/>
      <c r="N1501" s="138"/>
      <c r="O1501" s="138"/>
    </row>
    <row r="1502" spans="2:15" x14ac:dyDescent="0.2">
      <c r="B1502" s="138"/>
      <c r="C1502" s="126"/>
      <c r="D1502" s="138"/>
      <c r="E1502" s="138"/>
      <c r="F1502" s="138"/>
      <c r="G1502" s="138"/>
      <c r="H1502" s="138"/>
      <c r="I1502" s="138"/>
      <c r="J1502" s="138"/>
      <c r="K1502" s="138"/>
      <c r="L1502" s="138"/>
      <c r="M1502" s="138"/>
      <c r="N1502" s="138"/>
      <c r="O1502" s="138"/>
    </row>
    <row r="1503" spans="2:15" x14ac:dyDescent="0.2">
      <c r="B1503" s="138"/>
      <c r="C1503" s="126"/>
      <c r="D1503" s="138"/>
      <c r="E1503" s="138"/>
      <c r="F1503" s="138"/>
      <c r="G1503" s="138"/>
      <c r="H1503" s="138"/>
      <c r="I1503" s="138"/>
      <c r="J1503" s="138"/>
      <c r="K1503" s="138"/>
      <c r="L1503" s="138"/>
      <c r="M1503" s="138"/>
      <c r="N1503" s="138"/>
      <c r="O1503" s="138"/>
    </row>
    <row r="1504" spans="2:15" x14ac:dyDescent="0.2">
      <c r="B1504" s="138"/>
      <c r="C1504" s="126"/>
      <c r="D1504" s="138"/>
      <c r="E1504" s="138"/>
      <c r="F1504" s="138"/>
      <c r="G1504" s="138"/>
      <c r="H1504" s="138"/>
      <c r="I1504" s="138"/>
      <c r="J1504" s="138"/>
      <c r="K1504" s="138"/>
      <c r="L1504" s="138"/>
      <c r="M1504" s="138"/>
      <c r="N1504" s="138"/>
      <c r="O1504" s="138"/>
    </row>
    <row r="1505" spans="2:15" x14ac:dyDescent="0.2">
      <c r="B1505" s="138"/>
      <c r="C1505" s="126"/>
      <c r="D1505" s="138"/>
      <c r="E1505" s="138"/>
      <c r="F1505" s="138"/>
      <c r="G1505" s="138"/>
      <c r="H1505" s="138"/>
      <c r="I1505" s="138"/>
      <c r="J1505" s="138"/>
      <c r="K1505" s="138"/>
      <c r="L1505" s="138"/>
      <c r="M1505" s="138"/>
      <c r="N1505" s="138"/>
      <c r="O1505" s="138"/>
    </row>
    <row r="1506" spans="2:15" x14ac:dyDescent="0.2">
      <c r="B1506" s="138"/>
      <c r="C1506" s="126"/>
      <c r="D1506" s="138"/>
      <c r="E1506" s="138"/>
      <c r="F1506" s="138"/>
      <c r="G1506" s="138"/>
      <c r="H1506" s="138"/>
      <c r="I1506" s="138"/>
      <c r="J1506" s="138"/>
      <c r="K1506" s="138"/>
      <c r="L1506" s="138"/>
      <c r="M1506" s="138"/>
      <c r="N1506" s="138"/>
      <c r="O1506" s="138"/>
    </row>
    <row r="1507" spans="2:15" x14ac:dyDescent="0.2">
      <c r="B1507" s="138"/>
      <c r="C1507" s="126"/>
      <c r="D1507" s="138"/>
      <c r="E1507" s="138"/>
      <c r="F1507" s="138"/>
      <c r="G1507" s="138"/>
      <c r="H1507" s="138"/>
      <c r="I1507" s="138"/>
      <c r="J1507" s="138"/>
      <c r="K1507" s="138"/>
      <c r="L1507" s="138"/>
      <c r="M1507" s="138"/>
      <c r="N1507" s="138"/>
      <c r="O1507" s="138"/>
    </row>
    <row r="1508" spans="2:15" x14ac:dyDescent="0.2">
      <c r="B1508" s="138"/>
      <c r="C1508" s="126"/>
      <c r="D1508" s="138"/>
      <c r="E1508" s="138"/>
      <c r="F1508" s="138"/>
      <c r="G1508" s="138"/>
      <c r="H1508" s="138"/>
      <c r="I1508" s="138"/>
      <c r="J1508" s="138"/>
      <c r="K1508" s="138"/>
      <c r="L1508" s="138"/>
      <c r="M1508" s="138"/>
      <c r="N1508" s="138"/>
      <c r="O1508" s="138"/>
    </row>
    <row r="1509" spans="2:15" x14ac:dyDescent="0.2">
      <c r="B1509" s="138"/>
      <c r="C1509" s="126"/>
      <c r="D1509" s="138"/>
      <c r="E1509" s="138"/>
      <c r="F1509" s="138"/>
      <c r="G1509" s="138"/>
      <c r="H1509" s="138"/>
      <c r="I1509" s="138"/>
      <c r="J1509" s="138"/>
      <c r="K1509" s="138"/>
      <c r="L1509" s="138"/>
      <c r="M1509" s="138"/>
      <c r="N1509" s="138"/>
      <c r="O1509" s="138"/>
    </row>
    <row r="1510" spans="2:15" x14ac:dyDescent="0.2">
      <c r="B1510" s="138"/>
      <c r="C1510" s="126"/>
      <c r="D1510" s="138"/>
      <c r="E1510" s="138"/>
      <c r="F1510" s="138"/>
      <c r="G1510" s="138"/>
      <c r="H1510" s="138"/>
      <c r="I1510" s="138"/>
      <c r="J1510" s="138"/>
      <c r="K1510" s="138"/>
      <c r="L1510" s="138"/>
      <c r="M1510" s="138"/>
      <c r="N1510" s="138"/>
      <c r="O1510" s="138"/>
    </row>
    <row r="1511" spans="2:15" x14ac:dyDescent="0.2">
      <c r="B1511" s="138"/>
      <c r="C1511" s="126"/>
      <c r="D1511" s="138"/>
      <c r="E1511" s="138"/>
      <c r="F1511" s="138"/>
      <c r="G1511" s="138"/>
      <c r="H1511" s="138"/>
      <c r="I1511" s="138"/>
      <c r="J1511" s="138"/>
      <c r="K1511" s="138"/>
      <c r="L1511" s="138"/>
      <c r="M1511" s="138"/>
      <c r="N1511" s="138"/>
      <c r="O1511" s="138"/>
    </row>
    <row r="1512" spans="2:15" x14ac:dyDescent="0.2">
      <c r="B1512" s="138"/>
      <c r="C1512" s="126"/>
      <c r="D1512" s="138"/>
      <c r="E1512" s="138"/>
      <c r="F1512" s="138"/>
      <c r="G1512" s="138"/>
      <c r="H1512" s="138"/>
      <c r="I1512" s="138"/>
      <c r="J1512" s="138"/>
      <c r="K1512" s="138"/>
      <c r="L1512" s="138"/>
      <c r="M1512" s="138"/>
      <c r="N1512" s="138"/>
      <c r="O1512" s="138"/>
    </row>
    <row r="1513" spans="2:15" x14ac:dyDescent="0.2">
      <c r="B1513" s="138"/>
      <c r="C1513" s="126"/>
      <c r="D1513" s="138"/>
      <c r="E1513" s="138"/>
      <c r="F1513" s="138"/>
      <c r="G1513" s="138"/>
      <c r="H1513" s="138"/>
      <c r="I1513" s="138"/>
      <c r="J1513" s="138"/>
      <c r="K1513" s="138"/>
      <c r="L1513" s="138"/>
      <c r="M1513" s="138"/>
      <c r="N1513" s="138"/>
      <c r="O1513" s="138"/>
    </row>
    <row r="1514" spans="2:15" x14ac:dyDescent="0.2">
      <c r="B1514" s="138"/>
      <c r="C1514" s="126"/>
      <c r="D1514" s="138"/>
      <c r="E1514" s="138"/>
      <c r="F1514" s="138"/>
      <c r="G1514" s="138"/>
      <c r="H1514" s="138"/>
      <c r="I1514" s="138"/>
      <c r="J1514" s="138"/>
      <c r="K1514" s="138"/>
      <c r="L1514" s="138"/>
      <c r="M1514" s="138"/>
      <c r="N1514" s="138"/>
      <c r="O1514" s="138"/>
    </row>
    <row r="1515" spans="2:15" x14ac:dyDescent="0.2">
      <c r="B1515" s="138"/>
      <c r="C1515" s="126"/>
      <c r="D1515" s="138"/>
      <c r="E1515" s="138"/>
      <c r="F1515" s="138"/>
      <c r="G1515" s="138"/>
      <c r="H1515" s="138"/>
      <c r="I1515" s="138"/>
      <c r="J1515" s="138"/>
      <c r="K1515" s="138"/>
      <c r="L1515" s="138"/>
      <c r="M1515" s="138"/>
      <c r="N1515" s="138"/>
      <c r="O1515" s="138"/>
    </row>
    <row r="1516" spans="2:15" x14ac:dyDescent="0.2">
      <c r="B1516" s="138"/>
      <c r="C1516" s="126"/>
      <c r="D1516" s="138"/>
      <c r="E1516" s="138"/>
      <c r="F1516" s="138"/>
      <c r="G1516" s="138"/>
      <c r="H1516" s="138"/>
      <c r="I1516" s="138"/>
      <c r="J1516" s="138"/>
      <c r="K1516" s="138"/>
      <c r="L1516" s="138"/>
      <c r="M1516" s="138"/>
      <c r="N1516" s="138"/>
      <c r="O1516" s="138"/>
    </row>
    <row r="1517" spans="2:15" x14ac:dyDescent="0.2">
      <c r="B1517" s="138"/>
      <c r="C1517" s="126"/>
      <c r="D1517" s="138"/>
      <c r="E1517" s="138"/>
      <c r="F1517" s="138"/>
      <c r="G1517" s="138"/>
      <c r="H1517" s="138"/>
      <c r="I1517" s="138"/>
      <c r="J1517" s="138"/>
      <c r="K1517" s="138"/>
      <c r="L1517" s="138"/>
      <c r="M1517" s="138"/>
      <c r="N1517" s="138"/>
      <c r="O1517" s="138"/>
    </row>
    <row r="1518" spans="2:15" x14ac:dyDescent="0.2">
      <c r="B1518" s="138"/>
      <c r="C1518" s="126"/>
      <c r="D1518" s="138"/>
      <c r="E1518" s="138"/>
      <c r="F1518" s="138"/>
      <c r="G1518" s="138"/>
      <c r="H1518" s="138"/>
      <c r="I1518" s="138"/>
      <c r="J1518" s="138"/>
      <c r="K1518" s="138"/>
      <c r="L1518" s="138"/>
      <c r="M1518" s="138"/>
      <c r="N1518" s="138"/>
      <c r="O1518" s="138"/>
    </row>
    <row r="1519" spans="2:15" x14ac:dyDescent="0.2">
      <c r="B1519" s="138"/>
      <c r="C1519" s="126"/>
      <c r="D1519" s="138"/>
      <c r="E1519" s="138"/>
      <c r="F1519" s="138"/>
      <c r="G1519" s="138"/>
      <c r="H1519" s="138"/>
      <c r="I1519" s="138"/>
      <c r="J1519" s="138"/>
      <c r="K1519" s="138"/>
      <c r="L1519" s="138"/>
      <c r="M1519" s="138"/>
      <c r="N1519" s="138"/>
      <c r="O1519" s="138"/>
    </row>
    <row r="1520" spans="2:15" x14ac:dyDescent="0.2">
      <c r="B1520" s="138"/>
      <c r="C1520" s="126"/>
      <c r="D1520" s="138"/>
      <c r="E1520" s="138"/>
      <c r="F1520" s="138"/>
      <c r="G1520" s="138"/>
      <c r="H1520" s="138"/>
      <c r="I1520" s="138"/>
      <c r="J1520" s="138"/>
      <c r="K1520" s="138"/>
      <c r="L1520" s="138"/>
      <c r="M1520" s="138"/>
      <c r="N1520" s="138"/>
      <c r="O1520" s="138"/>
    </row>
    <row r="1521" spans="2:15" x14ac:dyDescent="0.2">
      <c r="B1521" s="138"/>
      <c r="C1521" s="126"/>
      <c r="D1521" s="138"/>
      <c r="E1521" s="138"/>
      <c r="F1521" s="138"/>
      <c r="G1521" s="138"/>
      <c r="H1521" s="138"/>
      <c r="I1521" s="138"/>
      <c r="J1521" s="138"/>
      <c r="K1521" s="138"/>
      <c r="L1521" s="138"/>
      <c r="M1521" s="138"/>
      <c r="N1521" s="138"/>
      <c r="O1521" s="138"/>
    </row>
    <row r="1522" spans="2:15" x14ac:dyDescent="0.2">
      <c r="B1522" s="138"/>
      <c r="C1522" s="126"/>
      <c r="D1522" s="138"/>
      <c r="E1522" s="138"/>
      <c r="F1522" s="138"/>
      <c r="G1522" s="138"/>
      <c r="H1522" s="138"/>
      <c r="I1522" s="138"/>
      <c r="J1522" s="138"/>
      <c r="K1522" s="138"/>
      <c r="L1522" s="138"/>
      <c r="M1522" s="138"/>
      <c r="N1522" s="138"/>
      <c r="O1522" s="138"/>
    </row>
    <row r="1523" spans="2:15" x14ac:dyDescent="0.2">
      <c r="B1523" s="138"/>
      <c r="C1523" s="126"/>
      <c r="D1523" s="138"/>
      <c r="E1523" s="138"/>
      <c r="F1523" s="138"/>
      <c r="G1523" s="138"/>
      <c r="H1523" s="138"/>
      <c r="I1523" s="138"/>
      <c r="J1523" s="138"/>
      <c r="K1523" s="138"/>
      <c r="L1523" s="138"/>
      <c r="M1523" s="138"/>
      <c r="N1523" s="138"/>
      <c r="O1523" s="138"/>
    </row>
    <row r="1524" spans="2:15" x14ac:dyDescent="0.2">
      <c r="B1524" s="138"/>
      <c r="C1524" s="126"/>
      <c r="D1524" s="138"/>
      <c r="E1524" s="138"/>
      <c r="F1524" s="138"/>
      <c r="G1524" s="138"/>
      <c r="H1524" s="138"/>
      <c r="I1524" s="138"/>
      <c r="J1524" s="138"/>
      <c r="K1524" s="138"/>
      <c r="L1524" s="138"/>
      <c r="M1524" s="138"/>
      <c r="N1524" s="138"/>
      <c r="O1524" s="138"/>
    </row>
    <row r="1525" spans="2:15" x14ac:dyDescent="0.2">
      <c r="B1525" s="138"/>
      <c r="C1525" s="126"/>
      <c r="D1525" s="138"/>
      <c r="E1525" s="138"/>
      <c r="F1525" s="138"/>
      <c r="G1525" s="138"/>
      <c r="H1525" s="138"/>
      <c r="I1525" s="138"/>
      <c r="J1525" s="138"/>
      <c r="K1525" s="138"/>
      <c r="L1525" s="138"/>
      <c r="M1525" s="138"/>
      <c r="N1525" s="138"/>
      <c r="O1525" s="138"/>
    </row>
    <row r="1526" spans="2:15" x14ac:dyDescent="0.2">
      <c r="B1526" s="138"/>
      <c r="C1526" s="126"/>
      <c r="D1526" s="138"/>
      <c r="E1526" s="138"/>
      <c r="F1526" s="138"/>
      <c r="G1526" s="138"/>
      <c r="H1526" s="138"/>
      <c r="I1526" s="138"/>
      <c r="J1526" s="138"/>
      <c r="K1526" s="138"/>
      <c r="L1526" s="138"/>
      <c r="M1526" s="138"/>
      <c r="N1526" s="138"/>
      <c r="O1526" s="138"/>
    </row>
    <row r="1527" spans="2:15" x14ac:dyDescent="0.2">
      <c r="B1527" s="138"/>
      <c r="C1527" s="126"/>
      <c r="D1527" s="138"/>
      <c r="E1527" s="138"/>
      <c r="F1527" s="138"/>
      <c r="G1527" s="138"/>
      <c r="H1527" s="138"/>
      <c r="I1527" s="138"/>
      <c r="J1527" s="138"/>
      <c r="K1527" s="138"/>
      <c r="L1527" s="138"/>
      <c r="M1527" s="138"/>
      <c r="N1527" s="138"/>
      <c r="O1527" s="138"/>
    </row>
    <row r="1528" spans="2:15" x14ac:dyDescent="0.2">
      <c r="B1528" s="138"/>
      <c r="C1528" s="126"/>
      <c r="D1528" s="138"/>
      <c r="E1528" s="138"/>
      <c r="F1528" s="138"/>
      <c r="G1528" s="138"/>
      <c r="H1528" s="138"/>
      <c r="I1528" s="138"/>
      <c r="J1528" s="138"/>
      <c r="K1528" s="138"/>
      <c r="L1528" s="138"/>
      <c r="M1528" s="138"/>
      <c r="N1528" s="138"/>
      <c r="O1528" s="138"/>
    </row>
    <row r="1529" spans="2:15" x14ac:dyDescent="0.2">
      <c r="B1529" s="138"/>
      <c r="C1529" s="126"/>
      <c r="D1529" s="138"/>
      <c r="E1529" s="138"/>
      <c r="F1529" s="138"/>
      <c r="G1529" s="138"/>
      <c r="H1529" s="138"/>
      <c r="I1529" s="138"/>
      <c r="J1529" s="138"/>
      <c r="K1529" s="138"/>
      <c r="L1529" s="138"/>
      <c r="M1529" s="138"/>
      <c r="N1529" s="138"/>
      <c r="O1529" s="138"/>
    </row>
    <row r="1530" spans="2:15" x14ac:dyDescent="0.2">
      <c r="B1530" s="138"/>
      <c r="C1530" s="126"/>
      <c r="D1530" s="138"/>
      <c r="E1530" s="138"/>
      <c r="F1530" s="138"/>
      <c r="G1530" s="138"/>
      <c r="H1530" s="138"/>
      <c r="I1530" s="138"/>
      <c r="J1530" s="138"/>
      <c r="K1530" s="138"/>
      <c r="L1530" s="138"/>
      <c r="M1530" s="138"/>
      <c r="N1530" s="138"/>
      <c r="O1530" s="138"/>
    </row>
    <row r="1531" spans="2:15" x14ac:dyDescent="0.2">
      <c r="B1531" s="138"/>
      <c r="C1531" s="126"/>
      <c r="D1531" s="138"/>
      <c r="E1531" s="138"/>
      <c r="F1531" s="138"/>
      <c r="G1531" s="138"/>
      <c r="H1531" s="138"/>
      <c r="I1531" s="138"/>
      <c r="J1531" s="138"/>
      <c r="K1531" s="138"/>
      <c r="L1531" s="138"/>
      <c r="M1531" s="138"/>
      <c r="N1531" s="138"/>
      <c r="O1531" s="138"/>
    </row>
    <row r="1532" spans="2:15" x14ac:dyDescent="0.2">
      <c r="B1532" s="138"/>
      <c r="C1532" s="126"/>
      <c r="D1532" s="138"/>
      <c r="E1532" s="138"/>
      <c r="F1532" s="138"/>
      <c r="G1532" s="138"/>
      <c r="H1532" s="138"/>
      <c r="I1532" s="138"/>
      <c r="J1532" s="138"/>
      <c r="K1532" s="138"/>
      <c r="L1532" s="138"/>
      <c r="M1532" s="138"/>
      <c r="N1532" s="138"/>
      <c r="O1532" s="138"/>
    </row>
    <row r="1533" spans="2:15" x14ac:dyDescent="0.2">
      <c r="B1533" s="138"/>
      <c r="C1533" s="126"/>
      <c r="D1533" s="138"/>
      <c r="E1533" s="138"/>
      <c r="F1533" s="138"/>
      <c r="G1533" s="138"/>
      <c r="H1533" s="138"/>
      <c r="I1533" s="138"/>
      <c r="J1533" s="138"/>
      <c r="K1533" s="138"/>
      <c r="L1533" s="138"/>
      <c r="M1533" s="138"/>
      <c r="N1533" s="138"/>
      <c r="O1533" s="138"/>
    </row>
    <row r="1534" spans="2:15" x14ac:dyDescent="0.2">
      <c r="B1534" s="138"/>
      <c r="C1534" s="126"/>
      <c r="D1534" s="138"/>
      <c r="E1534" s="138"/>
      <c r="F1534" s="138"/>
      <c r="G1534" s="138"/>
      <c r="H1534" s="138"/>
      <c r="I1534" s="138"/>
      <c r="J1534" s="138"/>
      <c r="K1534" s="138"/>
      <c r="L1534" s="138"/>
      <c r="M1534" s="138"/>
      <c r="N1534" s="138"/>
      <c r="O1534" s="138"/>
    </row>
    <row r="1535" spans="2:15" x14ac:dyDescent="0.2">
      <c r="B1535" s="138"/>
      <c r="C1535" s="126"/>
      <c r="D1535" s="138"/>
      <c r="E1535" s="138"/>
      <c r="F1535" s="138"/>
      <c r="G1535" s="138"/>
      <c r="H1535" s="138"/>
      <c r="I1535" s="138"/>
      <c r="J1535" s="138"/>
      <c r="K1535" s="138"/>
      <c r="L1535" s="138"/>
      <c r="M1535" s="138"/>
      <c r="N1535" s="138"/>
      <c r="O1535" s="138"/>
    </row>
    <row r="1536" spans="2:15" x14ac:dyDescent="0.2">
      <c r="B1536" s="138"/>
      <c r="C1536" s="126"/>
      <c r="D1536" s="138"/>
      <c r="E1536" s="138"/>
      <c r="F1536" s="138"/>
      <c r="G1536" s="138"/>
      <c r="H1536" s="138"/>
      <c r="I1536" s="138"/>
      <c r="J1536" s="138"/>
      <c r="K1536" s="138"/>
      <c r="L1536" s="138"/>
      <c r="M1536" s="138"/>
      <c r="N1536" s="138"/>
      <c r="O1536" s="138"/>
    </row>
    <row r="1537" spans="2:15" x14ac:dyDescent="0.2">
      <c r="B1537" s="138"/>
      <c r="C1537" s="126"/>
      <c r="D1537" s="138"/>
      <c r="E1537" s="138"/>
      <c r="F1537" s="138"/>
      <c r="G1537" s="138"/>
      <c r="H1537" s="138"/>
      <c r="I1537" s="138"/>
      <c r="J1537" s="138"/>
      <c r="K1537" s="138"/>
      <c r="L1537" s="138"/>
      <c r="M1537" s="138"/>
      <c r="N1537" s="138"/>
      <c r="O1537" s="138"/>
    </row>
    <row r="1538" spans="2:15" x14ac:dyDescent="0.2">
      <c r="B1538" s="138"/>
      <c r="C1538" s="126"/>
      <c r="D1538" s="138"/>
      <c r="E1538" s="138"/>
      <c r="F1538" s="138"/>
      <c r="G1538" s="138"/>
      <c r="H1538" s="138"/>
      <c r="I1538" s="138"/>
      <c r="J1538" s="138"/>
      <c r="K1538" s="138"/>
      <c r="L1538" s="138"/>
      <c r="M1538" s="138"/>
      <c r="N1538" s="138"/>
      <c r="O1538" s="138"/>
    </row>
    <row r="1539" spans="2:15" x14ac:dyDescent="0.2">
      <c r="B1539" s="138"/>
      <c r="C1539" s="126"/>
      <c r="D1539" s="138"/>
      <c r="E1539" s="138"/>
      <c r="F1539" s="138"/>
      <c r="G1539" s="138"/>
      <c r="H1539" s="138"/>
      <c r="I1539" s="138"/>
      <c r="J1539" s="138"/>
      <c r="K1539" s="138"/>
      <c r="L1539" s="138"/>
      <c r="M1539" s="138"/>
      <c r="N1539" s="138"/>
      <c r="O1539" s="138"/>
    </row>
    <row r="1540" spans="2:15" x14ac:dyDescent="0.2">
      <c r="B1540" s="138"/>
      <c r="C1540" s="126"/>
      <c r="D1540" s="138"/>
      <c r="E1540" s="138"/>
      <c r="F1540" s="138"/>
      <c r="G1540" s="138"/>
      <c r="H1540" s="138"/>
      <c r="I1540" s="138"/>
      <c r="J1540" s="138"/>
      <c r="K1540" s="138"/>
      <c r="L1540" s="138"/>
      <c r="M1540" s="138"/>
      <c r="N1540" s="138"/>
      <c r="O1540" s="138"/>
    </row>
    <row r="1541" spans="2:15" x14ac:dyDescent="0.2">
      <c r="B1541" s="138"/>
      <c r="C1541" s="126"/>
      <c r="D1541" s="138"/>
      <c r="E1541" s="138"/>
      <c r="F1541" s="138"/>
      <c r="G1541" s="138"/>
      <c r="H1541" s="138"/>
      <c r="I1541" s="138"/>
      <c r="J1541" s="138"/>
      <c r="K1541" s="138"/>
      <c r="L1541" s="138"/>
      <c r="M1541" s="138"/>
      <c r="N1541" s="138"/>
      <c r="O1541" s="138"/>
    </row>
    <row r="1542" spans="2:15" x14ac:dyDescent="0.2">
      <c r="B1542" s="138"/>
      <c r="C1542" s="126"/>
      <c r="D1542" s="138"/>
      <c r="E1542" s="138"/>
      <c r="F1542" s="138"/>
      <c r="G1542" s="138"/>
      <c r="H1542" s="138"/>
      <c r="I1542" s="138"/>
      <c r="J1542" s="138"/>
      <c r="K1542" s="138"/>
      <c r="L1542" s="138"/>
      <c r="M1542" s="138"/>
      <c r="N1542" s="138"/>
      <c r="O1542" s="138"/>
    </row>
    <row r="1543" spans="2:15" x14ac:dyDescent="0.2">
      <c r="B1543" s="138"/>
      <c r="C1543" s="126"/>
      <c r="D1543" s="138"/>
      <c r="E1543" s="138"/>
      <c r="F1543" s="138"/>
      <c r="G1543" s="138"/>
      <c r="H1543" s="138"/>
      <c r="I1543" s="138"/>
      <c r="J1543" s="138"/>
      <c r="K1543" s="138"/>
      <c r="L1543" s="138"/>
      <c r="M1543" s="138"/>
      <c r="N1543" s="138"/>
      <c r="O1543" s="138"/>
    </row>
    <row r="1544" spans="2:15" x14ac:dyDescent="0.2">
      <c r="B1544" s="138"/>
      <c r="C1544" s="126"/>
      <c r="D1544" s="138"/>
      <c r="E1544" s="138"/>
      <c r="F1544" s="138"/>
      <c r="G1544" s="138"/>
      <c r="H1544" s="138"/>
      <c r="I1544" s="138"/>
      <c r="J1544" s="138"/>
      <c r="K1544" s="138"/>
      <c r="L1544" s="138"/>
      <c r="M1544" s="138"/>
      <c r="N1544" s="138"/>
      <c r="O1544" s="138"/>
    </row>
    <row r="1545" spans="2:15" x14ac:dyDescent="0.2">
      <c r="B1545" s="138"/>
      <c r="C1545" s="126"/>
      <c r="D1545" s="138"/>
      <c r="E1545" s="138"/>
      <c r="F1545" s="138"/>
      <c r="G1545" s="138"/>
      <c r="H1545" s="138"/>
      <c r="I1545" s="138"/>
      <c r="J1545" s="138"/>
      <c r="K1545" s="138"/>
      <c r="L1545" s="138"/>
      <c r="M1545" s="138"/>
      <c r="N1545" s="138"/>
      <c r="O1545" s="138"/>
    </row>
    <row r="1546" spans="2:15" x14ac:dyDescent="0.2">
      <c r="B1546" s="138"/>
      <c r="C1546" s="126"/>
      <c r="D1546" s="138"/>
      <c r="E1546" s="138"/>
      <c r="F1546" s="138"/>
      <c r="G1546" s="138"/>
      <c r="H1546" s="138"/>
      <c r="I1546" s="138"/>
      <c r="J1546" s="138"/>
      <c r="K1546" s="138"/>
      <c r="L1546" s="138"/>
      <c r="M1546" s="138"/>
      <c r="N1546" s="138"/>
      <c r="O1546" s="138"/>
    </row>
    <row r="1547" spans="2:15" x14ac:dyDescent="0.2">
      <c r="B1547" s="138"/>
      <c r="C1547" s="126"/>
      <c r="D1547" s="138"/>
      <c r="E1547" s="138"/>
      <c r="F1547" s="138"/>
      <c r="G1547" s="138"/>
      <c r="H1547" s="138"/>
      <c r="I1547" s="138"/>
      <c r="J1547" s="138"/>
      <c r="K1547" s="138"/>
      <c r="L1547" s="138"/>
      <c r="M1547" s="138"/>
      <c r="N1547" s="138"/>
      <c r="O1547" s="138"/>
    </row>
    <row r="1548" spans="2:15" x14ac:dyDescent="0.2">
      <c r="B1548" s="138"/>
      <c r="C1548" s="126"/>
      <c r="D1548" s="138"/>
      <c r="E1548" s="138"/>
      <c r="F1548" s="138"/>
      <c r="G1548" s="138"/>
      <c r="H1548" s="138"/>
      <c r="I1548" s="138"/>
      <c r="J1548" s="138"/>
      <c r="K1548" s="138"/>
      <c r="L1548" s="138"/>
      <c r="M1548" s="138"/>
      <c r="N1548" s="138"/>
      <c r="O1548" s="138"/>
    </row>
    <row r="1549" spans="2:15" x14ac:dyDescent="0.2">
      <c r="B1549" s="138"/>
      <c r="C1549" s="126"/>
      <c r="D1549" s="138"/>
      <c r="E1549" s="138"/>
      <c r="F1549" s="138"/>
      <c r="G1549" s="138"/>
      <c r="H1549" s="138"/>
      <c r="I1549" s="138"/>
      <c r="J1549" s="138"/>
      <c r="K1549" s="138"/>
      <c r="L1549" s="138"/>
      <c r="M1549" s="138"/>
      <c r="N1549" s="138"/>
      <c r="O1549" s="138"/>
    </row>
    <row r="1550" spans="2:15" x14ac:dyDescent="0.2">
      <c r="B1550" s="138"/>
      <c r="C1550" s="126"/>
      <c r="D1550" s="138"/>
      <c r="E1550" s="138"/>
      <c r="F1550" s="138"/>
      <c r="G1550" s="138"/>
      <c r="H1550" s="138"/>
      <c r="I1550" s="138"/>
      <c r="J1550" s="138"/>
      <c r="K1550" s="138"/>
      <c r="L1550" s="138"/>
      <c r="M1550" s="138"/>
      <c r="N1550" s="138"/>
      <c r="O1550" s="138"/>
    </row>
    <row r="1551" spans="2:15" x14ac:dyDescent="0.2">
      <c r="B1551" s="138"/>
      <c r="C1551" s="126"/>
      <c r="D1551" s="138"/>
      <c r="E1551" s="138"/>
      <c r="F1551" s="138"/>
      <c r="G1551" s="138"/>
      <c r="H1551" s="138"/>
      <c r="I1551" s="138"/>
      <c r="J1551" s="138"/>
      <c r="K1551" s="138"/>
      <c r="L1551" s="138"/>
      <c r="M1551" s="138"/>
      <c r="N1551" s="138"/>
      <c r="O1551" s="138"/>
    </row>
    <row r="1552" spans="2:15" x14ac:dyDescent="0.2">
      <c r="B1552" s="138"/>
      <c r="C1552" s="126"/>
      <c r="D1552" s="138"/>
      <c r="E1552" s="138"/>
      <c r="F1552" s="138"/>
      <c r="G1552" s="138"/>
      <c r="H1552" s="138"/>
      <c r="I1552" s="138"/>
      <c r="J1552" s="138"/>
      <c r="K1552" s="138"/>
      <c r="L1552" s="138"/>
      <c r="M1552" s="138"/>
      <c r="N1552" s="138"/>
      <c r="O1552" s="138"/>
    </row>
    <row r="1553" spans="2:15" x14ac:dyDescent="0.2">
      <c r="B1553" s="138"/>
      <c r="C1553" s="126"/>
      <c r="D1553" s="138"/>
      <c r="E1553" s="138"/>
      <c r="F1553" s="138"/>
      <c r="G1553" s="138"/>
      <c r="H1553" s="138"/>
      <c r="I1553" s="138"/>
      <c r="J1553" s="138"/>
      <c r="K1553" s="138"/>
      <c r="L1553" s="138"/>
      <c r="M1553" s="138"/>
      <c r="N1553" s="138"/>
      <c r="O1553" s="138"/>
    </row>
    <row r="1554" spans="2:15" x14ac:dyDescent="0.2">
      <c r="B1554" s="138"/>
      <c r="C1554" s="126"/>
      <c r="D1554" s="138"/>
      <c r="E1554" s="138"/>
      <c r="F1554" s="138"/>
      <c r="G1554" s="138"/>
      <c r="H1554" s="138"/>
      <c r="I1554" s="138"/>
      <c r="J1554" s="138"/>
      <c r="K1554" s="138"/>
      <c r="L1554" s="138"/>
      <c r="M1554" s="138"/>
      <c r="N1554" s="138"/>
      <c r="O1554" s="138"/>
    </row>
    <row r="1555" spans="2:15" x14ac:dyDescent="0.2">
      <c r="B1555" s="138"/>
      <c r="C1555" s="126"/>
      <c r="D1555" s="138"/>
      <c r="E1555" s="138"/>
      <c r="F1555" s="138"/>
      <c r="G1555" s="138"/>
      <c r="H1555" s="138"/>
      <c r="I1555" s="138"/>
      <c r="J1555" s="138"/>
      <c r="K1555" s="138"/>
      <c r="L1555" s="138"/>
      <c r="M1555" s="138"/>
      <c r="N1555" s="138"/>
      <c r="O1555" s="138"/>
    </row>
    <row r="1556" spans="2:15" x14ac:dyDescent="0.2">
      <c r="B1556" s="138"/>
      <c r="C1556" s="126"/>
      <c r="D1556" s="138"/>
      <c r="E1556" s="138"/>
      <c r="F1556" s="138"/>
      <c r="G1556" s="138"/>
      <c r="H1556" s="138"/>
      <c r="I1556" s="138"/>
      <c r="J1556" s="138"/>
      <c r="K1556" s="138"/>
      <c r="L1556" s="138"/>
      <c r="M1556" s="138"/>
      <c r="N1556" s="138"/>
      <c r="O1556" s="138"/>
    </row>
    <row r="1557" spans="2:15" x14ac:dyDescent="0.2">
      <c r="B1557" s="138"/>
      <c r="C1557" s="126"/>
      <c r="D1557" s="138"/>
      <c r="E1557" s="138"/>
      <c r="F1557" s="138"/>
      <c r="G1557" s="138"/>
      <c r="H1557" s="138"/>
      <c r="I1557" s="138"/>
      <c r="J1557" s="138"/>
      <c r="K1557" s="138"/>
      <c r="L1557" s="138"/>
      <c r="M1557" s="138"/>
      <c r="N1557" s="138"/>
      <c r="O1557" s="138"/>
    </row>
    <row r="1558" spans="2:15" x14ac:dyDescent="0.2">
      <c r="B1558" s="138"/>
      <c r="C1558" s="126"/>
      <c r="D1558" s="138"/>
      <c r="E1558" s="138"/>
      <c r="F1558" s="138"/>
      <c r="G1558" s="138"/>
      <c r="H1558" s="138"/>
      <c r="I1558" s="138"/>
      <c r="J1558" s="138"/>
      <c r="K1558" s="138"/>
      <c r="L1558" s="138"/>
      <c r="M1558" s="138"/>
      <c r="N1558" s="138"/>
      <c r="O1558" s="138"/>
    </row>
    <row r="1559" spans="2:15" x14ac:dyDescent="0.2">
      <c r="B1559" s="138"/>
      <c r="C1559" s="126"/>
      <c r="D1559" s="138"/>
      <c r="E1559" s="138"/>
      <c r="F1559" s="138"/>
      <c r="G1559" s="138"/>
      <c r="H1559" s="138"/>
      <c r="I1559" s="138"/>
      <c r="J1559" s="138"/>
      <c r="K1559" s="138"/>
      <c r="L1559" s="138"/>
      <c r="M1559" s="138"/>
      <c r="N1559" s="138"/>
      <c r="O1559" s="138"/>
    </row>
    <row r="1560" spans="2:15" x14ac:dyDescent="0.2">
      <c r="B1560" s="138"/>
      <c r="C1560" s="126"/>
      <c r="D1560" s="138"/>
      <c r="E1560" s="138"/>
      <c r="F1560" s="138"/>
      <c r="G1560" s="138"/>
      <c r="H1560" s="138"/>
      <c r="I1560" s="138"/>
      <c r="J1560" s="138"/>
      <c r="K1560" s="138"/>
      <c r="L1560" s="138"/>
      <c r="M1560" s="138"/>
      <c r="N1560" s="138"/>
      <c r="O1560" s="138"/>
    </row>
    <row r="1561" spans="2:15" x14ac:dyDescent="0.2">
      <c r="B1561" s="138"/>
      <c r="C1561" s="126"/>
      <c r="D1561" s="138"/>
      <c r="E1561" s="138"/>
      <c r="F1561" s="138"/>
      <c r="G1561" s="138"/>
      <c r="H1561" s="138"/>
      <c r="I1561" s="138"/>
      <c r="J1561" s="138"/>
      <c r="K1561" s="138"/>
      <c r="L1561" s="138"/>
      <c r="M1561" s="138"/>
      <c r="N1561" s="138"/>
      <c r="O1561" s="138"/>
    </row>
    <row r="1562" spans="2:15" x14ac:dyDescent="0.2">
      <c r="B1562" s="138"/>
      <c r="C1562" s="126"/>
      <c r="D1562" s="138"/>
      <c r="E1562" s="138"/>
      <c r="F1562" s="138"/>
      <c r="G1562" s="138"/>
      <c r="H1562" s="138"/>
      <c r="I1562" s="138"/>
      <c r="J1562" s="138"/>
      <c r="K1562" s="138"/>
      <c r="L1562" s="138"/>
      <c r="M1562" s="138"/>
      <c r="N1562" s="138"/>
      <c r="O1562" s="138"/>
    </row>
    <row r="1563" spans="2:15" x14ac:dyDescent="0.2">
      <c r="B1563" s="138"/>
      <c r="C1563" s="126"/>
      <c r="D1563" s="138"/>
      <c r="E1563" s="138"/>
      <c r="F1563" s="138"/>
      <c r="G1563" s="138"/>
      <c r="H1563" s="138"/>
      <c r="I1563" s="138"/>
      <c r="J1563" s="138"/>
      <c r="K1563" s="138"/>
      <c r="L1563" s="138"/>
      <c r="M1563" s="138"/>
      <c r="N1563" s="138"/>
      <c r="O1563" s="138"/>
    </row>
    <row r="1564" spans="2:15" x14ac:dyDescent="0.2">
      <c r="B1564" s="138"/>
      <c r="C1564" s="126"/>
      <c r="D1564" s="138"/>
      <c r="E1564" s="138"/>
      <c r="F1564" s="138"/>
      <c r="G1564" s="138"/>
      <c r="H1564" s="138"/>
      <c r="I1564" s="138"/>
      <c r="J1564" s="138"/>
      <c r="K1564" s="138"/>
      <c r="L1564" s="138"/>
      <c r="M1564" s="138"/>
      <c r="N1564" s="138"/>
      <c r="O1564" s="138"/>
    </row>
    <row r="1565" spans="2:15" x14ac:dyDescent="0.2">
      <c r="B1565" s="138"/>
      <c r="C1565" s="126"/>
      <c r="D1565" s="138"/>
      <c r="E1565" s="138"/>
      <c r="F1565" s="138"/>
      <c r="G1565" s="138"/>
      <c r="H1565" s="138"/>
      <c r="I1565" s="138"/>
      <c r="J1565" s="138"/>
      <c r="K1565" s="138"/>
      <c r="L1565" s="138"/>
      <c r="M1565" s="138"/>
      <c r="N1565" s="138"/>
      <c r="O1565" s="138"/>
    </row>
    <row r="1566" spans="2:15" x14ac:dyDescent="0.2">
      <c r="B1566" s="138"/>
      <c r="C1566" s="126"/>
      <c r="D1566" s="138"/>
      <c r="E1566" s="138"/>
      <c r="F1566" s="138"/>
      <c r="G1566" s="138"/>
      <c r="H1566" s="138"/>
      <c r="I1566" s="138"/>
      <c r="J1566" s="138"/>
      <c r="K1566" s="138"/>
      <c r="L1566" s="138"/>
      <c r="M1566" s="138"/>
      <c r="N1566" s="138"/>
      <c r="O1566" s="138"/>
    </row>
    <row r="1567" spans="2:15" x14ac:dyDescent="0.2">
      <c r="B1567" s="138"/>
      <c r="C1567" s="126"/>
      <c r="D1567" s="138"/>
      <c r="E1567" s="138"/>
      <c r="F1567" s="138"/>
      <c r="G1567" s="138"/>
      <c r="H1567" s="138"/>
      <c r="I1567" s="138"/>
      <c r="J1567" s="138"/>
      <c r="K1567" s="138"/>
      <c r="L1567" s="138"/>
      <c r="M1567" s="138"/>
      <c r="N1567" s="138"/>
      <c r="O1567" s="138"/>
    </row>
    <row r="1568" spans="2:15" x14ac:dyDescent="0.2">
      <c r="B1568" s="138"/>
      <c r="C1568" s="126"/>
      <c r="D1568" s="138"/>
      <c r="E1568" s="138"/>
      <c r="F1568" s="138"/>
      <c r="G1568" s="138"/>
      <c r="H1568" s="138"/>
      <c r="I1568" s="138"/>
      <c r="J1568" s="138"/>
      <c r="K1568" s="138"/>
      <c r="L1568" s="138"/>
      <c r="M1568" s="138"/>
      <c r="N1568" s="138"/>
      <c r="O1568" s="138"/>
    </row>
    <row r="1569" spans="2:15" x14ac:dyDescent="0.2">
      <c r="B1569" s="138"/>
      <c r="C1569" s="126"/>
      <c r="D1569" s="138"/>
      <c r="E1569" s="138"/>
      <c r="F1569" s="138"/>
      <c r="G1569" s="138"/>
      <c r="H1569" s="138"/>
      <c r="I1569" s="138"/>
      <c r="J1569" s="138"/>
      <c r="K1569" s="138"/>
      <c r="L1569" s="138"/>
      <c r="M1569" s="138"/>
      <c r="N1569" s="138"/>
      <c r="O1569" s="138"/>
    </row>
    <row r="1570" spans="2:15" x14ac:dyDescent="0.2">
      <c r="B1570" s="138"/>
      <c r="C1570" s="126"/>
      <c r="D1570" s="138"/>
      <c r="E1570" s="138"/>
      <c r="F1570" s="138"/>
      <c r="G1570" s="138"/>
      <c r="H1570" s="138"/>
      <c r="I1570" s="138"/>
      <c r="J1570" s="138"/>
      <c r="K1570" s="138"/>
      <c r="L1570" s="138"/>
      <c r="M1570" s="138"/>
      <c r="N1570" s="138"/>
      <c r="O1570" s="138"/>
    </row>
    <row r="1571" spans="2:15" x14ac:dyDescent="0.2">
      <c r="B1571" s="138"/>
      <c r="C1571" s="126"/>
      <c r="D1571" s="138"/>
      <c r="E1571" s="138"/>
      <c r="F1571" s="138"/>
      <c r="G1571" s="138"/>
      <c r="H1571" s="138"/>
      <c r="I1571" s="138"/>
      <c r="J1571" s="138"/>
      <c r="K1571" s="138"/>
      <c r="L1571" s="138"/>
      <c r="M1571" s="138"/>
      <c r="N1571" s="138"/>
      <c r="O1571" s="138"/>
    </row>
    <row r="1572" spans="2:15" x14ac:dyDescent="0.2">
      <c r="B1572" s="138"/>
      <c r="C1572" s="126"/>
      <c r="D1572" s="138"/>
      <c r="E1572" s="138"/>
      <c r="F1572" s="138"/>
      <c r="G1572" s="138"/>
      <c r="H1572" s="138"/>
      <c r="I1572" s="138"/>
      <c r="J1572" s="138"/>
      <c r="K1572" s="138"/>
      <c r="L1572" s="138"/>
      <c r="M1572" s="138"/>
      <c r="N1572" s="138"/>
      <c r="O1572" s="138"/>
    </row>
    <row r="1573" spans="2:15" x14ac:dyDescent="0.2">
      <c r="B1573" s="138"/>
      <c r="C1573" s="126"/>
      <c r="D1573" s="138"/>
      <c r="E1573" s="138"/>
      <c r="F1573" s="138"/>
      <c r="G1573" s="138"/>
      <c r="H1573" s="138"/>
      <c r="I1573" s="138"/>
      <c r="J1573" s="138"/>
      <c r="K1573" s="138"/>
      <c r="L1573" s="138"/>
      <c r="M1573" s="138"/>
      <c r="N1573" s="138"/>
      <c r="O1573" s="138"/>
    </row>
    <row r="1574" spans="2:15" x14ac:dyDescent="0.2">
      <c r="B1574" s="138"/>
      <c r="C1574" s="126"/>
      <c r="D1574" s="138"/>
      <c r="E1574" s="138"/>
      <c r="F1574" s="138"/>
      <c r="G1574" s="138"/>
      <c r="H1574" s="138"/>
      <c r="I1574" s="138"/>
      <c r="J1574" s="138"/>
      <c r="K1574" s="138"/>
      <c r="L1574" s="138"/>
      <c r="M1574" s="138"/>
      <c r="N1574" s="138"/>
      <c r="O1574" s="138"/>
    </row>
    <row r="1575" spans="2:15" x14ac:dyDescent="0.2">
      <c r="B1575" s="138"/>
      <c r="C1575" s="126"/>
      <c r="D1575" s="138"/>
      <c r="E1575" s="138"/>
      <c r="F1575" s="138"/>
      <c r="G1575" s="138"/>
      <c r="H1575" s="138"/>
      <c r="I1575" s="138"/>
      <c r="J1575" s="138"/>
      <c r="K1575" s="138"/>
      <c r="L1575" s="138"/>
      <c r="M1575" s="138"/>
      <c r="N1575" s="138"/>
      <c r="O1575" s="138"/>
    </row>
    <row r="1576" spans="2:15" x14ac:dyDescent="0.2">
      <c r="B1576" s="138"/>
      <c r="C1576" s="126"/>
      <c r="D1576" s="138"/>
      <c r="E1576" s="138"/>
      <c r="F1576" s="138"/>
      <c r="G1576" s="138"/>
      <c r="H1576" s="138"/>
      <c r="I1576" s="138"/>
      <c r="J1576" s="138"/>
      <c r="K1576" s="138"/>
      <c r="L1576" s="138"/>
      <c r="M1576" s="138"/>
      <c r="N1576" s="138"/>
      <c r="O1576" s="138"/>
    </row>
    <row r="1577" spans="2:15" x14ac:dyDescent="0.2">
      <c r="B1577" s="138"/>
      <c r="C1577" s="126"/>
      <c r="D1577" s="138"/>
      <c r="E1577" s="138"/>
      <c r="F1577" s="138"/>
      <c r="G1577" s="138"/>
      <c r="H1577" s="138"/>
      <c r="I1577" s="138"/>
      <c r="J1577" s="138"/>
      <c r="K1577" s="138"/>
      <c r="L1577" s="138"/>
      <c r="M1577" s="138"/>
      <c r="N1577" s="138"/>
      <c r="O1577" s="138"/>
    </row>
    <row r="1578" spans="2:15" x14ac:dyDescent="0.2">
      <c r="B1578" s="138"/>
      <c r="C1578" s="126"/>
      <c r="D1578" s="138"/>
      <c r="E1578" s="138"/>
      <c r="F1578" s="138"/>
      <c r="G1578" s="138"/>
      <c r="H1578" s="138"/>
      <c r="I1578" s="138"/>
      <c r="J1578" s="138"/>
      <c r="K1578" s="138"/>
      <c r="L1578" s="138"/>
      <c r="M1578" s="138"/>
      <c r="N1578" s="138"/>
      <c r="O1578" s="138"/>
    </row>
    <row r="1579" spans="2:15" x14ac:dyDescent="0.2">
      <c r="B1579" s="138"/>
      <c r="C1579" s="126"/>
      <c r="D1579" s="138"/>
      <c r="E1579" s="138"/>
      <c r="F1579" s="138"/>
      <c r="G1579" s="138"/>
      <c r="H1579" s="138"/>
      <c r="I1579" s="138"/>
      <c r="J1579" s="138"/>
      <c r="K1579" s="138"/>
      <c r="L1579" s="138"/>
      <c r="M1579" s="138"/>
      <c r="N1579" s="138"/>
      <c r="O1579" s="138"/>
    </row>
    <row r="1580" spans="2:15" x14ac:dyDescent="0.2">
      <c r="B1580" s="138"/>
      <c r="C1580" s="126"/>
      <c r="D1580" s="138"/>
      <c r="E1580" s="138"/>
      <c r="F1580" s="138"/>
      <c r="G1580" s="138"/>
      <c r="H1580" s="138"/>
      <c r="I1580" s="138"/>
      <c r="J1580" s="138"/>
      <c r="K1580" s="138"/>
      <c r="L1580" s="138"/>
      <c r="M1580" s="138"/>
      <c r="N1580" s="138"/>
      <c r="O1580" s="138"/>
    </row>
    <row r="1581" spans="2:15" x14ac:dyDescent="0.2">
      <c r="B1581" s="138"/>
      <c r="C1581" s="126"/>
      <c r="D1581" s="138"/>
      <c r="E1581" s="138"/>
      <c r="F1581" s="138"/>
      <c r="G1581" s="138"/>
      <c r="H1581" s="138"/>
      <c r="I1581" s="138"/>
      <c r="J1581" s="138"/>
      <c r="K1581" s="138"/>
      <c r="L1581" s="138"/>
      <c r="M1581" s="138"/>
      <c r="N1581" s="138"/>
      <c r="O1581" s="138"/>
    </row>
    <row r="1582" spans="2:15" x14ac:dyDescent="0.2">
      <c r="B1582" s="138"/>
      <c r="C1582" s="126"/>
      <c r="D1582" s="138"/>
      <c r="E1582" s="138"/>
      <c r="F1582" s="138"/>
      <c r="G1582" s="138"/>
      <c r="H1582" s="138"/>
      <c r="I1582" s="138"/>
      <c r="J1582" s="138"/>
      <c r="K1582" s="138"/>
      <c r="L1582" s="138"/>
      <c r="M1582" s="138"/>
      <c r="N1582" s="138"/>
      <c r="O1582" s="138"/>
    </row>
    <row r="1583" spans="2:15" x14ac:dyDescent="0.2">
      <c r="B1583" s="138"/>
      <c r="C1583" s="126"/>
      <c r="D1583" s="138"/>
      <c r="E1583" s="138"/>
      <c r="F1583" s="138"/>
      <c r="G1583" s="138"/>
      <c r="H1583" s="138"/>
      <c r="I1583" s="138"/>
      <c r="J1583" s="138"/>
      <c r="K1583" s="138"/>
      <c r="L1583" s="138"/>
      <c r="M1583" s="138"/>
      <c r="N1583" s="138"/>
      <c r="O1583" s="138"/>
    </row>
    <row r="1584" spans="2:15" x14ac:dyDescent="0.2">
      <c r="B1584" s="138"/>
      <c r="C1584" s="126"/>
      <c r="D1584" s="138"/>
      <c r="E1584" s="138"/>
      <c r="F1584" s="138"/>
      <c r="G1584" s="138"/>
      <c r="H1584" s="138"/>
      <c r="I1584" s="138"/>
      <c r="J1584" s="138"/>
      <c r="K1584" s="138"/>
      <c r="L1584" s="138"/>
      <c r="M1584" s="138"/>
      <c r="N1584" s="138"/>
      <c r="O1584" s="138"/>
    </row>
    <row r="1585" spans="2:15" x14ac:dyDescent="0.2">
      <c r="B1585" s="138"/>
      <c r="C1585" s="126"/>
      <c r="D1585" s="138"/>
      <c r="E1585" s="138"/>
      <c r="F1585" s="138"/>
      <c r="G1585" s="138"/>
      <c r="H1585" s="138"/>
      <c r="I1585" s="138"/>
      <c r="J1585" s="138"/>
      <c r="K1585" s="138"/>
      <c r="L1585" s="138"/>
      <c r="M1585" s="138"/>
      <c r="N1585" s="138"/>
      <c r="O1585" s="138"/>
    </row>
    <row r="1586" spans="2:15" x14ac:dyDescent="0.2">
      <c r="B1586" s="138"/>
      <c r="C1586" s="126"/>
      <c r="D1586" s="138"/>
      <c r="E1586" s="138"/>
      <c r="F1586" s="138"/>
      <c r="G1586" s="138"/>
      <c r="H1586" s="138"/>
      <c r="I1586" s="138"/>
      <c r="J1586" s="138"/>
      <c r="K1586" s="138"/>
      <c r="L1586" s="138"/>
      <c r="M1586" s="138"/>
      <c r="N1586" s="138"/>
      <c r="O1586" s="138"/>
    </row>
    <row r="1587" spans="2:15" x14ac:dyDescent="0.2">
      <c r="B1587" s="138"/>
      <c r="C1587" s="126"/>
      <c r="D1587" s="138"/>
      <c r="E1587" s="138"/>
      <c r="F1587" s="138"/>
      <c r="G1587" s="138"/>
      <c r="H1587" s="138"/>
      <c r="I1587" s="138"/>
      <c r="J1587" s="138"/>
      <c r="K1587" s="138"/>
      <c r="L1587" s="138"/>
      <c r="M1587" s="138"/>
      <c r="N1587" s="138"/>
      <c r="O1587" s="138"/>
    </row>
    <row r="1588" spans="2:15" x14ac:dyDescent="0.2">
      <c r="B1588" s="138"/>
      <c r="C1588" s="126"/>
      <c r="D1588" s="138"/>
      <c r="E1588" s="138"/>
      <c r="F1588" s="138"/>
      <c r="G1588" s="138"/>
      <c r="H1588" s="138"/>
      <c r="I1588" s="138"/>
      <c r="J1588" s="138"/>
      <c r="K1588" s="138"/>
      <c r="L1588" s="138"/>
      <c r="M1588" s="138"/>
      <c r="N1588" s="138"/>
      <c r="O1588" s="138"/>
    </row>
    <row r="1589" spans="2:15" x14ac:dyDescent="0.2">
      <c r="B1589" s="138"/>
      <c r="C1589" s="126"/>
      <c r="D1589" s="138"/>
      <c r="E1589" s="138"/>
      <c r="F1589" s="138"/>
      <c r="G1589" s="138"/>
      <c r="H1589" s="138"/>
      <c r="I1589" s="138"/>
      <c r="J1589" s="138"/>
      <c r="K1589" s="138"/>
      <c r="L1589" s="138"/>
      <c r="M1589" s="138"/>
      <c r="N1589" s="138"/>
      <c r="O1589" s="138"/>
    </row>
    <row r="1590" spans="2:15" x14ac:dyDescent="0.2">
      <c r="B1590" s="138"/>
      <c r="C1590" s="126"/>
      <c r="D1590" s="138"/>
      <c r="E1590" s="138"/>
      <c r="F1590" s="138"/>
      <c r="G1590" s="138"/>
      <c r="H1590" s="138"/>
      <c r="I1590" s="138"/>
      <c r="J1590" s="138"/>
      <c r="K1590" s="138"/>
      <c r="L1590" s="138"/>
      <c r="M1590" s="138"/>
      <c r="N1590" s="138"/>
      <c r="O1590" s="138"/>
    </row>
    <row r="1591" spans="2:15" x14ac:dyDescent="0.2">
      <c r="B1591" s="138"/>
      <c r="C1591" s="126"/>
      <c r="D1591" s="138"/>
      <c r="E1591" s="138"/>
      <c r="F1591" s="138"/>
      <c r="G1591" s="138"/>
      <c r="H1591" s="138"/>
      <c r="I1591" s="138"/>
      <c r="J1591" s="138"/>
      <c r="K1591" s="138"/>
      <c r="L1591" s="138"/>
      <c r="M1591" s="138"/>
      <c r="N1591" s="138"/>
      <c r="O1591" s="138"/>
    </row>
    <row r="1592" spans="2:15" x14ac:dyDescent="0.2">
      <c r="B1592" s="138"/>
      <c r="C1592" s="126"/>
      <c r="D1592" s="138"/>
      <c r="E1592" s="138"/>
      <c r="F1592" s="138"/>
      <c r="G1592" s="138"/>
      <c r="H1592" s="138"/>
      <c r="I1592" s="138"/>
      <c r="J1592" s="138"/>
      <c r="K1592" s="138"/>
      <c r="L1592" s="138"/>
      <c r="M1592" s="138"/>
      <c r="N1592" s="138"/>
      <c r="O1592" s="138"/>
    </row>
    <row r="1593" spans="2:15" x14ac:dyDescent="0.2">
      <c r="B1593" s="138"/>
      <c r="C1593" s="126"/>
      <c r="D1593" s="138"/>
      <c r="E1593" s="138"/>
      <c r="F1593" s="138"/>
      <c r="G1593" s="138"/>
      <c r="H1593" s="138"/>
      <c r="I1593" s="138"/>
      <c r="J1593" s="138"/>
      <c r="K1593" s="138"/>
      <c r="L1593" s="138"/>
      <c r="M1593" s="138"/>
      <c r="N1593" s="138"/>
      <c r="O1593" s="138"/>
    </row>
    <row r="1594" spans="2:15" x14ac:dyDescent="0.2">
      <c r="B1594" s="138"/>
      <c r="C1594" s="126"/>
      <c r="D1594" s="138"/>
      <c r="E1594" s="138"/>
      <c r="F1594" s="138"/>
      <c r="G1594" s="138"/>
      <c r="H1594" s="138"/>
      <c r="I1594" s="138"/>
      <c r="J1594" s="138"/>
      <c r="K1594" s="138"/>
      <c r="L1594" s="138"/>
      <c r="M1594" s="138"/>
      <c r="N1594" s="138"/>
      <c r="O1594" s="138"/>
    </row>
    <row r="1595" spans="2:15" x14ac:dyDescent="0.2">
      <c r="B1595" s="138"/>
      <c r="C1595" s="126"/>
      <c r="D1595" s="138"/>
      <c r="E1595" s="138"/>
      <c r="F1595" s="138"/>
      <c r="G1595" s="138"/>
      <c r="H1595" s="138"/>
      <c r="I1595" s="138"/>
      <c r="J1595" s="138"/>
      <c r="K1595" s="138"/>
      <c r="L1595" s="138"/>
      <c r="M1595" s="138"/>
      <c r="N1595" s="138"/>
      <c r="O1595" s="138"/>
    </row>
    <row r="1596" spans="2:15" x14ac:dyDescent="0.2">
      <c r="B1596" s="138"/>
      <c r="C1596" s="126"/>
      <c r="D1596" s="138"/>
      <c r="E1596" s="138"/>
      <c r="F1596" s="138"/>
      <c r="G1596" s="138"/>
      <c r="H1596" s="138"/>
      <c r="I1596" s="138"/>
      <c r="J1596" s="138"/>
      <c r="K1596" s="138"/>
      <c r="L1596" s="138"/>
      <c r="M1596" s="138"/>
      <c r="N1596" s="138"/>
      <c r="O1596" s="138"/>
    </row>
    <row r="1597" spans="2:15" x14ac:dyDescent="0.2">
      <c r="B1597" s="138"/>
      <c r="C1597" s="126"/>
      <c r="D1597" s="138"/>
      <c r="E1597" s="138"/>
      <c r="F1597" s="138"/>
      <c r="G1597" s="138"/>
      <c r="H1597" s="138"/>
      <c r="I1597" s="138"/>
      <c r="J1597" s="138"/>
      <c r="K1597" s="138"/>
      <c r="L1597" s="138"/>
      <c r="M1597" s="138"/>
      <c r="N1597" s="138"/>
      <c r="O1597" s="138"/>
    </row>
    <row r="1598" spans="2:15" x14ac:dyDescent="0.2">
      <c r="B1598" s="138"/>
      <c r="C1598" s="126"/>
      <c r="D1598" s="138"/>
      <c r="E1598" s="138"/>
      <c r="F1598" s="138"/>
      <c r="G1598" s="138"/>
      <c r="H1598" s="138"/>
      <c r="I1598" s="138"/>
      <c r="J1598" s="138"/>
      <c r="K1598" s="138"/>
      <c r="L1598" s="138"/>
      <c r="M1598" s="138"/>
      <c r="N1598" s="138"/>
      <c r="O1598" s="138"/>
    </row>
    <row r="1599" spans="2:15" x14ac:dyDescent="0.2">
      <c r="B1599" s="138"/>
      <c r="C1599" s="126"/>
      <c r="D1599" s="138"/>
      <c r="E1599" s="138"/>
      <c r="F1599" s="138"/>
      <c r="G1599" s="138"/>
      <c r="H1599" s="138"/>
      <c r="I1599" s="138"/>
      <c r="J1599" s="138"/>
      <c r="K1599" s="138"/>
      <c r="L1599" s="138"/>
      <c r="M1599" s="138"/>
      <c r="N1599" s="138"/>
      <c r="O1599" s="138"/>
    </row>
    <row r="1600" spans="2:15" x14ac:dyDescent="0.2">
      <c r="B1600" s="138"/>
      <c r="C1600" s="126"/>
      <c r="D1600" s="138"/>
      <c r="E1600" s="138"/>
      <c r="F1600" s="138"/>
      <c r="G1600" s="138"/>
      <c r="H1600" s="138"/>
      <c r="I1600" s="138"/>
      <c r="J1600" s="138"/>
      <c r="K1600" s="138"/>
      <c r="L1600" s="138"/>
      <c r="M1600" s="138"/>
      <c r="N1600" s="138"/>
      <c r="O1600" s="138"/>
    </row>
    <row r="1601" spans="2:15" x14ac:dyDescent="0.2">
      <c r="B1601" s="138"/>
      <c r="C1601" s="126"/>
      <c r="D1601" s="138"/>
      <c r="E1601" s="138"/>
      <c r="F1601" s="138"/>
      <c r="G1601" s="138"/>
      <c r="H1601" s="138"/>
      <c r="I1601" s="138"/>
      <c r="J1601" s="138"/>
      <c r="K1601" s="138"/>
      <c r="L1601" s="138"/>
      <c r="M1601" s="138"/>
      <c r="N1601" s="138"/>
      <c r="O1601" s="138"/>
    </row>
    <row r="1602" spans="2:15" x14ac:dyDescent="0.2">
      <c r="B1602" s="138"/>
      <c r="C1602" s="126"/>
      <c r="D1602" s="138"/>
      <c r="E1602" s="138"/>
      <c r="F1602" s="138"/>
      <c r="G1602" s="138"/>
      <c r="H1602" s="138"/>
      <c r="I1602" s="138"/>
      <c r="J1602" s="138"/>
      <c r="K1602" s="138"/>
      <c r="L1602" s="138"/>
      <c r="M1602" s="138"/>
      <c r="N1602" s="138"/>
      <c r="O1602" s="138"/>
    </row>
    <row r="1603" spans="2:15" x14ac:dyDescent="0.2">
      <c r="B1603" s="138"/>
      <c r="C1603" s="126"/>
      <c r="D1603" s="138"/>
      <c r="E1603" s="138"/>
      <c r="F1603" s="138"/>
      <c r="G1603" s="138"/>
      <c r="H1603" s="138"/>
      <c r="I1603" s="138"/>
      <c r="J1603" s="138"/>
      <c r="K1603" s="138"/>
      <c r="L1603" s="138"/>
      <c r="M1603" s="138"/>
      <c r="N1603" s="138"/>
      <c r="O1603" s="138"/>
    </row>
    <row r="1604" spans="2:15" x14ac:dyDescent="0.2">
      <c r="B1604" s="138"/>
      <c r="C1604" s="126"/>
      <c r="D1604" s="138"/>
      <c r="E1604" s="138"/>
      <c r="F1604" s="138"/>
      <c r="G1604" s="138"/>
      <c r="H1604" s="138"/>
      <c r="I1604" s="138"/>
      <c r="J1604" s="138"/>
      <c r="K1604" s="138"/>
      <c r="L1604" s="138"/>
      <c r="M1604" s="138"/>
      <c r="N1604" s="138"/>
      <c r="O1604" s="138"/>
    </row>
    <row r="1605" spans="2:15" x14ac:dyDescent="0.2">
      <c r="B1605" s="138"/>
      <c r="C1605" s="126"/>
      <c r="D1605" s="138"/>
      <c r="E1605" s="138"/>
      <c r="F1605" s="138"/>
      <c r="G1605" s="138"/>
      <c r="H1605" s="138"/>
      <c r="I1605" s="138"/>
      <c r="J1605" s="138"/>
      <c r="K1605" s="138"/>
      <c r="L1605" s="138"/>
      <c r="M1605" s="138"/>
      <c r="N1605" s="138"/>
      <c r="O1605" s="138"/>
    </row>
    <row r="1606" spans="2:15" x14ac:dyDescent="0.2">
      <c r="B1606" s="138"/>
      <c r="C1606" s="126"/>
      <c r="D1606" s="138"/>
      <c r="E1606" s="138"/>
      <c r="F1606" s="138"/>
      <c r="G1606" s="138"/>
      <c r="H1606" s="138"/>
      <c r="I1606" s="138"/>
      <c r="J1606" s="138"/>
      <c r="K1606" s="138"/>
      <c r="L1606" s="138"/>
      <c r="M1606" s="138"/>
      <c r="N1606" s="138"/>
      <c r="O1606" s="138"/>
    </row>
    <row r="1607" spans="2:15" x14ac:dyDescent="0.2">
      <c r="B1607" s="138"/>
      <c r="C1607" s="126"/>
      <c r="D1607" s="138"/>
      <c r="E1607" s="138"/>
      <c r="F1607" s="138"/>
      <c r="G1607" s="138"/>
      <c r="H1607" s="138"/>
      <c r="I1607" s="138"/>
      <c r="J1607" s="138"/>
      <c r="K1607" s="138"/>
      <c r="L1607" s="138"/>
      <c r="M1607" s="138"/>
      <c r="N1607" s="138"/>
      <c r="O1607" s="138"/>
    </row>
    <row r="1608" spans="2:15" x14ac:dyDescent="0.2">
      <c r="B1608" s="138"/>
      <c r="C1608" s="126"/>
      <c r="D1608" s="138"/>
      <c r="E1608" s="138"/>
      <c r="F1608" s="138"/>
      <c r="G1608" s="138"/>
      <c r="H1608" s="138"/>
      <c r="I1608" s="138"/>
      <c r="J1608" s="138"/>
      <c r="K1608" s="138"/>
      <c r="L1608" s="138"/>
      <c r="M1608" s="138"/>
      <c r="N1608" s="138"/>
      <c r="O1608" s="138"/>
    </row>
    <row r="1609" spans="2:15" x14ac:dyDescent="0.2">
      <c r="B1609" s="138"/>
      <c r="C1609" s="126"/>
      <c r="D1609" s="138"/>
      <c r="E1609" s="138"/>
      <c r="F1609" s="138"/>
      <c r="G1609" s="138"/>
      <c r="H1609" s="138"/>
      <c r="I1609" s="138"/>
      <c r="J1609" s="138"/>
      <c r="K1609" s="138"/>
      <c r="L1609" s="138"/>
      <c r="M1609" s="138"/>
      <c r="N1609" s="138"/>
      <c r="O1609" s="138"/>
    </row>
    <row r="1610" spans="2:15" x14ac:dyDescent="0.2">
      <c r="B1610" s="138"/>
      <c r="C1610" s="126"/>
      <c r="D1610" s="138"/>
      <c r="E1610" s="138"/>
      <c r="F1610" s="138"/>
      <c r="G1610" s="138"/>
      <c r="H1610" s="138"/>
      <c r="I1610" s="138"/>
      <c r="J1610" s="138"/>
      <c r="K1610" s="138"/>
      <c r="L1610" s="138"/>
      <c r="M1610" s="138"/>
      <c r="N1610" s="138"/>
      <c r="O1610" s="138"/>
    </row>
    <row r="1611" spans="2:15" x14ac:dyDescent="0.2">
      <c r="B1611" s="138"/>
      <c r="C1611" s="126"/>
      <c r="D1611" s="138"/>
      <c r="E1611" s="138"/>
      <c r="F1611" s="138"/>
      <c r="G1611" s="138"/>
      <c r="H1611" s="138"/>
      <c r="I1611" s="138"/>
      <c r="J1611" s="138"/>
      <c r="K1611" s="138"/>
      <c r="L1611" s="138"/>
      <c r="M1611" s="138"/>
      <c r="N1611" s="138"/>
      <c r="O1611" s="138"/>
    </row>
    <row r="1612" spans="2:15" x14ac:dyDescent="0.2">
      <c r="B1612" s="138"/>
      <c r="C1612" s="126"/>
      <c r="D1612" s="138"/>
      <c r="E1612" s="138"/>
      <c r="F1612" s="138"/>
      <c r="G1612" s="138"/>
      <c r="H1612" s="138"/>
      <c r="I1612" s="138"/>
      <c r="J1612" s="138"/>
      <c r="K1612" s="138"/>
      <c r="L1612" s="138"/>
      <c r="M1612" s="138"/>
      <c r="N1612" s="138"/>
      <c r="O1612" s="138"/>
    </row>
    <row r="1613" spans="2:15" x14ac:dyDescent="0.2">
      <c r="B1613" s="138"/>
      <c r="C1613" s="126"/>
      <c r="D1613" s="138"/>
      <c r="E1613" s="138"/>
      <c r="F1613" s="138"/>
      <c r="G1613" s="138"/>
      <c r="H1613" s="138"/>
      <c r="I1613" s="138"/>
      <c r="J1613" s="138"/>
      <c r="K1613" s="138"/>
      <c r="L1613" s="138"/>
      <c r="M1613" s="138"/>
      <c r="N1613" s="138"/>
      <c r="O1613" s="138"/>
    </row>
    <row r="1614" spans="2:15" x14ac:dyDescent="0.2">
      <c r="B1614" s="138"/>
      <c r="C1614" s="126"/>
      <c r="D1614" s="138"/>
      <c r="E1614" s="138"/>
      <c r="F1614" s="138"/>
      <c r="G1614" s="138"/>
      <c r="H1614" s="138"/>
      <c r="I1614" s="138"/>
      <c r="J1614" s="138"/>
      <c r="K1614" s="138"/>
      <c r="L1614" s="138"/>
      <c r="M1614" s="138"/>
      <c r="N1614" s="138"/>
      <c r="O1614" s="138"/>
    </row>
    <row r="1615" spans="2:15" x14ac:dyDescent="0.2">
      <c r="B1615" s="138"/>
      <c r="C1615" s="126"/>
      <c r="D1615" s="138"/>
      <c r="E1615" s="138"/>
      <c r="F1615" s="138"/>
      <c r="G1615" s="138"/>
      <c r="H1615" s="138"/>
      <c r="I1615" s="138"/>
      <c r="J1615" s="138"/>
      <c r="K1615" s="138"/>
      <c r="L1615" s="138"/>
      <c r="M1615" s="138"/>
      <c r="N1615" s="138"/>
      <c r="O1615" s="138"/>
    </row>
    <row r="1616" spans="2:15" x14ac:dyDescent="0.2">
      <c r="B1616" s="138"/>
      <c r="C1616" s="126"/>
      <c r="D1616" s="138"/>
      <c r="E1616" s="138"/>
      <c r="F1616" s="138"/>
      <c r="G1616" s="138"/>
      <c r="H1616" s="138"/>
      <c r="I1616" s="138"/>
      <c r="J1616" s="138"/>
      <c r="K1616" s="138"/>
      <c r="L1616" s="138"/>
      <c r="M1616" s="138"/>
      <c r="N1616" s="138"/>
      <c r="O1616" s="138"/>
    </row>
    <row r="1617" spans="2:15" x14ac:dyDescent="0.2">
      <c r="B1617" s="138"/>
      <c r="C1617" s="126"/>
      <c r="D1617" s="138"/>
      <c r="E1617" s="138"/>
      <c r="F1617" s="138"/>
      <c r="G1617" s="138"/>
      <c r="H1617" s="138"/>
      <c r="I1617" s="138"/>
      <c r="J1617" s="138"/>
      <c r="K1617" s="138"/>
      <c r="L1617" s="138"/>
      <c r="M1617" s="138"/>
      <c r="N1617" s="138"/>
      <c r="O1617" s="138"/>
    </row>
    <row r="1618" spans="2:15" x14ac:dyDescent="0.2">
      <c r="B1618" s="138"/>
      <c r="C1618" s="126"/>
      <c r="D1618" s="138"/>
      <c r="E1618" s="138"/>
      <c r="F1618" s="138"/>
      <c r="G1618" s="138"/>
      <c r="H1618" s="138"/>
      <c r="I1618" s="138"/>
      <c r="J1618" s="138"/>
      <c r="K1618" s="138"/>
      <c r="L1618" s="138"/>
      <c r="M1618" s="138"/>
      <c r="N1618" s="138"/>
      <c r="O1618" s="138"/>
    </row>
    <row r="1619" spans="2:15" x14ac:dyDescent="0.2">
      <c r="B1619" s="138"/>
      <c r="C1619" s="126"/>
      <c r="D1619" s="138"/>
      <c r="E1619" s="138"/>
      <c r="F1619" s="138"/>
      <c r="G1619" s="138"/>
      <c r="H1619" s="138"/>
      <c r="I1619" s="138"/>
      <c r="J1619" s="138"/>
      <c r="K1619" s="138"/>
      <c r="L1619" s="138"/>
      <c r="M1619" s="138"/>
      <c r="N1619" s="138"/>
      <c r="O1619" s="138"/>
    </row>
    <row r="1620" spans="2:15" x14ac:dyDescent="0.2">
      <c r="B1620" s="138"/>
      <c r="C1620" s="126"/>
      <c r="D1620" s="138"/>
      <c r="E1620" s="138"/>
      <c r="F1620" s="138"/>
      <c r="G1620" s="138"/>
      <c r="H1620" s="138"/>
      <c r="I1620" s="138"/>
      <c r="J1620" s="138"/>
      <c r="K1620" s="138"/>
      <c r="L1620" s="138"/>
      <c r="M1620" s="138"/>
      <c r="N1620" s="138"/>
      <c r="O1620" s="138"/>
    </row>
    <row r="1621" spans="2:15" x14ac:dyDescent="0.2">
      <c r="B1621" s="138"/>
      <c r="C1621" s="126"/>
      <c r="D1621" s="138"/>
      <c r="E1621" s="138"/>
      <c r="F1621" s="138"/>
      <c r="G1621" s="138"/>
      <c r="H1621" s="138"/>
      <c r="I1621" s="138"/>
      <c r="J1621" s="138"/>
      <c r="K1621" s="138"/>
      <c r="L1621" s="138"/>
      <c r="M1621" s="138"/>
      <c r="N1621" s="138"/>
      <c r="O1621" s="138"/>
    </row>
    <row r="1622" spans="2:15" x14ac:dyDescent="0.2">
      <c r="B1622" s="138"/>
      <c r="C1622" s="126"/>
      <c r="D1622" s="138"/>
      <c r="E1622" s="138"/>
      <c r="F1622" s="138"/>
      <c r="G1622" s="138"/>
      <c r="H1622" s="138"/>
      <c r="I1622" s="138"/>
      <c r="J1622" s="138"/>
      <c r="K1622" s="138"/>
      <c r="L1622" s="138"/>
      <c r="M1622" s="138"/>
      <c r="N1622" s="138"/>
      <c r="O1622" s="138"/>
    </row>
    <row r="1623" spans="2:15" x14ac:dyDescent="0.2">
      <c r="B1623" s="138"/>
      <c r="C1623" s="126"/>
      <c r="D1623" s="138"/>
      <c r="E1623" s="138"/>
      <c r="F1623" s="138"/>
      <c r="G1623" s="138"/>
      <c r="H1623" s="138"/>
      <c r="I1623" s="138"/>
      <c r="J1623" s="138"/>
      <c r="K1623" s="138"/>
      <c r="L1623" s="138"/>
      <c r="M1623" s="138"/>
      <c r="N1623" s="138"/>
      <c r="O1623" s="138"/>
    </row>
    <row r="1624" spans="2:15" x14ac:dyDescent="0.2">
      <c r="B1624" s="138"/>
      <c r="C1624" s="126"/>
      <c r="D1624" s="138"/>
      <c r="E1624" s="138"/>
      <c r="F1624" s="138"/>
      <c r="G1624" s="138"/>
      <c r="H1624" s="138"/>
      <c r="I1624" s="138"/>
      <c r="J1624" s="138"/>
      <c r="K1624" s="138"/>
      <c r="L1624" s="138"/>
      <c r="M1624" s="138"/>
      <c r="N1624" s="138"/>
      <c r="O1624" s="138"/>
    </row>
    <row r="1625" spans="2:15" x14ac:dyDescent="0.2">
      <c r="B1625" s="138"/>
      <c r="C1625" s="126"/>
      <c r="D1625" s="138"/>
      <c r="E1625" s="138"/>
      <c r="F1625" s="138"/>
      <c r="G1625" s="138"/>
      <c r="H1625" s="138"/>
      <c r="I1625" s="138"/>
      <c r="J1625" s="138"/>
      <c r="K1625" s="138"/>
      <c r="L1625" s="138"/>
      <c r="M1625" s="138"/>
      <c r="N1625" s="138"/>
      <c r="O1625" s="138"/>
    </row>
    <row r="1626" spans="2:15" x14ac:dyDescent="0.2">
      <c r="B1626" s="138"/>
      <c r="C1626" s="126"/>
      <c r="D1626" s="138"/>
      <c r="E1626" s="138"/>
      <c r="F1626" s="138"/>
      <c r="G1626" s="138"/>
      <c r="H1626" s="138"/>
      <c r="I1626" s="138"/>
      <c r="J1626" s="138"/>
      <c r="K1626" s="138"/>
      <c r="L1626" s="138"/>
      <c r="M1626" s="138"/>
      <c r="N1626" s="138"/>
      <c r="O1626" s="138"/>
    </row>
    <row r="1627" spans="2:15" x14ac:dyDescent="0.2">
      <c r="B1627" s="138"/>
      <c r="C1627" s="126"/>
      <c r="D1627" s="138"/>
      <c r="E1627" s="138"/>
      <c r="F1627" s="138"/>
      <c r="G1627" s="138"/>
      <c r="H1627" s="138"/>
      <c r="I1627" s="138"/>
      <c r="J1627" s="138"/>
      <c r="K1627" s="138"/>
      <c r="L1627" s="138"/>
      <c r="M1627" s="138"/>
      <c r="N1627" s="138"/>
      <c r="O1627" s="138"/>
    </row>
    <row r="1628" spans="2:15" x14ac:dyDescent="0.2">
      <c r="B1628" s="138"/>
      <c r="C1628" s="126"/>
      <c r="D1628" s="138"/>
      <c r="E1628" s="138"/>
      <c r="F1628" s="138"/>
      <c r="G1628" s="138"/>
      <c r="H1628" s="138"/>
      <c r="I1628" s="138"/>
      <c r="J1628" s="138"/>
      <c r="K1628" s="138"/>
      <c r="L1628" s="138"/>
      <c r="M1628" s="138"/>
      <c r="N1628" s="138"/>
      <c r="O1628" s="138"/>
    </row>
    <row r="1629" spans="2:15" x14ac:dyDescent="0.2">
      <c r="B1629" s="138"/>
      <c r="C1629" s="126"/>
      <c r="D1629" s="138"/>
      <c r="E1629" s="138"/>
      <c r="F1629" s="138"/>
      <c r="G1629" s="138"/>
      <c r="H1629" s="138"/>
      <c r="I1629" s="138"/>
      <c r="J1629" s="138"/>
      <c r="K1629" s="138"/>
      <c r="L1629" s="138"/>
      <c r="M1629" s="138"/>
      <c r="N1629" s="138"/>
      <c r="O1629" s="138"/>
    </row>
    <row r="1630" spans="2:15" x14ac:dyDescent="0.2">
      <c r="B1630" s="138"/>
      <c r="C1630" s="126"/>
      <c r="D1630" s="138"/>
      <c r="E1630" s="138"/>
      <c r="F1630" s="138"/>
      <c r="G1630" s="138"/>
      <c r="H1630" s="138"/>
      <c r="I1630" s="138"/>
      <c r="J1630" s="138"/>
      <c r="K1630" s="138"/>
      <c r="L1630" s="138"/>
      <c r="M1630" s="138"/>
      <c r="N1630" s="138"/>
      <c r="O1630" s="138"/>
    </row>
    <row r="1631" spans="2:15" x14ac:dyDescent="0.2">
      <c r="B1631" s="138"/>
      <c r="C1631" s="126"/>
      <c r="D1631" s="138"/>
      <c r="E1631" s="138"/>
      <c r="F1631" s="138"/>
      <c r="G1631" s="138"/>
      <c r="H1631" s="138"/>
      <c r="I1631" s="138"/>
      <c r="J1631" s="138"/>
      <c r="K1631" s="138"/>
      <c r="L1631" s="138"/>
      <c r="M1631" s="138"/>
      <c r="N1631" s="138"/>
      <c r="O1631" s="138"/>
    </row>
    <row r="1632" spans="2:15" x14ac:dyDescent="0.2">
      <c r="B1632" s="138"/>
      <c r="C1632" s="126"/>
      <c r="D1632" s="138"/>
      <c r="E1632" s="138"/>
      <c r="F1632" s="138"/>
      <c r="G1632" s="138"/>
      <c r="H1632" s="138"/>
      <c r="I1632" s="138"/>
      <c r="J1632" s="138"/>
      <c r="K1632" s="138"/>
      <c r="L1632" s="138"/>
      <c r="M1632" s="138"/>
      <c r="N1632" s="138"/>
      <c r="O1632" s="138"/>
    </row>
    <row r="1633" spans="2:15" x14ac:dyDescent="0.2">
      <c r="B1633" s="138"/>
      <c r="C1633" s="126"/>
      <c r="D1633" s="138"/>
      <c r="E1633" s="138"/>
      <c r="F1633" s="138"/>
      <c r="G1633" s="138"/>
      <c r="H1633" s="138"/>
      <c r="I1633" s="138"/>
      <c r="J1633" s="138"/>
      <c r="K1633" s="138"/>
      <c r="L1633" s="138"/>
      <c r="M1633" s="138"/>
      <c r="N1633" s="138"/>
      <c r="O1633" s="138"/>
    </row>
    <row r="1634" spans="2:15" x14ac:dyDescent="0.2">
      <c r="B1634" s="138"/>
      <c r="C1634" s="126"/>
      <c r="D1634" s="138"/>
      <c r="E1634" s="138"/>
      <c r="F1634" s="138"/>
      <c r="G1634" s="138"/>
      <c r="H1634" s="138"/>
      <c r="I1634" s="138"/>
      <c r="J1634" s="138"/>
      <c r="K1634" s="138"/>
      <c r="L1634" s="138"/>
      <c r="M1634" s="138"/>
      <c r="N1634" s="138"/>
      <c r="O1634" s="138"/>
    </row>
    <row r="1635" spans="2:15" x14ac:dyDescent="0.2">
      <c r="B1635" s="138"/>
      <c r="C1635" s="126"/>
      <c r="D1635" s="138"/>
      <c r="E1635" s="138"/>
      <c r="F1635" s="138"/>
      <c r="G1635" s="138"/>
      <c r="H1635" s="138"/>
      <c r="I1635" s="138"/>
      <c r="J1635" s="138"/>
      <c r="K1635" s="138"/>
      <c r="L1635" s="138"/>
      <c r="M1635" s="138"/>
      <c r="N1635" s="138"/>
      <c r="O1635" s="138"/>
    </row>
    <row r="1636" spans="2:15" x14ac:dyDescent="0.2">
      <c r="B1636" s="138"/>
      <c r="C1636" s="126"/>
      <c r="D1636" s="138"/>
      <c r="E1636" s="138"/>
      <c r="F1636" s="138"/>
      <c r="G1636" s="138"/>
      <c r="H1636" s="138"/>
      <c r="I1636" s="138"/>
      <c r="J1636" s="138"/>
      <c r="K1636" s="138"/>
      <c r="L1636" s="138"/>
      <c r="M1636" s="138"/>
      <c r="N1636" s="138"/>
      <c r="O1636" s="138"/>
    </row>
    <row r="1637" spans="2:15" x14ac:dyDescent="0.2">
      <c r="B1637" s="138"/>
      <c r="C1637" s="126"/>
      <c r="D1637" s="138"/>
      <c r="E1637" s="138"/>
      <c r="F1637" s="138"/>
      <c r="G1637" s="138"/>
      <c r="H1637" s="138"/>
      <c r="I1637" s="138"/>
      <c r="J1637" s="138"/>
      <c r="K1637" s="138"/>
      <c r="L1637" s="138"/>
      <c r="M1637" s="138"/>
      <c r="N1637" s="138"/>
      <c r="O1637" s="138"/>
    </row>
    <row r="1638" spans="2:15" x14ac:dyDescent="0.2">
      <c r="B1638" s="138"/>
      <c r="C1638" s="126"/>
      <c r="D1638" s="138"/>
      <c r="E1638" s="138"/>
      <c r="F1638" s="138"/>
      <c r="G1638" s="138"/>
      <c r="H1638" s="138"/>
      <c r="I1638" s="138"/>
      <c r="J1638" s="138"/>
      <c r="K1638" s="138"/>
      <c r="L1638" s="138"/>
      <c r="M1638" s="138"/>
      <c r="N1638" s="138"/>
      <c r="O1638" s="138"/>
    </row>
    <row r="1639" spans="2:15" x14ac:dyDescent="0.2">
      <c r="B1639" s="138"/>
      <c r="C1639" s="126"/>
      <c r="D1639" s="138"/>
      <c r="E1639" s="138"/>
      <c r="F1639" s="138"/>
      <c r="G1639" s="138"/>
      <c r="H1639" s="138"/>
      <c r="I1639" s="138"/>
      <c r="J1639" s="138"/>
      <c r="K1639" s="138"/>
      <c r="L1639" s="138"/>
      <c r="M1639" s="138"/>
      <c r="N1639" s="138"/>
      <c r="O1639" s="138"/>
    </row>
    <row r="1640" spans="2:15" x14ac:dyDescent="0.2">
      <c r="B1640" s="138"/>
      <c r="C1640" s="126"/>
      <c r="D1640" s="138"/>
      <c r="E1640" s="138"/>
      <c r="F1640" s="138"/>
      <c r="G1640" s="138"/>
      <c r="H1640" s="138"/>
      <c r="I1640" s="138"/>
      <c r="J1640" s="138"/>
      <c r="K1640" s="138"/>
      <c r="L1640" s="138"/>
      <c r="M1640" s="138"/>
      <c r="N1640" s="138"/>
      <c r="O1640" s="138"/>
    </row>
    <row r="1641" spans="2:15" x14ac:dyDescent="0.2">
      <c r="B1641" s="138"/>
      <c r="C1641" s="126"/>
      <c r="D1641" s="138"/>
      <c r="E1641" s="138"/>
      <c r="F1641" s="138"/>
      <c r="G1641" s="138"/>
      <c r="H1641" s="138"/>
      <c r="I1641" s="138"/>
      <c r="J1641" s="138"/>
      <c r="K1641" s="138"/>
      <c r="L1641" s="138"/>
      <c r="M1641" s="138"/>
      <c r="N1641" s="138"/>
      <c r="O1641" s="138"/>
    </row>
    <row r="1642" spans="2:15" x14ac:dyDescent="0.2">
      <c r="B1642" s="138"/>
      <c r="C1642" s="126"/>
      <c r="D1642" s="138"/>
      <c r="E1642" s="138"/>
      <c r="F1642" s="138"/>
      <c r="G1642" s="138"/>
      <c r="H1642" s="138"/>
      <c r="I1642" s="138"/>
      <c r="J1642" s="138"/>
      <c r="K1642" s="138"/>
      <c r="L1642" s="138"/>
      <c r="M1642" s="138"/>
      <c r="N1642" s="138"/>
      <c r="O1642" s="138"/>
    </row>
    <row r="1643" spans="2:15" x14ac:dyDescent="0.2">
      <c r="B1643" s="138"/>
      <c r="C1643" s="126"/>
      <c r="D1643" s="138"/>
      <c r="E1643" s="138"/>
      <c r="F1643" s="138"/>
      <c r="G1643" s="138"/>
      <c r="H1643" s="138"/>
      <c r="I1643" s="138"/>
      <c r="J1643" s="138"/>
      <c r="K1643" s="138"/>
      <c r="L1643" s="138"/>
      <c r="M1643" s="138"/>
      <c r="N1643" s="138"/>
      <c r="O1643" s="138"/>
    </row>
    <row r="1644" spans="2:15" x14ac:dyDescent="0.2">
      <c r="B1644" s="138"/>
      <c r="C1644" s="126"/>
      <c r="D1644" s="138"/>
      <c r="E1644" s="138"/>
      <c r="F1644" s="138"/>
      <c r="G1644" s="138"/>
      <c r="H1644" s="138"/>
      <c r="I1644" s="138"/>
      <c r="J1644" s="138"/>
      <c r="K1644" s="138"/>
      <c r="L1644" s="138"/>
      <c r="M1644" s="138"/>
      <c r="N1644" s="138"/>
      <c r="O1644" s="138"/>
    </row>
    <row r="1645" spans="2:15" x14ac:dyDescent="0.2">
      <c r="B1645" s="138"/>
      <c r="C1645" s="126"/>
      <c r="D1645" s="138"/>
      <c r="E1645" s="138"/>
      <c r="F1645" s="138"/>
      <c r="G1645" s="138"/>
      <c r="H1645" s="138"/>
      <c r="I1645" s="138"/>
      <c r="J1645" s="138"/>
      <c r="K1645" s="138"/>
      <c r="L1645" s="138"/>
      <c r="M1645" s="138"/>
      <c r="N1645" s="138"/>
      <c r="O1645" s="138"/>
    </row>
    <row r="1646" spans="2:15" x14ac:dyDescent="0.2">
      <c r="B1646" s="138"/>
      <c r="C1646" s="126"/>
      <c r="D1646" s="138"/>
      <c r="E1646" s="138"/>
      <c r="F1646" s="138"/>
      <c r="G1646" s="138"/>
      <c r="H1646" s="138"/>
      <c r="I1646" s="138"/>
      <c r="J1646" s="138"/>
      <c r="K1646" s="138"/>
      <c r="L1646" s="138"/>
      <c r="M1646" s="138"/>
      <c r="N1646" s="138"/>
      <c r="O1646" s="138"/>
    </row>
    <row r="1647" spans="2:15" x14ac:dyDescent="0.2">
      <c r="B1647" s="138"/>
      <c r="C1647" s="126"/>
      <c r="D1647" s="138"/>
      <c r="E1647" s="138"/>
      <c r="F1647" s="138"/>
      <c r="G1647" s="138"/>
      <c r="H1647" s="138"/>
      <c r="I1647" s="138"/>
      <c r="J1647" s="138"/>
      <c r="K1647" s="138"/>
      <c r="L1647" s="138"/>
      <c r="M1647" s="138"/>
      <c r="N1647" s="138"/>
      <c r="O1647" s="138"/>
    </row>
    <row r="1648" spans="2:15" x14ac:dyDescent="0.2">
      <c r="B1648" s="138"/>
      <c r="C1648" s="126"/>
      <c r="D1648" s="138"/>
      <c r="E1648" s="138"/>
      <c r="F1648" s="138"/>
      <c r="G1648" s="138"/>
      <c r="H1648" s="138"/>
      <c r="I1648" s="138"/>
      <c r="J1648" s="138"/>
      <c r="K1648" s="138"/>
      <c r="L1648" s="138"/>
      <c r="M1648" s="138"/>
      <c r="N1648" s="138"/>
      <c r="O1648" s="138"/>
    </row>
    <row r="1649" spans="2:15" x14ac:dyDescent="0.2">
      <c r="B1649" s="138"/>
      <c r="C1649" s="126"/>
      <c r="D1649" s="138"/>
      <c r="E1649" s="138"/>
      <c r="F1649" s="138"/>
      <c r="G1649" s="138"/>
      <c r="H1649" s="138"/>
      <c r="I1649" s="138"/>
      <c r="J1649" s="138"/>
      <c r="K1649" s="138"/>
      <c r="L1649" s="138"/>
      <c r="M1649" s="138"/>
      <c r="N1649" s="138"/>
      <c r="O1649" s="138"/>
    </row>
    <row r="1650" spans="2:15" x14ac:dyDescent="0.2">
      <c r="B1650" s="138"/>
      <c r="C1650" s="126"/>
      <c r="D1650" s="138"/>
      <c r="E1650" s="138"/>
      <c r="F1650" s="138"/>
      <c r="G1650" s="138"/>
      <c r="H1650" s="138"/>
      <c r="I1650" s="138"/>
      <c r="J1650" s="138"/>
      <c r="K1650" s="138"/>
      <c r="L1650" s="138"/>
      <c r="M1650" s="138"/>
      <c r="N1650" s="138"/>
      <c r="O1650" s="138"/>
    </row>
    <row r="1651" spans="2:15" x14ac:dyDescent="0.2">
      <c r="B1651" s="138"/>
      <c r="C1651" s="126"/>
      <c r="D1651" s="138"/>
      <c r="E1651" s="138"/>
      <c r="F1651" s="138"/>
      <c r="G1651" s="138"/>
      <c r="H1651" s="138"/>
      <c r="I1651" s="138"/>
      <c r="J1651" s="138"/>
      <c r="K1651" s="138"/>
      <c r="L1651" s="138"/>
      <c r="M1651" s="138"/>
      <c r="N1651" s="138"/>
      <c r="O1651" s="138"/>
    </row>
    <row r="1652" spans="2:15" x14ac:dyDescent="0.2">
      <c r="B1652" s="138"/>
      <c r="C1652" s="126"/>
      <c r="D1652" s="138"/>
      <c r="E1652" s="138"/>
      <c r="F1652" s="138"/>
      <c r="G1652" s="138"/>
      <c r="H1652" s="138"/>
      <c r="I1652" s="138"/>
      <c r="J1652" s="138"/>
      <c r="K1652" s="138"/>
      <c r="L1652" s="138"/>
      <c r="M1652" s="138"/>
      <c r="N1652" s="138"/>
      <c r="O1652" s="138"/>
    </row>
    <row r="1653" spans="2:15" x14ac:dyDescent="0.2">
      <c r="B1653" s="138"/>
      <c r="C1653" s="126"/>
      <c r="D1653" s="138"/>
      <c r="E1653" s="138"/>
      <c r="F1653" s="138"/>
      <c r="G1653" s="138"/>
      <c r="H1653" s="138"/>
      <c r="I1653" s="138"/>
      <c r="J1653" s="138"/>
      <c r="K1653" s="138"/>
      <c r="L1653" s="138"/>
      <c r="M1653" s="138"/>
      <c r="N1653" s="138"/>
      <c r="O1653" s="138"/>
    </row>
    <row r="1654" spans="2:15" x14ac:dyDescent="0.2">
      <c r="B1654" s="138"/>
      <c r="C1654" s="126"/>
      <c r="D1654" s="138"/>
      <c r="E1654" s="138"/>
      <c r="F1654" s="138"/>
      <c r="G1654" s="138"/>
      <c r="H1654" s="138"/>
      <c r="I1654" s="138"/>
      <c r="J1654" s="138"/>
      <c r="K1654" s="138"/>
      <c r="L1654" s="138"/>
      <c r="M1654" s="138"/>
      <c r="N1654" s="138"/>
      <c r="O1654" s="138"/>
    </row>
    <row r="1655" spans="2:15" x14ac:dyDescent="0.2">
      <c r="B1655" s="138"/>
      <c r="C1655" s="126"/>
      <c r="D1655" s="138"/>
      <c r="E1655" s="138"/>
      <c r="F1655" s="138"/>
      <c r="G1655" s="138"/>
      <c r="H1655" s="138"/>
      <c r="I1655" s="138"/>
      <c r="J1655" s="138"/>
      <c r="K1655" s="138"/>
      <c r="L1655" s="138"/>
      <c r="M1655" s="138"/>
      <c r="N1655" s="138"/>
      <c r="O1655" s="138"/>
    </row>
    <row r="1656" spans="2:15" x14ac:dyDescent="0.2">
      <c r="B1656" s="138"/>
      <c r="C1656" s="126"/>
      <c r="D1656" s="138"/>
      <c r="E1656" s="138"/>
      <c r="F1656" s="138"/>
      <c r="G1656" s="138"/>
      <c r="H1656" s="138"/>
      <c r="I1656" s="138"/>
      <c r="J1656" s="138"/>
      <c r="K1656" s="138"/>
      <c r="L1656" s="138"/>
      <c r="M1656" s="138"/>
      <c r="N1656" s="138"/>
      <c r="O1656" s="138"/>
    </row>
    <row r="1657" spans="2:15" x14ac:dyDescent="0.2">
      <c r="B1657" s="138"/>
      <c r="C1657" s="126"/>
      <c r="D1657" s="138"/>
      <c r="E1657" s="138"/>
      <c r="F1657" s="138"/>
      <c r="G1657" s="138"/>
      <c r="H1657" s="138"/>
      <c r="I1657" s="138"/>
      <c r="J1657" s="138"/>
      <c r="K1657" s="138"/>
      <c r="L1657" s="138"/>
      <c r="M1657" s="138"/>
      <c r="N1657" s="138"/>
      <c r="O1657" s="138"/>
    </row>
    <row r="1658" spans="2:15" x14ac:dyDescent="0.2">
      <c r="B1658" s="138"/>
      <c r="C1658" s="126"/>
      <c r="D1658" s="138"/>
      <c r="E1658" s="138"/>
      <c r="F1658" s="138"/>
      <c r="G1658" s="138"/>
      <c r="H1658" s="138"/>
      <c r="I1658" s="138"/>
      <c r="J1658" s="138"/>
      <c r="K1658" s="138"/>
      <c r="L1658" s="138"/>
      <c r="M1658" s="138"/>
      <c r="N1658" s="138"/>
      <c r="O1658" s="138"/>
    </row>
    <row r="1659" spans="2:15" x14ac:dyDescent="0.2">
      <c r="B1659" s="138"/>
      <c r="C1659" s="126"/>
      <c r="D1659" s="138"/>
      <c r="E1659" s="138"/>
      <c r="F1659" s="138"/>
      <c r="G1659" s="138"/>
      <c r="H1659" s="138"/>
      <c r="I1659" s="138"/>
      <c r="J1659" s="138"/>
      <c r="K1659" s="138"/>
      <c r="L1659" s="138"/>
      <c r="M1659" s="138"/>
      <c r="N1659" s="138"/>
      <c r="O1659" s="138"/>
    </row>
    <row r="1660" spans="2:15" x14ac:dyDescent="0.2">
      <c r="B1660" s="138"/>
      <c r="C1660" s="126"/>
      <c r="D1660" s="138"/>
      <c r="E1660" s="138"/>
      <c r="F1660" s="138"/>
      <c r="G1660" s="138"/>
      <c r="H1660" s="138"/>
      <c r="I1660" s="138"/>
      <c r="J1660" s="138"/>
      <c r="K1660" s="138"/>
      <c r="L1660" s="138"/>
      <c r="M1660" s="138"/>
      <c r="N1660" s="138"/>
      <c r="O1660" s="138"/>
    </row>
    <row r="1661" spans="2:15" x14ac:dyDescent="0.2">
      <c r="B1661" s="138"/>
      <c r="C1661" s="126"/>
      <c r="D1661" s="138"/>
      <c r="E1661" s="138"/>
      <c r="F1661" s="138"/>
      <c r="G1661" s="138"/>
      <c r="H1661" s="138"/>
      <c r="I1661" s="138"/>
      <c r="J1661" s="138"/>
      <c r="K1661" s="138"/>
      <c r="L1661" s="138"/>
      <c r="M1661" s="138"/>
      <c r="N1661" s="138"/>
      <c r="O1661" s="138"/>
    </row>
    <row r="1662" spans="2:15" x14ac:dyDescent="0.2">
      <c r="B1662" s="138"/>
      <c r="C1662" s="126"/>
      <c r="D1662" s="138"/>
      <c r="E1662" s="138"/>
      <c r="F1662" s="138"/>
      <c r="G1662" s="138"/>
      <c r="H1662" s="138"/>
      <c r="I1662" s="138"/>
      <c r="J1662" s="138"/>
      <c r="K1662" s="138"/>
      <c r="L1662" s="138"/>
      <c r="M1662" s="138"/>
      <c r="N1662" s="138"/>
      <c r="O1662" s="138"/>
    </row>
    <row r="1663" spans="2:15" x14ac:dyDescent="0.2">
      <c r="B1663" s="138"/>
      <c r="C1663" s="126"/>
      <c r="D1663" s="138"/>
      <c r="E1663" s="138"/>
      <c r="F1663" s="138"/>
      <c r="G1663" s="138"/>
      <c r="H1663" s="138"/>
      <c r="I1663" s="138"/>
      <c r="J1663" s="138"/>
      <c r="K1663" s="138"/>
      <c r="L1663" s="138"/>
      <c r="M1663" s="138"/>
      <c r="N1663" s="138"/>
      <c r="O1663" s="138"/>
    </row>
    <row r="1664" spans="2:15" x14ac:dyDescent="0.2">
      <c r="B1664" s="138"/>
      <c r="C1664" s="126"/>
      <c r="D1664" s="138"/>
      <c r="E1664" s="138"/>
      <c r="F1664" s="138"/>
      <c r="G1664" s="138"/>
      <c r="H1664" s="138"/>
      <c r="I1664" s="138"/>
      <c r="J1664" s="138"/>
      <c r="K1664" s="138"/>
      <c r="L1664" s="138"/>
      <c r="M1664" s="138"/>
      <c r="N1664" s="138"/>
      <c r="O1664" s="138"/>
    </row>
    <row r="1665" spans="2:15" x14ac:dyDescent="0.2">
      <c r="B1665" s="138"/>
      <c r="C1665" s="126"/>
      <c r="D1665" s="138"/>
      <c r="E1665" s="138"/>
      <c r="F1665" s="138"/>
      <c r="G1665" s="138"/>
      <c r="H1665" s="138"/>
      <c r="I1665" s="138"/>
      <c r="J1665" s="138"/>
      <c r="K1665" s="138"/>
      <c r="L1665" s="138"/>
      <c r="M1665" s="138"/>
      <c r="N1665" s="138"/>
      <c r="O1665" s="138"/>
    </row>
    <row r="1666" spans="2:15" x14ac:dyDescent="0.2">
      <c r="B1666" s="138"/>
      <c r="C1666" s="126"/>
      <c r="D1666" s="138"/>
      <c r="E1666" s="138"/>
      <c r="F1666" s="138"/>
      <c r="G1666" s="138"/>
      <c r="H1666" s="138"/>
      <c r="I1666" s="138"/>
      <c r="J1666" s="138"/>
      <c r="K1666" s="138"/>
      <c r="L1666" s="138"/>
      <c r="M1666" s="138"/>
      <c r="N1666" s="138"/>
      <c r="O1666" s="138"/>
    </row>
    <row r="1667" spans="2:15" x14ac:dyDescent="0.2">
      <c r="B1667" s="138"/>
      <c r="C1667" s="126"/>
      <c r="D1667" s="138"/>
      <c r="E1667" s="138"/>
      <c r="F1667" s="138"/>
      <c r="G1667" s="138"/>
      <c r="H1667" s="138"/>
      <c r="I1667" s="138"/>
      <c r="J1667" s="138"/>
      <c r="K1667" s="138"/>
      <c r="L1667" s="138"/>
      <c r="M1667" s="138"/>
      <c r="N1667" s="138"/>
      <c r="O1667" s="138"/>
    </row>
    <row r="1668" spans="2:15" x14ac:dyDescent="0.2">
      <c r="B1668" s="138"/>
      <c r="C1668" s="126"/>
      <c r="D1668" s="138"/>
      <c r="E1668" s="138"/>
      <c r="F1668" s="138"/>
      <c r="G1668" s="138"/>
      <c r="H1668" s="138"/>
      <c r="I1668" s="138"/>
      <c r="J1668" s="138"/>
      <c r="K1668" s="138"/>
      <c r="L1668" s="138"/>
      <c r="M1668" s="138"/>
      <c r="N1668" s="138"/>
      <c r="O1668" s="138"/>
    </row>
    <row r="1669" spans="2:15" x14ac:dyDescent="0.2">
      <c r="B1669" s="138"/>
      <c r="C1669" s="126"/>
      <c r="D1669" s="138"/>
      <c r="E1669" s="138"/>
      <c r="F1669" s="138"/>
      <c r="G1669" s="138"/>
      <c r="H1669" s="138"/>
      <c r="I1669" s="138"/>
      <c r="J1669" s="138"/>
      <c r="K1669" s="138"/>
      <c r="L1669" s="138"/>
      <c r="M1669" s="138"/>
      <c r="N1669" s="138"/>
      <c r="O1669" s="138"/>
    </row>
    <row r="1670" spans="2:15" x14ac:dyDescent="0.2">
      <c r="B1670" s="138"/>
      <c r="C1670" s="126"/>
      <c r="D1670" s="138"/>
      <c r="E1670" s="138"/>
      <c r="F1670" s="138"/>
      <c r="G1670" s="138"/>
      <c r="H1670" s="138"/>
      <c r="I1670" s="138"/>
      <c r="J1670" s="138"/>
      <c r="K1670" s="138"/>
      <c r="L1670" s="138"/>
      <c r="M1670" s="138"/>
      <c r="N1670" s="138"/>
      <c r="O1670" s="138"/>
    </row>
    <row r="1671" spans="2:15" x14ac:dyDescent="0.2">
      <c r="B1671" s="138"/>
      <c r="C1671" s="126"/>
      <c r="D1671" s="138"/>
      <c r="E1671" s="138"/>
      <c r="F1671" s="138"/>
      <c r="G1671" s="138"/>
      <c r="H1671" s="138"/>
      <c r="I1671" s="138"/>
      <c r="J1671" s="138"/>
      <c r="K1671" s="138"/>
      <c r="L1671" s="138"/>
      <c r="M1671" s="138"/>
      <c r="N1671" s="138"/>
      <c r="O1671" s="138"/>
    </row>
    <row r="1672" spans="2:15" x14ac:dyDescent="0.2">
      <c r="B1672" s="138"/>
      <c r="C1672" s="126"/>
      <c r="D1672" s="138"/>
      <c r="E1672" s="138"/>
      <c r="F1672" s="138"/>
      <c r="G1672" s="138"/>
      <c r="H1672" s="138"/>
      <c r="I1672" s="138"/>
      <c r="J1672" s="138"/>
      <c r="K1672" s="138"/>
      <c r="L1672" s="138"/>
      <c r="M1672" s="138"/>
      <c r="N1672" s="138"/>
      <c r="O1672" s="138"/>
    </row>
    <row r="1673" spans="2:15" x14ac:dyDescent="0.2">
      <c r="B1673" s="138"/>
      <c r="C1673" s="126"/>
      <c r="D1673" s="138"/>
      <c r="E1673" s="138"/>
      <c r="F1673" s="138"/>
      <c r="G1673" s="138"/>
      <c r="H1673" s="138"/>
      <c r="I1673" s="138"/>
      <c r="J1673" s="138"/>
      <c r="K1673" s="138"/>
      <c r="L1673" s="138"/>
      <c r="M1673" s="138"/>
      <c r="N1673" s="138"/>
      <c r="O1673" s="138"/>
    </row>
    <row r="1674" spans="2:15" x14ac:dyDescent="0.2">
      <c r="B1674" s="138"/>
      <c r="C1674" s="126"/>
      <c r="D1674" s="138"/>
      <c r="E1674" s="138"/>
      <c r="F1674" s="138"/>
      <c r="G1674" s="138"/>
      <c r="H1674" s="138"/>
      <c r="I1674" s="138"/>
      <c r="J1674" s="138"/>
      <c r="K1674" s="138"/>
      <c r="L1674" s="138"/>
      <c r="M1674" s="138"/>
      <c r="N1674" s="138"/>
      <c r="O1674" s="138"/>
    </row>
    <row r="1675" spans="2:15" x14ac:dyDescent="0.2">
      <c r="B1675" s="138"/>
      <c r="C1675" s="126"/>
      <c r="D1675" s="138"/>
      <c r="E1675" s="138"/>
      <c r="F1675" s="138"/>
      <c r="G1675" s="138"/>
      <c r="H1675" s="138"/>
      <c r="I1675" s="138"/>
      <c r="J1675" s="138"/>
      <c r="K1675" s="138"/>
      <c r="L1675" s="138"/>
      <c r="M1675" s="138"/>
      <c r="N1675" s="138"/>
      <c r="O1675" s="138"/>
    </row>
    <row r="1676" spans="2:15" x14ac:dyDescent="0.2">
      <c r="B1676" s="138"/>
      <c r="C1676" s="126"/>
      <c r="D1676" s="138"/>
      <c r="E1676" s="138"/>
      <c r="F1676" s="138"/>
      <c r="G1676" s="138"/>
      <c r="H1676" s="138"/>
      <c r="I1676" s="138"/>
      <c r="J1676" s="138"/>
      <c r="K1676" s="138"/>
      <c r="L1676" s="138"/>
      <c r="M1676" s="138"/>
      <c r="N1676" s="138"/>
      <c r="O1676" s="138"/>
    </row>
    <row r="1677" spans="2:15" x14ac:dyDescent="0.2">
      <c r="B1677" s="138"/>
      <c r="C1677" s="126"/>
      <c r="D1677" s="138"/>
      <c r="E1677" s="138"/>
      <c r="F1677" s="138"/>
      <c r="G1677" s="138"/>
      <c r="H1677" s="138"/>
      <c r="I1677" s="138"/>
      <c r="J1677" s="138"/>
      <c r="K1677" s="138"/>
      <c r="L1677" s="138"/>
      <c r="M1677" s="138"/>
      <c r="N1677" s="138"/>
      <c r="O1677" s="138"/>
    </row>
    <row r="1678" spans="2:15" x14ac:dyDescent="0.2">
      <c r="B1678" s="138"/>
      <c r="C1678" s="126"/>
      <c r="D1678" s="138"/>
      <c r="E1678" s="138"/>
      <c r="F1678" s="138"/>
      <c r="G1678" s="138"/>
      <c r="H1678" s="138"/>
      <c r="I1678" s="138"/>
      <c r="J1678" s="138"/>
      <c r="K1678" s="138"/>
      <c r="L1678" s="138"/>
      <c r="M1678" s="138"/>
      <c r="N1678" s="138"/>
      <c r="O1678" s="138"/>
    </row>
    <row r="1679" spans="2:15" x14ac:dyDescent="0.2">
      <c r="B1679" s="138"/>
      <c r="C1679" s="126"/>
      <c r="D1679" s="138"/>
      <c r="E1679" s="138"/>
      <c r="F1679" s="138"/>
      <c r="G1679" s="138"/>
      <c r="H1679" s="138"/>
      <c r="I1679" s="138"/>
      <c r="J1679" s="138"/>
      <c r="K1679" s="138"/>
      <c r="L1679" s="138"/>
      <c r="M1679" s="138"/>
      <c r="N1679" s="138"/>
      <c r="O1679" s="138"/>
    </row>
    <row r="1680" spans="2:15" x14ac:dyDescent="0.2">
      <c r="B1680" s="138"/>
      <c r="C1680" s="126"/>
      <c r="D1680" s="138"/>
      <c r="E1680" s="138"/>
      <c r="F1680" s="138"/>
      <c r="G1680" s="138"/>
      <c r="H1680" s="138"/>
      <c r="I1680" s="138"/>
      <c r="J1680" s="138"/>
      <c r="K1680" s="138"/>
      <c r="L1680" s="138"/>
      <c r="M1680" s="138"/>
      <c r="N1680" s="138"/>
      <c r="O1680" s="138"/>
    </row>
    <row r="1681" spans="2:15" x14ac:dyDescent="0.2">
      <c r="B1681" s="138"/>
      <c r="C1681" s="126"/>
      <c r="D1681" s="138"/>
      <c r="E1681" s="138"/>
      <c r="F1681" s="138"/>
      <c r="G1681" s="138"/>
      <c r="H1681" s="138"/>
      <c r="I1681" s="138"/>
      <c r="J1681" s="138"/>
      <c r="K1681" s="138"/>
      <c r="L1681" s="138"/>
      <c r="M1681" s="138"/>
      <c r="N1681" s="138"/>
      <c r="O1681" s="138"/>
    </row>
    <row r="1682" spans="2:15" x14ac:dyDescent="0.2">
      <c r="B1682" s="138"/>
      <c r="C1682" s="126"/>
      <c r="D1682" s="138"/>
      <c r="E1682" s="138"/>
      <c r="F1682" s="138"/>
      <c r="G1682" s="138"/>
      <c r="H1682" s="138"/>
      <c r="I1682" s="138"/>
      <c r="J1682" s="138"/>
      <c r="K1682" s="138"/>
      <c r="L1682" s="138"/>
      <c r="M1682" s="138"/>
      <c r="N1682" s="138"/>
      <c r="O1682" s="138"/>
    </row>
    <row r="1683" spans="2:15" x14ac:dyDescent="0.2">
      <c r="B1683" s="138"/>
      <c r="C1683" s="126"/>
      <c r="D1683" s="138"/>
      <c r="E1683" s="138"/>
      <c r="F1683" s="138"/>
      <c r="G1683" s="138"/>
      <c r="H1683" s="138"/>
      <c r="I1683" s="138"/>
      <c r="J1683" s="138"/>
      <c r="K1683" s="138"/>
      <c r="L1683" s="138"/>
      <c r="M1683" s="138"/>
      <c r="N1683" s="138"/>
      <c r="O1683" s="138"/>
    </row>
    <row r="1684" spans="2:15" x14ac:dyDescent="0.2">
      <c r="B1684" s="138"/>
      <c r="C1684" s="126"/>
      <c r="D1684" s="138"/>
      <c r="E1684" s="138"/>
      <c r="F1684" s="138"/>
      <c r="G1684" s="138"/>
      <c r="H1684" s="138"/>
      <c r="I1684" s="138"/>
      <c r="J1684" s="138"/>
      <c r="K1684" s="138"/>
      <c r="L1684" s="138"/>
      <c r="M1684" s="138"/>
      <c r="N1684" s="138"/>
      <c r="O1684" s="138"/>
    </row>
    <row r="1685" spans="2:15" x14ac:dyDescent="0.2">
      <c r="B1685" s="138"/>
      <c r="C1685" s="126"/>
      <c r="D1685" s="138"/>
      <c r="E1685" s="138"/>
      <c r="F1685" s="138"/>
      <c r="G1685" s="138"/>
      <c r="H1685" s="138"/>
      <c r="I1685" s="138"/>
      <c r="J1685" s="138"/>
      <c r="K1685" s="138"/>
      <c r="L1685" s="138"/>
      <c r="M1685" s="138"/>
      <c r="N1685" s="138"/>
      <c r="O1685" s="138"/>
    </row>
    <row r="1686" spans="2:15" x14ac:dyDescent="0.2">
      <c r="B1686" s="138"/>
      <c r="C1686" s="126"/>
      <c r="D1686" s="138"/>
      <c r="E1686" s="138"/>
      <c r="F1686" s="138"/>
      <c r="G1686" s="138"/>
      <c r="H1686" s="138"/>
      <c r="I1686" s="138"/>
      <c r="J1686" s="138"/>
      <c r="K1686" s="138"/>
      <c r="L1686" s="138"/>
      <c r="M1686" s="138"/>
      <c r="N1686" s="138"/>
      <c r="O1686" s="138"/>
    </row>
    <row r="1687" spans="2:15" x14ac:dyDescent="0.2">
      <c r="B1687" s="138"/>
      <c r="C1687" s="126"/>
      <c r="D1687" s="138"/>
      <c r="E1687" s="138"/>
      <c r="F1687" s="138"/>
      <c r="G1687" s="138"/>
      <c r="H1687" s="138"/>
      <c r="I1687" s="138"/>
      <c r="J1687" s="138"/>
      <c r="K1687" s="138"/>
      <c r="L1687" s="138"/>
      <c r="M1687" s="138"/>
      <c r="N1687" s="138"/>
      <c r="O1687" s="138"/>
    </row>
    <row r="1688" spans="2:15" x14ac:dyDescent="0.2">
      <c r="B1688" s="138"/>
      <c r="C1688" s="126"/>
      <c r="D1688" s="138"/>
      <c r="E1688" s="138"/>
      <c r="F1688" s="138"/>
      <c r="G1688" s="138"/>
      <c r="H1688" s="138"/>
      <c r="I1688" s="138"/>
      <c r="J1688" s="138"/>
      <c r="K1688" s="138"/>
      <c r="L1688" s="138"/>
      <c r="M1688" s="138"/>
      <c r="N1688" s="138"/>
      <c r="O1688" s="138"/>
    </row>
    <row r="1689" spans="2:15" x14ac:dyDescent="0.2">
      <c r="B1689" s="138"/>
      <c r="C1689" s="126"/>
      <c r="D1689" s="138"/>
      <c r="E1689" s="138"/>
      <c r="F1689" s="138"/>
      <c r="G1689" s="138"/>
      <c r="H1689" s="138"/>
      <c r="I1689" s="138"/>
      <c r="J1689" s="138"/>
      <c r="K1689" s="138"/>
      <c r="L1689" s="138"/>
      <c r="M1689" s="138"/>
      <c r="N1689" s="138"/>
      <c r="O1689" s="138"/>
    </row>
    <row r="1690" spans="2:15" x14ac:dyDescent="0.2">
      <c r="B1690" s="138"/>
      <c r="C1690" s="126"/>
      <c r="D1690" s="138"/>
      <c r="E1690" s="138"/>
      <c r="F1690" s="138"/>
      <c r="G1690" s="138"/>
      <c r="H1690" s="138"/>
      <c r="I1690" s="138"/>
      <c r="J1690" s="138"/>
      <c r="K1690" s="138"/>
      <c r="L1690" s="138"/>
      <c r="M1690" s="138"/>
      <c r="N1690" s="138"/>
      <c r="O1690" s="138"/>
    </row>
    <row r="1691" spans="2:15" x14ac:dyDescent="0.2">
      <c r="B1691" s="138"/>
      <c r="C1691" s="126"/>
      <c r="D1691" s="138"/>
      <c r="E1691" s="138"/>
      <c r="F1691" s="138"/>
      <c r="G1691" s="138"/>
      <c r="H1691" s="138"/>
      <c r="I1691" s="138"/>
      <c r="J1691" s="138"/>
      <c r="K1691" s="138"/>
      <c r="L1691" s="138"/>
      <c r="M1691" s="138"/>
      <c r="N1691" s="138"/>
      <c r="O1691" s="138"/>
    </row>
    <row r="1692" spans="2:15" x14ac:dyDescent="0.2">
      <c r="B1692" s="138"/>
      <c r="C1692" s="126"/>
      <c r="D1692" s="138"/>
      <c r="E1692" s="138"/>
      <c r="F1692" s="138"/>
      <c r="G1692" s="138"/>
      <c r="H1692" s="138"/>
      <c r="I1692" s="138"/>
      <c r="J1692" s="138"/>
      <c r="K1692" s="138"/>
      <c r="L1692" s="138"/>
      <c r="M1692" s="138"/>
      <c r="N1692" s="138"/>
      <c r="O1692" s="138"/>
    </row>
    <row r="1693" spans="2:15" x14ac:dyDescent="0.2">
      <c r="B1693" s="138"/>
      <c r="C1693" s="126"/>
      <c r="D1693" s="138"/>
      <c r="E1693" s="138"/>
      <c r="F1693" s="138"/>
      <c r="G1693" s="138"/>
      <c r="H1693" s="138"/>
      <c r="I1693" s="138"/>
      <c r="J1693" s="138"/>
      <c r="K1693" s="138"/>
      <c r="L1693" s="138"/>
      <c r="M1693" s="138"/>
      <c r="N1693" s="138"/>
      <c r="O1693" s="138"/>
    </row>
    <row r="1694" spans="2:15" x14ac:dyDescent="0.2">
      <c r="B1694" s="138"/>
      <c r="C1694" s="126"/>
      <c r="D1694" s="138"/>
      <c r="E1694" s="138"/>
      <c r="F1694" s="138"/>
      <c r="G1694" s="138"/>
      <c r="H1694" s="138"/>
      <c r="I1694" s="138"/>
      <c r="J1694" s="138"/>
      <c r="K1694" s="138"/>
      <c r="L1694" s="138"/>
      <c r="M1694" s="138"/>
      <c r="N1694" s="138"/>
      <c r="O1694" s="138"/>
    </row>
    <row r="1695" spans="2:15" x14ac:dyDescent="0.2">
      <c r="B1695" s="138"/>
      <c r="C1695" s="126"/>
      <c r="D1695" s="138"/>
      <c r="E1695" s="138"/>
      <c r="F1695" s="138"/>
      <c r="G1695" s="138"/>
      <c r="H1695" s="138"/>
      <c r="I1695" s="138"/>
      <c r="J1695" s="138"/>
      <c r="K1695" s="138"/>
      <c r="L1695" s="138"/>
      <c r="M1695" s="138"/>
      <c r="N1695" s="138"/>
      <c r="O1695" s="138"/>
    </row>
    <row r="1696" spans="2:15" x14ac:dyDescent="0.2">
      <c r="B1696" s="138"/>
      <c r="C1696" s="126"/>
      <c r="D1696" s="138"/>
      <c r="E1696" s="138"/>
      <c r="F1696" s="138"/>
      <c r="G1696" s="138"/>
      <c r="H1696" s="138"/>
      <c r="I1696" s="138"/>
      <c r="J1696" s="138"/>
      <c r="K1696" s="138"/>
      <c r="L1696" s="138"/>
      <c r="M1696" s="138"/>
      <c r="N1696" s="138"/>
      <c r="O1696" s="138"/>
    </row>
    <row r="1697" spans="2:15" x14ac:dyDescent="0.2">
      <c r="B1697" s="138"/>
      <c r="C1697" s="126"/>
      <c r="D1697" s="138"/>
      <c r="E1697" s="138"/>
      <c r="F1697" s="138"/>
      <c r="G1697" s="138"/>
      <c r="H1697" s="138"/>
      <c r="I1697" s="138"/>
      <c r="J1697" s="138"/>
      <c r="K1697" s="138"/>
      <c r="L1697" s="138"/>
      <c r="M1697" s="138"/>
      <c r="N1697" s="138"/>
      <c r="O1697" s="138"/>
    </row>
    <row r="1698" spans="2:15" x14ac:dyDescent="0.2">
      <c r="B1698" s="138"/>
      <c r="C1698" s="126"/>
      <c r="D1698" s="138"/>
      <c r="E1698" s="138"/>
      <c r="F1698" s="138"/>
      <c r="G1698" s="138"/>
      <c r="H1698" s="138"/>
      <c r="I1698" s="138"/>
      <c r="J1698" s="138"/>
      <c r="K1698" s="138"/>
      <c r="L1698" s="138"/>
      <c r="M1698" s="138"/>
      <c r="N1698" s="138"/>
      <c r="O1698" s="138"/>
    </row>
    <row r="1699" spans="2:15" x14ac:dyDescent="0.2">
      <c r="B1699" s="138"/>
      <c r="C1699" s="126"/>
      <c r="D1699" s="138"/>
      <c r="E1699" s="138"/>
      <c r="F1699" s="138"/>
      <c r="G1699" s="138"/>
      <c r="H1699" s="138"/>
      <c r="I1699" s="138"/>
      <c r="J1699" s="138"/>
      <c r="K1699" s="138"/>
      <c r="L1699" s="138"/>
      <c r="M1699" s="138"/>
      <c r="N1699" s="138"/>
      <c r="O1699" s="138"/>
    </row>
    <row r="1700" spans="2:15" x14ac:dyDescent="0.2">
      <c r="B1700" s="138"/>
      <c r="C1700" s="126"/>
      <c r="D1700" s="138"/>
      <c r="E1700" s="138"/>
      <c r="F1700" s="138"/>
      <c r="G1700" s="138"/>
      <c r="H1700" s="138"/>
      <c r="I1700" s="138"/>
      <c r="J1700" s="138"/>
      <c r="K1700" s="138"/>
      <c r="L1700" s="138"/>
      <c r="M1700" s="138"/>
      <c r="N1700" s="138"/>
      <c r="O1700" s="138"/>
    </row>
    <row r="1701" spans="2:15" x14ac:dyDescent="0.2">
      <c r="B1701" s="138"/>
      <c r="C1701" s="126"/>
      <c r="D1701" s="138"/>
      <c r="E1701" s="138"/>
      <c r="F1701" s="138"/>
      <c r="G1701" s="138"/>
      <c r="H1701" s="138"/>
      <c r="I1701" s="138"/>
      <c r="J1701" s="138"/>
      <c r="K1701" s="138"/>
      <c r="L1701" s="138"/>
      <c r="M1701" s="138"/>
      <c r="N1701" s="138"/>
      <c r="O1701" s="138"/>
    </row>
    <row r="1702" spans="2:15" x14ac:dyDescent="0.2">
      <c r="B1702" s="138"/>
      <c r="C1702" s="126"/>
      <c r="D1702" s="138"/>
      <c r="E1702" s="138"/>
      <c r="F1702" s="138"/>
      <c r="G1702" s="138"/>
      <c r="H1702" s="138"/>
      <c r="I1702" s="138"/>
      <c r="J1702" s="138"/>
      <c r="K1702" s="138"/>
      <c r="L1702" s="138"/>
      <c r="M1702" s="138"/>
      <c r="N1702" s="138"/>
      <c r="O1702" s="138"/>
    </row>
    <row r="1703" spans="2:15" x14ac:dyDescent="0.2">
      <c r="B1703" s="138"/>
      <c r="C1703" s="126"/>
      <c r="D1703" s="138"/>
      <c r="E1703" s="138"/>
      <c r="F1703" s="138"/>
      <c r="G1703" s="138"/>
      <c r="H1703" s="138"/>
      <c r="I1703" s="138"/>
      <c r="J1703" s="138"/>
      <c r="K1703" s="138"/>
      <c r="L1703" s="138"/>
      <c r="M1703" s="138"/>
      <c r="N1703" s="138"/>
      <c r="O1703" s="138"/>
    </row>
    <row r="1704" spans="2:15" x14ac:dyDescent="0.2">
      <c r="B1704" s="138"/>
      <c r="C1704" s="126"/>
      <c r="D1704" s="138"/>
      <c r="E1704" s="138"/>
      <c r="F1704" s="138"/>
      <c r="G1704" s="138"/>
      <c r="H1704" s="138"/>
      <c r="I1704" s="138"/>
      <c r="J1704" s="138"/>
      <c r="K1704" s="138"/>
      <c r="L1704" s="138"/>
      <c r="M1704" s="138"/>
      <c r="N1704" s="138"/>
      <c r="O1704" s="138"/>
    </row>
    <row r="1705" spans="2:15" x14ac:dyDescent="0.2">
      <c r="B1705" s="138"/>
      <c r="C1705" s="126"/>
      <c r="D1705" s="138"/>
      <c r="E1705" s="138"/>
      <c r="F1705" s="138"/>
      <c r="G1705" s="138"/>
      <c r="H1705" s="138"/>
      <c r="I1705" s="138"/>
      <c r="J1705" s="138"/>
      <c r="K1705" s="138"/>
      <c r="L1705" s="138"/>
      <c r="M1705" s="138"/>
      <c r="N1705" s="138"/>
      <c r="O1705" s="138"/>
    </row>
    <row r="1706" spans="2:15" x14ac:dyDescent="0.2">
      <c r="B1706" s="138"/>
      <c r="C1706" s="126"/>
      <c r="D1706" s="138"/>
      <c r="E1706" s="138"/>
      <c r="F1706" s="138"/>
      <c r="G1706" s="138"/>
      <c r="H1706" s="138"/>
      <c r="I1706" s="138"/>
      <c r="J1706" s="138"/>
      <c r="K1706" s="138"/>
      <c r="L1706" s="138"/>
      <c r="M1706" s="138"/>
      <c r="N1706" s="138"/>
      <c r="O1706" s="138"/>
    </row>
    <row r="1707" spans="2:15" x14ac:dyDescent="0.2">
      <c r="B1707" s="138"/>
      <c r="C1707" s="126"/>
      <c r="D1707" s="138"/>
      <c r="E1707" s="138"/>
      <c r="F1707" s="138"/>
      <c r="G1707" s="138"/>
      <c r="H1707" s="138"/>
      <c r="I1707" s="138"/>
      <c r="J1707" s="138"/>
      <c r="K1707" s="138"/>
      <c r="L1707" s="138"/>
      <c r="M1707" s="138"/>
      <c r="N1707" s="138"/>
      <c r="O1707" s="138"/>
    </row>
    <row r="1708" spans="2:15" x14ac:dyDescent="0.2">
      <c r="B1708" s="138"/>
      <c r="C1708" s="126"/>
      <c r="D1708" s="138"/>
      <c r="E1708" s="138"/>
      <c r="F1708" s="138"/>
      <c r="G1708" s="138"/>
      <c r="H1708" s="138"/>
      <c r="I1708" s="138"/>
      <c r="J1708" s="138"/>
      <c r="K1708" s="138"/>
      <c r="L1708" s="138"/>
      <c r="M1708" s="138"/>
      <c r="N1708" s="138"/>
      <c r="O1708" s="138"/>
    </row>
    <row r="1709" spans="2:15" x14ac:dyDescent="0.2">
      <c r="B1709" s="138"/>
      <c r="C1709" s="126"/>
      <c r="D1709" s="138"/>
      <c r="E1709" s="138"/>
      <c r="F1709" s="138"/>
      <c r="G1709" s="138"/>
      <c r="H1709" s="138"/>
      <c r="I1709" s="138"/>
      <c r="J1709" s="138"/>
      <c r="K1709" s="138"/>
      <c r="L1709" s="138"/>
      <c r="M1709" s="138"/>
      <c r="N1709" s="138"/>
      <c r="O1709" s="138"/>
    </row>
    <row r="1710" spans="2:15" x14ac:dyDescent="0.2">
      <c r="B1710" s="138"/>
      <c r="C1710" s="126"/>
      <c r="D1710" s="138"/>
      <c r="E1710" s="138"/>
      <c r="F1710" s="138"/>
      <c r="G1710" s="138"/>
      <c r="H1710" s="138"/>
      <c r="I1710" s="138"/>
      <c r="J1710" s="138"/>
      <c r="K1710" s="138"/>
      <c r="L1710" s="138"/>
      <c r="M1710" s="138"/>
      <c r="N1710" s="138"/>
      <c r="O1710" s="138"/>
    </row>
    <row r="1711" spans="2:15" x14ac:dyDescent="0.2">
      <c r="B1711" s="138"/>
      <c r="C1711" s="126"/>
      <c r="D1711" s="138"/>
      <c r="E1711" s="138"/>
      <c r="F1711" s="138"/>
      <c r="G1711" s="138"/>
      <c r="H1711" s="138"/>
      <c r="I1711" s="138"/>
      <c r="J1711" s="138"/>
      <c r="K1711" s="138"/>
      <c r="L1711" s="138"/>
      <c r="M1711" s="138"/>
      <c r="N1711" s="138"/>
      <c r="O1711" s="138"/>
    </row>
    <row r="1712" spans="2:15" x14ac:dyDescent="0.2">
      <c r="B1712" s="138"/>
      <c r="C1712" s="126"/>
      <c r="D1712" s="138"/>
      <c r="E1712" s="138"/>
      <c r="F1712" s="138"/>
      <c r="G1712" s="138"/>
      <c r="H1712" s="138"/>
      <c r="I1712" s="138"/>
      <c r="J1712" s="138"/>
      <c r="K1712" s="138"/>
      <c r="L1712" s="138"/>
      <c r="M1712" s="138"/>
      <c r="N1712" s="138"/>
      <c r="O1712" s="138"/>
    </row>
    <row r="1713" spans="2:15" x14ac:dyDescent="0.2">
      <c r="B1713" s="138"/>
      <c r="C1713" s="126"/>
      <c r="D1713" s="138"/>
      <c r="E1713" s="138"/>
      <c r="F1713" s="138"/>
      <c r="G1713" s="138"/>
      <c r="H1713" s="138"/>
      <c r="I1713" s="138"/>
      <c r="J1713" s="138"/>
      <c r="K1713" s="138"/>
      <c r="L1713" s="138"/>
      <c r="M1713" s="138"/>
      <c r="N1713" s="138"/>
      <c r="O1713" s="138"/>
    </row>
    <row r="1714" spans="2:15" x14ac:dyDescent="0.2">
      <c r="B1714" s="138"/>
      <c r="C1714" s="126"/>
      <c r="D1714" s="138"/>
      <c r="E1714" s="138"/>
      <c r="F1714" s="138"/>
      <c r="G1714" s="138"/>
      <c r="H1714" s="138"/>
      <c r="I1714" s="138"/>
      <c r="J1714" s="138"/>
      <c r="K1714" s="138"/>
      <c r="L1714" s="138"/>
      <c r="M1714" s="138"/>
      <c r="N1714" s="138"/>
      <c r="O1714" s="138"/>
    </row>
    <row r="1715" spans="2:15" x14ac:dyDescent="0.2">
      <c r="B1715" s="138"/>
      <c r="C1715" s="126"/>
      <c r="D1715" s="138"/>
      <c r="E1715" s="138"/>
      <c r="F1715" s="138"/>
      <c r="G1715" s="138"/>
      <c r="H1715" s="138"/>
      <c r="I1715" s="138"/>
      <c r="J1715" s="138"/>
      <c r="K1715" s="138"/>
      <c r="L1715" s="138"/>
      <c r="M1715" s="138"/>
      <c r="N1715" s="138"/>
      <c r="O1715" s="138"/>
    </row>
    <row r="1716" spans="2:15" x14ac:dyDescent="0.2">
      <c r="B1716" s="138"/>
      <c r="C1716" s="126"/>
      <c r="D1716" s="138"/>
      <c r="E1716" s="138"/>
      <c r="F1716" s="138"/>
      <c r="G1716" s="138"/>
      <c r="H1716" s="138"/>
      <c r="I1716" s="138"/>
      <c r="J1716" s="138"/>
      <c r="K1716" s="138"/>
      <c r="L1716" s="138"/>
      <c r="M1716" s="138"/>
      <c r="N1716" s="138"/>
      <c r="O1716" s="138"/>
    </row>
    <row r="1717" spans="2:15" x14ac:dyDescent="0.2">
      <c r="B1717" s="138"/>
      <c r="C1717" s="126"/>
      <c r="D1717" s="138"/>
      <c r="E1717" s="138"/>
      <c r="F1717" s="138"/>
      <c r="G1717" s="138"/>
      <c r="H1717" s="138"/>
      <c r="I1717" s="138"/>
      <c r="J1717" s="138"/>
      <c r="K1717" s="138"/>
      <c r="L1717" s="138"/>
      <c r="M1717" s="138"/>
      <c r="N1717" s="138"/>
      <c r="O1717" s="138"/>
    </row>
    <row r="1718" spans="2:15" x14ac:dyDescent="0.2">
      <c r="B1718" s="138"/>
      <c r="C1718" s="126"/>
      <c r="D1718" s="138"/>
      <c r="E1718" s="138"/>
      <c r="F1718" s="138"/>
      <c r="G1718" s="138"/>
      <c r="H1718" s="138"/>
      <c r="I1718" s="138"/>
      <c r="J1718" s="138"/>
      <c r="K1718" s="138"/>
      <c r="L1718" s="138"/>
      <c r="M1718" s="138"/>
      <c r="N1718" s="138"/>
      <c r="O1718" s="138"/>
    </row>
    <row r="1719" spans="2:15" x14ac:dyDescent="0.2">
      <c r="B1719" s="138"/>
      <c r="C1719" s="126"/>
      <c r="D1719" s="138"/>
      <c r="E1719" s="138"/>
      <c r="F1719" s="138"/>
      <c r="G1719" s="138"/>
      <c r="H1719" s="138"/>
      <c r="I1719" s="138"/>
      <c r="J1719" s="138"/>
      <c r="K1719" s="138"/>
      <c r="L1719" s="138"/>
      <c r="M1719" s="138"/>
      <c r="N1719" s="138"/>
      <c r="O1719" s="138"/>
    </row>
    <row r="1720" spans="2:15" x14ac:dyDescent="0.2">
      <c r="B1720" s="138"/>
      <c r="C1720" s="126"/>
      <c r="D1720" s="138"/>
      <c r="E1720" s="138"/>
      <c r="F1720" s="138"/>
      <c r="G1720" s="138"/>
      <c r="H1720" s="138"/>
      <c r="I1720" s="138"/>
      <c r="J1720" s="138"/>
      <c r="K1720" s="138"/>
      <c r="L1720" s="138"/>
      <c r="M1720" s="138"/>
      <c r="N1720" s="138"/>
      <c r="O1720" s="138"/>
    </row>
    <row r="1721" spans="2:15" x14ac:dyDescent="0.2">
      <c r="B1721" s="138"/>
      <c r="C1721" s="126"/>
      <c r="D1721" s="138"/>
      <c r="E1721" s="138"/>
      <c r="F1721" s="138"/>
      <c r="G1721" s="138"/>
      <c r="H1721" s="138"/>
      <c r="I1721" s="138"/>
      <c r="J1721" s="138"/>
      <c r="K1721" s="138"/>
      <c r="L1721" s="138"/>
      <c r="M1721" s="138"/>
      <c r="N1721" s="138"/>
      <c r="O1721" s="138"/>
    </row>
    <row r="1722" spans="2:15" x14ac:dyDescent="0.2">
      <c r="B1722" s="138"/>
      <c r="C1722" s="126"/>
      <c r="D1722" s="138"/>
      <c r="E1722" s="138"/>
      <c r="F1722" s="138"/>
      <c r="G1722" s="138"/>
      <c r="H1722" s="138"/>
      <c r="I1722" s="138"/>
      <c r="J1722" s="138"/>
      <c r="K1722" s="138"/>
      <c r="L1722" s="138"/>
      <c r="M1722" s="138"/>
      <c r="N1722" s="138"/>
      <c r="O1722" s="138"/>
    </row>
    <row r="1723" spans="2:15" x14ac:dyDescent="0.2">
      <c r="B1723" s="138"/>
      <c r="C1723" s="126"/>
      <c r="D1723" s="138"/>
      <c r="E1723" s="138"/>
      <c r="F1723" s="138"/>
      <c r="G1723" s="138"/>
      <c r="H1723" s="138"/>
      <c r="I1723" s="138"/>
      <c r="J1723" s="138"/>
      <c r="K1723" s="138"/>
      <c r="L1723" s="138"/>
      <c r="M1723" s="138"/>
      <c r="N1723" s="138"/>
      <c r="O1723" s="138"/>
    </row>
    <row r="1724" spans="2:15" x14ac:dyDescent="0.2">
      <c r="B1724" s="138"/>
      <c r="C1724" s="126"/>
      <c r="D1724" s="138"/>
      <c r="E1724" s="138"/>
      <c r="F1724" s="138"/>
      <c r="G1724" s="138"/>
      <c r="H1724" s="138"/>
      <c r="I1724" s="138"/>
      <c r="J1724" s="138"/>
      <c r="K1724" s="138"/>
      <c r="L1724" s="138"/>
      <c r="M1724" s="138"/>
      <c r="N1724" s="138"/>
      <c r="O1724" s="138"/>
    </row>
    <row r="1725" spans="2:15" x14ac:dyDescent="0.2">
      <c r="B1725" s="138"/>
      <c r="C1725" s="126"/>
      <c r="D1725" s="138"/>
      <c r="E1725" s="138"/>
      <c r="F1725" s="138"/>
      <c r="G1725" s="138"/>
      <c r="H1725" s="138"/>
      <c r="I1725" s="138"/>
      <c r="J1725" s="138"/>
      <c r="K1725" s="138"/>
      <c r="L1725" s="138"/>
      <c r="M1725" s="138"/>
      <c r="N1725" s="138"/>
      <c r="O1725" s="138"/>
    </row>
    <row r="1726" spans="2:15" x14ac:dyDescent="0.2">
      <c r="B1726" s="138"/>
      <c r="C1726" s="126"/>
      <c r="D1726" s="138"/>
      <c r="E1726" s="138"/>
      <c r="F1726" s="138"/>
      <c r="G1726" s="138"/>
      <c r="H1726" s="138"/>
      <c r="I1726" s="138"/>
      <c r="J1726" s="138"/>
      <c r="K1726" s="138"/>
      <c r="L1726" s="138"/>
      <c r="M1726" s="138"/>
      <c r="N1726" s="138"/>
      <c r="O1726" s="138"/>
    </row>
    <row r="1727" spans="2:15" x14ac:dyDescent="0.2">
      <c r="B1727" s="138"/>
      <c r="C1727" s="126"/>
      <c r="D1727" s="138"/>
      <c r="E1727" s="138"/>
      <c r="F1727" s="138"/>
      <c r="G1727" s="138"/>
      <c r="H1727" s="138"/>
      <c r="I1727" s="138"/>
      <c r="J1727" s="138"/>
      <c r="K1727" s="138"/>
      <c r="L1727" s="138"/>
      <c r="M1727" s="138"/>
      <c r="N1727" s="138"/>
      <c r="O1727" s="138"/>
    </row>
    <row r="1728" spans="2:15" x14ac:dyDescent="0.2">
      <c r="B1728" s="138"/>
      <c r="C1728" s="126"/>
      <c r="D1728" s="138"/>
      <c r="E1728" s="138"/>
      <c r="F1728" s="138"/>
      <c r="G1728" s="138"/>
      <c r="H1728" s="138"/>
      <c r="I1728" s="138"/>
      <c r="J1728" s="138"/>
      <c r="K1728" s="138"/>
      <c r="L1728" s="138"/>
      <c r="M1728" s="138"/>
      <c r="N1728" s="138"/>
      <c r="O1728" s="138"/>
    </row>
    <row r="1729" spans="2:15" x14ac:dyDescent="0.2">
      <c r="B1729" s="138"/>
      <c r="C1729" s="126"/>
      <c r="D1729" s="138"/>
      <c r="E1729" s="138"/>
      <c r="F1729" s="138"/>
      <c r="G1729" s="138"/>
      <c r="H1729" s="138"/>
      <c r="I1729" s="138"/>
      <c r="J1729" s="138"/>
      <c r="K1729" s="138"/>
      <c r="L1729" s="138"/>
      <c r="M1729" s="138"/>
      <c r="N1729" s="138"/>
      <c r="O1729" s="138"/>
    </row>
    <row r="1730" spans="2:15" x14ac:dyDescent="0.2">
      <c r="B1730" s="138"/>
      <c r="C1730" s="126"/>
      <c r="D1730" s="138"/>
      <c r="E1730" s="138"/>
      <c r="F1730" s="138"/>
      <c r="G1730" s="138"/>
      <c r="H1730" s="138"/>
      <c r="I1730" s="138"/>
      <c r="J1730" s="138"/>
      <c r="K1730" s="138"/>
      <c r="L1730" s="138"/>
      <c r="M1730" s="138"/>
      <c r="N1730" s="138"/>
      <c r="O1730" s="138"/>
    </row>
    <row r="1731" spans="2:15" x14ac:dyDescent="0.2">
      <c r="B1731" s="138"/>
      <c r="C1731" s="126"/>
      <c r="D1731" s="138"/>
      <c r="E1731" s="138"/>
      <c r="F1731" s="138"/>
      <c r="G1731" s="138"/>
      <c r="H1731" s="138"/>
      <c r="I1731" s="138"/>
      <c r="J1731" s="138"/>
      <c r="K1731" s="138"/>
      <c r="L1731" s="138"/>
      <c r="M1731" s="138"/>
      <c r="N1731" s="138"/>
      <c r="O1731" s="138"/>
    </row>
    <row r="1732" spans="2:15" x14ac:dyDescent="0.2">
      <c r="B1732" s="138"/>
      <c r="C1732" s="126"/>
      <c r="D1732" s="138"/>
      <c r="E1732" s="138"/>
      <c r="F1732" s="138"/>
      <c r="G1732" s="138"/>
      <c r="H1732" s="138"/>
      <c r="I1732" s="138"/>
      <c r="J1732" s="138"/>
      <c r="K1732" s="138"/>
      <c r="L1732" s="138"/>
      <c r="M1732" s="138"/>
      <c r="N1732" s="138"/>
      <c r="O1732" s="138"/>
    </row>
    <row r="1733" spans="2:15" x14ac:dyDescent="0.2">
      <c r="B1733" s="138"/>
      <c r="C1733" s="126"/>
      <c r="D1733" s="138"/>
      <c r="E1733" s="138"/>
      <c r="F1733" s="138"/>
      <c r="G1733" s="138"/>
      <c r="H1733" s="138"/>
      <c r="I1733" s="138"/>
      <c r="J1733" s="138"/>
      <c r="K1733" s="138"/>
      <c r="L1733" s="138"/>
      <c r="M1733" s="138"/>
      <c r="N1733" s="138"/>
      <c r="O1733" s="138"/>
    </row>
    <row r="1734" spans="2:15" x14ac:dyDescent="0.2">
      <c r="B1734" s="138"/>
      <c r="C1734" s="126"/>
      <c r="D1734" s="138"/>
      <c r="E1734" s="138"/>
      <c r="F1734" s="138"/>
      <c r="G1734" s="138"/>
      <c r="H1734" s="138"/>
      <c r="I1734" s="138"/>
      <c r="J1734" s="138"/>
      <c r="K1734" s="138"/>
      <c r="L1734" s="138"/>
      <c r="M1734" s="138"/>
      <c r="N1734" s="138"/>
      <c r="O1734" s="138"/>
    </row>
    <row r="1735" spans="2:15" x14ac:dyDescent="0.2">
      <c r="B1735" s="138"/>
      <c r="C1735" s="126"/>
      <c r="D1735" s="138"/>
      <c r="E1735" s="138"/>
      <c r="F1735" s="138"/>
      <c r="G1735" s="138"/>
      <c r="H1735" s="138"/>
      <c r="I1735" s="138"/>
      <c r="J1735" s="138"/>
      <c r="K1735" s="138"/>
      <c r="L1735" s="138"/>
      <c r="M1735" s="138"/>
      <c r="N1735" s="138"/>
      <c r="O1735" s="138"/>
    </row>
    <row r="1736" spans="2:15" x14ac:dyDescent="0.2">
      <c r="B1736" s="138"/>
      <c r="C1736" s="126"/>
      <c r="D1736" s="138"/>
      <c r="E1736" s="138"/>
      <c r="F1736" s="138"/>
      <c r="G1736" s="138"/>
      <c r="H1736" s="138"/>
      <c r="I1736" s="138"/>
      <c r="J1736" s="138"/>
      <c r="K1736" s="138"/>
      <c r="L1736" s="138"/>
      <c r="M1736" s="138"/>
      <c r="N1736" s="138"/>
      <c r="O1736" s="138"/>
    </row>
    <row r="1737" spans="2:15" x14ac:dyDescent="0.2">
      <c r="B1737" s="138"/>
      <c r="C1737" s="126"/>
      <c r="D1737" s="138"/>
      <c r="E1737" s="138"/>
      <c r="F1737" s="138"/>
      <c r="G1737" s="138"/>
      <c r="H1737" s="138"/>
      <c r="I1737" s="138"/>
      <c r="J1737" s="138"/>
      <c r="K1737" s="138"/>
      <c r="L1737" s="138"/>
      <c r="M1737" s="138"/>
      <c r="N1737" s="138"/>
      <c r="O1737" s="138"/>
    </row>
    <row r="1738" spans="2:15" x14ac:dyDescent="0.2">
      <c r="B1738" s="138"/>
      <c r="C1738" s="126"/>
      <c r="D1738" s="138"/>
      <c r="E1738" s="138"/>
      <c r="F1738" s="138"/>
      <c r="G1738" s="138"/>
      <c r="H1738" s="138"/>
      <c r="I1738" s="138"/>
      <c r="J1738" s="138"/>
      <c r="K1738" s="138"/>
      <c r="L1738" s="138"/>
      <c r="M1738" s="138"/>
      <c r="N1738" s="138"/>
      <c r="O1738" s="138"/>
    </row>
    <row r="1739" spans="2:15" x14ac:dyDescent="0.2">
      <c r="B1739" s="138"/>
      <c r="C1739" s="126"/>
      <c r="D1739" s="138"/>
      <c r="E1739" s="138"/>
      <c r="F1739" s="138"/>
      <c r="G1739" s="138"/>
      <c r="H1739" s="138"/>
      <c r="I1739" s="138"/>
      <c r="J1739" s="138"/>
      <c r="K1739" s="138"/>
      <c r="L1739" s="138"/>
      <c r="M1739" s="138"/>
      <c r="N1739" s="138"/>
      <c r="O1739" s="138"/>
    </row>
    <row r="1740" spans="2:15" x14ac:dyDescent="0.2">
      <c r="B1740" s="138"/>
      <c r="C1740" s="126"/>
      <c r="D1740" s="138"/>
      <c r="E1740" s="138"/>
      <c r="F1740" s="138"/>
      <c r="G1740" s="138"/>
      <c r="H1740" s="138"/>
      <c r="I1740" s="138"/>
      <c r="J1740" s="138"/>
      <c r="K1740" s="138"/>
      <c r="L1740" s="138"/>
      <c r="M1740" s="138"/>
      <c r="N1740" s="138"/>
      <c r="O1740" s="138"/>
    </row>
    <row r="1741" spans="2:15" x14ac:dyDescent="0.2">
      <c r="B1741" s="138"/>
      <c r="C1741" s="126"/>
      <c r="D1741" s="138"/>
      <c r="E1741" s="138"/>
      <c r="F1741" s="138"/>
      <c r="G1741" s="138"/>
      <c r="H1741" s="138"/>
      <c r="I1741" s="138"/>
      <c r="J1741" s="138"/>
      <c r="K1741" s="138"/>
      <c r="L1741" s="138"/>
      <c r="M1741" s="138"/>
      <c r="N1741" s="138"/>
      <c r="O1741" s="138"/>
    </row>
    <row r="1742" spans="2:15" x14ac:dyDescent="0.2">
      <c r="B1742" s="138"/>
      <c r="C1742" s="126"/>
      <c r="D1742" s="138"/>
      <c r="E1742" s="138"/>
      <c r="F1742" s="138"/>
      <c r="G1742" s="138"/>
      <c r="H1742" s="138"/>
      <c r="I1742" s="138"/>
      <c r="J1742" s="138"/>
      <c r="K1742" s="138"/>
      <c r="L1742" s="138"/>
      <c r="M1742" s="138"/>
      <c r="N1742" s="138"/>
      <c r="O1742" s="138"/>
    </row>
    <row r="1743" spans="2:15" x14ac:dyDescent="0.2">
      <c r="B1743" s="138"/>
      <c r="C1743" s="126"/>
      <c r="D1743" s="138"/>
      <c r="E1743" s="138"/>
      <c r="F1743" s="138"/>
      <c r="G1743" s="138"/>
      <c r="H1743" s="138"/>
      <c r="I1743" s="138"/>
      <c r="J1743" s="138"/>
      <c r="K1743" s="138"/>
      <c r="L1743" s="138"/>
      <c r="M1743" s="138"/>
      <c r="N1743" s="138"/>
      <c r="O1743" s="138"/>
    </row>
    <row r="1744" spans="2:15" x14ac:dyDescent="0.2">
      <c r="B1744" s="138"/>
      <c r="C1744" s="126"/>
      <c r="D1744" s="138"/>
      <c r="E1744" s="138"/>
      <c r="F1744" s="138"/>
      <c r="G1744" s="138"/>
      <c r="H1744" s="138"/>
      <c r="I1744" s="138"/>
      <c r="J1744" s="138"/>
      <c r="K1744" s="138"/>
      <c r="L1744" s="138"/>
      <c r="M1744" s="138"/>
      <c r="N1744" s="138"/>
      <c r="O1744" s="138"/>
    </row>
    <row r="1745" spans="2:15" x14ac:dyDescent="0.2">
      <c r="B1745" s="138"/>
      <c r="C1745" s="126"/>
      <c r="D1745" s="138"/>
      <c r="E1745" s="138"/>
      <c r="F1745" s="138"/>
      <c r="G1745" s="138"/>
      <c r="H1745" s="138"/>
      <c r="I1745" s="138"/>
      <c r="J1745" s="138"/>
      <c r="K1745" s="138"/>
      <c r="L1745" s="138"/>
      <c r="M1745" s="138"/>
      <c r="N1745" s="138"/>
      <c r="O1745" s="138"/>
    </row>
    <row r="1746" spans="2:15" x14ac:dyDescent="0.2">
      <c r="B1746" s="138"/>
      <c r="C1746" s="126"/>
      <c r="D1746" s="138"/>
      <c r="E1746" s="138"/>
      <c r="F1746" s="138"/>
      <c r="G1746" s="138"/>
      <c r="H1746" s="138"/>
      <c r="I1746" s="138"/>
      <c r="J1746" s="138"/>
      <c r="K1746" s="138"/>
      <c r="L1746" s="138"/>
      <c r="M1746" s="138"/>
      <c r="N1746" s="138"/>
      <c r="O1746" s="138"/>
    </row>
    <row r="1747" spans="2:15" x14ac:dyDescent="0.2">
      <c r="B1747" s="138"/>
      <c r="C1747" s="126"/>
      <c r="D1747" s="138"/>
      <c r="E1747" s="138"/>
      <c r="F1747" s="138"/>
      <c r="G1747" s="138"/>
      <c r="H1747" s="138"/>
      <c r="I1747" s="138"/>
      <c r="J1747" s="138"/>
      <c r="K1747" s="138"/>
      <c r="L1747" s="138"/>
      <c r="M1747" s="138"/>
      <c r="N1747" s="138"/>
      <c r="O1747" s="138"/>
    </row>
    <row r="1748" spans="2:15" x14ac:dyDescent="0.2">
      <c r="B1748" s="138"/>
      <c r="C1748" s="126"/>
      <c r="D1748" s="138"/>
      <c r="E1748" s="138"/>
      <c r="F1748" s="138"/>
      <c r="G1748" s="138"/>
      <c r="H1748" s="138"/>
      <c r="I1748" s="138"/>
      <c r="J1748" s="138"/>
      <c r="K1748" s="138"/>
      <c r="L1748" s="138"/>
      <c r="M1748" s="138"/>
      <c r="N1748" s="138"/>
      <c r="O1748" s="138"/>
    </row>
    <row r="1749" spans="2:15" x14ac:dyDescent="0.2">
      <c r="B1749" s="138"/>
      <c r="C1749" s="126"/>
      <c r="D1749" s="138"/>
      <c r="E1749" s="138"/>
      <c r="F1749" s="138"/>
      <c r="G1749" s="138"/>
      <c r="H1749" s="138"/>
      <c r="I1749" s="138"/>
      <c r="J1749" s="138"/>
      <c r="K1749" s="138"/>
      <c r="L1749" s="138"/>
      <c r="M1749" s="138"/>
      <c r="N1749" s="138"/>
      <c r="O1749" s="138"/>
    </row>
    <row r="1750" spans="2:15" x14ac:dyDescent="0.2">
      <c r="B1750" s="138"/>
      <c r="C1750" s="126"/>
      <c r="D1750" s="138"/>
      <c r="E1750" s="138"/>
      <c r="F1750" s="138"/>
      <c r="G1750" s="138"/>
      <c r="H1750" s="138"/>
      <c r="I1750" s="138"/>
      <c r="J1750" s="138"/>
      <c r="K1750" s="138"/>
      <c r="L1750" s="138"/>
      <c r="M1750" s="138"/>
      <c r="N1750" s="138"/>
      <c r="O1750" s="138"/>
    </row>
    <row r="1751" spans="2:15" x14ac:dyDescent="0.2">
      <c r="B1751" s="138"/>
      <c r="C1751" s="126"/>
      <c r="D1751" s="138"/>
      <c r="E1751" s="138"/>
      <c r="F1751" s="138"/>
      <c r="G1751" s="138"/>
      <c r="H1751" s="138"/>
      <c r="I1751" s="138"/>
      <c r="J1751" s="138"/>
      <c r="K1751" s="138"/>
      <c r="L1751" s="138"/>
      <c r="M1751" s="138"/>
      <c r="N1751" s="138"/>
      <c r="O1751" s="138"/>
    </row>
    <row r="1752" spans="2:15" x14ac:dyDescent="0.2">
      <c r="B1752" s="138"/>
      <c r="C1752" s="126"/>
      <c r="D1752" s="138"/>
      <c r="E1752" s="138"/>
      <c r="F1752" s="138"/>
      <c r="G1752" s="138"/>
      <c r="H1752" s="138"/>
      <c r="I1752" s="138"/>
      <c r="J1752" s="138"/>
      <c r="K1752" s="138"/>
      <c r="L1752" s="138"/>
      <c r="M1752" s="138"/>
      <c r="N1752" s="138"/>
      <c r="O1752" s="138"/>
    </row>
    <row r="1753" spans="2:15" x14ac:dyDescent="0.2">
      <c r="B1753" s="138"/>
      <c r="C1753" s="126"/>
      <c r="D1753" s="138"/>
      <c r="E1753" s="138"/>
      <c r="F1753" s="138"/>
      <c r="G1753" s="138"/>
      <c r="H1753" s="138"/>
      <c r="I1753" s="138"/>
      <c r="J1753" s="138"/>
      <c r="K1753" s="138"/>
      <c r="L1753" s="138"/>
      <c r="M1753" s="138"/>
      <c r="N1753" s="138"/>
      <c r="O1753" s="138"/>
    </row>
    <row r="1754" spans="2:15" x14ac:dyDescent="0.2">
      <c r="B1754" s="138"/>
      <c r="C1754" s="126"/>
      <c r="D1754" s="138"/>
      <c r="E1754" s="138"/>
      <c r="F1754" s="138"/>
      <c r="G1754" s="138"/>
      <c r="H1754" s="138"/>
      <c r="I1754" s="138"/>
      <c r="J1754" s="138"/>
      <c r="K1754" s="138"/>
      <c r="L1754" s="138"/>
      <c r="M1754" s="138"/>
      <c r="N1754" s="138"/>
      <c r="O1754" s="138"/>
    </row>
    <row r="1755" spans="2:15" x14ac:dyDescent="0.2">
      <c r="B1755" s="138"/>
      <c r="C1755" s="126"/>
      <c r="D1755" s="138"/>
      <c r="E1755" s="138"/>
      <c r="F1755" s="138"/>
      <c r="G1755" s="138"/>
      <c r="H1755" s="138"/>
      <c r="I1755" s="138"/>
      <c r="J1755" s="138"/>
      <c r="K1755" s="138"/>
      <c r="L1755" s="138"/>
      <c r="M1755" s="138"/>
      <c r="N1755" s="138"/>
      <c r="O1755" s="138"/>
    </row>
    <row r="1756" spans="2:15" x14ac:dyDescent="0.2">
      <c r="B1756" s="138"/>
      <c r="C1756" s="126"/>
      <c r="D1756" s="138"/>
      <c r="E1756" s="138"/>
      <c r="F1756" s="138"/>
      <c r="G1756" s="138"/>
      <c r="H1756" s="138"/>
      <c r="I1756" s="138"/>
      <c r="J1756" s="138"/>
      <c r="K1756" s="138"/>
      <c r="L1756" s="138"/>
      <c r="M1756" s="138"/>
      <c r="N1756" s="138"/>
      <c r="O1756" s="138"/>
    </row>
    <row r="1757" spans="2:15" x14ac:dyDescent="0.2">
      <c r="B1757" s="138"/>
      <c r="C1757" s="126"/>
      <c r="D1757" s="138"/>
      <c r="E1757" s="138"/>
      <c r="F1757" s="138"/>
      <c r="G1757" s="138"/>
      <c r="H1757" s="138"/>
      <c r="I1757" s="138"/>
      <c r="J1757" s="138"/>
      <c r="K1757" s="138"/>
      <c r="L1757" s="138"/>
      <c r="M1757" s="138"/>
      <c r="N1757" s="138"/>
      <c r="O1757" s="138"/>
    </row>
    <row r="1758" spans="2:15" x14ac:dyDescent="0.2">
      <c r="B1758" s="138"/>
      <c r="C1758" s="126"/>
      <c r="D1758" s="138"/>
      <c r="E1758" s="138"/>
      <c r="F1758" s="138"/>
      <c r="G1758" s="138"/>
      <c r="H1758" s="138"/>
      <c r="I1758" s="138"/>
      <c r="J1758" s="138"/>
      <c r="K1758" s="138"/>
      <c r="L1758" s="138"/>
      <c r="M1758" s="138"/>
      <c r="N1758" s="138"/>
      <c r="O1758" s="138"/>
    </row>
    <row r="1759" spans="2:15" x14ac:dyDescent="0.2">
      <c r="B1759" s="138"/>
      <c r="C1759" s="126"/>
      <c r="D1759" s="138"/>
      <c r="E1759" s="138"/>
      <c r="F1759" s="138"/>
      <c r="G1759" s="138"/>
      <c r="H1759" s="138"/>
      <c r="I1759" s="138"/>
      <c r="J1759" s="138"/>
      <c r="K1759" s="138"/>
      <c r="L1759" s="138"/>
      <c r="M1759" s="138"/>
      <c r="N1759" s="138"/>
      <c r="O1759" s="138"/>
    </row>
    <row r="1760" spans="2:15" x14ac:dyDescent="0.2">
      <c r="B1760" s="138"/>
      <c r="C1760" s="126"/>
      <c r="D1760" s="138"/>
      <c r="E1760" s="138"/>
      <c r="F1760" s="138"/>
      <c r="G1760" s="138"/>
      <c r="H1760" s="138"/>
      <c r="I1760" s="138"/>
      <c r="J1760" s="138"/>
      <c r="K1760" s="138"/>
      <c r="L1760" s="138"/>
      <c r="M1760" s="138"/>
      <c r="N1760" s="138"/>
      <c r="O1760" s="138"/>
    </row>
    <row r="1761" spans="2:15" x14ac:dyDescent="0.2">
      <c r="B1761" s="138"/>
      <c r="C1761" s="126"/>
      <c r="D1761" s="138"/>
      <c r="E1761" s="138"/>
      <c r="F1761" s="138"/>
      <c r="G1761" s="138"/>
      <c r="H1761" s="138"/>
      <c r="I1761" s="138"/>
      <c r="J1761" s="138"/>
      <c r="K1761" s="138"/>
      <c r="L1761" s="138"/>
      <c r="M1761" s="138"/>
      <c r="N1761" s="138"/>
      <c r="O1761" s="138"/>
    </row>
    <row r="1762" spans="2:15" x14ac:dyDescent="0.2">
      <c r="B1762" s="138"/>
      <c r="C1762" s="126"/>
      <c r="D1762" s="138"/>
      <c r="E1762" s="138"/>
      <c r="F1762" s="138"/>
      <c r="G1762" s="138"/>
      <c r="H1762" s="138"/>
      <c r="I1762" s="138"/>
      <c r="J1762" s="138"/>
      <c r="K1762" s="138"/>
      <c r="L1762" s="138"/>
      <c r="M1762" s="138"/>
      <c r="N1762" s="138"/>
      <c r="O1762" s="138"/>
    </row>
    <row r="1763" spans="2:15" x14ac:dyDescent="0.2">
      <c r="B1763" s="138"/>
      <c r="C1763" s="126"/>
      <c r="D1763" s="138"/>
      <c r="E1763" s="138"/>
      <c r="F1763" s="138"/>
      <c r="G1763" s="138"/>
      <c r="H1763" s="138"/>
      <c r="I1763" s="138"/>
      <c r="J1763" s="138"/>
      <c r="K1763" s="138"/>
      <c r="L1763" s="138"/>
      <c r="M1763" s="138"/>
      <c r="N1763" s="138"/>
      <c r="O1763" s="138"/>
    </row>
    <row r="1764" spans="2:15" x14ac:dyDescent="0.2">
      <c r="B1764" s="138"/>
      <c r="C1764" s="126"/>
      <c r="D1764" s="138"/>
      <c r="E1764" s="138"/>
      <c r="F1764" s="138"/>
      <c r="G1764" s="138"/>
      <c r="H1764" s="138"/>
      <c r="I1764" s="138"/>
      <c r="J1764" s="138"/>
      <c r="K1764" s="138"/>
      <c r="L1764" s="138"/>
      <c r="M1764" s="138"/>
      <c r="N1764" s="138"/>
      <c r="O1764" s="138"/>
    </row>
    <row r="1765" spans="2:15" x14ac:dyDescent="0.2">
      <c r="B1765" s="138"/>
      <c r="C1765" s="126"/>
      <c r="D1765" s="138"/>
      <c r="E1765" s="138"/>
      <c r="F1765" s="138"/>
      <c r="G1765" s="138"/>
      <c r="H1765" s="138"/>
      <c r="I1765" s="138"/>
      <c r="J1765" s="138"/>
      <c r="K1765" s="138"/>
      <c r="L1765" s="138"/>
      <c r="M1765" s="138"/>
      <c r="N1765" s="138"/>
      <c r="O1765" s="138"/>
    </row>
    <row r="1766" spans="2:15" x14ac:dyDescent="0.2">
      <c r="B1766" s="138"/>
      <c r="C1766" s="126"/>
      <c r="D1766" s="138"/>
      <c r="E1766" s="138"/>
      <c r="F1766" s="138"/>
      <c r="G1766" s="138"/>
      <c r="H1766" s="138"/>
      <c r="I1766" s="138"/>
      <c r="J1766" s="138"/>
      <c r="K1766" s="138"/>
      <c r="L1766" s="138"/>
      <c r="M1766" s="138"/>
      <c r="N1766" s="138"/>
      <c r="O1766" s="138"/>
    </row>
    <row r="1767" spans="2:15" x14ac:dyDescent="0.2">
      <c r="B1767" s="138"/>
      <c r="C1767" s="126"/>
      <c r="D1767" s="138"/>
      <c r="E1767" s="138"/>
      <c r="F1767" s="138"/>
      <c r="G1767" s="138"/>
      <c r="H1767" s="138"/>
      <c r="I1767" s="138"/>
      <c r="J1767" s="138"/>
      <c r="K1767" s="138"/>
      <c r="L1767" s="138"/>
      <c r="M1767" s="138"/>
      <c r="N1767" s="138"/>
      <c r="O1767" s="138"/>
    </row>
    <row r="1768" spans="2:15" x14ac:dyDescent="0.2">
      <c r="B1768" s="138"/>
      <c r="C1768" s="126"/>
      <c r="D1768" s="138"/>
      <c r="E1768" s="138"/>
      <c r="F1768" s="138"/>
      <c r="G1768" s="138"/>
      <c r="H1768" s="138"/>
      <c r="I1768" s="138"/>
      <c r="J1768" s="138"/>
      <c r="K1768" s="138"/>
      <c r="L1768" s="138"/>
      <c r="M1768" s="138"/>
      <c r="N1768" s="138"/>
      <c r="O1768" s="138"/>
    </row>
    <row r="1769" spans="2:15" x14ac:dyDescent="0.2">
      <c r="B1769" s="138"/>
      <c r="C1769" s="126"/>
      <c r="D1769" s="138"/>
      <c r="E1769" s="138"/>
      <c r="F1769" s="138"/>
      <c r="G1769" s="138"/>
      <c r="H1769" s="138"/>
      <c r="I1769" s="138"/>
      <c r="J1769" s="138"/>
      <c r="K1769" s="138"/>
      <c r="L1769" s="138"/>
      <c r="M1769" s="138"/>
      <c r="N1769" s="138"/>
      <c r="O1769" s="138"/>
    </row>
    <row r="1770" spans="2:15" x14ac:dyDescent="0.2">
      <c r="B1770" s="138"/>
      <c r="C1770" s="126"/>
      <c r="D1770" s="138"/>
      <c r="E1770" s="138"/>
      <c r="F1770" s="138"/>
      <c r="G1770" s="138"/>
      <c r="H1770" s="138"/>
      <c r="I1770" s="138"/>
      <c r="J1770" s="138"/>
      <c r="K1770" s="138"/>
      <c r="L1770" s="138"/>
      <c r="M1770" s="138"/>
      <c r="N1770" s="138"/>
      <c r="O1770" s="138"/>
    </row>
    <row r="1771" spans="2:15" x14ac:dyDescent="0.2">
      <c r="B1771" s="138"/>
      <c r="C1771" s="126"/>
      <c r="D1771" s="138"/>
      <c r="E1771" s="138"/>
      <c r="F1771" s="138"/>
      <c r="G1771" s="138"/>
      <c r="H1771" s="138"/>
      <c r="I1771" s="138"/>
      <c r="J1771" s="138"/>
      <c r="K1771" s="138"/>
      <c r="L1771" s="138"/>
      <c r="M1771" s="138"/>
      <c r="N1771" s="138"/>
      <c r="O1771" s="138"/>
    </row>
    <row r="1772" spans="2:15" x14ac:dyDescent="0.2">
      <c r="B1772" s="138"/>
      <c r="C1772" s="126"/>
      <c r="D1772" s="138"/>
      <c r="E1772" s="138"/>
      <c r="F1772" s="138"/>
      <c r="G1772" s="138"/>
      <c r="H1772" s="138"/>
      <c r="I1772" s="138"/>
      <c r="J1772" s="138"/>
      <c r="K1772" s="138"/>
      <c r="L1772" s="138"/>
      <c r="M1772" s="138"/>
      <c r="N1772" s="138"/>
      <c r="O1772" s="138"/>
    </row>
    <row r="1773" spans="2:15" x14ac:dyDescent="0.2">
      <c r="B1773" s="138"/>
      <c r="C1773" s="126"/>
      <c r="D1773" s="138"/>
      <c r="E1773" s="138"/>
      <c r="F1773" s="138"/>
      <c r="G1773" s="138"/>
      <c r="H1773" s="138"/>
      <c r="I1773" s="138"/>
      <c r="J1773" s="138"/>
      <c r="K1773" s="138"/>
      <c r="L1773" s="138"/>
      <c r="M1773" s="138"/>
      <c r="N1773" s="138"/>
      <c r="O1773" s="138"/>
    </row>
    <row r="1774" spans="2:15" x14ac:dyDescent="0.2">
      <c r="B1774" s="138"/>
      <c r="C1774" s="126"/>
      <c r="D1774" s="138"/>
      <c r="E1774" s="138"/>
      <c r="F1774" s="138"/>
      <c r="G1774" s="138"/>
      <c r="H1774" s="138"/>
      <c r="I1774" s="138"/>
      <c r="J1774" s="138"/>
      <c r="K1774" s="138"/>
      <c r="L1774" s="138"/>
      <c r="M1774" s="138"/>
      <c r="N1774" s="138"/>
      <c r="O1774" s="138"/>
    </row>
    <row r="1775" spans="2:15" x14ac:dyDescent="0.2">
      <c r="B1775" s="138"/>
      <c r="C1775" s="126"/>
      <c r="D1775" s="138"/>
      <c r="E1775" s="138"/>
      <c r="F1775" s="138"/>
      <c r="G1775" s="138"/>
      <c r="H1775" s="138"/>
      <c r="I1775" s="138"/>
      <c r="J1775" s="138"/>
      <c r="K1775" s="138"/>
      <c r="L1775" s="138"/>
      <c r="M1775" s="138"/>
      <c r="N1775" s="138"/>
      <c r="O1775" s="138"/>
    </row>
    <row r="1776" spans="2:15" x14ac:dyDescent="0.2">
      <c r="B1776" s="138"/>
      <c r="C1776" s="126"/>
      <c r="D1776" s="138"/>
      <c r="E1776" s="138"/>
      <c r="F1776" s="138"/>
      <c r="G1776" s="138"/>
      <c r="H1776" s="138"/>
      <c r="I1776" s="138"/>
      <c r="J1776" s="138"/>
      <c r="K1776" s="138"/>
      <c r="L1776" s="138"/>
      <c r="M1776" s="138"/>
      <c r="N1776" s="138"/>
      <c r="O1776" s="138"/>
    </row>
    <row r="1777" spans="2:15" x14ac:dyDescent="0.2">
      <c r="B1777" s="138"/>
      <c r="C1777" s="126"/>
      <c r="D1777" s="138"/>
      <c r="E1777" s="138"/>
      <c r="F1777" s="138"/>
      <c r="G1777" s="138"/>
      <c r="H1777" s="138"/>
      <c r="I1777" s="138"/>
      <c r="J1777" s="138"/>
      <c r="K1777" s="138"/>
      <c r="L1777" s="138"/>
      <c r="M1777" s="138"/>
      <c r="N1777" s="138"/>
      <c r="O1777" s="138"/>
    </row>
    <row r="1778" spans="2:15" x14ac:dyDescent="0.2">
      <c r="B1778" s="138"/>
      <c r="C1778" s="126"/>
      <c r="D1778" s="138"/>
      <c r="E1778" s="138"/>
      <c r="F1778" s="138"/>
      <c r="G1778" s="138"/>
      <c r="H1778" s="138"/>
      <c r="I1778" s="138"/>
      <c r="J1778" s="138"/>
      <c r="K1778" s="138"/>
      <c r="L1778" s="138"/>
      <c r="M1778" s="138"/>
      <c r="N1778" s="138"/>
      <c r="O1778" s="138"/>
    </row>
    <row r="1779" spans="2:15" x14ac:dyDescent="0.2">
      <c r="B1779" s="138"/>
      <c r="C1779" s="126"/>
      <c r="D1779" s="138"/>
      <c r="E1779" s="138"/>
      <c r="F1779" s="138"/>
      <c r="G1779" s="138"/>
      <c r="H1779" s="138"/>
      <c r="I1779" s="138"/>
      <c r="J1779" s="138"/>
      <c r="K1779" s="138"/>
      <c r="L1779" s="138"/>
      <c r="M1779" s="138"/>
      <c r="N1779" s="138"/>
      <c r="O1779" s="138"/>
    </row>
    <row r="1780" spans="2:15" x14ac:dyDescent="0.2">
      <c r="B1780" s="138"/>
      <c r="C1780" s="126"/>
      <c r="D1780" s="138"/>
      <c r="E1780" s="138"/>
      <c r="F1780" s="138"/>
      <c r="G1780" s="138"/>
      <c r="H1780" s="138"/>
      <c r="I1780" s="138"/>
      <c r="J1780" s="138"/>
      <c r="K1780" s="138"/>
      <c r="L1780" s="138"/>
      <c r="M1780" s="138"/>
      <c r="N1780" s="138"/>
      <c r="O1780" s="138"/>
    </row>
    <row r="1781" spans="2:15" x14ac:dyDescent="0.2">
      <c r="B1781" s="138"/>
      <c r="C1781" s="126"/>
      <c r="D1781" s="138"/>
      <c r="E1781" s="138"/>
      <c r="F1781" s="138"/>
      <c r="G1781" s="138"/>
      <c r="H1781" s="138"/>
      <c r="I1781" s="138"/>
      <c r="J1781" s="138"/>
      <c r="K1781" s="138"/>
      <c r="L1781" s="138"/>
      <c r="M1781" s="138"/>
      <c r="N1781" s="138"/>
      <c r="O1781" s="138"/>
    </row>
    <row r="1782" spans="2:15" x14ac:dyDescent="0.2">
      <c r="B1782" s="138"/>
      <c r="C1782" s="126"/>
      <c r="D1782" s="138"/>
      <c r="E1782" s="138"/>
      <c r="F1782" s="138"/>
      <c r="G1782" s="138"/>
      <c r="H1782" s="138"/>
      <c r="I1782" s="138"/>
      <c r="J1782" s="138"/>
      <c r="K1782" s="138"/>
      <c r="L1782" s="138"/>
      <c r="M1782" s="138"/>
      <c r="N1782" s="138"/>
      <c r="O1782" s="138"/>
    </row>
    <row r="1783" spans="2:15" x14ac:dyDescent="0.2">
      <c r="B1783" s="138"/>
      <c r="C1783" s="126"/>
      <c r="D1783" s="138"/>
      <c r="E1783" s="138"/>
      <c r="F1783" s="138"/>
      <c r="G1783" s="138"/>
      <c r="H1783" s="138"/>
      <c r="I1783" s="138"/>
      <c r="J1783" s="138"/>
      <c r="K1783" s="138"/>
      <c r="L1783" s="138"/>
      <c r="M1783" s="138"/>
      <c r="N1783" s="138"/>
      <c r="O1783" s="138"/>
    </row>
    <row r="1784" spans="2:15" x14ac:dyDescent="0.2">
      <c r="B1784" s="138"/>
      <c r="C1784" s="126"/>
      <c r="D1784" s="138"/>
      <c r="E1784" s="138"/>
      <c r="F1784" s="138"/>
      <c r="G1784" s="138"/>
      <c r="H1784" s="138"/>
      <c r="I1784" s="138"/>
      <c r="J1784" s="138"/>
      <c r="K1784" s="138"/>
      <c r="L1784" s="138"/>
      <c r="M1784" s="138"/>
      <c r="N1784" s="138"/>
      <c r="O1784" s="138"/>
    </row>
    <row r="1785" spans="2:15" x14ac:dyDescent="0.2">
      <c r="B1785" s="138"/>
      <c r="C1785" s="126"/>
      <c r="D1785" s="138"/>
      <c r="E1785" s="138"/>
      <c r="F1785" s="138"/>
      <c r="G1785" s="138"/>
      <c r="H1785" s="138"/>
      <c r="I1785" s="138"/>
      <c r="J1785" s="138"/>
      <c r="K1785" s="138"/>
      <c r="L1785" s="138"/>
      <c r="M1785" s="138"/>
      <c r="N1785" s="138"/>
      <c r="O1785" s="138"/>
    </row>
    <row r="1786" spans="2:15" x14ac:dyDescent="0.2">
      <c r="B1786" s="138"/>
      <c r="C1786" s="126"/>
      <c r="D1786" s="138"/>
      <c r="E1786" s="138"/>
      <c r="F1786" s="138"/>
      <c r="G1786" s="138"/>
      <c r="H1786" s="138"/>
      <c r="I1786" s="138"/>
      <c r="J1786" s="138"/>
      <c r="K1786" s="138"/>
      <c r="L1786" s="138"/>
      <c r="M1786" s="138"/>
      <c r="N1786" s="138"/>
      <c r="O1786" s="138"/>
    </row>
    <row r="1787" spans="2:15" x14ac:dyDescent="0.2">
      <c r="B1787" s="138"/>
      <c r="C1787" s="126"/>
      <c r="D1787" s="138"/>
      <c r="E1787" s="138"/>
      <c r="F1787" s="138"/>
      <c r="G1787" s="138"/>
      <c r="H1787" s="138"/>
      <c r="I1787" s="138"/>
      <c r="J1787" s="138"/>
      <c r="K1787" s="138"/>
      <c r="L1787" s="138"/>
      <c r="M1787" s="138"/>
      <c r="N1787" s="138"/>
      <c r="O1787" s="138"/>
    </row>
    <row r="1788" spans="2:15" x14ac:dyDescent="0.2">
      <c r="B1788" s="138"/>
      <c r="C1788" s="126"/>
      <c r="D1788" s="138"/>
      <c r="E1788" s="138"/>
      <c r="F1788" s="138"/>
      <c r="G1788" s="138"/>
      <c r="H1788" s="138"/>
      <c r="I1788" s="138"/>
      <c r="J1788" s="138"/>
      <c r="K1788" s="138"/>
      <c r="L1788" s="138"/>
      <c r="M1788" s="138"/>
      <c r="N1788" s="138"/>
      <c r="O1788" s="138"/>
    </row>
    <row r="1789" spans="2:15" x14ac:dyDescent="0.2">
      <c r="B1789" s="138"/>
      <c r="C1789" s="126"/>
      <c r="D1789" s="138"/>
      <c r="E1789" s="138"/>
      <c r="F1789" s="138"/>
      <c r="G1789" s="138"/>
      <c r="H1789" s="138"/>
      <c r="I1789" s="138"/>
      <c r="J1789" s="138"/>
      <c r="K1789" s="138"/>
      <c r="L1789" s="138"/>
      <c r="M1789" s="138"/>
      <c r="N1789" s="138"/>
      <c r="O1789" s="138"/>
    </row>
    <row r="1790" spans="2:15" x14ac:dyDescent="0.2">
      <c r="B1790" s="138"/>
      <c r="C1790" s="126"/>
      <c r="D1790" s="138"/>
      <c r="E1790" s="138"/>
      <c r="F1790" s="138"/>
      <c r="G1790" s="138"/>
      <c r="H1790" s="138"/>
      <c r="I1790" s="138"/>
      <c r="J1790" s="138"/>
      <c r="K1790" s="138"/>
      <c r="L1790" s="138"/>
      <c r="M1790" s="138"/>
      <c r="N1790" s="138"/>
      <c r="O1790" s="138"/>
    </row>
    <row r="1791" spans="2:15" x14ac:dyDescent="0.2">
      <c r="B1791" s="138"/>
      <c r="C1791" s="126"/>
      <c r="D1791" s="138"/>
      <c r="E1791" s="138"/>
      <c r="F1791" s="138"/>
      <c r="G1791" s="138"/>
      <c r="H1791" s="138"/>
      <c r="I1791" s="138"/>
      <c r="J1791" s="138"/>
      <c r="K1791" s="138"/>
      <c r="L1791" s="138"/>
      <c r="M1791" s="138"/>
      <c r="N1791" s="138"/>
      <c r="O1791" s="138"/>
    </row>
    <row r="1792" spans="2:15" x14ac:dyDescent="0.2">
      <c r="B1792" s="138"/>
      <c r="C1792" s="126"/>
      <c r="D1792" s="138"/>
      <c r="E1792" s="138"/>
      <c r="F1792" s="138"/>
      <c r="G1792" s="138"/>
      <c r="H1792" s="138"/>
      <c r="I1792" s="138"/>
      <c r="J1792" s="138"/>
      <c r="K1792" s="138"/>
      <c r="L1792" s="138"/>
      <c r="M1792" s="138"/>
      <c r="N1792" s="138"/>
      <c r="O1792" s="138"/>
    </row>
    <row r="1793" spans="2:15" x14ac:dyDescent="0.2">
      <c r="B1793" s="138"/>
      <c r="C1793" s="126"/>
      <c r="D1793" s="138"/>
      <c r="E1793" s="138"/>
      <c r="F1793" s="138"/>
      <c r="G1793" s="138"/>
      <c r="H1793" s="138"/>
      <c r="I1793" s="138"/>
      <c r="J1793" s="138"/>
      <c r="K1793" s="138"/>
      <c r="L1793" s="138"/>
      <c r="M1793" s="138"/>
      <c r="N1793" s="138"/>
      <c r="O1793" s="138"/>
    </row>
    <row r="1794" spans="2:15" x14ac:dyDescent="0.2">
      <c r="B1794" s="138"/>
      <c r="C1794" s="126"/>
      <c r="D1794" s="138"/>
      <c r="E1794" s="138"/>
      <c r="F1794" s="138"/>
      <c r="G1794" s="138"/>
      <c r="H1794" s="138"/>
      <c r="I1794" s="138"/>
      <c r="J1794" s="138"/>
      <c r="K1794" s="138"/>
      <c r="L1794" s="138"/>
      <c r="M1794" s="138"/>
      <c r="N1794" s="138"/>
      <c r="O1794" s="138"/>
    </row>
    <row r="1795" spans="2:15" x14ac:dyDescent="0.2">
      <c r="B1795" s="138"/>
      <c r="C1795" s="126"/>
      <c r="D1795" s="138"/>
      <c r="E1795" s="138"/>
      <c r="F1795" s="138"/>
      <c r="G1795" s="138"/>
      <c r="H1795" s="138"/>
      <c r="I1795" s="138"/>
      <c r="J1795" s="138"/>
      <c r="K1795" s="138"/>
      <c r="L1795" s="138"/>
      <c r="M1795" s="138"/>
      <c r="N1795" s="138"/>
      <c r="O1795" s="138"/>
    </row>
    <row r="1796" spans="2:15" x14ac:dyDescent="0.2">
      <c r="B1796" s="138"/>
      <c r="C1796" s="126"/>
      <c r="D1796" s="138"/>
      <c r="E1796" s="138"/>
      <c r="F1796" s="138"/>
      <c r="G1796" s="138"/>
      <c r="H1796" s="138"/>
      <c r="I1796" s="138"/>
      <c r="J1796" s="138"/>
      <c r="K1796" s="138"/>
      <c r="L1796" s="138"/>
      <c r="M1796" s="138"/>
      <c r="N1796" s="138"/>
      <c r="O1796" s="138"/>
    </row>
    <row r="1797" spans="2:15" x14ac:dyDescent="0.2">
      <c r="B1797" s="138"/>
      <c r="C1797" s="126"/>
      <c r="D1797" s="138"/>
      <c r="E1797" s="138"/>
      <c r="F1797" s="138"/>
      <c r="G1797" s="138"/>
      <c r="H1797" s="138"/>
      <c r="I1797" s="138"/>
      <c r="J1797" s="138"/>
      <c r="K1797" s="138"/>
      <c r="L1797" s="138"/>
      <c r="M1797" s="138"/>
      <c r="N1797" s="138"/>
      <c r="O1797" s="138"/>
    </row>
    <row r="1798" spans="2:15" x14ac:dyDescent="0.2">
      <c r="B1798" s="138"/>
      <c r="C1798" s="126"/>
      <c r="D1798" s="138"/>
      <c r="E1798" s="138"/>
      <c r="F1798" s="138"/>
      <c r="G1798" s="138"/>
      <c r="H1798" s="138"/>
      <c r="I1798" s="138"/>
      <c r="J1798" s="138"/>
      <c r="K1798" s="138"/>
      <c r="L1798" s="138"/>
      <c r="M1798" s="138"/>
      <c r="N1798" s="138"/>
      <c r="O1798" s="138"/>
    </row>
    <row r="1799" spans="2:15" x14ac:dyDescent="0.2">
      <c r="B1799" s="138"/>
      <c r="C1799" s="126"/>
      <c r="D1799" s="138"/>
      <c r="E1799" s="138"/>
      <c r="F1799" s="138"/>
      <c r="G1799" s="138"/>
      <c r="H1799" s="138"/>
      <c r="I1799" s="138"/>
      <c r="J1799" s="138"/>
      <c r="K1799" s="138"/>
      <c r="L1799" s="138"/>
      <c r="M1799" s="138"/>
      <c r="N1799" s="138"/>
      <c r="O1799" s="138"/>
    </row>
    <row r="1800" spans="2:15" x14ac:dyDescent="0.2">
      <c r="B1800" s="138"/>
      <c r="C1800" s="126"/>
      <c r="D1800" s="138"/>
      <c r="E1800" s="138"/>
      <c r="F1800" s="138"/>
      <c r="G1800" s="138"/>
      <c r="H1800" s="138"/>
      <c r="I1800" s="138"/>
      <c r="J1800" s="138"/>
      <c r="K1800" s="138"/>
      <c r="L1800" s="138"/>
      <c r="M1800" s="138"/>
      <c r="N1800" s="138"/>
      <c r="O1800" s="138"/>
    </row>
    <row r="1801" spans="2:15" x14ac:dyDescent="0.2">
      <c r="B1801" s="138"/>
      <c r="C1801" s="126"/>
      <c r="D1801" s="138"/>
      <c r="E1801" s="138"/>
      <c r="F1801" s="138"/>
      <c r="G1801" s="138"/>
      <c r="H1801" s="138"/>
      <c r="I1801" s="138"/>
      <c r="J1801" s="138"/>
      <c r="K1801" s="138"/>
      <c r="L1801" s="138"/>
      <c r="M1801" s="138"/>
      <c r="N1801" s="138"/>
      <c r="O1801" s="138"/>
    </row>
    <row r="1802" spans="2:15" x14ac:dyDescent="0.2">
      <c r="B1802" s="138"/>
      <c r="C1802" s="126"/>
      <c r="D1802" s="138"/>
      <c r="E1802" s="138"/>
      <c r="F1802" s="138"/>
      <c r="G1802" s="138"/>
      <c r="H1802" s="138"/>
      <c r="I1802" s="138"/>
      <c r="J1802" s="138"/>
      <c r="K1802" s="138"/>
      <c r="L1802" s="138"/>
      <c r="M1802" s="138"/>
      <c r="N1802" s="138"/>
      <c r="O1802" s="138"/>
    </row>
    <row r="1803" spans="2:15" x14ac:dyDescent="0.2">
      <c r="B1803" s="138"/>
      <c r="C1803" s="126"/>
      <c r="D1803" s="138"/>
      <c r="E1803" s="138"/>
      <c r="F1803" s="138"/>
      <c r="G1803" s="138"/>
      <c r="H1803" s="138"/>
      <c r="I1803" s="138"/>
      <c r="J1803" s="138"/>
      <c r="K1803" s="138"/>
      <c r="L1803" s="138"/>
      <c r="M1803" s="138"/>
      <c r="N1803" s="138"/>
      <c r="O1803" s="138"/>
    </row>
    <row r="1804" spans="2:15" x14ac:dyDescent="0.2">
      <c r="B1804" s="138"/>
      <c r="C1804" s="126"/>
      <c r="D1804" s="138"/>
      <c r="E1804" s="138"/>
      <c r="F1804" s="138"/>
      <c r="G1804" s="138"/>
      <c r="H1804" s="138"/>
      <c r="I1804" s="138"/>
      <c r="J1804" s="138"/>
      <c r="K1804" s="138"/>
      <c r="L1804" s="138"/>
      <c r="M1804" s="138"/>
      <c r="N1804" s="138"/>
      <c r="O1804" s="138"/>
    </row>
    <row r="1805" spans="2:15" x14ac:dyDescent="0.2">
      <c r="B1805" s="138"/>
      <c r="C1805" s="126"/>
      <c r="D1805" s="138"/>
      <c r="E1805" s="138"/>
      <c r="F1805" s="138"/>
      <c r="G1805" s="138"/>
      <c r="H1805" s="138"/>
      <c r="I1805" s="138"/>
      <c r="J1805" s="138"/>
      <c r="K1805" s="138"/>
      <c r="L1805" s="138"/>
      <c r="M1805" s="138"/>
      <c r="N1805" s="138"/>
      <c r="O1805" s="138"/>
    </row>
    <row r="1806" spans="2:15" x14ac:dyDescent="0.2">
      <c r="B1806" s="138"/>
      <c r="C1806" s="126"/>
      <c r="D1806" s="138"/>
      <c r="E1806" s="138"/>
      <c r="F1806" s="138"/>
      <c r="G1806" s="138"/>
      <c r="H1806" s="138"/>
      <c r="I1806" s="138"/>
      <c r="J1806" s="138"/>
      <c r="K1806" s="138"/>
      <c r="L1806" s="138"/>
      <c r="M1806" s="138"/>
      <c r="N1806" s="138"/>
      <c r="O1806" s="138"/>
    </row>
    <row r="1807" spans="2:15" x14ac:dyDescent="0.2">
      <c r="B1807" s="138"/>
      <c r="C1807" s="126"/>
      <c r="D1807" s="138"/>
      <c r="E1807" s="138"/>
      <c r="F1807" s="138"/>
      <c r="G1807" s="138"/>
      <c r="H1807" s="138"/>
      <c r="I1807" s="138"/>
      <c r="J1807" s="138"/>
      <c r="K1807" s="138"/>
      <c r="L1807" s="138"/>
      <c r="M1807" s="138"/>
      <c r="N1807" s="138"/>
      <c r="O1807" s="138"/>
    </row>
    <row r="1808" spans="2:15" x14ac:dyDescent="0.2">
      <c r="B1808" s="138"/>
      <c r="C1808" s="126"/>
      <c r="D1808" s="138"/>
      <c r="E1808" s="138"/>
      <c r="F1808" s="138"/>
      <c r="G1808" s="138"/>
      <c r="H1808" s="138"/>
      <c r="I1808" s="138"/>
      <c r="J1808" s="138"/>
      <c r="K1808" s="138"/>
      <c r="L1808" s="138"/>
      <c r="M1808" s="138"/>
      <c r="N1808" s="138"/>
      <c r="O1808" s="138"/>
    </row>
    <row r="1809" spans="2:15" x14ac:dyDescent="0.2">
      <c r="B1809" s="138"/>
      <c r="C1809" s="126"/>
      <c r="D1809" s="138"/>
      <c r="E1809" s="138"/>
      <c r="F1809" s="138"/>
      <c r="G1809" s="138"/>
      <c r="H1809" s="138"/>
      <c r="I1809" s="138"/>
      <c r="J1809" s="138"/>
      <c r="K1809" s="138"/>
      <c r="L1809" s="138"/>
      <c r="M1809" s="138"/>
      <c r="N1809" s="138"/>
      <c r="O1809" s="138"/>
    </row>
    <row r="1810" spans="2:15" x14ac:dyDescent="0.2">
      <c r="B1810" s="138"/>
      <c r="C1810" s="126"/>
      <c r="D1810" s="138"/>
      <c r="E1810" s="138"/>
      <c r="F1810" s="138"/>
      <c r="G1810" s="138"/>
      <c r="H1810" s="138"/>
      <c r="I1810" s="138"/>
      <c r="J1810" s="138"/>
      <c r="K1810" s="138"/>
      <c r="L1810" s="138"/>
      <c r="M1810" s="138"/>
      <c r="N1810" s="138"/>
      <c r="O1810" s="138"/>
    </row>
    <row r="1811" spans="2:15" x14ac:dyDescent="0.2">
      <c r="B1811" s="138"/>
      <c r="C1811" s="126"/>
      <c r="D1811" s="138"/>
      <c r="E1811" s="138"/>
      <c r="F1811" s="138"/>
      <c r="G1811" s="138"/>
      <c r="H1811" s="138"/>
      <c r="I1811" s="138"/>
      <c r="J1811" s="138"/>
      <c r="K1811" s="138"/>
      <c r="L1811" s="138"/>
      <c r="M1811" s="138"/>
      <c r="N1811" s="138"/>
      <c r="O1811" s="138"/>
    </row>
    <row r="1812" spans="2:15" x14ac:dyDescent="0.2">
      <c r="B1812" s="138"/>
      <c r="C1812" s="126"/>
      <c r="D1812" s="138"/>
      <c r="E1812" s="138"/>
      <c r="F1812" s="138"/>
      <c r="G1812" s="138"/>
      <c r="H1812" s="138"/>
      <c r="I1812" s="138"/>
      <c r="J1812" s="138"/>
      <c r="K1812" s="138"/>
      <c r="L1812" s="138"/>
      <c r="M1812" s="138"/>
      <c r="N1812" s="138"/>
      <c r="O1812" s="138"/>
    </row>
    <row r="1813" spans="2:15" x14ac:dyDescent="0.2">
      <c r="B1813" s="138"/>
      <c r="C1813" s="126"/>
      <c r="D1813" s="138"/>
      <c r="E1813" s="138"/>
      <c r="F1813" s="138"/>
      <c r="G1813" s="138"/>
      <c r="H1813" s="138"/>
      <c r="I1813" s="138"/>
      <c r="J1813" s="138"/>
      <c r="K1813" s="138"/>
      <c r="L1813" s="138"/>
      <c r="M1813" s="138"/>
      <c r="N1813" s="138"/>
      <c r="O1813" s="138"/>
    </row>
    <row r="1814" spans="2:15" x14ac:dyDescent="0.2">
      <c r="B1814" s="138"/>
      <c r="C1814" s="126"/>
      <c r="D1814" s="138"/>
      <c r="E1814" s="138"/>
      <c r="F1814" s="138"/>
      <c r="G1814" s="138"/>
      <c r="H1814" s="138"/>
      <c r="I1814" s="138"/>
      <c r="J1814" s="138"/>
      <c r="K1814" s="138"/>
      <c r="L1814" s="138"/>
      <c r="M1814" s="138"/>
      <c r="N1814" s="138"/>
      <c r="O1814" s="138"/>
    </row>
    <row r="1815" spans="2:15" x14ac:dyDescent="0.2">
      <c r="B1815" s="138"/>
      <c r="C1815" s="126"/>
      <c r="D1815" s="138"/>
      <c r="E1815" s="138"/>
      <c r="F1815" s="138"/>
      <c r="G1815" s="138"/>
      <c r="H1815" s="138"/>
      <c r="I1815" s="138"/>
      <c r="J1815" s="138"/>
      <c r="K1815" s="138"/>
      <c r="L1815" s="138"/>
      <c r="M1815" s="138"/>
      <c r="N1815" s="138"/>
      <c r="O1815" s="138"/>
    </row>
    <row r="1816" spans="2:15" x14ac:dyDescent="0.2">
      <c r="B1816" s="138"/>
      <c r="C1816" s="126"/>
      <c r="D1816" s="138"/>
      <c r="E1816" s="138"/>
      <c r="F1816" s="138"/>
      <c r="G1816" s="138"/>
      <c r="H1816" s="138"/>
      <c r="I1816" s="138"/>
      <c r="J1816" s="138"/>
      <c r="K1816" s="138"/>
      <c r="L1816" s="138"/>
      <c r="M1816" s="138"/>
      <c r="N1816" s="138"/>
      <c r="O1816" s="138"/>
    </row>
    <row r="1817" spans="2:15" x14ac:dyDescent="0.2">
      <c r="B1817" s="138"/>
      <c r="C1817" s="126"/>
      <c r="D1817" s="138"/>
      <c r="E1817" s="138"/>
      <c r="F1817" s="138"/>
      <c r="G1817" s="138"/>
      <c r="H1817" s="138"/>
      <c r="I1817" s="138"/>
      <c r="J1817" s="138"/>
      <c r="K1817" s="138"/>
      <c r="L1817" s="138"/>
      <c r="M1817" s="138"/>
      <c r="N1817" s="138"/>
      <c r="O1817" s="138"/>
    </row>
    <row r="1818" spans="2:15" x14ac:dyDescent="0.2">
      <c r="B1818" s="138"/>
      <c r="C1818" s="126"/>
      <c r="D1818" s="138"/>
      <c r="E1818" s="138"/>
      <c r="F1818" s="138"/>
      <c r="G1818" s="138"/>
      <c r="H1818" s="138"/>
      <c r="I1818" s="138"/>
      <c r="J1818" s="138"/>
      <c r="K1818" s="138"/>
      <c r="L1818" s="138"/>
      <c r="M1818" s="138"/>
      <c r="N1818" s="138"/>
      <c r="O1818" s="138"/>
    </row>
    <row r="1819" spans="2:15" x14ac:dyDescent="0.2">
      <c r="B1819" s="138"/>
      <c r="C1819" s="126"/>
      <c r="D1819" s="138"/>
      <c r="E1819" s="138"/>
      <c r="F1819" s="138"/>
      <c r="G1819" s="138"/>
      <c r="H1819" s="138"/>
      <c r="I1819" s="138"/>
      <c r="J1819" s="138"/>
      <c r="K1819" s="138"/>
      <c r="L1819" s="138"/>
      <c r="M1819" s="138"/>
      <c r="N1819" s="138"/>
      <c r="O1819" s="138"/>
    </row>
    <row r="1820" spans="2:15" x14ac:dyDescent="0.2">
      <c r="B1820" s="138"/>
      <c r="C1820" s="126"/>
      <c r="D1820" s="138"/>
      <c r="E1820" s="138"/>
      <c r="F1820" s="138"/>
      <c r="G1820" s="138"/>
      <c r="H1820" s="138"/>
      <c r="I1820" s="138"/>
      <c r="J1820" s="138"/>
      <c r="K1820" s="138"/>
      <c r="L1820" s="138"/>
      <c r="M1820" s="138"/>
      <c r="N1820" s="138"/>
      <c r="O1820" s="138"/>
    </row>
    <row r="1821" spans="2:15" x14ac:dyDescent="0.2">
      <c r="B1821" s="138"/>
      <c r="C1821" s="126"/>
      <c r="D1821" s="138"/>
      <c r="E1821" s="138"/>
      <c r="F1821" s="138"/>
      <c r="G1821" s="138"/>
      <c r="H1821" s="138"/>
      <c r="I1821" s="138"/>
      <c r="J1821" s="138"/>
      <c r="K1821" s="138"/>
      <c r="L1821" s="138"/>
      <c r="M1821" s="138"/>
      <c r="N1821" s="138"/>
      <c r="O1821" s="138"/>
    </row>
    <row r="1822" spans="2:15" x14ac:dyDescent="0.2">
      <c r="B1822" s="138"/>
      <c r="C1822" s="126"/>
      <c r="D1822" s="138"/>
      <c r="E1822" s="138"/>
      <c r="F1822" s="138"/>
      <c r="G1822" s="138"/>
      <c r="H1822" s="138"/>
      <c r="I1822" s="138"/>
      <c r="J1822" s="138"/>
      <c r="K1822" s="138"/>
      <c r="L1822" s="138"/>
      <c r="M1822" s="138"/>
      <c r="N1822" s="138"/>
      <c r="O1822" s="138"/>
    </row>
    <row r="1823" spans="2:15" x14ac:dyDescent="0.2">
      <c r="B1823" s="138"/>
      <c r="C1823" s="126"/>
      <c r="D1823" s="138"/>
      <c r="E1823" s="138"/>
      <c r="F1823" s="138"/>
      <c r="G1823" s="138"/>
      <c r="H1823" s="138"/>
      <c r="I1823" s="138"/>
      <c r="J1823" s="138"/>
      <c r="K1823" s="138"/>
      <c r="L1823" s="138"/>
      <c r="M1823" s="138"/>
      <c r="N1823" s="138"/>
      <c r="O1823" s="138"/>
    </row>
    <row r="1824" spans="2:15" x14ac:dyDescent="0.2">
      <c r="B1824" s="138"/>
      <c r="C1824" s="126"/>
      <c r="D1824" s="138"/>
      <c r="E1824" s="138"/>
      <c r="F1824" s="138"/>
      <c r="G1824" s="138"/>
      <c r="H1824" s="138"/>
      <c r="I1824" s="138"/>
      <c r="J1824" s="138"/>
      <c r="K1824" s="138"/>
      <c r="L1824" s="138"/>
      <c r="M1824" s="138"/>
      <c r="N1824" s="138"/>
      <c r="O1824" s="138"/>
    </row>
    <row r="1825" spans="2:15" x14ac:dyDescent="0.2">
      <c r="B1825" s="138"/>
      <c r="C1825" s="126"/>
      <c r="D1825" s="138"/>
      <c r="E1825" s="138"/>
      <c r="F1825" s="138"/>
      <c r="G1825" s="138"/>
      <c r="H1825" s="138"/>
      <c r="I1825" s="138"/>
      <c r="J1825" s="138"/>
      <c r="K1825" s="138"/>
      <c r="L1825" s="138"/>
      <c r="M1825" s="138"/>
      <c r="N1825" s="138"/>
      <c r="O1825" s="138"/>
    </row>
    <row r="1826" spans="2:15" x14ac:dyDescent="0.2">
      <c r="B1826" s="138"/>
      <c r="C1826" s="126"/>
      <c r="D1826" s="138"/>
      <c r="E1826" s="138"/>
      <c r="F1826" s="138"/>
      <c r="G1826" s="138"/>
      <c r="H1826" s="138"/>
      <c r="I1826" s="138"/>
      <c r="J1826" s="138"/>
      <c r="K1826" s="138"/>
      <c r="L1826" s="138"/>
      <c r="M1826" s="138"/>
      <c r="N1826" s="138"/>
      <c r="O1826" s="138"/>
    </row>
    <row r="1827" spans="2:15" x14ac:dyDescent="0.2">
      <c r="B1827" s="138"/>
      <c r="C1827" s="126"/>
      <c r="D1827" s="138"/>
      <c r="E1827" s="138"/>
      <c r="F1827" s="138"/>
      <c r="G1827" s="138"/>
      <c r="H1827" s="138"/>
      <c r="I1827" s="138"/>
      <c r="J1827" s="138"/>
      <c r="K1827" s="138"/>
      <c r="L1827" s="138"/>
      <c r="M1827" s="138"/>
      <c r="N1827" s="138"/>
      <c r="O1827" s="138"/>
    </row>
    <row r="1828" spans="2:15" x14ac:dyDescent="0.2">
      <c r="B1828" s="138"/>
      <c r="C1828" s="126"/>
      <c r="D1828" s="138"/>
      <c r="E1828" s="138"/>
      <c r="F1828" s="138"/>
      <c r="G1828" s="138"/>
      <c r="H1828" s="138"/>
      <c r="I1828" s="138"/>
      <c r="J1828" s="138"/>
      <c r="K1828" s="138"/>
      <c r="L1828" s="138"/>
      <c r="M1828" s="138"/>
      <c r="N1828" s="138"/>
      <c r="O1828" s="138"/>
    </row>
    <row r="1829" spans="2:15" x14ac:dyDescent="0.2">
      <c r="B1829" s="138"/>
      <c r="C1829" s="126"/>
      <c r="D1829" s="138"/>
      <c r="E1829" s="138"/>
      <c r="F1829" s="138"/>
      <c r="G1829" s="138"/>
      <c r="H1829" s="138"/>
      <c r="I1829" s="138"/>
      <c r="J1829" s="138"/>
      <c r="K1829" s="138"/>
      <c r="L1829" s="138"/>
      <c r="M1829" s="138"/>
      <c r="N1829" s="138"/>
      <c r="O1829" s="138"/>
    </row>
    <row r="1830" spans="2:15" x14ac:dyDescent="0.2">
      <c r="B1830" s="138"/>
      <c r="C1830" s="126"/>
      <c r="D1830" s="138"/>
      <c r="E1830" s="138"/>
      <c r="F1830" s="138"/>
      <c r="G1830" s="138"/>
      <c r="H1830" s="138"/>
      <c r="I1830" s="138"/>
      <c r="J1830" s="138"/>
      <c r="K1830" s="138"/>
      <c r="L1830" s="138"/>
      <c r="M1830" s="138"/>
      <c r="N1830" s="138"/>
      <c r="O1830" s="138"/>
    </row>
    <row r="1831" spans="2:15" x14ac:dyDescent="0.2">
      <c r="B1831" s="138"/>
      <c r="C1831" s="126"/>
      <c r="D1831" s="138"/>
      <c r="E1831" s="138"/>
      <c r="F1831" s="138"/>
      <c r="G1831" s="138"/>
      <c r="H1831" s="138"/>
      <c r="I1831" s="138"/>
      <c r="J1831" s="138"/>
      <c r="K1831" s="138"/>
      <c r="L1831" s="138"/>
      <c r="M1831" s="138"/>
      <c r="N1831" s="138"/>
      <c r="O1831" s="138"/>
    </row>
    <row r="1832" spans="2:15" x14ac:dyDescent="0.2">
      <c r="B1832" s="138"/>
      <c r="C1832" s="126"/>
      <c r="D1832" s="138"/>
      <c r="E1832" s="138"/>
      <c r="F1832" s="138"/>
      <c r="G1832" s="138"/>
      <c r="H1832" s="138"/>
      <c r="I1832" s="138"/>
      <c r="J1832" s="138"/>
      <c r="K1832" s="138"/>
      <c r="L1832" s="138"/>
      <c r="M1832" s="138"/>
      <c r="N1832" s="138"/>
      <c r="O1832" s="138"/>
    </row>
    <row r="1833" spans="2:15" x14ac:dyDescent="0.2">
      <c r="B1833" s="138"/>
      <c r="C1833" s="126"/>
      <c r="D1833" s="138"/>
      <c r="E1833" s="138"/>
      <c r="F1833" s="138"/>
      <c r="G1833" s="138"/>
      <c r="H1833" s="138"/>
      <c r="I1833" s="138"/>
      <c r="J1833" s="138"/>
      <c r="K1833" s="138"/>
      <c r="L1833" s="138"/>
      <c r="M1833" s="138"/>
      <c r="N1833" s="138"/>
      <c r="O1833" s="138"/>
    </row>
    <row r="1834" spans="2:15" x14ac:dyDescent="0.2">
      <c r="B1834" s="138"/>
      <c r="C1834" s="126"/>
      <c r="D1834" s="138"/>
      <c r="E1834" s="138"/>
      <c r="F1834" s="138"/>
      <c r="G1834" s="138"/>
      <c r="H1834" s="138"/>
      <c r="I1834" s="138"/>
      <c r="J1834" s="138"/>
      <c r="K1834" s="138"/>
      <c r="L1834" s="138"/>
      <c r="M1834" s="138"/>
      <c r="N1834" s="138"/>
      <c r="O1834" s="138"/>
    </row>
    <row r="1835" spans="2:15" x14ac:dyDescent="0.2">
      <c r="B1835" s="138"/>
      <c r="C1835" s="126"/>
      <c r="D1835" s="138"/>
      <c r="E1835" s="138"/>
      <c r="F1835" s="138"/>
      <c r="G1835" s="138"/>
      <c r="H1835" s="138"/>
      <c r="I1835" s="138"/>
      <c r="J1835" s="138"/>
      <c r="K1835" s="138"/>
      <c r="L1835" s="138"/>
      <c r="M1835" s="138"/>
      <c r="N1835" s="138"/>
      <c r="O1835" s="138"/>
    </row>
    <row r="1836" spans="2:15" x14ac:dyDescent="0.2">
      <c r="B1836" s="138"/>
      <c r="C1836" s="126"/>
      <c r="D1836" s="138"/>
      <c r="E1836" s="138"/>
      <c r="F1836" s="138"/>
      <c r="G1836" s="138"/>
      <c r="H1836" s="138"/>
      <c r="I1836" s="138"/>
      <c r="J1836" s="138"/>
      <c r="K1836" s="138"/>
      <c r="L1836" s="138"/>
      <c r="M1836" s="138"/>
      <c r="N1836" s="138"/>
      <c r="O1836" s="138"/>
    </row>
    <row r="1837" spans="2:15" x14ac:dyDescent="0.2">
      <c r="B1837" s="138"/>
      <c r="C1837" s="126"/>
      <c r="D1837" s="138"/>
      <c r="E1837" s="138"/>
      <c r="F1837" s="138"/>
      <c r="G1837" s="138"/>
      <c r="H1837" s="138"/>
      <c r="I1837" s="138"/>
      <c r="J1837" s="138"/>
      <c r="K1837" s="138"/>
      <c r="L1837" s="138"/>
      <c r="M1837" s="138"/>
      <c r="N1837" s="138"/>
      <c r="O1837" s="138"/>
    </row>
    <row r="1838" spans="2:15" x14ac:dyDescent="0.2">
      <c r="B1838" s="138"/>
      <c r="C1838" s="126"/>
      <c r="D1838" s="138"/>
      <c r="E1838" s="138"/>
      <c r="F1838" s="138"/>
      <c r="G1838" s="138"/>
      <c r="H1838" s="138"/>
      <c r="I1838" s="138"/>
      <c r="J1838" s="138"/>
      <c r="K1838" s="138"/>
      <c r="L1838" s="138"/>
      <c r="M1838" s="138"/>
      <c r="N1838" s="138"/>
      <c r="O1838" s="138"/>
    </row>
    <row r="1839" spans="2:15" x14ac:dyDescent="0.2">
      <c r="B1839" s="138"/>
      <c r="C1839" s="126"/>
      <c r="D1839" s="138"/>
      <c r="E1839" s="138"/>
      <c r="F1839" s="138"/>
      <c r="G1839" s="138"/>
      <c r="H1839" s="138"/>
      <c r="I1839" s="138"/>
      <c r="J1839" s="138"/>
      <c r="K1839" s="138"/>
      <c r="L1839" s="138"/>
      <c r="M1839" s="138"/>
      <c r="N1839" s="138"/>
      <c r="O1839" s="138"/>
    </row>
    <row r="1840" spans="2:15" x14ac:dyDescent="0.2">
      <c r="B1840" s="138"/>
      <c r="C1840" s="126"/>
      <c r="D1840" s="138"/>
      <c r="E1840" s="138"/>
      <c r="F1840" s="138"/>
      <c r="G1840" s="138"/>
      <c r="H1840" s="138"/>
      <c r="I1840" s="138"/>
      <c r="J1840" s="138"/>
      <c r="K1840" s="138"/>
      <c r="L1840" s="138"/>
      <c r="M1840" s="138"/>
      <c r="N1840" s="138"/>
      <c r="O1840" s="138"/>
    </row>
    <row r="1841" spans="2:15" x14ac:dyDescent="0.2">
      <c r="B1841" s="138"/>
      <c r="C1841" s="126"/>
      <c r="D1841" s="138"/>
      <c r="E1841" s="138"/>
      <c r="F1841" s="138"/>
      <c r="G1841" s="138"/>
      <c r="H1841" s="138"/>
      <c r="I1841" s="138"/>
      <c r="J1841" s="138"/>
      <c r="K1841" s="138"/>
      <c r="L1841" s="138"/>
      <c r="M1841" s="138"/>
      <c r="N1841" s="138"/>
      <c r="O1841" s="138"/>
    </row>
    <row r="1842" spans="2:15" x14ac:dyDescent="0.2">
      <c r="B1842" s="138"/>
      <c r="C1842" s="126"/>
      <c r="D1842" s="138"/>
      <c r="E1842" s="138"/>
      <c r="F1842" s="138"/>
      <c r="G1842" s="138"/>
      <c r="H1842" s="138"/>
      <c r="I1842" s="138"/>
      <c r="J1842" s="138"/>
      <c r="K1842" s="138"/>
      <c r="L1842" s="138"/>
      <c r="M1842" s="138"/>
      <c r="N1842" s="138"/>
      <c r="O1842" s="138"/>
    </row>
    <row r="1843" spans="2:15" x14ac:dyDescent="0.2">
      <c r="B1843" s="138"/>
      <c r="C1843" s="126"/>
      <c r="D1843" s="138"/>
      <c r="E1843" s="138"/>
      <c r="F1843" s="138"/>
      <c r="G1843" s="138"/>
      <c r="H1843" s="138"/>
      <c r="I1843" s="138"/>
      <c r="J1843" s="138"/>
      <c r="K1843" s="138"/>
      <c r="L1843" s="138"/>
      <c r="M1843" s="138"/>
      <c r="N1843" s="138"/>
      <c r="O1843" s="138"/>
    </row>
    <row r="1844" spans="2:15" x14ac:dyDescent="0.2">
      <c r="B1844" s="138"/>
      <c r="C1844" s="126"/>
      <c r="D1844" s="138"/>
      <c r="E1844" s="138"/>
      <c r="F1844" s="138"/>
      <c r="G1844" s="138"/>
      <c r="H1844" s="138"/>
      <c r="I1844" s="138"/>
      <c r="J1844" s="138"/>
      <c r="K1844" s="138"/>
      <c r="L1844" s="138"/>
      <c r="M1844" s="138"/>
      <c r="N1844" s="138"/>
      <c r="O1844" s="138"/>
    </row>
    <row r="1845" spans="2:15" x14ac:dyDescent="0.2">
      <c r="B1845" s="138"/>
      <c r="C1845" s="126"/>
      <c r="D1845" s="138"/>
      <c r="E1845" s="138"/>
      <c r="F1845" s="138"/>
      <c r="G1845" s="138"/>
      <c r="H1845" s="138"/>
      <c r="I1845" s="138"/>
      <c r="J1845" s="138"/>
      <c r="K1845" s="138"/>
      <c r="L1845" s="138"/>
      <c r="M1845" s="138"/>
      <c r="N1845" s="138"/>
      <c r="O1845" s="138"/>
    </row>
    <row r="1846" spans="2:15" x14ac:dyDescent="0.2">
      <c r="B1846" s="138"/>
      <c r="C1846" s="126"/>
      <c r="D1846" s="138"/>
      <c r="E1846" s="138"/>
      <c r="F1846" s="138"/>
      <c r="G1846" s="138"/>
      <c r="H1846" s="138"/>
      <c r="I1846" s="138"/>
      <c r="J1846" s="138"/>
      <c r="K1846" s="138"/>
      <c r="L1846" s="138"/>
      <c r="M1846" s="138"/>
      <c r="N1846" s="138"/>
      <c r="O1846" s="138"/>
    </row>
    <row r="1847" spans="2:15" x14ac:dyDescent="0.2">
      <c r="B1847" s="138"/>
      <c r="C1847" s="126"/>
      <c r="D1847" s="138"/>
      <c r="E1847" s="138"/>
      <c r="F1847" s="138"/>
      <c r="G1847" s="138"/>
      <c r="H1847" s="138"/>
      <c r="I1847" s="138"/>
      <c r="J1847" s="138"/>
      <c r="K1847" s="138"/>
      <c r="L1847" s="138"/>
      <c r="M1847" s="138"/>
      <c r="N1847" s="138"/>
      <c r="O1847" s="138"/>
    </row>
    <row r="1848" spans="2:15" x14ac:dyDescent="0.2">
      <c r="B1848" s="138"/>
      <c r="C1848" s="126"/>
      <c r="D1848" s="138"/>
      <c r="E1848" s="138"/>
      <c r="F1848" s="138"/>
      <c r="G1848" s="138"/>
      <c r="H1848" s="138"/>
      <c r="I1848" s="138"/>
      <c r="J1848" s="138"/>
      <c r="K1848" s="138"/>
      <c r="L1848" s="138"/>
      <c r="M1848" s="138"/>
      <c r="N1848" s="138"/>
      <c r="O1848" s="138"/>
    </row>
    <row r="1849" spans="2:15" x14ac:dyDescent="0.2">
      <c r="B1849" s="138"/>
      <c r="C1849" s="126"/>
      <c r="D1849" s="138"/>
      <c r="E1849" s="138"/>
      <c r="F1849" s="138"/>
      <c r="G1849" s="138"/>
      <c r="H1849" s="138"/>
      <c r="I1849" s="138"/>
      <c r="J1849" s="138"/>
      <c r="K1849" s="138"/>
      <c r="L1849" s="138"/>
      <c r="M1849" s="138"/>
      <c r="N1849" s="138"/>
      <c r="O1849" s="138"/>
    </row>
    <row r="1850" spans="2:15" x14ac:dyDescent="0.2">
      <c r="B1850" s="138"/>
      <c r="C1850" s="126"/>
      <c r="D1850" s="138"/>
      <c r="E1850" s="138"/>
      <c r="F1850" s="138"/>
      <c r="G1850" s="138"/>
      <c r="H1850" s="138"/>
      <c r="I1850" s="138"/>
      <c r="J1850" s="138"/>
      <c r="K1850" s="138"/>
      <c r="L1850" s="138"/>
      <c r="M1850" s="138"/>
      <c r="N1850" s="138"/>
      <c r="O1850" s="138"/>
    </row>
    <row r="1851" spans="2:15" x14ac:dyDescent="0.2">
      <c r="B1851" s="138"/>
      <c r="C1851" s="126"/>
      <c r="D1851" s="138"/>
      <c r="E1851" s="138"/>
      <c r="F1851" s="138"/>
      <c r="G1851" s="138"/>
      <c r="H1851" s="138"/>
      <c r="I1851" s="138"/>
      <c r="J1851" s="138"/>
      <c r="K1851" s="138"/>
      <c r="L1851" s="138"/>
      <c r="M1851" s="138"/>
      <c r="N1851" s="138"/>
      <c r="O1851" s="138"/>
    </row>
    <row r="1852" spans="2:15" x14ac:dyDescent="0.2">
      <c r="B1852" s="138"/>
      <c r="C1852" s="126"/>
      <c r="D1852" s="138"/>
      <c r="E1852" s="138"/>
      <c r="F1852" s="138"/>
      <c r="G1852" s="138"/>
      <c r="H1852" s="138"/>
      <c r="I1852" s="138"/>
      <c r="J1852" s="138"/>
      <c r="K1852" s="138"/>
      <c r="L1852" s="138"/>
      <c r="M1852" s="138"/>
      <c r="N1852" s="138"/>
      <c r="O1852" s="138"/>
    </row>
    <row r="1853" spans="2:15" x14ac:dyDescent="0.2">
      <c r="B1853" s="138"/>
      <c r="C1853" s="126"/>
      <c r="D1853" s="138"/>
      <c r="E1853" s="138"/>
      <c r="F1853" s="138"/>
      <c r="G1853" s="138"/>
      <c r="H1853" s="138"/>
      <c r="I1853" s="138"/>
      <c r="J1853" s="138"/>
      <c r="K1853" s="138"/>
      <c r="L1853" s="138"/>
      <c r="M1853" s="138"/>
      <c r="N1853" s="138"/>
      <c r="O1853" s="138"/>
    </row>
    <row r="1854" spans="2:15" x14ac:dyDescent="0.2">
      <c r="B1854" s="138"/>
      <c r="C1854" s="126"/>
      <c r="D1854" s="138"/>
      <c r="E1854" s="138"/>
      <c r="F1854" s="138"/>
      <c r="G1854" s="138"/>
      <c r="H1854" s="138"/>
      <c r="I1854" s="138"/>
      <c r="J1854" s="138"/>
      <c r="K1854" s="138"/>
      <c r="L1854" s="138"/>
      <c r="M1854" s="138"/>
      <c r="N1854" s="138"/>
      <c r="O1854" s="138"/>
    </row>
    <row r="1855" spans="2:15" x14ac:dyDescent="0.2">
      <c r="B1855" s="138"/>
      <c r="C1855" s="126"/>
      <c r="D1855" s="138"/>
      <c r="E1855" s="138"/>
      <c r="F1855" s="138"/>
      <c r="G1855" s="138"/>
      <c r="H1855" s="138"/>
      <c r="I1855" s="138"/>
      <c r="J1855" s="138"/>
      <c r="K1855" s="138"/>
      <c r="L1855" s="138"/>
      <c r="M1855" s="138"/>
      <c r="N1855" s="138"/>
      <c r="O1855" s="138"/>
    </row>
    <row r="1856" spans="2:15" x14ac:dyDescent="0.2">
      <c r="B1856" s="138"/>
      <c r="C1856" s="126"/>
      <c r="D1856" s="138"/>
      <c r="E1856" s="138"/>
      <c r="F1856" s="138"/>
      <c r="G1856" s="138"/>
      <c r="H1856" s="138"/>
      <c r="I1856" s="138"/>
      <c r="J1856" s="138"/>
      <c r="K1856" s="138"/>
      <c r="L1856" s="138"/>
      <c r="M1856" s="138"/>
      <c r="N1856" s="138"/>
      <c r="O1856" s="138"/>
    </row>
    <row r="1857" spans="2:15" x14ac:dyDescent="0.2">
      <c r="B1857" s="138"/>
      <c r="C1857" s="126"/>
      <c r="D1857" s="138"/>
      <c r="E1857" s="138"/>
      <c r="F1857" s="138"/>
      <c r="G1857" s="138"/>
      <c r="H1857" s="138"/>
      <c r="I1857" s="138"/>
      <c r="J1857" s="138"/>
      <c r="K1857" s="138"/>
      <c r="L1857" s="138"/>
      <c r="M1857" s="138"/>
      <c r="N1857" s="138"/>
      <c r="O1857" s="138"/>
    </row>
    <row r="1858" spans="2:15" x14ac:dyDescent="0.2">
      <c r="B1858" s="138"/>
      <c r="C1858" s="126"/>
      <c r="D1858" s="138"/>
      <c r="E1858" s="138"/>
      <c r="F1858" s="138"/>
      <c r="G1858" s="138"/>
      <c r="H1858" s="138"/>
      <c r="I1858" s="138"/>
      <c r="J1858" s="138"/>
      <c r="K1858" s="138"/>
      <c r="L1858" s="138"/>
      <c r="M1858" s="138"/>
      <c r="N1858" s="138"/>
      <c r="O1858" s="138"/>
    </row>
    <row r="1859" spans="2:15" x14ac:dyDescent="0.2">
      <c r="B1859" s="138"/>
      <c r="C1859" s="126"/>
      <c r="D1859" s="138"/>
      <c r="E1859" s="138"/>
      <c r="F1859" s="138"/>
      <c r="G1859" s="138"/>
      <c r="H1859" s="138"/>
      <c r="I1859" s="138"/>
      <c r="J1859" s="138"/>
      <c r="K1859" s="138"/>
      <c r="L1859" s="138"/>
      <c r="M1859" s="138"/>
      <c r="N1859" s="138"/>
      <c r="O1859" s="138"/>
    </row>
    <row r="1860" spans="2:15" x14ac:dyDescent="0.2">
      <c r="B1860" s="138"/>
      <c r="C1860" s="126"/>
      <c r="D1860" s="138"/>
      <c r="E1860" s="138"/>
      <c r="F1860" s="138"/>
      <c r="G1860" s="138"/>
      <c r="H1860" s="138"/>
      <c r="I1860" s="138"/>
      <c r="J1860" s="138"/>
      <c r="K1860" s="138"/>
      <c r="L1860" s="138"/>
      <c r="M1860" s="138"/>
      <c r="N1860" s="138"/>
      <c r="O1860" s="138"/>
    </row>
    <row r="1861" spans="2:15" x14ac:dyDescent="0.2">
      <c r="B1861" s="138"/>
      <c r="C1861" s="126"/>
      <c r="D1861" s="138"/>
      <c r="E1861" s="138"/>
      <c r="F1861" s="138"/>
      <c r="G1861" s="138"/>
      <c r="H1861" s="138"/>
      <c r="I1861" s="138"/>
      <c r="J1861" s="138"/>
      <c r="K1861" s="138"/>
      <c r="L1861" s="138"/>
      <c r="M1861" s="138"/>
      <c r="N1861" s="138"/>
      <c r="O1861" s="138"/>
    </row>
    <row r="1862" spans="2:15" x14ac:dyDescent="0.2">
      <c r="B1862" s="138"/>
      <c r="C1862" s="126"/>
      <c r="D1862" s="138"/>
      <c r="E1862" s="138"/>
      <c r="F1862" s="138"/>
      <c r="G1862" s="138"/>
      <c r="H1862" s="138"/>
      <c r="I1862" s="138"/>
      <c r="J1862" s="138"/>
      <c r="K1862" s="138"/>
      <c r="L1862" s="138"/>
      <c r="M1862" s="138"/>
      <c r="N1862" s="138"/>
      <c r="O1862" s="138"/>
    </row>
    <row r="1863" spans="2:15" x14ac:dyDescent="0.2">
      <c r="B1863" s="138"/>
      <c r="C1863" s="126"/>
      <c r="D1863" s="138"/>
      <c r="E1863" s="138"/>
      <c r="F1863" s="138"/>
      <c r="G1863" s="138"/>
      <c r="H1863" s="138"/>
      <c r="I1863" s="138"/>
      <c r="J1863" s="138"/>
      <c r="K1863" s="138"/>
      <c r="L1863" s="138"/>
      <c r="M1863" s="138"/>
      <c r="N1863" s="138"/>
      <c r="O1863" s="138"/>
    </row>
    <row r="1864" spans="2:15" x14ac:dyDescent="0.2">
      <c r="B1864" s="138"/>
      <c r="C1864" s="126"/>
      <c r="D1864" s="138"/>
      <c r="E1864" s="138"/>
      <c r="F1864" s="138"/>
      <c r="G1864" s="138"/>
      <c r="H1864" s="138"/>
      <c r="I1864" s="138"/>
      <c r="J1864" s="138"/>
      <c r="K1864" s="138"/>
      <c r="L1864" s="138"/>
      <c r="M1864" s="138"/>
      <c r="N1864" s="138"/>
      <c r="O1864" s="138"/>
    </row>
    <row r="1865" spans="2:15" x14ac:dyDescent="0.2">
      <c r="B1865" s="138"/>
      <c r="C1865" s="126"/>
      <c r="D1865" s="138"/>
      <c r="E1865" s="138"/>
      <c r="F1865" s="138"/>
      <c r="G1865" s="138"/>
      <c r="H1865" s="138"/>
      <c r="I1865" s="138"/>
      <c r="J1865" s="138"/>
      <c r="K1865" s="138"/>
      <c r="L1865" s="138"/>
      <c r="M1865" s="138"/>
      <c r="N1865" s="138"/>
      <c r="O1865" s="138"/>
    </row>
    <row r="1866" spans="2:15" x14ac:dyDescent="0.2">
      <c r="B1866" s="138"/>
      <c r="C1866" s="126"/>
      <c r="D1866" s="138"/>
      <c r="E1866" s="138"/>
      <c r="F1866" s="138"/>
      <c r="G1866" s="138"/>
      <c r="H1866" s="138"/>
      <c r="I1866" s="138"/>
      <c r="J1866" s="138"/>
      <c r="K1866" s="138"/>
      <c r="L1866" s="138"/>
      <c r="M1866" s="138"/>
      <c r="N1866" s="138"/>
      <c r="O1866" s="138"/>
    </row>
    <row r="1867" spans="2:15" x14ac:dyDescent="0.2">
      <c r="B1867" s="138"/>
      <c r="C1867" s="126"/>
      <c r="D1867" s="138"/>
      <c r="E1867" s="138"/>
      <c r="F1867" s="138"/>
      <c r="G1867" s="138"/>
      <c r="H1867" s="138"/>
      <c r="I1867" s="138"/>
      <c r="J1867" s="138"/>
      <c r="K1867" s="138"/>
      <c r="L1867" s="138"/>
      <c r="M1867" s="138"/>
      <c r="N1867" s="138"/>
      <c r="O1867" s="138"/>
    </row>
    <row r="1868" spans="2:15" x14ac:dyDescent="0.2">
      <c r="B1868" s="138"/>
      <c r="C1868" s="126"/>
      <c r="D1868" s="138"/>
      <c r="E1868" s="138"/>
      <c r="F1868" s="138"/>
      <c r="G1868" s="138"/>
      <c r="H1868" s="138"/>
      <c r="I1868" s="138"/>
      <c r="J1868" s="138"/>
      <c r="K1868" s="138"/>
      <c r="L1868" s="138"/>
      <c r="M1868" s="138"/>
      <c r="N1868" s="138"/>
      <c r="O1868" s="138"/>
    </row>
    <row r="1869" spans="2:15" x14ac:dyDescent="0.2">
      <c r="B1869" s="138"/>
      <c r="C1869" s="126"/>
      <c r="D1869" s="138"/>
      <c r="E1869" s="138"/>
      <c r="F1869" s="138"/>
      <c r="G1869" s="138"/>
      <c r="H1869" s="138"/>
      <c r="I1869" s="138"/>
      <c r="J1869" s="138"/>
      <c r="K1869" s="138"/>
      <c r="L1869" s="138"/>
      <c r="M1869" s="138"/>
      <c r="N1869" s="138"/>
      <c r="O1869" s="138"/>
    </row>
    <row r="1870" spans="2:15" x14ac:dyDescent="0.2">
      <c r="B1870" s="138"/>
      <c r="C1870" s="126"/>
      <c r="D1870" s="138"/>
      <c r="E1870" s="138"/>
      <c r="F1870" s="138"/>
      <c r="G1870" s="138"/>
      <c r="H1870" s="138"/>
      <c r="I1870" s="138"/>
      <c r="J1870" s="138"/>
      <c r="K1870" s="138"/>
      <c r="L1870" s="138"/>
      <c r="M1870" s="138"/>
      <c r="N1870" s="138"/>
      <c r="O1870" s="138"/>
    </row>
    <row r="1871" spans="2:15" x14ac:dyDescent="0.2">
      <c r="B1871" s="138"/>
      <c r="C1871" s="126"/>
      <c r="D1871" s="138"/>
      <c r="E1871" s="138"/>
      <c r="F1871" s="138"/>
      <c r="G1871" s="138"/>
      <c r="H1871" s="138"/>
      <c r="I1871" s="138"/>
      <c r="J1871" s="138"/>
      <c r="K1871" s="138"/>
      <c r="L1871" s="138"/>
      <c r="M1871" s="138"/>
      <c r="N1871" s="138"/>
      <c r="O1871" s="138"/>
    </row>
    <row r="1872" spans="2:15" x14ac:dyDescent="0.2">
      <c r="B1872" s="138"/>
      <c r="C1872" s="126"/>
      <c r="D1872" s="138"/>
      <c r="E1872" s="138"/>
      <c r="F1872" s="138"/>
      <c r="G1872" s="138"/>
      <c r="H1872" s="138"/>
      <c r="I1872" s="138"/>
      <c r="J1872" s="138"/>
      <c r="K1872" s="138"/>
      <c r="L1872" s="138"/>
      <c r="M1872" s="138"/>
      <c r="N1872" s="138"/>
      <c r="O1872" s="138"/>
    </row>
    <row r="1873" spans="2:15" x14ac:dyDescent="0.2">
      <c r="B1873" s="138"/>
      <c r="C1873" s="126"/>
      <c r="D1873" s="138"/>
      <c r="E1873" s="138"/>
      <c r="F1873" s="138"/>
      <c r="G1873" s="138"/>
      <c r="H1873" s="138"/>
      <c r="I1873" s="138"/>
      <c r="J1873" s="138"/>
      <c r="K1873" s="138"/>
      <c r="L1873" s="138"/>
      <c r="M1873" s="138"/>
      <c r="N1873" s="138"/>
      <c r="O1873" s="138"/>
    </row>
    <row r="1874" spans="2:15" x14ac:dyDescent="0.2">
      <c r="B1874" s="138"/>
      <c r="C1874" s="126"/>
      <c r="D1874" s="138"/>
      <c r="E1874" s="138"/>
      <c r="F1874" s="138"/>
      <c r="G1874" s="138"/>
      <c r="H1874" s="138"/>
      <c r="I1874" s="138"/>
      <c r="J1874" s="138"/>
      <c r="K1874" s="138"/>
      <c r="L1874" s="138"/>
      <c r="M1874" s="138"/>
      <c r="N1874" s="138"/>
      <c r="O1874" s="138"/>
    </row>
    <row r="1875" spans="2:15" x14ac:dyDescent="0.2">
      <c r="B1875" s="138"/>
      <c r="C1875" s="126"/>
      <c r="D1875" s="138"/>
      <c r="E1875" s="138"/>
      <c r="F1875" s="138"/>
      <c r="G1875" s="138"/>
      <c r="H1875" s="138"/>
      <c r="I1875" s="138"/>
      <c r="J1875" s="138"/>
      <c r="K1875" s="138"/>
      <c r="L1875" s="138"/>
      <c r="M1875" s="138"/>
      <c r="N1875" s="138"/>
      <c r="O1875" s="138"/>
    </row>
    <row r="1876" spans="2:15" x14ac:dyDescent="0.2">
      <c r="B1876" s="138"/>
      <c r="C1876" s="126"/>
      <c r="D1876" s="138"/>
      <c r="E1876" s="138"/>
      <c r="F1876" s="138"/>
      <c r="G1876" s="138"/>
      <c r="H1876" s="138"/>
      <c r="I1876" s="138"/>
      <c r="J1876" s="138"/>
      <c r="K1876" s="138"/>
      <c r="L1876" s="138"/>
      <c r="M1876" s="138"/>
      <c r="N1876" s="138"/>
      <c r="O1876" s="138"/>
    </row>
    <row r="1877" spans="2:15" x14ac:dyDescent="0.2">
      <c r="B1877" s="138"/>
      <c r="C1877" s="126"/>
      <c r="D1877" s="138"/>
      <c r="E1877" s="138"/>
      <c r="F1877" s="138"/>
      <c r="G1877" s="138"/>
      <c r="H1877" s="138"/>
      <c r="I1877" s="138"/>
      <c r="J1877" s="138"/>
      <c r="K1877" s="138"/>
      <c r="L1877" s="138"/>
      <c r="M1877" s="138"/>
      <c r="N1877" s="138"/>
      <c r="O1877" s="138"/>
    </row>
    <row r="1878" spans="2:15" x14ac:dyDescent="0.2">
      <c r="B1878" s="138"/>
      <c r="C1878" s="126"/>
      <c r="D1878" s="138"/>
      <c r="E1878" s="138"/>
      <c r="F1878" s="138"/>
      <c r="G1878" s="138"/>
      <c r="H1878" s="138"/>
      <c r="I1878" s="138"/>
      <c r="J1878" s="138"/>
      <c r="K1878" s="138"/>
      <c r="L1878" s="138"/>
      <c r="M1878" s="138"/>
      <c r="N1878" s="138"/>
      <c r="O1878" s="138"/>
    </row>
    <row r="1879" spans="2:15" x14ac:dyDescent="0.2">
      <c r="B1879" s="138"/>
      <c r="C1879" s="126"/>
      <c r="D1879" s="138"/>
      <c r="E1879" s="138"/>
      <c r="F1879" s="138"/>
      <c r="G1879" s="138"/>
      <c r="H1879" s="138"/>
      <c r="I1879" s="138"/>
      <c r="J1879" s="138"/>
      <c r="K1879" s="138"/>
      <c r="L1879" s="138"/>
      <c r="M1879" s="138"/>
      <c r="N1879" s="138"/>
      <c r="O1879" s="138"/>
    </row>
    <row r="1880" spans="2:15" x14ac:dyDescent="0.2">
      <c r="B1880" s="138"/>
      <c r="C1880" s="126"/>
      <c r="D1880" s="138"/>
      <c r="E1880" s="138"/>
      <c r="F1880" s="138"/>
      <c r="G1880" s="138"/>
      <c r="H1880" s="138"/>
      <c r="I1880" s="138"/>
      <c r="J1880" s="138"/>
      <c r="K1880" s="138"/>
      <c r="L1880" s="138"/>
      <c r="M1880" s="138"/>
      <c r="N1880" s="138"/>
      <c r="O1880" s="138"/>
    </row>
    <row r="1881" spans="2:15" x14ac:dyDescent="0.2">
      <c r="B1881" s="138"/>
      <c r="C1881" s="126"/>
      <c r="D1881" s="138"/>
      <c r="E1881" s="138"/>
      <c r="F1881" s="138"/>
      <c r="G1881" s="138"/>
      <c r="H1881" s="138"/>
      <c r="I1881" s="138"/>
      <c r="J1881" s="138"/>
      <c r="K1881" s="138"/>
      <c r="L1881" s="138"/>
      <c r="M1881" s="138"/>
      <c r="N1881" s="138"/>
      <c r="O1881" s="138"/>
    </row>
    <row r="1882" spans="2:15" x14ac:dyDescent="0.2">
      <c r="B1882" s="138"/>
      <c r="C1882" s="126"/>
      <c r="D1882" s="138"/>
      <c r="E1882" s="138"/>
      <c r="F1882" s="138"/>
      <c r="G1882" s="138"/>
      <c r="H1882" s="138"/>
      <c r="I1882" s="138"/>
      <c r="J1882" s="138"/>
      <c r="K1882" s="138"/>
      <c r="L1882" s="138"/>
      <c r="M1882" s="138"/>
      <c r="N1882" s="138"/>
      <c r="O1882" s="138"/>
    </row>
    <row r="1883" spans="2:15" x14ac:dyDescent="0.2">
      <c r="B1883" s="138"/>
      <c r="C1883" s="126"/>
      <c r="D1883" s="138"/>
      <c r="E1883" s="138"/>
      <c r="F1883" s="138"/>
      <c r="G1883" s="138"/>
      <c r="H1883" s="138"/>
      <c r="I1883" s="138"/>
      <c r="J1883" s="138"/>
      <c r="K1883" s="138"/>
      <c r="L1883" s="138"/>
      <c r="M1883" s="138"/>
      <c r="N1883" s="138"/>
      <c r="O1883" s="138"/>
    </row>
    <row r="1884" spans="2:15" x14ac:dyDescent="0.2">
      <c r="B1884" s="138"/>
      <c r="C1884" s="126"/>
      <c r="D1884" s="138"/>
      <c r="E1884" s="138"/>
      <c r="F1884" s="138"/>
      <c r="G1884" s="138"/>
      <c r="H1884" s="138"/>
      <c r="I1884" s="138"/>
      <c r="J1884" s="138"/>
      <c r="K1884" s="138"/>
      <c r="L1884" s="138"/>
      <c r="M1884" s="138"/>
      <c r="N1884" s="138"/>
      <c r="O1884" s="138"/>
    </row>
    <row r="1885" spans="2:15" x14ac:dyDescent="0.2">
      <c r="B1885" s="138"/>
      <c r="C1885" s="126"/>
      <c r="D1885" s="138"/>
      <c r="E1885" s="138"/>
      <c r="F1885" s="138"/>
      <c r="G1885" s="138"/>
      <c r="H1885" s="138"/>
      <c r="I1885" s="138"/>
      <c r="J1885" s="138"/>
      <c r="K1885" s="138"/>
      <c r="L1885" s="138"/>
      <c r="M1885" s="138"/>
      <c r="N1885" s="138"/>
      <c r="O1885" s="138"/>
    </row>
    <row r="1886" spans="2:15" x14ac:dyDescent="0.2">
      <c r="B1886" s="138"/>
      <c r="C1886" s="126"/>
      <c r="D1886" s="138"/>
      <c r="E1886" s="138"/>
      <c r="F1886" s="138"/>
      <c r="G1886" s="138"/>
      <c r="H1886" s="138"/>
      <c r="I1886" s="138"/>
      <c r="J1886" s="138"/>
      <c r="K1886" s="138"/>
      <c r="L1886" s="138"/>
      <c r="M1886" s="138"/>
      <c r="N1886" s="138"/>
      <c r="O1886" s="138"/>
    </row>
    <row r="1887" spans="2:15" x14ac:dyDescent="0.2">
      <c r="B1887" s="138"/>
      <c r="C1887" s="126"/>
      <c r="D1887" s="138"/>
      <c r="E1887" s="138"/>
      <c r="F1887" s="138"/>
      <c r="G1887" s="138"/>
      <c r="H1887" s="138"/>
      <c r="I1887" s="138"/>
      <c r="J1887" s="138"/>
      <c r="K1887" s="138"/>
      <c r="L1887" s="138"/>
      <c r="M1887" s="138"/>
      <c r="N1887" s="138"/>
      <c r="O1887" s="138"/>
    </row>
    <row r="1888" spans="2:15" x14ac:dyDescent="0.2">
      <c r="B1888" s="138"/>
      <c r="C1888" s="126"/>
      <c r="D1888" s="138"/>
      <c r="E1888" s="138"/>
      <c r="F1888" s="138"/>
      <c r="G1888" s="138"/>
      <c r="H1888" s="138"/>
      <c r="I1888" s="138"/>
      <c r="J1888" s="138"/>
      <c r="K1888" s="138"/>
      <c r="L1888" s="138"/>
      <c r="M1888" s="138"/>
      <c r="N1888" s="138"/>
      <c r="O1888" s="138"/>
    </row>
    <row r="1889" spans="2:15" x14ac:dyDescent="0.2">
      <c r="B1889" s="138"/>
      <c r="C1889" s="126"/>
      <c r="D1889" s="138"/>
      <c r="E1889" s="138"/>
      <c r="F1889" s="138"/>
      <c r="G1889" s="138"/>
      <c r="H1889" s="138"/>
      <c r="I1889" s="138"/>
      <c r="J1889" s="138"/>
      <c r="K1889" s="138"/>
      <c r="L1889" s="138"/>
      <c r="M1889" s="138"/>
      <c r="N1889" s="138"/>
      <c r="O1889" s="138"/>
    </row>
    <row r="1890" spans="2:15" x14ac:dyDescent="0.2">
      <c r="B1890" s="138"/>
      <c r="C1890" s="126"/>
      <c r="D1890" s="138"/>
      <c r="E1890" s="138"/>
      <c r="F1890" s="138"/>
      <c r="G1890" s="138"/>
      <c r="H1890" s="138"/>
      <c r="I1890" s="138"/>
      <c r="J1890" s="138"/>
      <c r="K1890" s="138"/>
      <c r="L1890" s="138"/>
      <c r="M1890" s="138"/>
      <c r="N1890" s="138"/>
      <c r="O1890" s="138"/>
    </row>
    <row r="1891" spans="2:15" x14ac:dyDescent="0.2">
      <c r="B1891" s="138"/>
      <c r="C1891" s="126"/>
      <c r="D1891" s="138"/>
      <c r="E1891" s="138"/>
      <c r="F1891" s="138"/>
      <c r="G1891" s="138"/>
      <c r="H1891" s="138"/>
      <c r="I1891" s="138"/>
      <c r="J1891" s="138"/>
      <c r="K1891" s="138"/>
      <c r="L1891" s="138"/>
      <c r="M1891" s="138"/>
      <c r="N1891" s="138"/>
      <c r="O1891" s="138"/>
    </row>
    <row r="1892" spans="2:15" x14ac:dyDescent="0.2">
      <c r="B1892" s="138"/>
      <c r="C1892" s="126"/>
      <c r="D1892" s="138"/>
      <c r="E1892" s="138"/>
      <c r="F1892" s="138"/>
      <c r="G1892" s="138"/>
      <c r="H1892" s="138"/>
      <c r="I1892" s="138"/>
      <c r="J1892" s="138"/>
      <c r="K1892" s="138"/>
      <c r="L1892" s="138"/>
      <c r="M1892" s="138"/>
      <c r="N1892" s="138"/>
      <c r="O1892" s="138"/>
    </row>
    <row r="1893" spans="2:15" x14ac:dyDescent="0.2">
      <c r="B1893" s="138"/>
      <c r="C1893" s="126"/>
      <c r="D1893" s="138"/>
      <c r="E1893" s="138"/>
      <c r="F1893" s="138"/>
      <c r="G1893" s="138"/>
      <c r="H1893" s="138"/>
      <c r="I1893" s="138"/>
      <c r="J1893" s="138"/>
      <c r="K1893" s="138"/>
      <c r="L1893" s="138"/>
      <c r="M1893" s="138"/>
      <c r="N1893" s="138"/>
      <c r="O1893" s="138"/>
    </row>
    <row r="1894" spans="2:15" x14ac:dyDescent="0.2">
      <c r="B1894" s="138"/>
      <c r="C1894" s="126"/>
      <c r="D1894" s="138"/>
      <c r="E1894" s="138"/>
      <c r="F1894" s="138"/>
      <c r="G1894" s="138"/>
      <c r="H1894" s="138"/>
      <c r="I1894" s="138"/>
      <c r="J1894" s="138"/>
      <c r="K1894" s="138"/>
      <c r="L1894" s="138"/>
      <c r="M1894" s="138"/>
      <c r="N1894" s="138"/>
      <c r="O1894" s="138"/>
    </row>
    <row r="1895" spans="2:15" x14ac:dyDescent="0.2">
      <c r="B1895" s="138"/>
      <c r="C1895" s="126"/>
      <c r="D1895" s="138"/>
      <c r="E1895" s="138"/>
      <c r="F1895" s="138"/>
      <c r="G1895" s="138"/>
      <c r="H1895" s="138"/>
      <c r="I1895" s="138"/>
      <c r="J1895" s="138"/>
      <c r="K1895" s="138"/>
      <c r="L1895" s="138"/>
      <c r="M1895" s="138"/>
      <c r="N1895" s="138"/>
      <c r="O1895" s="138"/>
    </row>
    <row r="1896" spans="2:15" x14ac:dyDescent="0.2">
      <c r="B1896" s="138"/>
      <c r="C1896" s="126"/>
      <c r="D1896" s="138"/>
      <c r="E1896" s="138"/>
      <c r="F1896" s="138"/>
      <c r="G1896" s="138"/>
      <c r="H1896" s="138"/>
      <c r="I1896" s="138"/>
      <c r="J1896" s="138"/>
      <c r="K1896" s="138"/>
      <c r="L1896" s="138"/>
      <c r="M1896" s="138"/>
      <c r="N1896" s="138"/>
      <c r="O1896" s="138"/>
    </row>
    <row r="1897" spans="2:15" x14ac:dyDescent="0.2">
      <c r="B1897" s="138"/>
      <c r="C1897" s="126"/>
      <c r="D1897" s="138"/>
      <c r="E1897" s="138"/>
      <c r="F1897" s="138"/>
      <c r="G1897" s="138"/>
      <c r="H1897" s="138"/>
      <c r="I1897" s="138"/>
      <c r="J1897" s="138"/>
      <c r="K1897" s="138"/>
      <c r="L1897" s="138"/>
      <c r="M1897" s="138"/>
      <c r="N1897" s="138"/>
      <c r="O1897" s="138"/>
    </row>
    <row r="1898" spans="2:15" x14ac:dyDescent="0.2">
      <c r="B1898" s="138"/>
      <c r="C1898" s="126"/>
      <c r="D1898" s="138"/>
      <c r="E1898" s="138"/>
      <c r="F1898" s="138"/>
      <c r="G1898" s="138"/>
      <c r="H1898" s="138"/>
      <c r="I1898" s="138"/>
      <c r="J1898" s="138"/>
      <c r="K1898" s="138"/>
      <c r="L1898" s="138"/>
      <c r="M1898" s="138"/>
      <c r="N1898" s="138"/>
      <c r="O1898" s="138"/>
    </row>
    <row r="1899" spans="2:15" x14ac:dyDescent="0.2">
      <c r="B1899" s="138"/>
      <c r="C1899" s="126"/>
      <c r="D1899" s="138"/>
      <c r="E1899" s="138"/>
      <c r="F1899" s="138"/>
      <c r="G1899" s="138"/>
      <c r="H1899" s="138"/>
      <c r="I1899" s="138"/>
      <c r="J1899" s="138"/>
      <c r="K1899" s="138"/>
      <c r="L1899" s="138"/>
      <c r="M1899" s="138"/>
      <c r="N1899" s="138"/>
      <c r="O1899" s="138"/>
    </row>
    <row r="1900" spans="2:15" x14ac:dyDescent="0.2">
      <c r="B1900" s="138"/>
      <c r="C1900" s="126"/>
      <c r="D1900" s="138"/>
      <c r="E1900" s="138"/>
      <c r="F1900" s="138"/>
      <c r="G1900" s="138"/>
      <c r="H1900" s="138"/>
      <c r="I1900" s="138"/>
      <c r="J1900" s="138"/>
      <c r="K1900" s="138"/>
      <c r="L1900" s="138"/>
      <c r="M1900" s="138"/>
      <c r="N1900" s="138"/>
      <c r="O1900" s="138"/>
    </row>
    <row r="1901" spans="2:15" x14ac:dyDescent="0.2">
      <c r="B1901" s="138"/>
      <c r="C1901" s="126"/>
      <c r="D1901" s="138"/>
      <c r="E1901" s="138"/>
      <c r="F1901" s="138"/>
      <c r="G1901" s="138"/>
      <c r="H1901" s="138"/>
      <c r="I1901" s="138"/>
      <c r="J1901" s="138"/>
      <c r="K1901" s="138"/>
      <c r="L1901" s="138"/>
      <c r="M1901" s="138"/>
      <c r="N1901" s="138"/>
      <c r="O1901" s="138"/>
    </row>
    <row r="1902" spans="2:15" x14ac:dyDescent="0.2">
      <c r="B1902" s="138"/>
      <c r="C1902" s="126"/>
      <c r="D1902" s="138"/>
      <c r="E1902" s="138"/>
      <c r="F1902" s="138"/>
      <c r="G1902" s="138"/>
      <c r="H1902" s="138"/>
      <c r="I1902" s="138"/>
      <c r="J1902" s="138"/>
      <c r="K1902" s="138"/>
      <c r="L1902" s="138"/>
      <c r="M1902" s="138"/>
      <c r="N1902" s="138"/>
      <c r="O1902" s="138"/>
    </row>
    <row r="1903" spans="2:15" x14ac:dyDescent="0.2">
      <c r="B1903" s="138"/>
      <c r="C1903" s="126"/>
      <c r="D1903" s="138"/>
      <c r="E1903" s="138"/>
      <c r="F1903" s="138"/>
      <c r="G1903" s="138"/>
      <c r="H1903" s="138"/>
      <c r="I1903" s="138"/>
      <c r="J1903" s="138"/>
      <c r="K1903" s="138"/>
      <c r="L1903" s="138"/>
      <c r="M1903" s="138"/>
      <c r="N1903" s="138"/>
      <c r="O1903" s="138"/>
    </row>
    <row r="1904" spans="2:15" x14ac:dyDescent="0.2">
      <c r="B1904" s="138"/>
      <c r="C1904" s="126"/>
      <c r="D1904" s="138"/>
      <c r="E1904" s="138"/>
      <c r="F1904" s="138"/>
      <c r="G1904" s="138"/>
      <c r="H1904" s="138"/>
      <c r="I1904" s="138"/>
      <c r="J1904" s="138"/>
      <c r="K1904" s="138"/>
      <c r="L1904" s="138"/>
      <c r="M1904" s="138"/>
      <c r="N1904" s="138"/>
      <c r="O1904" s="138"/>
    </row>
    <row r="1905" spans="2:15" x14ac:dyDescent="0.2">
      <c r="B1905" s="138"/>
      <c r="C1905" s="126"/>
      <c r="D1905" s="138"/>
      <c r="E1905" s="138"/>
      <c r="F1905" s="138"/>
      <c r="G1905" s="138"/>
      <c r="H1905" s="138"/>
      <c r="I1905" s="138"/>
      <c r="J1905" s="138"/>
      <c r="K1905" s="138"/>
      <c r="L1905" s="138"/>
      <c r="M1905" s="138"/>
      <c r="N1905" s="138"/>
      <c r="O1905" s="138"/>
    </row>
    <row r="1906" spans="2:15" x14ac:dyDescent="0.2">
      <c r="B1906" s="138"/>
      <c r="C1906" s="126"/>
      <c r="D1906" s="138"/>
      <c r="E1906" s="138"/>
      <c r="F1906" s="138"/>
      <c r="G1906" s="138"/>
      <c r="H1906" s="138"/>
      <c r="I1906" s="138"/>
      <c r="J1906" s="138"/>
      <c r="K1906" s="138"/>
      <c r="L1906" s="138"/>
      <c r="M1906" s="138"/>
      <c r="N1906" s="138"/>
      <c r="O1906" s="138"/>
    </row>
    <row r="1907" spans="2:15" x14ac:dyDescent="0.2">
      <c r="B1907" s="138"/>
      <c r="C1907" s="126"/>
      <c r="D1907" s="138"/>
      <c r="E1907" s="138"/>
      <c r="F1907" s="138"/>
      <c r="G1907" s="138"/>
      <c r="H1907" s="138"/>
      <c r="I1907" s="138"/>
      <c r="J1907" s="138"/>
      <c r="K1907" s="138"/>
      <c r="L1907" s="138"/>
      <c r="M1907" s="138"/>
      <c r="N1907" s="138"/>
      <c r="O1907" s="138"/>
    </row>
    <row r="1908" spans="2:15" x14ac:dyDescent="0.2">
      <c r="B1908" s="138"/>
      <c r="C1908" s="126"/>
      <c r="D1908" s="138"/>
      <c r="E1908" s="138"/>
      <c r="F1908" s="138"/>
      <c r="G1908" s="138"/>
      <c r="H1908" s="138"/>
      <c r="I1908" s="138"/>
      <c r="J1908" s="138"/>
      <c r="K1908" s="138"/>
      <c r="L1908" s="138"/>
      <c r="M1908" s="138"/>
      <c r="N1908" s="138"/>
      <c r="O1908" s="138"/>
    </row>
    <row r="1909" spans="2:15" x14ac:dyDescent="0.2">
      <c r="B1909" s="138"/>
      <c r="C1909" s="126"/>
      <c r="D1909" s="138"/>
      <c r="E1909" s="138"/>
      <c r="F1909" s="138"/>
      <c r="G1909" s="138"/>
      <c r="H1909" s="138"/>
      <c r="I1909" s="138"/>
      <c r="J1909" s="138"/>
      <c r="K1909" s="138"/>
      <c r="L1909" s="138"/>
      <c r="M1909" s="138"/>
      <c r="N1909" s="138"/>
      <c r="O1909" s="138"/>
    </row>
    <row r="1910" spans="2:15" x14ac:dyDescent="0.2">
      <c r="B1910" s="138"/>
      <c r="C1910" s="126"/>
      <c r="D1910" s="138"/>
      <c r="E1910" s="138"/>
      <c r="F1910" s="138"/>
      <c r="G1910" s="138"/>
      <c r="H1910" s="138"/>
      <c r="I1910" s="138"/>
      <c r="J1910" s="138"/>
      <c r="K1910" s="138"/>
      <c r="L1910" s="138"/>
      <c r="M1910" s="138"/>
      <c r="N1910" s="138"/>
      <c r="O1910" s="138"/>
    </row>
    <row r="1911" spans="2:15" x14ac:dyDescent="0.2">
      <c r="B1911" s="138"/>
      <c r="C1911" s="126"/>
      <c r="D1911" s="138"/>
      <c r="E1911" s="138"/>
      <c r="F1911" s="138"/>
      <c r="G1911" s="138"/>
      <c r="H1911" s="138"/>
      <c r="I1911" s="138"/>
      <c r="J1911" s="138"/>
      <c r="K1911" s="138"/>
      <c r="L1911" s="138"/>
      <c r="M1911" s="138"/>
      <c r="N1911" s="138"/>
      <c r="O1911" s="138"/>
    </row>
    <row r="1912" spans="2:15" x14ac:dyDescent="0.2">
      <c r="B1912" s="138"/>
      <c r="C1912" s="126"/>
      <c r="D1912" s="138"/>
      <c r="E1912" s="138"/>
      <c r="F1912" s="138"/>
      <c r="G1912" s="138"/>
      <c r="H1912" s="138"/>
      <c r="I1912" s="138"/>
      <c r="J1912" s="138"/>
      <c r="K1912" s="138"/>
      <c r="L1912" s="138"/>
      <c r="M1912" s="138"/>
      <c r="N1912" s="138"/>
      <c r="O1912" s="138"/>
    </row>
    <row r="1913" spans="2:15" x14ac:dyDescent="0.2">
      <c r="B1913" s="138"/>
      <c r="C1913" s="126"/>
      <c r="D1913" s="138"/>
      <c r="E1913" s="138"/>
      <c r="F1913" s="138"/>
      <c r="G1913" s="138"/>
      <c r="H1913" s="138"/>
      <c r="I1913" s="138"/>
      <c r="J1913" s="138"/>
      <c r="K1913" s="138"/>
      <c r="L1913" s="138"/>
      <c r="M1913" s="138"/>
      <c r="N1913" s="138"/>
      <c r="O1913" s="138"/>
    </row>
    <row r="1914" spans="2:15" x14ac:dyDescent="0.2">
      <c r="B1914" s="138"/>
      <c r="C1914" s="126"/>
      <c r="D1914" s="138"/>
      <c r="E1914" s="138"/>
      <c r="F1914" s="138"/>
      <c r="G1914" s="138"/>
      <c r="H1914" s="138"/>
      <c r="I1914" s="138"/>
      <c r="J1914" s="138"/>
      <c r="K1914" s="138"/>
      <c r="L1914" s="138"/>
      <c r="M1914" s="138"/>
      <c r="N1914" s="138"/>
      <c r="O1914" s="138"/>
    </row>
    <row r="1915" spans="2:15" x14ac:dyDescent="0.2">
      <c r="B1915" s="138"/>
      <c r="C1915" s="126"/>
      <c r="D1915" s="138"/>
      <c r="E1915" s="138"/>
      <c r="F1915" s="138"/>
      <c r="G1915" s="138"/>
      <c r="H1915" s="138"/>
      <c r="I1915" s="138"/>
      <c r="J1915" s="138"/>
      <c r="K1915" s="138"/>
      <c r="L1915" s="138"/>
      <c r="M1915" s="138"/>
      <c r="N1915" s="138"/>
      <c r="O1915" s="138"/>
    </row>
    <row r="1916" spans="2:15" x14ac:dyDescent="0.2">
      <c r="B1916" s="138"/>
      <c r="C1916" s="126"/>
      <c r="D1916" s="138"/>
      <c r="E1916" s="138"/>
      <c r="F1916" s="138"/>
      <c r="G1916" s="138"/>
      <c r="H1916" s="138"/>
      <c r="I1916" s="138"/>
      <c r="J1916" s="138"/>
      <c r="K1916" s="138"/>
      <c r="L1916" s="138"/>
      <c r="M1916" s="138"/>
      <c r="N1916" s="138"/>
      <c r="O1916" s="138"/>
    </row>
    <row r="1917" spans="2:15" x14ac:dyDescent="0.2">
      <c r="B1917" s="138"/>
      <c r="C1917" s="126"/>
      <c r="D1917" s="138"/>
      <c r="E1917" s="138"/>
      <c r="F1917" s="138"/>
      <c r="G1917" s="138"/>
      <c r="H1917" s="138"/>
      <c r="I1917" s="138"/>
      <c r="J1917" s="138"/>
      <c r="K1917" s="138"/>
      <c r="L1917" s="138"/>
      <c r="M1917" s="138"/>
      <c r="N1917" s="138"/>
      <c r="O1917" s="138"/>
    </row>
    <row r="1918" spans="2:15" x14ac:dyDescent="0.2">
      <c r="B1918" s="138"/>
      <c r="C1918" s="126"/>
      <c r="D1918" s="138"/>
      <c r="E1918" s="138"/>
      <c r="F1918" s="138"/>
      <c r="G1918" s="138"/>
      <c r="H1918" s="138"/>
      <c r="I1918" s="138"/>
      <c r="J1918" s="138"/>
      <c r="K1918" s="138"/>
      <c r="L1918" s="138"/>
      <c r="M1918" s="138"/>
      <c r="N1918" s="138"/>
      <c r="O1918" s="138"/>
    </row>
    <row r="1919" spans="2:15" x14ac:dyDescent="0.2">
      <c r="B1919" s="138"/>
      <c r="C1919" s="126"/>
      <c r="D1919" s="138"/>
      <c r="E1919" s="138"/>
      <c r="F1919" s="138"/>
      <c r="G1919" s="138"/>
      <c r="H1919" s="138"/>
      <c r="I1919" s="138"/>
      <c r="J1919" s="138"/>
      <c r="K1919" s="138"/>
      <c r="L1919" s="138"/>
      <c r="M1919" s="138"/>
      <c r="N1919" s="138"/>
      <c r="O1919" s="138"/>
    </row>
    <row r="1920" spans="2:15" x14ac:dyDescent="0.2">
      <c r="B1920" s="138"/>
      <c r="C1920" s="126"/>
      <c r="D1920" s="138"/>
      <c r="E1920" s="138"/>
      <c r="F1920" s="138"/>
      <c r="G1920" s="138"/>
      <c r="H1920" s="138"/>
      <c r="I1920" s="138"/>
      <c r="J1920" s="138"/>
      <c r="K1920" s="138"/>
      <c r="L1920" s="138"/>
      <c r="M1920" s="138"/>
      <c r="N1920" s="138"/>
      <c r="O1920" s="138"/>
    </row>
    <row r="1921" spans="2:15" x14ac:dyDescent="0.2">
      <c r="B1921" s="138"/>
      <c r="C1921" s="126"/>
      <c r="D1921" s="138"/>
      <c r="E1921" s="138"/>
      <c r="F1921" s="138"/>
      <c r="G1921" s="138"/>
      <c r="H1921" s="138"/>
      <c r="I1921" s="138"/>
      <c r="J1921" s="138"/>
      <c r="K1921" s="138"/>
      <c r="L1921" s="138"/>
      <c r="M1921" s="138"/>
      <c r="N1921" s="138"/>
      <c r="O1921" s="138"/>
    </row>
    <row r="1922" spans="2:15" x14ac:dyDescent="0.2">
      <c r="B1922" s="138"/>
      <c r="C1922" s="126"/>
      <c r="D1922" s="138"/>
      <c r="E1922" s="138"/>
      <c r="F1922" s="138"/>
      <c r="G1922" s="138"/>
      <c r="H1922" s="138"/>
      <c r="I1922" s="138"/>
      <c r="J1922" s="138"/>
      <c r="K1922" s="138"/>
      <c r="L1922" s="138"/>
      <c r="M1922" s="138"/>
      <c r="N1922" s="138"/>
      <c r="O1922" s="138"/>
    </row>
    <row r="1923" spans="2:15" x14ac:dyDescent="0.2">
      <c r="B1923" s="138"/>
      <c r="C1923" s="126"/>
      <c r="D1923" s="138"/>
      <c r="E1923" s="138"/>
      <c r="F1923" s="138"/>
      <c r="G1923" s="138"/>
      <c r="H1923" s="138"/>
      <c r="I1923" s="138"/>
      <c r="J1923" s="138"/>
      <c r="K1923" s="138"/>
      <c r="L1923" s="138"/>
      <c r="M1923" s="138"/>
      <c r="N1923" s="138"/>
      <c r="O1923" s="138"/>
    </row>
    <row r="1924" spans="2:15" x14ac:dyDescent="0.2">
      <c r="B1924" s="138"/>
      <c r="C1924" s="126"/>
      <c r="D1924" s="138"/>
      <c r="E1924" s="138"/>
      <c r="F1924" s="138"/>
      <c r="G1924" s="138"/>
      <c r="H1924" s="138"/>
      <c r="I1924" s="138"/>
      <c r="J1924" s="138"/>
      <c r="K1924" s="138"/>
      <c r="L1924" s="138"/>
      <c r="M1924" s="138"/>
      <c r="N1924" s="138"/>
      <c r="O1924" s="138"/>
    </row>
    <row r="1925" spans="2:15" x14ac:dyDescent="0.2">
      <c r="B1925" s="138"/>
      <c r="C1925" s="126"/>
      <c r="D1925" s="138"/>
      <c r="E1925" s="138"/>
      <c r="F1925" s="138"/>
      <c r="G1925" s="138"/>
      <c r="H1925" s="138"/>
      <c r="I1925" s="138"/>
      <c r="J1925" s="138"/>
      <c r="K1925" s="138"/>
      <c r="L1925" s="138"/>
      <c r="M1925" s="138"/>
      <c r="N1925" s="138"/>
      <c r="O1925" s="138"/>
    </row>
    <row r="1926" spans="2:15" x14ac:dyDescent="0.2">
      <c r="B1926" s="138"/>
      <c r="C1926" s="126"/>
      <c r="D1926" s="138"/>
      <c r="E1926" s="138"/>
      <c r="F1926" s="138"/>
      <c r="G1926" s="138"/>
      <c r="H1926" s="138"/>
      <c r="I1926" s="138"/>
      <c r="J1926" s="138"/>
      <c r="K1926" s="138"/>
      <c r="L1926" s="138"/>
      <c r="M1926" s="138"/>
      <c r="N1926" s="138"/>
      <c r="O1926" s="138"/>
    </row>
    <row r="1927" spans="2:15" x14ac:dyDescent="0.2">
      <c r="B1927" s="138"/>
      <c r="C1927" s="126"/>
      <c r="D1927" s="138"/>
      <c r="E1927" s="138"/>
      <c r="F1927" s="138"/>
      <c r="G1927" s="138"/>
      <c r="H1927" s="138"/>
      <c r="I1927" s="138"/>
      <c r="J1927" s="138"/>
      <c r="K1927" s="138"/>
      <c r="L1927" s="138"/>
      <c r="M1927" s="138"/>
      <c r="N1927" s="138"/>
      <c r="O1927" s="138"/>
    </row>
    <row r="1928" spans="2:15" x14ac:dyDescent="0.2">
      <c r="B1928" s="138"/>
      <c r="C1928" s="126"/>
      <c r="D1928" s="138"/>
      <c r="E1928" s="138"/>
      <c r="F1928" s="138"/>
      <c r="G1928" s="138"/>
      <c r="H1928" s="138"/>
      <c r="I1928" s="138"/>
      <c r="J1928" s="138"/>
      <c r="K1928" s="138"/>
      <c r="L1928" s="138"/>
      <c r="M1928" s="138"/>
      <c r="N1928" s="138"/>
      <c r="O1928" s="138"/>
    </row>
    <row r="1929" spans="2:15" x14ac:dyDescent="0.2">
      <c r="B1929" s="138"/>
      <c r="C1929" s="126"/>
      <c r="D1929" s="138"/>
      <c r="E1929" s="138"/>
      <c r="F1929" s="138"/>
      <c r="G1929" s="138"/>
      <c r="H1929" s="138"/>
      <c r="I1929" s="138"/>
      <c r="J1929" s="138"/>
      <c r="K1929" s="138"/>
      <c r="L1929" s="138"/>
      <c r="M1929" s="138"/>
      <c r="N1929" s="138"/>
      <c r="O1929" s="138"/>
    </row>
    <row r="1930" spans="2:15" x14ac:dyDescent="0.2">
      <c r="B1930" s="138"/>
      <c r="C1930" s="126"/>
      <c r="D1930" s="138"/>
      <c r="E1930" s="138"/>
      <c r="F1930" s="138"/>
      <c r="G1930" s="138"/>
      <c r="H1930" s="138"/>
      <c r="I1930" s="138"/>
      <c r="J1930" s="138"/>
      <c r="K1930" s="138"/>
      <c r="L1930" s="138"/>
      <c r="M1930" s="138"/>
      <c r="N1930" s="138"/>
      <c r="O1930" s="138"/>
    </row>
    <row r="1931" spans="2:15" x14ac:dyDescent="0.2">
      <c r="B1931" s="138"/>
      <c r="C1931" s="126"/>
      <c r="D1931" s="138"/>
      <c r="E1931" s="138"/>
      <c r="F1931" s="138"/>
      <c r="G1931" s="138"/>
      <c r="H1931" s="138"/>
      <c r="I1931" s="138"/>
      <c r="J1931" s="138"/>
      <c r="K1931" s="138"/>
      <c r="L1931" s="138"/>
      <c r="M1931" s="138"/>
      <c r="N1931" s="138"/>
      <c r="O1931" s="138"/>
    </row>
    <row r="1932" spans="2:15" x14ac:dyDescent="0.2">
      <c r="B1932" s="138"/>
      <c r="C1932" s="126"/>
      <c r="D1932" s="138"/>
      <c r="E1932" s="138"/>
      <c r="F1932" s="138"/>
      <c r="G1932" s="138"/>
      <c r="H1932" s="138"/>
      <c r="I1932" s="138"/>
      <c r="J1932" s="138"/>
      <c r="K1932" s="138"/>
      <c r="L1932" s="138"/>
      <c r="M1932" s="138"/>
      <c r="N1932" s="138"/>
      <c r="O1932" s="138"/>
    </row>
    <row r="1933" spans="2:15" x14ac:dyDescent="0.2">
      <c r="B1933" s="138"/>
      <c r="C1933" s="126"/>
      <c r="D1933" s="138"/>
      <c r="E1933" s="138"/>
      <c r="F1933" s="138"/>
      <c r="G1933" s="138"/>
      <c r="H1933" s="138"/>
      <c r="I1933" s="138"/>
      <c r="J1933" s="138"/>
      <c r="K1933" s="138"/>
      <c r="L1933" s="138"/>
      <c r="M1933" s="138"/>
      <c r="N1933" s="138"/>
      <c r="O1933" s="138"/>
    </row>
    <row r="1934" spans="2:15" x14ac:dyDescent="0.2">
      <c r="B1934" s="138"/>
      <c r="C1934" s="126"/>
      <c r="D1934" s="138"/>
      <c r="E1934" s="138"/>
      <c r="F1934" s="138"/>
      <c r="G1934" s="138"/>
      <c r="H1934" s="138"/>
      <c r="I1934" s="138"/>
      <c r="J1934" s="138"/>
      <c r="K1934" s="138"/>
      <c r="L1934" s="138"/>
      <c r="M1934" s="138"/>
      <c r="N1934" s="138"/>
      <c r="O1934" s="138"/>
    </row>
    <row r="1935" spans="2:15" x14ac:dyDescent="0.2">
      <c r="B1935" s="138"/>
      <c r="C1935" s="126"/>
      <c r="D1935" s="138"/>
      <c r="E1935" s="138"/>
      <c r="F1935" s="138"/>
      <c r="G1935" s="138"/>
      <c r="H1935" s="138"/>
      <c r="I1935" s="138"/>
      <c r="J1935" s="138"/>
      <c r="K1935" s="138"/>
      <c r="L1935" s="138"/>
      <c r="M1935" s="138"/>
      <c r="N1935" s="138"/>
      <c r="O1935" s="138"/>
    </row>
    <row r="1936" spans="2:15" x14ac:dyDescent="0.2">
      <c r="B1936" s="138"/>
      <c r="C1936" s="126"/>
      <c r="D1936" s="138"/>
      <c r="E1936" s="138"/>
      <c r="F1936" s="138"/>
      <c r="G1936" s="138"/>
      <c r="H1936" s="138"/>
      <c r="I1936" s="138"/>
      <c r="J1936" s="138"/>
      <c r="K1936" s="138"/>
      <c r="L1936" s="138"/>
      <c r="M1936" s="138"/>
      <c r="N1936" s="138"/>
      <c r="O1936" s="138"/>
    </row>
    <row r="1937" spans="2:15" x14ac:dyDescent="0.2">
      <c r="B1937" s="138"/>
      <c r="C1937" s="126"/>
      <c r="D1937" s="138"/>
      <c r="E1937" s="138"/>
      <c r="F1937" s="138"/>
      <c r="G1937" s="138"/>
      <c r="H1937" s="138"/>
      <c r="I1937" s="138"/>
      <c r="J1937" s="138"/>
      <c r="K1937" s="138"/>
      <c r="L1937" s="138"/>
      <c r="M1937" s="138"/>
      <c r="N1937" s="138"/>
      <c r="O1937" s="138"/>
    </row>
    <row r="1938" spans="2:15" x14ac:dyDescent="0.2">
      <c r="B1938" s="138"/>
      <c r="C1938" s="126"/>
      <c r="D1938" s="138"/>
      <c r="E1938" s="138"/>
      <c r="F1938" s="138"/>
      <c r="G1938" s="138"/>
      <c r="H1938" s="138"/>
      <c r="I1938" s="138"/>
      <c r="J1938" s="138"/>
      <c r="K1938" s="138"/>
      <c r="L1938" s="138"/>
      <c r="M1938" s="138"/>
      <c r="N1938" s="138"/>
      <c r="O1938" s="138"/>
    </row>
    <row r="1939" spans="2:15" x14ac:dyDescent="0.2">
      <c r="B1939" s="138"/>
      <c r="C1939" s="126"/>
      <c r="D1939" s="138"/>
      <c r="E1939" s="138"/>
      <c r="F1939" s="138"/>
      <c r="G1939" s="138"/>
      <c r="H1939" s="138"/>
      <c r="I1939" s="138"/>
      <c r="J1939" s="138"/>
      <c r="K1939" s="138"/>
      <c r="L1939" s="138"/>
      <c r="M1939" s="138"/>
      <c r="N1939" s="138"/>
      <c r="O1939" s="138"/>
    </row>
    <row r="1940" spans="2:15" x14ac:dyDescent="0.2">
      <c r="B1940" s="138"/>
      <c r="C1940" s="126"/>
      <c r="D1940" s="138"/>
      <c r="E1940" s="138"/>
      <c r="F1940" s="138"/>
      <c r="G1940" s="138"/>
      <c r="H1940" s="138"/>
      <c r="I1940" s="138"/>
      <c r="J1940" s="138"/>
      <c r="K1940" s="138"/>
      <c r="L1940" s="138"/>
      <c r="M1940" s="138"/>
      <c r="N1940" s="138"/>
      <c r="O1940" s="138"/>
    </row>
    <row r="1941" spans="2:15" x14ac:dyDescent="0.2">
      <c r="B1941" s="138"/>
      <c r="C1941" s="126"/>
      <c r="D1941" s="138"/>
      <c r="E1941" s="138"/>
      <c r="F1941" s="138"/>
      <c r="G1941" s="138"/>
      <c r="H1941" s="138"/>
      <c r="I1941" s="138"/>
      <c r="J1941" s="138"/>
      <c r="K1941" s="138"/>
      <c r="L1941" s="138"/>
      <c r="M1941" s="138"/>
      <c r="N1941" s="138"/>
      <c r="O1941" s="138"/>
    </row>
    <row r="1942" spans="2:15" x14ac:dyDescent="0.2">
      <c r="B1942" s="138"/>
      <c r="C1942" s="126"/>
      <c r="D1942" s="138"/>
      <c r="E1942" s="138"/>
      <c r="F1942" s="138"/>
      <c r="G1942" s="138"/>
      <c r="H1942" s="138"/>
      <c r="I1942" s="138"/>
      <c r="J1942" s="138"/>
      <c r="K1942" s="138"/>
      <c r="L1942" s="138"/>
      <c r="M1942" s="138"/>
      <c r="N1942" s="138"/>
      <c r="O1942" s="138"/>
    </row>
    <row r="1943" spans="2:15" x14ac:dyDescent="0.2">
      <c r="B1943" s="138"/>
      <c r="C1943" s="126"/>
      <c r="D1943" s="138"/>
      <c r="E1943" s="138"/>
      <c r="F1943" s="138"/>
      <c r="G1943" s="138"/>
      <c r="H1943" s="138"/>
      <c r="I1943" s="138"/>
      <c r="J1943" s="138"/>
      <c r="K1943" s="138"/>
      <c r="L1943" s="138"/>
      <c r="M1943" s="138"/>
      <c r="N1943" s="138"/>
      <c r="O1943" s="138"/>
    </row>
    <row r="1944" spans="2:15" x14ac:dyDescent="0.2">
      <c r="B1944" s="138"/>
      <c r="C1944" s="126"/>
      <c r="D1944" s="138"/>
      <c r="E1944" s="138"/>
      <c r="F1944" s="138"/>
      <c r="G1944" s="138"/>
      <c r="H1944" s="138"/>
      <c r="I1944" s="138"/>
      <c r="J1944" s="138"/>
      <c r="K1944" s="138"/>
      <c r="L1944" s="138"/>
      <c r="M1944" s="138"/>
      <c r="N1944" s="138"/>
      <c r="O1944" s="138"/>
    </row>
    <row r="1945" spans="2:15" x14ac:dyDescent="0.2">
      <c r="B1945" s="138"/>
      <c r="C1945" s="126"/>
      <c r="D1945" s="138"/>
      <c r="E1945" s="138"/>
      <c r="F1945" s="138"/>
      <c r="G1945" s="138"/>
      <c r="H1945" s="138"/>
      <c r="I1945" s="138"/>
      <c r="J1945" s="138"/>
      <c r="K1945" s="138"/>
      <c r="L1945" s="138"/>
      <c r="M1945" s="138"/>
      <c r="N1945" s="138"/>
      <c r="O1945" s="138"/>
    </row>
    <row r="1946" spans="2:15" x14ac:dyDescent="0.2">
      <c r="B1946" s="138"/>
      <c r="C1946" s="126"/>
      <c r="D1946" s="138"/>
      <c r="E1946" s="138"/>
      <c r="F1946" s="138"/>
      <c r="G1946" s="138"/>
      <c r="H1946" s="138"/>
      <c r="I1946" s="138"/>
      <c r="J1946" s="138"/>
      <c r="K1946" s="138"/>
      <c r="L1946" s="138"/>
      <c r="M1946" s="138"/>
      <c r="N1946" s="138"/>
      <c r="O1946" s="138"/>
    </row>
    <row r="1947" spans="2:15" x14ac:dyDescent="0.2">
      <c r="B1947" s="138"/>
      <c r="C1947" s="126"/>
      <c r="D1947" s="138"/>
      <c r="E1947" s="138"/>
      <c r="F1947" s="138"/>
      <c r="G1947" s="138"/>
      <c r="H1947" s="138"/>
      <c r="I1947" s="138"/>
      <c r="J1947" s="138"/>
      <c r="K1947" s="138"/>
      <c r="L1947" s="138"/>
      <c r="M1947" s="138"/>
      <c r="N1947" s="138"/>
      <c r="O1947" s="138"/>
    </row>
    <row r="1948" spans="2:15" x14ac:dyDescent="0.2">
      <c r="B1948" s="138"/>
      <c r="C1948" s="126"/>
      <c r="D1948" s="138"/>
      <c r="E1948" s="138"/>
      <c r="F1948" s="138"/>
      <c r="G1948" s="138"/>
      <c r="H1948" s="138"/>
      <c r="I1948" s="138"/>
      <c r="J1948" s="138"/>
      <c r="K1948" s="138"/>
      <c r="L1948" s="138"/>
      <c r="M1948" s="138"/>
      <c r="N1948" s="138"/>
      <c r="O1948" s="138"/>
    </row>
    <row r="1949" spans="2:15" x14ac:dyDescent="0.2">
      <c r="B1949" s="138"/>
      <c r="C1949" s="126"/>
      <c r="D1949" s="138"/>
      <c r="E1949" s="138"/>
      <c r="F1949" s="138"/>
      <c r="G1949" s="138"/>
      <c r="H1949" s="138"/>
      <c r="I1949" s="138"/>
      <c r="J1949" s="138"/>
      <c r="K1949" s="138"/>
      <c r="L1949" s="138"/>
      <c r="M1949" s="138"/>
      <c r="N1949" s="138"/>
      <c r="O1949" s="138"/>
    </row>
    <row r="1950" spans="2:15" x14ac:dyDescent="0.2">
      <c r="B1950" s="138"/>
      <c r="C1950" s="126"/>
      <c r="D1950" s="138"/>
      <c r="E1950" s="138"/>
      <c r="F1950" s="138"/>
      <c r="G1950" s="138"/>
      <c r="H1950" s="138"/>
      <c r="I1950" s="138"/>
      <c r="J1950" s="138"/>
      <c r="K1950" s="138"/>
      <c r="L1950" s="138"/>
      <c r="M1950" s="138"/>
      <c r="N1950" s="138"/>
      <c r="O1950" s="138"/>
    </row>
    <row r="1951" spans="2:15" x14ac:dyDescent="0.2">
      <c r="B1951" s="138"/>
      <c r="C1951" s="126"/>
      <c r="D1951" s="138"/>
      <c r="E1951" s="138"/>
      <c r="F1951" s="138"/>
      <c r="G1951" s="138"/>
      <c r="H1951" s="138"/>
      <c r="I1951" s="138"/>
      <c r="J1951" s="138"/>
      <c r="K1951" s="138"/>
      <c r="L1951" s="138"/>
      <c r="M1951" s="138"/>
      <c r="N1951" s="138"/>
      <c r="O1951" s="138"/>
    </row>
    <row r="1952" spans="2:15" x14ac:dyDescent="0.2">
      <c r="B1952" s="138"/>
      <c r="C1952" s="126"/>
      <c r="D1952" s="138"/>
      <c r="E1952" s="138"/>
      <c r="F1952" s="138"/>
      <c r="G1952" s="138"/>
      <c r="H1952" s="138"/>
      <c r="I1952" s="138"/>
      <c r="J1952" s="138"/>
      <c r="K1952" s="138"/>
      <c r="L1952" s="138"/>
      <c r="M1952" s="138"/>
      <c r="N1952" s="138"/>
      <c r="O1952" s="138"/>
    </row>
    <row r="1953" spans="2:15" x14ac:dyDescent="0.2">
      <c r="B1953" s="138"/>
      <c r="C1953" s="126"/>
      <c r="D1953" s="138"/>
      <c r="E1953" s="138"/>
      <c r="F1953" s="138"/>
      <c r="G1953" s="138"/>
      <c r="H1953" s="138"/>
      <c r="I1953" s="138"/>
      <c r="J1953" s="138"/>
      <c r="K1953" s="138"/>
      <c r="L1953" s="138"/>
      <c r="M1953" s="138"/>
      <c r="N1953" s="138"/>
      <c r="O1953" s="138"/>
    </row>
    <row r="1954" spans="2:15" x14ac:dyDescent="0.2">
      <c r="B1954" s="138"/>
      <c r="C1954" s="126"/>
      <c r="D1954" s="138"/>
      <c r="E1954" s="138"/>
      <c r="F1954" s="138"/>
      <c r="G1954" s="138"/>
      <c r="H1954" s="138"/>
      <c r="I1954" s="138"/>
      <c r="J1954" s="138"/>
      <c r="K1954" s="138"/>
      <c r="L1954" s="138"/>
      <c r="M1954" s="138"/>
      <c r="N1954" s="138"/>
      <c r="O1954" s="138"/>
    </row>
    <row r="1955" spans="2:15" x14ac:dyDescent="0.2">
      <c r="B1955" s="138"/>
      <c r="C1955" s="126"/>
      <c r="D1955" s="138"/>
      <c r="E1955" s="138"/>
      <c r="F1955" s="138"/>
      <c r="G1955" s="138"/>
      <c r="H1955" s="138"/>
      <c r="I1955" s="138"/>
      <c r="J1955" s="138"/>
      <c r="K1955" s="138"/>
      <c r="L1955" s="138"/>
      <c r="M1955" s="138"/>
      <c r="N1955" s="138"/>
      <c r="O1955" s="138"/>
    </row>
    <row r="1956" spans="2:15" x14ac:dyDescent="0.2">
      <c r="B1956" s="138"/>
      <c r="C1956" s="126"/>
      <c r="D1956" s="138"/>
      <c r="E1956" s="138"/>
      <c r="F1956" s="138"/>
      <c r="G1956" s="138"/>
      <c r="H1956" s="138"/>
      <c r="I1956" s="138"/>
      <c r="J1956" s="138"/>
      <c r="K1956" s="138"/>
      <c r="L1956" s="138"/>
      <c r="M1956" s="138"/>
      <c r="N1956" s="138"/>
      <c r="O1956" s="138"/>
    </row>
    <row r="1957" spans="2:15" x14ac:dyDescent="0.2">
      <c r="B1957" s="138"/>
      <c r="C1957" s="126"/>
      <c r="D1957" s="138"/>
      <c r="E1957" s="138"/>
      <c r="F1957" s="138"/>
      <c r="G1957" s="138"/>
      <c r="H1957" s="138"/>
      <c r="I1957" s="138"/>
      <c r="J1957" s="138"/>
      <c r="K1957" s="138"/>
      <c r="L1957" s="138"/>
      <c r="M1957" s="138"/>
      <c r="N1957" s="138"/>
      <c r="O1957" s="138"/>
    </row>
    <row r="1958" spans="2:15" x14ac:dyDescent="0.2">
      <c r="B1958" s="138"/>
      <c r="C1958" s="126"/>
      <c r="D1958" s="138"/>
      <c r="E1958" s="138"/>
      <c r="F1958" s="138"/>
      <c r="G1958" s="138"/>
      <c r="H1958" s="138"/>
      <c r="I1958" s="138"/>
      <c r="J1958" s="138"/>
      <c r="K1958" s="138"/>
      <c r="L1958" s="138"/>
      <c r="M1958" s="138"/>
      <c r="N1958" s="138"/>
      <c r="O1958" s="138"/>
    </row>
    <row r="1959" spans="2:15" x14ac:dyDescent="0.2">
      <c r="B1959" s="138"/>
      <c r="C1959" s="126"/>
      <c r="D1959" s="138"/>
      <c r="E1959" s="138"/>
      <c r="F1959" s="138"/>
      <c r="G1959" s="138"/>
      <c r="H1959" s="138"/>
      <c r="I1959" s="138"/>
      <c r="J1959" s="138"/>
      <c r="K1959" s="138"/>
      <c r="L1959" s="138"/>
      <c r="M1959" s="138"/>
      <c r="N1959" s="138"/>
      <c r="O1959" s="138"/>
    </row>
    <row r="1960" spans="2:15" x14ac:dyDescent="0.2">
      <c r="B1960" s="138"/>
      <c r="C1960" s="126"/>
      <c r="D1960" s="138"/>
      <c r="E1960" s="138"/>
      <c r="F1960" s="138"/>
      <c r="G1960" s="138"/>
      <c r="H1960" s="138"/>
      <c r="I1960" s="138"/>
      <c r="J1960" s="138"/>
      <c r="K1960" s="138"/>
      <c r="L1960" s="138"/>
      <c r="M1960" s="138"/>
      <c r="N1960" s="138"/>
      <c r="O1960" s="138"/>
    </row>
    <row r="1961" spans="2:15" x14ac:dyDescent="0.2">
      <c r="B1961" s="138"/>
      <c r="C1961" s="126"/>
      <c r="D1961" s="138"/>
      <c r="E1961" s="138"/>
      <c r="F1961" s="138"/>
      <c r="G1961" s="138"/>
      <c r="H1961" s="138"/>
      <c r="I1961" s="138"/>
      <c r="J1961" s="138"/>
      <c r="K1961" s="138"/>
      <c r="L1961" s="138"/>
      <c r="M1961" s="138"/>
      <c r="N1961" s="138"/>
      <c r="O1961" s="138"/>
    </row>
    <row r="1962" spans="2:15" x14ac:dyDescent="0.2">
      <c r="B1962" s="138"/>
      <c r="C1962" s="126"/>
      <c r="D1962" s="138"/>
      <c r="E1962" s="138"/>
      <c r="F1962" s="138"/>
      <c r="G1962" s="138"/>
      <c r="H1962" s="138"/>
      <c r="I1962" s="138"/>
      <c r="J1962" s="138"/>
      <c r="K1962" s="138"/>
      <c r="L1962" s="138"/>
      <c r="M1962" s="138"/>
      <c r="N1962" s="138"/>
      <c r="O1962" s="138"/>
    </row>
    <row r="1963" spans="2:15" x14ac:dyDescent="0.2">
      <c r="B1963" s="138"/>
      <c r="C1963" s="126"/>
      <c r="D1963" s="138"/>
      <c r="E1963" s="138"/>
      <c r="F1963" s="138"/>
      <c r="G1963" s="138"/>
      <c r="H1963" s="138"/>
      <c r="I1963" s="138"/>
      <c r="J1963" s="138"/>
      <c r="K1963" s="138"/>
      <c r="L1963" s="138"/>
      <c r="M1963" s="138"/>
      <c r="N1963" s="138"/>
      <c r="O1963" s="138"/>
    </row>
    <row r="1964" spans="2:15" x14ac:dyDescent="0.2">
      <c r="B1964" s="138"/>
      <c r="C1964" s="126"/>
      <c r="D1964" s="138"/>
      <c r="E1964" s="138"/>
      <c r="F1964" s="138"/>
      <c r="G1964" s="138"/>
      <c r="H1964" s="138"/>
      <c r="I1964" s="138"/>
      <c r="J1964" s="138"/>
      <c r="K1964" s="138"/>
      <c r="L1964" s="138"/>
      <c r="M1964" s="138"/>
      <c r="N1964" s="138"/>
      <c r="O1964" s="138"/>
    </row>
    <row r="1965" spans="2:15" x14ac:dyDescent="0.2">
      <c r="B1965" s="138"/>
      <c r="C1965" s="126"/>
      <c r="D1965" s="138"/>
      <c r="E1965" s="138"/>
      <c r="F1965" s="138"/>
      <c r="G1965" s="138"/>
      <c r="H1965" s="138"/>
      <c r="I1965" s="138"/>
      <c r="J1965" s="138"/>
      <c r="K1965" s="138"/>
      <c r="L1965" s="138"/>
      <c r="M1965" s="138"/>
      <c r="N1965" s="138"/>
      <c r="O1965" s="138"/>
    </row>
    <row r="1966" spans="2:15" x14ac:dyDescent="0.2">
      <c r="B1966" s="138"/>
      <c r="C1966" s="126"/>
      <c r="D1966" s="138"/>
      <c r="E1966" s="138"/>
      <c r="F1966" s="138"/>
      <c r="G1966" s="138"/>
      <c r="H1966" s="138"/>
      <c r="I1966" s="138"/>
      <c r="J1966" s="138"/>
      <c r="K1966" s="138"/>
      <c r="L1966" s="138"/>
      <c r="M1966" s="138"/>
      <c r="N1966" s="138"/>
      <c r="O1966" s="138"/>
    </row>
    <row r="1967" spans="2:15" x14ac:dyDescent="0.2">
      <c r="B1967" s="138"/>
      <c r="C1967" s="126"/>
      <c r="D1967" s="138"/>
      <c r="E1967" s="138"/>
      <c r="F1967" s="138"/>
      <c r="G1967" s="138"/>
      <c r="H1967" s="138"/>
      <c r="I1967" s="138"/>
      <c r="J1967" s="138"/>
      <c r="K1967" s="138"/>
      <c r="L1967" s="138"/>
      <c r="M1967" s="138"/>
      <c r="N1967" s="138"/>
      <c r="O1967" s="138"/>
    </row>
    <row r="1968" spans="2:15" x14ac:dyDescent="0.2">
      <c r="B1968" s="138"/>
      <c r="C1968" s="126"/>
      <c r="D1968" s="138"/>
      <c r="E1968" s="138"/>
      <c r="F1968" s="138"/>
      <c r="G1968" s="138"/>
      <c r="H1968" s="138"/>
      <c r="I1968" s="138"/>
      <c r="J1968" s="138"/>
      <c r="K1968" s="138"/>
      <c r="L1968" s="138"/>
      <c r="M1968" s="138"/>
      <c r="N1968" s="138"/>
      <c r="O1968" s="138"/>
    </row>
    <row r="1969" spans="2:15" x14ac:dyDescent="0.2">
      <c r="B1969" s="138"/>
      <c r="C1969" s="126"/>
      <c r="D1969" s="138"/>
      <c r="E1969" s="138"/>
      <c r="F1969" s="138"/>
      <c r="G1969" s="138"/>
      <c r="H1969" s="138"/>
      <c r="I1969" s="138"/>
      <c r="J1969" s="138"/>
      <c r="K1969" s="138"/>
      <c r="L1969" s="138"/>
      <c r="M1969" s="138"/>
      <c r="N1969" s="138"/>
      <c r="O1969" s="138"/>
    </row>
    <row r="1970" spans="2:15" x14ac:dyDescent="0.2">
      <c r="B1970" s="138"/>
      <c r="C1970" s="126"/>
      <c r="D1970" s="138"/>
      <c r="E1970" s="138"/>
      <c r="F1970" s="138"/>
      <c r="G1970" s="138"/>
      <c r="H1970" s="138"/>
      <c r="I1970" s="138"/>
      <c r="J1970" s="138"/>
      <c r="K1970" s="138"/>
      <c r="L1970" s="138"/>
      <c r="M1970" s="138"/>
      <c r="N1970" s="138"/>
      <c r="O1970" s="138"/>
    </row>
    <row r="1971" spans="2:15" x14ac:dyDescent="0.2">
      <c r="B1971" s="138"/>
      <c r="C1971" s="126"/>
      <c r="D1971" s="138"/>
      <c r="E1971" s="138"/>
      <c r="F1971" s="138"/>
      <c r="G1971" s="138"/>
      <c r="H1971" s="138"/>
      <c r="I1971" s="138"/>
      <c r="J1971" s="138"/>
      <c r="K1971" s="138"/>
      <c r="L1971" s="138"/>
      <c r="M1971" s="138"/>
      <c r="N1971" s="138"/>
      <c r="O1971" s="138"/>
    </row>
    <row r="1972" spans="2:15" x14ac:dyDescent="0.2">
      <c r="B1972" s="138"/>
      <c r="C1972" s="126"/>
      <c r="D1972" s="138"/>
      <c r="E1972" s="138"/>
      <c r="F1972" s="138"/>
      <c r="G1972" s="138"/>
      <c r="H1972" s="138"/>
      <c r="I1972" s="138"/>
      <c r="J1972" s="138"/>
      <c r="K1972" s="138"/>
      <c r="L1972" s="138"/>
      <c r="M1972" s="138"/>
      <c r="N1972" s="138"/>
      <c r="O1972" s="138"/>
    </row>
    <row r="1973" spans="2:15" x14ac:dyDescent="0.2">
      <c r="B1973" s="138"/>
      <c r="C1973" s="126"/>
      <c r="D1973" s="138"/>
      <c r="E1973" s="138"/>
      <c r="F1973" s="138"/>
      <c r="G1973" s="138"/>
      <c r="H1973" s="138"/>
      <c r="I1973" s="138"/>
      <c r="J1973" s="138"/>
      <c r="K1973" s="138"/>
      <c r="L1973" s="138"/>
      <c r="M1973" s="138"/>
      <c r="N1973" s="138"/>
      <c r="O1973" s="138"/>
    </row>
    <row r="1974" spans="2:15" x14ac:dyDescent="0.2">
      <c r="B1974" s="138"/>
      <c r="C1974" s="126"/>
      <c r="D1974" s="138"/>
      <c r="E1974" s="138"/>
      <c r="F1974" s="138"/>
      <c r="G1974" s="138"/>
      <c r="H1974" s="138"/>
      <c r="I1974" s="138"/>
      <c r="J1974" s="138"/>
      <c r="K1974" s="138"/>
      <c r="L1974" s="138"/>
      <c r="M1974" s="138"/>
      <c r="N1974" s="138"/>
      <c r="O1974" s="138"/>
    </row>
    <row r="1975" spans="2:15" x14ac:dyDescent="0.2">
      <c r="B1975" s="138"/>
      <c r="C1975" s="126"/>
      <c r="D1975" s="138"/>
      <c r="E1975" s="138"/>
      <c r="F1975" s="138"/>
      <c r="G1975" s="138"/>
      <c r="H1975" s="138"/>
      <c r="I1975" s="138"/>
      <c r="J1975" s="138"/>
      <c r="K1975" s="138"/>
      <c r="L1975" s="138"/>
      <c r="M1975" s="138"/>
      <c r="N1975" s="138"/>
      <c r="O1975" s="138"/>
    </row>
    <row r="1976" spans="2:15" x14ac:dyDescent="0.2">
      <c r="B1976" s="138"/>
      <c r="C1976" s="126"/>
      <c r="D1976" s="138"/>
      <c r="E1976" s="138"/>
      <c r="F1976" s="138"/>
      <c r="G1976" s="138"/>
      <c r="H1976" s="138"/>
      <c r="I1976" s="138"/>
      <c r="J1976" s="138"/>
      <c r="K1976" s="138"/>
      <c r="L1976" s="138"/>
      <c r="M1976" s="138"/>
      <c r="N1976" s="138"/>
      <c r="O1976" s="138"/>
    </row>
    <row r="1977" spans="2:15" x14ac:dyDescent="0.2">
      <c r="B1977" s="138"/>
      <c r="C1977" s="126"/>
      <c r="D1977" s="138"/>
      <c r="E1977" s="138"/>
      <c r="F1977" s="138"/>
      <c r="G1977" s="138"/>
      <c r="H1977" s="138"/>
      <c r="I1977" s="138"/>
      <c r="J1977" s="138"/>
      <c r="K1977" s="138"/>
      <c r="L1977" s="138"/>
      <c r="M1977" s="138"/>
      <c r="N1977" s="138"/>
      <c r="O1977" s="138"/>
    </row>
    <row r="1978" spans="2:15" x14ac:dyDescent="0.2">
      <c r="B1978" s="138"/>
      <c r="C1978" s="126"/>
      <c r="D1978" s="138"/>
      <c r="E1978" s="138"/>
      <c r="F1978" s="138"/>
      <c r="G1978" s="138"/>
      <c r="H1978" s="138"/>
      <c r="I1978" s="138"/>
      <c r="J1978" s="138"/>
      <c r="K1978" s="138"/>
      <c r="L1978" s="138"/>
      <c r="M1978" s="138"/>
      <c r="N1978" s="138"/>
      <c r="O1978" s="138"/>
    </row>
    <row r="1979" spans="2:15" x14ac:dyDescent="0.2">
      <c r="B1979" s="138"/>
      <c r="C1979" s="126"/>
      <c r="D1979" s="138"/>
      <c r="E1979" s="138"/>
      <c r="F1979" s="138"/>
      <c r="G1979" s="138"/>
      <c r="H1979" s="138"/>
      <c r="I1979" s="138"/>
      <c r="J1979" s="138"/>
      <c r="K1979" s="138"/>
      <c r="L1979" s="138"/>
      <c r="M1979" s="138"/>
      <c r="N1979" s="138"/>
      <c r="O1979" s="138"/>
    </row>
    <row r="1980" spans="2:15" x14ac:dyDescent="0.2">
      <c r="B1980" s="138"/>
      <c r="C1980" s="126"/>
      <c r="D1980" s="138"/>
      <c r="E1980" s="138"/>
      <c r="F1980" s="138"/>
      <c r="G1980" s="138"/>
      <c r="H1980" s="138"/>
      <c r="I1980" s="138"/>
      <c r="J1980" s="138"/>
      <c r="K1980" s="138"/>
      <c r="L1980" s="138"/>
      <c r="M1980" s="138"/>
      <c r="N1980" s="138"/>
      <c r="O1980" s="138"/>
    </row>
    <row r="1981" spans="2:15" x14ac:dyDescent="0.2">
      <c r="B1981" s="138"/>
      <c r="C1981" s="126"/>
      <c r="D1981" s="138"/>
      <c r="E1981" s="138"/>
      <c r="F1981" s="138"/>
      <c r="G1981" s="138"/>
      <c r="H1981" s="138"/>
      <c r="I1981" s="138"/>
      <c r="J1981" s="138"/>
      <c r="K1981" s="138"/>
      <c r="L1981" s="138"/>
      <c r="M1981" s="138"/>
      <c r="N1981" s="138"/>
      <c r="O1981" s="138"/>
    </row>
    <row r="1982" spans="2:15" x14ac:dyDescent="0.2">
      <c r="B1982" s="138"/>
      <c r="C1982" s="126"/>
      <c r="D1982" s="138"/>
      <c r="E1982" s="138"/>
      <c r="F1982" s="138"/>
      <c r="G1982" s="138"/>
      <c r="H1982" s="138"/>
      <c r="I1982" s="138"/>
      <c r="J1982" s="138"/>
      <c r="K1982" s="138"/>
      <c r="L1982" s="138"/>
      <c r="M1982" s="138"/>
      <c r="N1982" s="138"/>
      <c r="O1982" s="138"/>
    </row>
    <row r="1983" spans="2:15" x14ac:dyDescent="0.2">
      <c r="B1983" s="138"/>
      <c r="C1983" s="126"/>
      <c r="D1983" s="138"/>
      <c r="E1983" s="138"/>
      <c r="F1983" s="138"/>
      <c r="G1983" s="138"/>
      <c r="H1983" s="138"/>
      <c r="I1983" s="138"/>
      <c r="J1983" s="138"/>
      <c r="K1983" s="138"/>
      <c r="L1983" s="138"/>
      <c r="M1983" s="138"/>
      <c r="N1983" s="138"/>
      <c r="O1983" s="138"/>
    </row>
    <row r="1984" spans="2:15" x14ac:dyDescent="0.2">
      <c r="B1984" s="138"/>
      <c r="C1984" s="126"/>
      <c r="D1984" s="138"/>
      <c r="E1984" s="138"/>
      <c r="F1984" s="138"/>
      <c r="G1984" s="138"/>
      <c r="H1984" s="138"/>
      <c r="I1984" s="138"/>
      <c r="J1984" s="138"/>
      <c r="K1984" s="138"/>
      <c r="L1984" s="138"/>
      <c r="M1984" s="138"/>
      <c r="N1984" s="138"/>
      <c r="O1984" s="138"/>
    </row>
    <row r="1985" spans="2:15" x14ac:dyDescent="0.2">
      <c r="B1985" s="138"/>
      <c r="C1985" s="126"/>
      <c r="D1985" s="138"/>
      <c r="E1985" s="138"/>
      <c r="F1985" s="138"/>
      <c r="G1985" s="138"/>
      <c r="H1985" s="138"/>
      <c r="I1985" s="138"/>
      <c r="J1985" s="138"/>
      <c r="K1985" s="138"/>
      <c r="L1985" s="138"/>
      <c r="M1985" s="138"/>
      <c r="N1985" s="138"/>
      <c r="O1985" s="138"/>
    </row>
    <row r="1986" spans="2:15" x14ac:dyDescent="0.2">
      <c r="B1986" s="138"/>
      <c r="C1986" s="126"/>
      <c r="D1986" s="138"/>
      <c r="E1986" s="138"/>
      <c r="F1986" s="138"/>
      <c r="G1986" s="138"/>
      <c r="H1986" s="138"/>
      <c r="I1986" s="138"/>
      <c r="J1986" s="138"/>
      <c r="K1986" s="138"/>
      <c r="L1986" s="138"/>
      <c r="M1986" s="138"/>
      <c r="N1986" s="138"/>
      <c r="O1986" s="138"/>
    </row>
    <row r="1987" spans="2:15" x14ac:dyDescent="0.2">
      <c r="B1987" s="138"/>
      <c r="C1987" s="126"/>
      <c r="D1987" s="138"/>
      <c r="E1987" s="138"/>
      <c r="F1987" s="138"/>
      <c r="G1987" s="138"/>
      <c r="H1987" s="138"/>
      <c r="I1987" s="138"/>
      <c r="J1987" s="138"/>
      <c r="K1987" s="138"/>
      <c r="L1987" s="138"/>
      <c r="M1987" s="138"/>
      <c r="N1987" s="138"/>
      <c r="O1987" s="138"/>
    </row>
    <row r="1988" spans="2:15" x14ac:dyDescent="0.2">
      <c r="B1988" s="138"/>
      <c r="C1988" s="126"/>
      <c r="D1988" s="138"/>
      <c r="E1988" s="138"/>
      <c r="F1988" s="138"/>
      <c r="G1988" s="138"/>
      <c r="H1988" s="138"/>
      <c r="I1988" s="138"/>
      <c r="J1988" s="138"/>
      <c r="K1988" s="138"/>
      <c r="L1988" s="138"/>
      <c r="M1988" s="138"/>
      <c r="N1988" s="138"/>
      <c r="O1988" s="138"/>
    </row>
    <row r="1989" spans="2:15" x14ac:dyDescent="0.2">
      <c r="B1989" s="138"/>
      <c r="C1989" s="126"/>
      <c r="D1989" s="138"/>
      <c r="E1989" s="138"/>
      <c r="F1989" s="138"/>
      <c r="G1989" s="138"/>
      <c r="H1989" s="138"/>
      <c r="I1989" s="138"/>
      <c r="J1989" s="138"/>
      <c r="K1989" s="138"/>
      <c r="L1989" s="138"/>
      <c r="M1989" s="138"/>
      <c r="N1989" s="138"/>
      <c r="O1989" s="138"/>
    </row>
    <row r="1990" spans="2:15" x14ac:dyDescent="0.2">
      <c r="B1990" s="138"/>
      <c r="C1990" s="126"/>
      <c r="D1990" s="138"/>
      <c r="E1990" s="138"/>
      <c r="F1990" s="138"/>
      <c r="G1990" s="138"/>
      <c r="H1990" s="138"/>
      <c r="I1990" s="138"/>
      <c r="J1990" s="138"/>
      <c r="K1990" s="138"/>
      <c r="L1990" s="138"/>
      <c r="M1990" s="138"/>
      <c r="N1990" s="138"/>
      <c r="O1990" s="138"/>
    </row>
    <row r="1991" spans="2:15" x14ac:dyDescent="0.2">
      <c r="B1991" s="138"/>
      <c r="C1991" s="126"/>
      <c r="D1991" s="138"/>
      <c r="E1991" s="138"/>
      <c r="F1991" s="138"/>
      <c r="G1991" s="138"/>
      <c r="H1991" s="138"/>
      <c r="I1991" s="138"/>
      <c r="J1991" s="138"/>
      <c r="K1991" s="138"/>
      <c r="L1991" s="138"/>
      <c r="M1991" s="138"/>
      <c r="N1991" s="138"/>
      <c r="O1991" s="138"/>
    </row>
    <row r="1992" spans="2:15" x14ac:dyDescent="0.2">
      <c r="B1992" s="138"/>
      <c r="C1992" s="126"/>
      <c r="D1992" s="138"/>
      <c r="E1992" s="138"/>
      <c r="F1992" s="138"/>
      <c r="G1992" s="138"/>
      <c r="H1992" s="138"/>
      <c r="I1992" s="138"/>
      <c r="J1992" s="138"/>
      <c r="K1992" s="138"/>
      <c r="L1992" s="138"/>
      <c r="M1992" s="138"/>
      <c r="N1992" s="138"/>
      <c r="O1992" s="138"/>
    </row>
    <row r="1993" spans="2:15" x14ac:dyDescent="0.2">
      <c r="B1993" s="138"/>
      <c r="C1993" s="126"/>
      <c r="D1993" s="138"/>
      <c r="E1993" s="138"/>
      <c r="F1993" s="138"/>
      <c r="G1993" s="138"/>
      <c r="H1993" s="138"/>
      <c r="I1993" s="138"/>
      <c r="J1993" s="138"/>
      <c r="K1993" s="138"/>
      <c r="L1993" s="138"/>
      <c r="M1993" s="138"/>
      <c r="N1993" s="138"/>
      <c r="O1993" s="138"/>
    </row>
    <row r="1994" spans="2:15" x14ac:dyDescent="0.2">
      <c r="B1994" s="138"/>
      <c r="C1994" s="126"/>
      <c r="D1994" s="138"/>
      <c r="E1994" s="138"/>
      <c r="F1994" s="138"/>
      <c r="G1994" s="138"/>
      <c r="H1994" s="138"/>
      <c r="I1994" s="138"/>
      <c r="J1994" s="138"/>
      <c r="K1994" s="138"/>
      <c r="L1994" s="138"/>
      <c r="M1994" s="138"/>
      <c r="N1994" s="138"/>
      <c r="O1994" s="138"/>
    </row>
    <row r="1995" spans="2:15" x14ac:dyDescent="0.2">
      <c r="B1995" s="138"/>
      <c r="C1995" s="126"/>
      <c r="D1995" s="138"/>
      <c r="E1995" s="138"/>
      <c r="F1995" s="138"/>
      <c r="G1995" s="138"/>
      <c r="H1995" s="138"/>
      <c r="I1995" s="138"/>
      <c r="J1995" s="138"/>
      <c r="K1995" s="138"/>
      <c r="L1995" s="138"/>
      <c r="M1995" s="138"/>
      <c r="N1995" s="138"/>
      <c r="O1995" s="138"/>
    </row>
    <row r="1996" spans="2:15" x14ac:dyDescent="0.2">
      <c r="B1996" s="138"/>
      <c r="C1996" s="126"/>
      <c r="D1996" s="138"/>
      <c r="E1996" s="138"/>
      <c r="F1996" s="138"/>
      <c r="G1996" s="138"/>
      <c r="H1996" s="138"/>
      <c r="I1996" s="138"/>
      <c r="J1996" s="138"/>
      <c r="K1996" s="138"/>
      <c r="L1996" s="138"/>
      <c r="M1996" s="138"/>
      <c r="N1996" s="138"/>
      <c r="O1996" s="138"/>
    </row>
    <row r="1997" spans="2:15" x14ac:dyDescent="0.2">
      <c r="B1997" s="138"/>
      <c r="C1997" s="126"/>
      <c r="D1997" s="138"/>
      <c r="E1997" s="138"/>
      <c r="F1997" s="138"/>
      <c r="G1997" s="138"/>
      <c r="H1997" s="138"/>
      <c r="I1997" s="138"/>
      <c r="J1997" s="138"/>
      <c r="K1997" s="138"/>
      <c r="L1997" s="138"/>
      <c r="M1997" s="138"/>
      <c r="N1997" s="138"/>
      <c r="O1997" s="138"/>
    </row>
    <row r="1998" spans="2:15" x14ac:dyDescent="0.2">
      <c r="B1998" s="138"/>
      <c r="C1998" s="126"/>
      <c r="D1998" s="138"/>
      <c r="E1998" s="138"/>
      <c r="F1998" s="138"/>
      <c r="G1998" s="138"/>
      <c r="H1998" s="138"/>
      <c r="I1998" s="138"/>
      <c r="J1998" s="138"/>
      <c r="K1998" s="138"/>
      <c r="L1998" s="138"/>
      <c r="M1998" s="138"/>
      <c r="N1998" s="138"/>
      <c r="O1998" s="138"/>
    </row>
    <row r="1999" spans="2:15" x14ac:dyDescent="0.2">
      <c r="B1999" s="138"/>
      <c r="C1999" s="126"/>
      <c r="D1999" s="138"/>
      <c r="E1999" s="138"/>
      <c r="F1999" s="138"/>
      <c r="G1999" s="138"/>
      <c r="H1999" s="138"/>
      <c r="I1999" s="138"/>
      <c r="J1999" s="138"/>
      <c r="K1999" s="138"/>
      <c r="L1999" s="138"/>
      <c r="M1999" s="138"/>
      <c r="N1999" s="138"/>
      <c r="O1999" s="138"/>
    </row>
    <row r="2000" spans="2:15" x14ac:dyDescent="0.2">
      <c r="B2000" s="138"/>
      <c r="C2000" s="126"/>
      <c r="D2000" s="138"/>
      <c r="E2000" s="138"/>
      <c r="F2000" s="138"/>
      <c r="G2000" s="138"/>
      <c r="H2000" s="138"/>
      <c r="I2000" s="138"/>
      <c r="J2000" s="138"/>
      <c r="K2000" s="138"/>
      <c r="L2000" s="138"/>
      <c r="M2000" s="138"/>
      <c r="N2000" s="138"/>
      <c r="O2000" s="138"/>
    </row>
    <row r="2001" spans="3:3" x14ac:dyDescent="0.2">
      <c r="C2001" s="44"/>
    </row>
    <row r="2002" spans="3:3" x14ac:dyDescent="0.2">
      <c r="C2002" s="44"/>
    </row>
    <row r="2003" spans="3:3" x14ac:dyDescent="0.2">
      <c r="C2003" s="44"/>
    </row>
    <row r="2004" spans="3:3" x14ac:dyDescent="0.2">
      <c r="C2004" s="44"/>
    </row>
    <row r="2005" spans="3:3" x14ac:dyDescent="0.2">
      <c r="C2005" s="44"/>
    </row>
    <row r="2006" spans="3:3" x14ac:dyDescent="0.2">
      <c r="C2006" s="44"/>
    </row>
    <row r="2007" spans="3:3" x14ac:dyDescent="0.2">
      <c r="C2007" s="44"/>
    </row>
    <row r="2008" spans="3:3" x14ac:dyDescent="0.2">
      <c r="C2008" s="44"/>
    </row>
    <row r="2009" spans="3:3" x14ac:dyDescent="0.2">
      <c r="C2009" s="44"/>
    </row>
    <row r="2010" spans="3:3" x14ac:dyDescent="0.2">
      <c r="C2010" s="44"/>
    </row>
    <row r="2011" spans="3:3" x14ac:dyDescent="0.2">
      <c r="C2011" s="44"/>
    </row>
    <row r="2012" spans="3:3" x14ac:dyDescent="0.2">
      <c r="C2012" s="44"/>
    </row>
    <row r="2013" spans="3:3" x14ac:dyDescent="0.2">
      <c r="C2013" s="44"/>
    </row>
    <row r="2014" spans="3:3" x14ac:dyDescent="0.2">
      <c r="C2014" s="44"/>
    </row>
    <row r="2015" spans="3:3" x14ac:dyDescent="0.2">
      <c r="C2015" s="44"/>
    </row>
    <row r="2016" spans="3:3" x14ac:dyDescent="0.2">
      <c r="C2016" s="44"/>
    </row>
    <row r="2017" spans="3:3" x14ac:dyDescent="0.2">
      <c r="C2017" s="44"/>
    </row>
    <row r="2018" spans="3:3" x14ac:dyDescent="0.2">
      <c r="C2018" s="44"/>
    </row>
    <row r="2019" spans="3:3" x14ac:dyDescent="0.2">
      <c r="C2019" s="44"/>
    </row>
    <row r="2020" spans="3:3" x14ac:dyDescent="0.2">
      <c r="C2020" s="44"/>
    </row>
    <row r="2021" spans="3:3" x14ac:dyDescent="0.2">
      <c r="C2021" s="44"/>
    </row>
    <row r="2022" spans="3:3" x14ac:dyDescent="0.2">
      <c r="C2022" s="44"/>
    </row>
    <row r="2023" spans="3:3" x14ac:dyDescent="0.2">
      <c r="C2023" s="44"/>
    </row>
    <row r="2024" spans="3:3" x14ac:dyDescent="0.2">
      <c r="C2024" s="44"/>
    </row>
    <row r="2025" spans="3:3" x14ac:dyDescent="0.2">
      <c r="C2025" s="44"/>
    </row>
    <row r="2026" spans="3:3" x14ac:dyDescent="0.2">
      <c r="C2026" s="44"/>
    </row>
    <row r="2027" spans="3:3" x14ac:dyDescent="0.2">
      <c r="C2027" s="44"/>
    </row>
    <row r="2028" spans="3:3" x14ac:dyDescent="0.2">
      <c r="C2028" s="44"/>
    </row>
    <row r="2029" spans="3:3" x14ac:dyDescent="0.2">
      <c r="C2029" s="44"/>
    </row>
    <row r="2030" spans="3:3" x14ac:dyDescent="0.2">
      <c r="C2030" s="44"/>
    </row>
    <row r="2031" spans="3:3" x14ac:dyDescent="0.2">
      <c r="C2031" s="44"/>
    </row>
    <row r="2032" spans="3:3" x14ac:dyDescent="0.2">
      <c r="C2032" s="44"/>
    </row>
    <row r="2033" spans="3:3" x14ac:dyDescent="0.2">
      <c r="C2033" s="44"/>
    </row>
    <row r="2034" spans="3:3" x14ac:dyDescent="0.2">
      <c r="C2034" s="44"/>
    </row>
    <row r="2035" spans="3:3" x14ac:dyDescent="0.2">
      <c r="C2035" s="44"/>
    </row>
    <row r="2036" spans="3:3" x14ac:dyDescent="0.2">
      <c r="C2036" s="44"/>
    </row>
    <row r="2037" spans="3:3" x14ac:dyDescent="0.2">
      <c r="C2037" s="44"/>
    </row>
    <row r="2038" spans="3:3" x14ac:dyDescent="0.2">
      <c r="C2038" s="44"/>
    </row>
    <row r="2039" spans="3:3" x14ac:dyDescent="0.2">
      <c r="C2039" s="44"/>
    </row>
    <row r="2040" spans="3:3" x14ac:dyDescent="0.2">
      <c r="C2040" s="44"/>
    </row>
    <row r="2041" spans="3:3" x14ac:dyDescent="0.2">
      <c r="C2041" s="44"/>
    </row>
    <row r="2042" spans="3:3" x14ac:dyDescent="0.2">
      <c r="C2042" s="44"/>
    </row>
    <row r="2043" spans="3:3" x14ac:dyDescent="0.2">
      <c r="C2043" s="44"/>
    </row>
    <row r="2044" spans="3:3" x14ac:dyDescent="0.2">
      <c r="C2044" s="44"/>
    </row>
    <row r="2045" spans="3:3" x14ac:dyDescent="0.2">
      <c r="C2045" s="44"/>
    </row>
    <row r="2046" spans="3:3" x14ac:dyDescent="0.2">
      <c r="C2046" s="44"/>
    </row>
    <row r="2047" spans="3:3" x14ac:dyDescent="0.2">
      <c r="C2047" s="44"/>
    </row>
    <row r="2048" spans="3:3" x14ac:dyDescent="0.2">
      <c r="C2048" s="44"/>
    </row>
    <row r="2049" spans="3:3" x14ac:dyDescent="0.2">
      <c r="C2049" s="44"/>
    </row>
    <row r="2050" spans="3:3" x14ac:dyDescent="0.2">
      <c r="C2050" s="44"/>
    </row>
    <row r="2051" spans="3:3" x14ac:dyDescent="0.2">
      <c r="C2051" s="44"/>
    </row>
    <row r="2052" spans="3:3" x14ac:dyDescent="0.2">
      <c r="C2052" s="44"/>
    </row>
    <row r="2053" spans="3:3" x14ac:dyDescent="0.2">
      <c r="C2053" s="44"/>
    </row>
    <row r="2054" spans="3:3" x14ac:dyDescent="0.2">
      <c r="C2054" s="44"/>
    </row>
    <row r="2055" spans="3:3" x14ac:dyDescent="0.2">
      <c r="C2055" s="44"/>
    </row>
    <row r="2056" spans="3:3" x14ac:dyDescent="0.2">
      <c r="C2056" s="44"/>
    </row>
    <row r="2057" spans="3:3" x14ac:dyDescent="0.2">
      <c r="C2057" s="44"/>
    </row>
    <row r="2058" spans="3:3" x14ac:dyDescent="0.2">
      <c r="C2058" s="44"/>
    </row>
    <row r="2059" spans="3:3" x14ac:dyDescent="0.2">
      <c r="C2059" s="44"/>
    </row>
    <row r="2060" spans="3:3" x14ac:dyDescent="0.2">
      <c r="C2060" s="44"/>
    </row>
    <row r="2061" spans="3:3" x14ac:dyDescent="0.2">
      <c r="C2061" s="44"/>
    </row>
    <row r="2062" spans="3:3" x14ac:dyDescent="0.2">
      <c r="C2062" s="44"/>
    </row>
    <row r="2063" spans="3:3" x14ac:dyDescent="0.2">
      <c r="C2063" s="44"/>
    </row>
    <row r="2064" spans="3:3" x14ac:dyDescent="0.2">
      <c r="C2064" s="44"/>
    </row>
    <row r="2065" spans="3:3" x14ac:dyDescent="0.2">
      <c r="C2065" s="44"/>
    </row>
    <row r="2066" spans="3:3" x14ac:dyDescent="0.2">
      <c r="C2066" s="44"/>
    </row>
    <row r="2067" spans="3:3" x14ac:dyDescent="0.2">
      <c r="C2067" s="44"/>
    </row>
    <row r="2068" spans="3:3" x14ac:dyDescent="0.2">
      <c r="C2068" s="44"/>
    </row>
    <row r="2069" spans="3:3" x14ac:dyDescent="0.2">
      <c r="C2069" s="44"/>
    </row>
    <row r="2070" spans="3:3" x14ac:dyDescent="0.2">
      <c r="C2070" s="44"/>
    </row>
    <row r="2071" spans="3:3" x14ac:dyDescent="0.2">
      <c r="C2071" s="44"/>
    </row>
    <row r="2072" spans="3:3" x14ac:dyDescent="0.2">
      <c r="C2072" s="44"/>
    </row>
    <row r="2073" spans="3:3" x14ac:dyDescent="0.2">
      <c r="C2073" s="44"/>
    </row>
    <row r="2074" spans="3:3" x14ac:dyDescent="0.2">
      <c r="C2074" s="44"/>
    </row>
    <row r="2075" spans="3:3" x14ac:dyDescent="0.2">
      <c r="C2075" s="44"/>
    </row>
    <row r="2076" spans="3:3" x14ac:dyDescent="0.2">
      <c r="C2076" s="44"/>
    </row>
    <row r="2077" spans="3:3" x14ac:dyDescent="0.2">
      <c r="C2077" s="44"/>
    </row>
    <row r="2078" spans="3:3" x14ac:dyDescent="0.2">
      <c r="C2078" s="44"/>
    </row>
    <row r="2079" spans="3:3" x14ac:dyDescent="0.2">
      <c r="C2079" s="44"/>
    </row>
    <row r="2080" spans="3:3" x14ac:dyDescent="0.2">
      <c r="C2080" s="44"/>
    </row>
    <row r="2081" spans="3:3" x14ac:dyDescent="0.2">
      <c r="C2081" s="44"/>
    </row>
    <row r="2082" spans="3:3" x14ac:dyDescent="0.2">
      <c r="C2082" s="44"/>
    </row>
    <row r="2083" spans="3:3" x14ac:dyDescent="0.2">
      <c r="C2083" s="44"/>
    </row>
    <row r="2084" spans="3:3" x14ac:dyDescent="0.2">
      <c r="C2084" s="44"/>
    </row>
    <row r="2085" spans="3:3" x14ac:dyDescent="0.2">
      <c r="C2085" s="44"/>
    </row>
    <row r="2086" spans="3:3" x14ac:dyDescent="0.2">
      <c r="C2086" s="44"/>
    </row>
    <row r="2087" spans="3:3" x14ac:dyDescent="0.2">
      <c r="C2087" s="44"/>
    </row>
    <row r="2088" spans="3:3" x14ac:dyDescent="0.2">
      <c r="C2088" s="44"/>
    </row>
    <row r="2089" spans="3:3" x14ac:dyDescent="0.2">
      <c r="C2089" s="44"/>
    </row>
    <row r="2090" spans="3:3" x14ac:dyDescent="0.2">
      <c r="C2090" s="44"/>
    </row>
    <row r="2091" spans="3:3" x14ac:dyDescent="0.2">
      <c r="C2091" s="44"/>
    </row>
    <row r="2092" spans="3:3" x14ac:dyDescent="0.2">
      <c r="C2092" s="44"/>
    </row>
    <row r="2093" spans="3:3" x14ac:dyDescent="0.2">
      <c r="C2093" s="44"/>
    </row>
    <row r="2094" spans="3:3" x14ac:dyDescent="0.2">
      <c r="C2094" s="44"/>
    </row>
    <row r="2095" spans="3:3" x14ac:dyDescent="0.2">
      <c r="C2095" s="44"/>
    </row>
    <row r="2096" spans="3:3" x14ac:dyDescent="0.2">
      <c r="C2096" s="44"/>
    </row>
    <row r="2097" spans="3:3" x14ac:dyDescent="0.2">
      <c r="C2097" s="44"/>
    </row>
    <row r="2098" spans="3:3" x14ac:dyDescent="0.2">
      <c r="C2098" s="44"/>
    </row>
    <row r="2099" spans="3:3" x14ac:dyDescent="0.2">
      <c r="C2099" s="44"/>
    </row>
    <row r="2100" spans="3:3" x14ac:dyDescent="0.2">
      <c r="C2100" s="44"/>
    </row>
    <row r="2101" spans="3:3" x14ac:dyDescent="0.2">
      <c r="C2101" s="44"/>
    </row>
    <row r="2102" spans="3:3" x14ac:dyDescent="0.2">
      <c r="C2102" s="44"/>
    </row>
    <row r="2103" spans="3:3" x14ac:dyDescent="0.2">
      <c r="C2103" s="44"/>
    </row>
    <row r="2104" spans="3:3" x14ac:dyDescent="0.2">
      <c r="C2104" s="44"/>
    </row>
    <row r="2105" spans="3:3" x14ac:dyDescent="0.2">
      <c r="C2105" s="44"/>
    </row>
    <row r="2106" spans="3:3" x14ac:dyDescent="0.2">
      <c r="C2106" s="44"/>
    </row>
    <row r="2107" spans="3:3" x14ac:dyDescent="0.2">
      <c r="C2107" s="44"/>
    </row>
    <row r="2108" spans="3:3" x14ac:dyDescent="0.2">
      <c r="C2108" s="44"/>
    </row>
    <row r="2109" spans="3:3" x14ac:dyDescent="0.2">
      <c r="C2109" s="44"/>
    </row>
    <row r="2110" spans="3:3" x14ac:dyDescent="0.2">
      <c r="C2110" s="44"/>
    </row>
    <row r="2111" spans="3:3" x14ac:dyDescent="0.2">
      <c r="C2111" s="44"/>
    </row>
    <row r="2112" spans="3:3" x14ac:dyDescent="0.2">
      <c r="C2112" s="44"/>
    </row>
    <row r="2113" spans="3:3" x14ac:dyDescent="0.2">
      <c r="C2113" s="44"/>
    </row>
    <row r="2114" spans="3:3" x14ac:dyDescent="0.2">
      <c r="C2114" s="44"/>
    </row>
    <row r="2115" spans="3:3" x14ac:dyDescent="0.2">
      <c r="C2115" s="44"/>
    </row>
    <row r="2116" spans="3:3" x14ac:dyDescent="0.2">
      <c r="C2116" s="44"/>
    </row>
    <row r="2117" spans="3:3" x14ac:dyDescent="0.2">
      <c r="C2117" s="44"/>
    </row>
    <row r="2118" spans="3:3" x14ac:dyDescent="0.2">
      <c r="C2118" s="44"/>
    </row>
    <row r="2119" spans="3:3" x14ac:dyDescent="0.2">
      <c r="C2119" s="44"/>
    </row>
    <row r="2120" spans="3:3" x14ac:dyDescent="0.2">
      <c r="C2120" s="44"/>
    </row>
    <row r="2121" spans="3:3" x14ac:dyDescent="0.2">
      <c r="C2121" s="44"/>
    </row>
    <row r="2122" spans="3:3" x14ac:dyDescent="0.2">
      <c r="C2122" s="44"/>
    </row>
    <row r="2123" spans="3:3" x14ac:dyDescent="0.2">
      <c r="C2123" s="44"/>
    </row>
    <row r="2124" spans="3:3" x14ac:dyDescent="0.2">
      <c r="C2124" s="44"/>
    </row>
    <row r="2125" spans="3:3" x14ac:dyDescent="0.2">
      <c r="C2125" s="44"/>
    </row>
    <row r="2126" spans="3:3" x14ac:dyDescent="0.2">
      <c r="C2126" s="44"/>
    </row>
    <row r="2127" spans="3:3" x14ac:dyDescent="0.2">
      <c r="C2127" s="44"/>
    </row>
    <row r="2128" spans="3:3" x14ac:dyDescent="0.2">
      <c r="C2128" s="44"/>
    </row>
    <row r="2129" spans="3:3" x14ac:dyDescent="0.2">
      <c r="C2129" s="44"/>
    </row>
    <row r="2130" spans="3:3" x14ac:dyDescent="0.2">
      <c r="C2130" s="44"/>
    </row>
    <row r="2131" spans="3:3" x14ac:dyDescent="0.2">
      <c r="C2131" s="44"/>
    </row>
    <row r="2132" spans="3:3" x14ac:dyDescent="0.2">
      <c r="C2132" s="44"/>
    </row>
    <row r="2133" spans="3:3" x14ac:dyDescent="0.2">
      <c r="C2133" s="44"/>
    </row>
    <row r="2134" spans="3:3" x14ac:dyDescent="0.2">
      <c r="C2134" s="44"/>
    </row>
    <row r="2135" spans="3:3" x14ac:dyDescent="0.2">
      <c r="C2135" s="44"/>
    </row>
    <row r="2136" spans="3:3" x14ac:dyDescent="0.2">
      <c r="C2136" s="44"/>
    </row>
    <row r="2137" spans="3:3" x14ac:dyDescent="0.2">
      <c r="C2137" s="44"/>
    </row>
    <row r="2138" spans="3:3" x14ac:dyDescent="0.2">
      <c r="C2138" s="44"/>
    </row>
    <row r="2139" spans="3:3" x14ac:dyDescent="0.2">
      <c r="C2139" s="44"/>
    </row>
    <row r="2140" spans="3:3" x14ac:dyDescent="0.2">
      <c r="C2140" s="44"/>
    </row>
    <row r="2141" spans="3:3" x14ac:dyDescent="0.2">
      <c r="C2141" s="44"/>
    </row>
    <row r="2142" spans="3:3" x14ac:dyDescent="0.2">
      <c r="C2142" s="44"/>
    </row>
    <row r="2143" spans="3:3" x14ac:dyDescent="0.2">
      <c r="C2143" s="44"/>
    </row>
    <row r="2144" spans="3:3" x14ac:dyDescent="0.2">
      <c r="C2144" s="44"/>
    </row>
    <row r="2145" spans="3:3" x14ac:dyDescent="0.2">
      <c r="C2145" s="44"/>
    </row>
    <row r="2146" spans="3:3" x14ac:dyDescent="0.2">
      <c r="C2146" s="44"/>
    </row>
    <row r="2147" spans="3:3" x14ac:dyDescent="0.2">
      <c r="C2147" s="44"/>
    </row>
    <row r="2148" spans="3:3" x14ac:dyDescent="0.2">
      <c r="C2148" s="44"/>
    </row>
    <row r="2149" spans="3:3" x14ac:dyDescent="0.2">
      <c r="C2149" s="44"/>
    </row>
    <row r="2150" spans="3:3" x14ac:dyDescent="0.2">
      <c r="C2150" s="44"/>
    </row>
    <row r="2151" spans="3:3" x14ac:dyDescent="0.2">
      <c r="C2151" s="44"/>
    </row>
    <row r="2152" spans="3:3" x14ac:dyDescent="0.2">
      <c r="C2152" s="44"/>
    </row>
    <row r="2153" spans="3:3" x14ac:dyDescent="0.2">
      <c r="C2153" s="44"/>
    </row>
    <row r="2154" spans="3:3" x14ac:dyDescent="0.2">
      <c r="C2154" s="44"/>
    </row>
    <row r="2155" spans="3:3" x14ac:dyDescent="0.2">
      <c r="C2155" s="44"/>
    </row>
    <row r="2156" spans="3:3" x14ac:dyDescent="0.2">
      <c r="C2156" s="44"/>
    </row>
    <row r="2157" spans="3:3" x14ac:dyDescent="0.2">
      <c r="C2157" s="44"/>
    </row>
    <row r="2158" spans="3:3" x14ac:dyDescent="0.2">
      <c r="C2158" s="44"/>
    </row>
    <row r="2159" spans="3:3" x14ac:dyDescent="0.2">
      <c r="C2159" s="44"/>
    </row>
    <row r="2160" spans="3:3" x14ac:dyDescent="0.2">
      <c r="C2160" s="44"/>
    </row>
    <row r="2161" spans="3:3" x14ac:dyDescent="0.2">
      <c r="C2161" s="44"/>
    </row>
    <row r="2162" spans="3:3" x14ac:dyDescent="0.2">
      <c r="C2162" s="44"/>
    </row>
    <row r="2163" spans="3:3" x14ac:dyDescent="0.2">
      <c r="C2163" s="44"/>
    </row>
    <row r="2164" spans="3:3" x14ac:dyDescent="0.2">
      <c r="C2164" s="44"/>
    </row>
    <row r="2165" spans="3:3" x14ac:dyDescent="0.2">
      <c r="C2165" s="44"/>
    </row>
    <row r="2166" spans="3:3" x14ac:dyDescent="0.2">
      <c r="C2166" s="44"/>
    </row>
    <row r="2167" spans="3:3" x14ac:dyDescent="0.2">
      <c r="C2167" s="44"/>
    </row>
    <row r="2168" spans="3:3" x14ac:dyDescent="0.2">
      <c r="C2168" s="44"/>
    </row>
    <row r="2169" spans="3:3" x14ac:dyDescent="0.2">
      <c r="C2169" s="44"/>
    </row>
    <row r="2170" spans="3:3" x14ac:dyDescent="0.2">
      <c r="C2170" s="44"/>
    </row>
    <row r="2171" spans="3:3" x14ac:dyDescent="0.2">
      <c r="C2171" s="44"/>
    </row>
    <row r="2172" spans="3:3" x14ac:dyDescent="0.2">
      <c r="C2172" s="44"/>
    </row>
    <row r="2173" spans="3:3" x14ac:dyDescent="0.2">
      <c r="C2173" s="44"/>
    </row>
    <row r="2174" spans="3:3" x14ac:dyDescent="0.2">
      <c r="C2174" s="44"/>
    </row>
    <row r="2175" spans="3:3" x14ac:dyDescent="0.2">
      <c r="C2175" s="44"/>
    </row>
    <row r="2176" spans="3:3" x14ac:dyDescent="0.2">
      <c r="C2176" s="44"/>
    </row>
    <row r="2177" spans="3:3" x14ac:dyDescent="0.2">
      <c r="C2177" s="44"/>
    </row>
    <row r="2178" spans="3:3" x14ac:dyDescent="0.2">
      <c r="C2178" s="44"/>
    </row>
    <row r="2179" spans="3:3" x14ac:dyDescent="0.2">
      <c r="C2179" s="44"/>
    </row>
    <row r="2180" spans="3:3" x14ac:dyDescent="0.2">
      <c r="C2180" s="44"/>
    </row>
    <row r="2181" spans="3:3" x14ac:dyDescent="0.2">
      <c r="C2181" s="44"/>
    </row>
    <row r="2182" spans="3:3" x14ac:dyDescent="0.2">
      <c r="C2182" s="44"/>
    </row>
    <row r="2183" spans="3:3" x14ac:dyDescent="0.2">
      <c r="C2183" s="44"/>
    </row>
    <row r="2184" spans="3:3" x14ac:dyDescent="0.2">
      <c r="C2184" s="44"/>
    </row>
    <row r="2185" spans="3:3" x14ac:dyDescent="0.2">
      <c r="C2185" s="44"/>
    </row>
    <row r="2186" spans="3:3" x14ac:dyDescent="0.2">
      <c r="C2186" s="44"/>
    </row>
    <row r="2187" spans="3:3" x14ac:dyDescent="0.2">
      <c r="C2187" s="44"/>
    </row>
    <row r="2188" spans="3:3" x14ac:dyDescent="0.2">
      <c r="C2188" s="44"/>
    </row>
    <row r="2189" spans="3:3" x14ac:dyDescent="0.2">
      <c r="C2189" s="44"/>
    </row>
    <row r="2190" spans="3:3" x14ac:dyDescent="0.2">
      <c r="C2190" s="44"/>
    </row>
    <row r="2191" spans="3:3" x14ac:dyDescent="0.2">
      <c r="C2191" s="44"/>
    </row>
    <row r="2192" spans="3:3" x14ac:dyDescent="0.2">
      <c r="C2192" s="44"/>
    </row>
    <row r="2193" spans="3:3" x14ac:dyDescent="0.2">
      <c r="C2193" s="44"/>
    </row>
    <row r="2194" spans="3:3" x14ac:dyDescent="0.2">
      <c r="C2194" s="44"/>
    </row>
    <row r="2195" spans="3:3" x14ac:dyDescent="0.2">
      <c r="C2195" s="44"/>
    </row>
    <row r="2196" spans="3:3" x14ac:dyDescent="0.2">
      <c r="C2196" s="44"/>
    </row>
    <row r="2197" spans="3:3" x14ac:dyDescent="0.2">
      <c r="C2197" s="44"/>
    </row>
    <row r="2198" spans="3:3" x14ac:dyDescent="0.2">
      <c r="C2198" s="44"/>
    </row>
    <row r="2199" spans="3:3" x14ac:dyDescent="0.2">
      <c r="C2199" s="44"/>
    </row>
    <row r="2200" spans="3:3" x14ac:dyDescent="0.2">
      <c r="C2200" s="44"/>
    </row>
  </sheetData>
  <sheetProtection password="917C" sheet="1" objects="1" scenarios="1" sort="0" autoFilter="0"/>
  <autoFilter ref="B6:O2000">
    <sortState ref="B7:O2000">
      <sortCondition descending="1" ref="D6:D2000"/>
    </sortState>
  </autoFilter>
  <sortState ref="B7:O58">
    <sortCondition descending="1" ref="D7"/>
  </sortState>
  <mergeCells count="6">
    <mergeCell ref="B4:O4"/>
    <mergeCell ref="B2:O2"/>
    <mergeCell ref="C5:D5"/>
    <mergeCell ref="M5:N5"/>
    <mergeCell ref="E5:H5"/>
    <mergeCell ref="I5:L5"/>
  </mergeCells>
  <phoneticPr fontId="5" type="noConversion"/>
  <pageMargins left="0.75" right="0.75" top="1" bottom="1" header="0.5" footer="0.5"/>
  <pageSetup orientation="portrait" verticalDpi="0" r:id="rId1"/>
  <headerFooter alignWithMargins="0"/>
  <customProperties>
    <customPr name="DVSECTIONID" r:id="rId2"/>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R50"/>
  <sheetViews>
    <sheetView zoomScale="115" workbookViewId="0">
      <selection activeCell="C10" sqref="C10"/>
    </sheetView>
  </sheetViews>
  <sheetFormatPr defaultRowHeight="12.75" x14ac:dyDescent="0.2"/>
  <cols>
    <col min="1" max="1" width="5.7109375" customWidth="1"/>
    <col min="2" max="2" width="8.5703125" customWidth="1"/>
    <col min="3" max="3" width="10" customWidth="1"/>
    <col min="4" max="6" width="7.140625" customWidth="1"/>
    <col min="7" max="7" width="8.5703125" customWidth="1"/>
    <col min="8" max="8" width="6.7109375" customWidth="1"/>
    <col min="9" max="9" width="8.5703125" customWidth="1"/>
    <col min="10" max="10" width="10" customWidth="1"/>
    <col min="11" max="13" width="7.140625" customWidth="1"/>
    <col min="14" max="14" width="8.5703125" customWidth="1"/>
    <col min="15" max="15" width="8.140625" customWidth="1"/>
    <col min="16" max="16" width="8.28515625" bestFit="1" customWidth="1"/>
  </cols>
  <sheetData>
    <row r="1" spans="1:18" s="25" customFormat="1" ht="15" customHeight="1" thickBot="1" x14ac:dyDescent="0.25"/>
    <row r="2" spans="1:18" s="25" customFormat="1" ht="12.75" customHeight="1" thickBot="1" x14ac:dyDescent="0.25">
      <c r="B2" s="296" t="s">
        <v>36</v>
      </c>
      <c r="C2" s="297"/>
      <c r="D2" s="297"/>
      <c r="E2" s="297"/>
      <c r="F2" s="297"/>
      <c r="G2" s="297"/>
      <c r="H2" s="297"/>
      <c r="I2" s="297"/>
      <c r="J2" s="297"/>
      <c r="K2" s="297"/>
      <c r="L2" s="297"/>
      <c r="M2" s="297"/>
      <c r="N2" s="298"/>
      <c r="O2" s="72"/>
      <c r="P2" s="72"/>
      <c r="Q2" s="72"/>
      <c r="R2" s="72"/>
    </row>
    <row r="3" spans="1:18" s="25" customFormat="1" ht="7.5" customHeight="1" thickBot="1" x14ac:dyDescent="0.25">
      <c r="B3" s="87"/>
      <c r="C3" s="87"/>
      <c r="D3" s="87"/>
      <c r="E3" s="87"/>
      <c r="F3" s="87"/>
      <c r="G3" s="87"/>
      <c r="H3" s="87"/>
      <c r="I3" s="87"/>
      <c r="J3" s="87"/>
      <c r="K3" s="87"/>
      <c r="L3" s="87"/>
      <c r="M3" s="87"/>
      <c r="N3" s="87"/>
      <c r="Q3" s="26"/>
      <c r="R3" s="26"/>
    </row>
    <row r="4" spans="1:18" s="25" customFormat="1" ht="12.75" customHeight="1" thickBot="1" x14ac:dyDescent="0.25">
      <c r="A4" s="26"/>
      <c r="B4" s="161" t="s">
        <v>90</v>
      </c>
      <c r="C4" s="162"/>
      <c r="D4" s="162"/>
      <c r="E4" s="162"/>
      <c r="F4" s="162"/>
      <c r="G4" s="162"/>
      <c r="H4" s="162"/>
      <c r="I4" s="162"/>
      <c r="J4" s="162"/>
      <c r="K4" s="162"/>
      <c r="L4" s="162"/>
      <c r="M4" s="162"/>
      <c r="N4" s="163"/>
      <c r="O4" s="93"/>
      <c r="P4" s="93"/>
      <c r="Q4" s="26"/>
      <c r="R4" s="26"/>
    </row>
    <row r="5" spans="1:18" s="25" customFormat="1" ht="7.5" customHeight="1" thickBot="1" x14ac:dyDescent="0.25">
      <c r="A5" s="26"/>
      <c r="B5" s="94"/>
      <c r="C5" s="94"/>
      <c r="D5" s="94"/>
      <c r="E5" s="94"/>
      <c r="F5" s="94"/>
      <c r="G5" s="94"/>
      <c r="H5" s="94"/>
      <c r="I5" s="94"/>
      <c r="J5" s="94"/>
      <c r="K5" s="94"/>
      <c r="L5" s="94"/>
      <c r="M5" s="94"/>
      <c r="N5" s="94"/>
      <c r="O5" s="26"/>
      <c r="P5" s="26"/>
      <c r="Q5" s="26"/>
      <c r="R5" s="26"/>
    </row>
    <row r="6" spans="1:18" s="25" customFormat="1" ht="13.5" customHeight="1" thickBot="1" x14ac:dyDescent="0.25">
      <c r="A6" s="26"/>
      <c r="B6" s="296" t="s">
        <v>91</v>
      </c>
      <c r="C6" s="297"/>
      <c r="D6" s="297"/>
      <c r="E6" s="297"/>
      <c r="F6" s="297"/>
      <c r="G6" s="298"/>
      <c r="H6" s="312" t="s">
        <v>92</v>
      </c>
      <c r="I6" s="300" t="s">
        <v>93</v>
      </c>
      <c r="J6" s="301"/>
      <c r="K6" s="301"/>
      <c r="L6" s="301"/>
      <c r="M6" s="301"/>
      <c r="N6" s="302"/>
      <c r="O6" s="78"/>
      <c r="P6" s="78"/>
      <c r="Q6" s="78"/>
      <c r="R6" s="78"/>
    </row>
    <row r="7" spans="1:18" s="25" customFormat="1" ht="11.25" customHeight="1" thickBot="1" x14ac:dyDescent="0.25">
      <c r="A7" s="26"/>
      <c r="B7" s="264" t="s">
        <v>94</v>
      </c>
      <c r="C7" s="265"/>
      <c r="D7" s="265"/>
      <c r="E7" s="265"/>
      <c r="F7" s="265"/>
      <c r="G7" s="266"/>
      <c r="H7" s="312"/>
      <c r="I7" s="264" t="s">
        <v>95</v>
      </c>
      <c r="J7" s="265"/>
      <c r="K7" s="265"/>
      <c r="L7" s="265"/>
      <c r="M7" s="265"/>
      <c r="N7" s="266"/>
      <c r="O7" s="78"/>
      <c r="P7" s="78"/>
      <c r="Q7" s="78"/>
      <c r="R7" s="78"/>
    </row>
    <row r="8" spans="1:18" s="25" customFormat="1" ht="13.5" thickBot="1" x14ac:dyDescent="0.25">
      <c r="A8" s="26"/>
      <c r="B8" s="299" t="s">
        <v>96</v>
      </c>
      <c r="C8" s="299"/>
      <c r="D8" s="299" t="s">
        <v>97</v>
      </c>
      <c r="E8" s="299"/>
      <c r="F8" s="299"/>
      <c r="G8" s="299"/>
      <c r="H8" s="312"/>
      <c r="I8" s="299" t="s">
        <v>96</v>
      </c>
      <c r="J8" s="299"/>
      <c r="K8" s="299" t="s">
        <v>97</v>
      </c>
      <c r="L8" s="299"/>
      <c r="M8" s="299"/>
      <c r="N8" s="299"/>
      <c r="O8" s="80"/>
      <c r="P8" s="79"/>
      <c r="Q8" s="49"/>
      <c r="R8" s="94"/>
    </row>
    <row r="9" spans="1:18" s="25" customFormat="1" ht="13.5" thickBot="1" x14ac:dyDescent="0.25">
      <c r="A9" s="26"/>
      <c r="B9" s="69" t="s">
        <v>98</v>
      </c>
      <c r="C9" s="69" t="s">
        <v>19</v>
      </c>
      <c r="D9" s="299"/>
      <c r="E9" s="299"/>
      <c r="F9" s="299"/>
      <c r="G9" s="299"/>
      <c r="H9" s="312"/>
      <c r="I9" s="69" t="s">
        <v>98</v>
      </c>
      <c r="J9" s="69" t="s">
        <v>19</v>
      </c>
      <c r="K9" s="299"/>
      <c r="L9" s="299"/>
      <c r="M9" s="299"/>
      <c r="N9" s="299"/>
      <c r="O9" s="80"/>
      <c r="P9" s="79"/>
      <c r="Q9" s="49"/>
      <c r="R9" s="94"/>
    </row>
    <row r="10" spans="1:18" s="25" customFormat="1" ht="16.5" thickBot="1" x14ac:dyDescent="0.25">
      <c r="A10" s="26"/>
      <c r="B10" s="69">
        <v>1</v>
      </c>
      <c r="C10" s="70">
        <v>3322</v>
      </c>
      <c r="D10" s="306">
        <f>VLOOKUP(C10,'Data Analysis'!$B$7:$O$60000,3,FALSE)</f>
        <v>12.333333333333334</v>
      </c>
      <c r="E10" s="307"/>
      <c r="F10" s="307"/>
      <c r="G10" s="308"/>
      <c r="H10" s="312"/>
      <c r="I10" s="69">
        <v>1</v>
      </c>
      <c r="J10" s="70">
        <v>3773</v>
      </c>
      <c r="K10" s="306">
        <f>VLOOKUP(J10,'Data Analysis'!$B$7:$O$60000,3,FALSE)</f>
        <v>2.5</v>
      </c>
      <c r="L10" s="307"/>
      <c r="M10" s="307"/>
      <c r="N10" s="308"/>
      <c r="O10" s="26"/>
      <c r="P10" s="26"/>
      <c r="Q10" s="26"/>
      <c r="R10" s="26"/>
    </row>
    <row r="11" spans="1:18" s="25" customFormat="1" ht="16.5" thickBot="1" x14ac:dyDescent="0.25">
      <c r="A11" s="26"/>
      <c r="B11" s="69">
        <v>2</v>
      </c>
      <c r="C11" s="70">
        <v>3537</v>
      </c>
      <c r="D11" s="306">
        <f>VLOOKUP(C11,'Data Analysis'!$B$7:$O$60000,3,FALSE)</f>
        <v>7.7142857142857144</v>
      </c>
      <c r="E11" s="307"/>
      <c r="F11" s="307"/>
      <c r="G11" s="308"/>
      <c r="H11" s="312"/>
      <c r="I11" s="69">
        <v>2</v>
      </c>
      <c r="J11" s="70">
        <v>3638</v>
      </c>
      <c r="K11" s="306">
        <f>VLOOKUP(J11,'Data Analysis'!$B$7:$O$60000,3,FALSE)</f>
        <v>2.5</v>
      </c>
      <c r="L11" s="307"/>
      <c r="M11" s="307"/>
      <c r="N11" s="308"/>
      <c r="O11" s="26"/>
      <c r="P11" s="26"/>
      <c r="Q11" s="26"/>
      <c r="R11" s="26"/>
    </row>
    <row r="12" spans="1:18" s="25" customFormat="1" ht="16.5" thickBot="1" x14ac:dyDescent="0.25">
      <c r="A12" s="26"/>
      <c r="B12" s="69">
        <v>3</v>
      </c>
      <c r="C12" s="70">
        <v>1502</v>
      </c>
      <c r="D12" s="306">
        <f>VLOOKUP(C12,'Data Analysis'!$B$7:$O$60000,3,FALSE)</f>
        <v>0</v>
      </c>
      <c r="E12" s="307"/>
      <c r="F12" s="307"/>
      <c r="G12" s="308"/>
      <c r="H12" s="312"/>
      <c r="I12" s="69">
        <v>3</v>
      </c>
      <c r="J12" s="70">
        <v>3656</v>
      </c>
      <c r="K12" s="306">
        <f>VLOOKUP(J12,'Data Analysis'!$B$7:$O$60000,3,FALSE)</f>
        <v>1.5</v>
      </c>
      <c r="L12" s="307"/>
      <c r="M12" s="307"/>
      <c r="N12" s="308"/>
      <c r="O12" s="26"/>
      <c r="P12" s="26"/>
      <c r="Q12" s="26"/>
      <c r="R12" s="26"/>
    </row>
    <row r="13" spans="1:18" s="25" customFormat="1" ht="10.5" customHeight="1" thickBot="1" x14ac:dyDescent="0.25">
      <c r="A13" s="26"/>
      <c r="B13" s="264" t="s">
        <v>99</v>
      </c>
      <c r="C13" s="265"/>
      <c r="D13" s="265"/>
      <c r="E13" s="265"/>
      <c r="F13" s="265"/>
      <c r="G13" s="266"/>
      <c r="H13" s="312"/>
      <c r="I13" s="264" t="s">
        <v>99</v>
      </c>
      <c r="J13" s="265"/>
      <c r="K13" s="265"/>
      <c r="L13" s="265"/>
      <c r="M13" s="265"/>
      <c r="N13" s="266"/>
      <c r="O13" s="26"/>
      <c r="P13" s="26"/>
      <c r="Q13" s="26"/>
      <c r="R13" s="26"/>
    </row>
    <row r="14" spans="1:18" s="25" customFormat="1" ht="7.5" customHeight="1" thickBot="1" x14ac:dyDescent="0.25">
      <c r="B14" s="49"/>
      <c r="C14" s="49"/>
      <c r="D14" s="49"/>
      <c r="E14" s="49"/>
      <c r="F14" s="49"/>
      <c r="G14" s="49"/>
      <c r="H14" s="312"/>
      <c r="I14" s="49"/>
      <c r="J14" s="49"/>
      <c r="K14" s="49"/>
      <c r="L14" s="49"/>
      <c r="M14" s="49"/>
      <c r="N14" s="49"/>
      <c r="O14" s="26"/>
      <c r="P14" s="26"/>
    </row>
    <row r="15" spans="1:18" s="25" customFormat="1" ht="13.5" thickBot="1" x14ac:dyDescent="0.25">
      <c r="B15" s="313" t="s">
        <v>100</v>
      </c>
      <c r="C15" s="314"/>
      <c r="D15" s="315"/>
      <c r="E15" s="303">
        <f>SUM(D10:G12)</f>
        <v>20.047619047619047</v>
      </c>
      <c r="F15" s="304"/>
      <c r="G15" s="305"/>
      <c r="H15" s="312"/>
      <c r="I15" s="316" t="s">
        <v>101</v>
      </c>
      <c r="J15" s="317"/>
      <c r="K15" s="318"/>
      <c r="L15" s="303">
        <f>SUM(K10:N12)</f>
        <v>6.5</v>
      </c>
      <c r="M15" s="304"/>
      <c r="N15" s="305"/>
      <c r="O15" s="26"/>
      <c r="P15" s="26"/>
    </row>
    <row r="16" spans="1:18" s="25" customFormat="1" ht="7.5" customHeight="1" thickBot="1" x14ac:dyDescent="0.25">
      <c r="B16" s="49"/>
      <c r="C16" s="49"/>
      <c r="D16" s="49"/>
      <c r="E16" s="49"/>
      <c r="F16" s="49"/>
      <c r="G16" s="49"/>
      <c r="H16" s="49"/>
      <c r="I16" s="49"/>
      <c r="J16" s="49"/>
      <c r="K16" s="49"/>
      <c r="L16" s="49"/>
      <c r="M16" s="49"/>
      <c r="N16" s="95"/>
      <c r="O16" s="26"/>
      <c r="P16" s="26"/>
    </row>
    <row r="17" spans="1:18" s="25" customFormat="1" ht="13.5" thickBot="1" x14ac:dyDescent="0.25">
      <c r="B17" s="49"/>
      <c r="C17" s="49"/>
      <c r="D17" s="49"/>
      <c r="E17" s="49"/>
      <c r="F17" s="49"/>
      <c r="G17" s="319" t="s">
        <v>102</v>
      </c>
      <c r="H17" s="320"/>
      <c r="I17" s="321"/>
      <c r="J17" s="49"/>
      <c r="K17" s="49"/>
      <c r="L17" s="49"/>
      <c r="M17" s="49"/>
      <c r="N17" s="49"/>
      <c r="O17" s="26"/>
      <c r="P17" s="26"/>
    </row>
    <row r="18" spans="1:18" s="25" customFormat="1" x14ac:dyDescent="0.2">
      <c r="B18" s="49"/>
      <c r="C18" s="49"/>
      <c r="D18" s="49"/>
      <c r="E18" s="49"/>
      <c r="F18" s="49"/>
      <c r="G18" s="322" t="str">
        <f>IF(E15&gt;L15,"Red Alliance",IF(E15=L15,"Equal","Blue Alliance"))</f>
        <v>Red Alliance</v>
      </c>
      <c r="H18" s="323"/>
      <c r="I18" s="324"/>
      <c r="J18" s="49"/>
      <c r="K18" s="49"/>
      <c r="L18" s="49"/>
      <c r="M18" s="49"/>
      <c r="N18" s="49"/>
      <c r="O18" s="26"/>
      <c r="P18" s="26"/>
    </row>
    <row r="19" spans="1:18" s="25" customFormat="1" x14ac:dyDescent="0.2">
      <c r="B19" s="49"/>
      <c r="C19" s="49"/>
      <c r="D19" s="49"/>
      <c r="E19" s="49"/>
      <c r="F19" s="49"/>
      <c r="G19" s="325"/>
      <c r="H19" s="326"/>
      <c r="I19" s="327"/>
      <c r="J19" s="49"/>
      <c r="K19" s="49"/>
      <c r="L19" s="49"/>
      <c r="M19" s="49"/>
      <c r="N19" s="49"/>
      <c r="O19" s="26"/>
      <c r="P19" s="26"/>
    </row>
    <row r="20" spans="1:18" s="25" customFormat="1" ht="13.5" thickBot="1" x14ac:dyDescent="0.25">
      <c r="B20" s="49"/>
      <c r="C20" s="49"/>
      <c r="D20" s="49"/>
      <c r="E20" s="49"/>
      <c r="F20" s="49"/>
      <c r="G20" s="328"/>
      <c r="H20" s="329"/>
      <c r="I20" s="330"/>
      <c r="J20" s="49"/>
      <c r="K20" s="49"/>
      <c r="L20" s="49"/>
      <c r="M20" s="49"/>
      <c r="N20" s="49"/>
      <c r="O20" s="26"/>
      <c r="P20" s="26"/>
    </row>
    <row r="21" spans="1:18" s="25" customFormat="1" ht="11.25" customHeight="1" thickBot="1" x14ac:dyDescent="0.25">
      <c r="B21" s="49"/>
      <c r="C21" s="49"/>
      <c r="D21" s="49"/>
      <c r="E21" s="49"/>
      <c r="F21" s="49"/>
      <c r="G21" s="264" t="s">
        <v>103</v>
      </c>
      <c r="H21" s="265"/>
      <c r="I21" s="266"/>
      <c r="J21" s="49"/>
      <c r="K21" s="49"/>
      <c r="L21" s="49"/>
      <c r="M21" s="49"/>
      <c r="N21" s="49"/>
      <c r="O21" s="26"/>
      <c r="P21" s="26"/>
    </row>
    <row r="22" spans="1:18" s="25" customFormat="1" ht="16.5" customHeight="1" thickBot="1" x14ac:dyDescent="0.25">
      <c r="B22" s="49"/>
      <c r="C22" s="49"/>
      <c r="D22" s="49"/>
      <c r="E22" s="49"/>
      <c r="F22" s="49"/>
      <c r="G22" s="309">
        <f>ABS(E15-L15)</f>
        <v>13.547619047619047</v>
      </c>
      <c r="H22" s="310"/>
      <c r="I22" s="311"/>
      <c r="J22" s="49"/>
      <c r="K22" s="49"/>
      <c r="L22" s="49"/>
      <c r="M22" s="49"/>
      <c r="N22" s="49"/>
      <c r="O22" s="26"/>
      <c r="P22" s="26"/>
    </row>
    <row r="23" spans="1:18" s="25" customFormat="1" x14ac:dyDescent="0.2">
      <c r="B23" s="38"/>
      <c r="C23" s="38"/>
      <c r="D23" s="38"/>
      <c r="E23" s="38"/>
      <c r="F23" s="38"/>
      <c r="G23" s="38"/>
      <c r="H23" s="38"/>
      <c r="I23" s="38"/>
      <c r="J23" s="38"/>
      <c r="K23" s="38"/>
      <c r="L23" s="38"/>
      <c r="M23" s="38"/>
      <c r="N23" s="38"/>
      <c r="O23" s="26"/>
      <c r="P23" s="26"/>
      <c r="Q23" s="26"/>
    </row>
    <row r="24" spans="1:18" s="25" customFormat="1" x14ac:dyDescent="0.2">
      <c r="A24" s="24"/>
      <c r="B24" s="96"/>
      <c r="C24" s="96"/>
      <c r="D24" s="96"/>
      <c r="E24" s="96"/>
      <c r="F24" s="96"/>
      <c r="G24" s="96"/>
      <c r="H24" s="96"/>
      <c r="I24" s="96"/>
      <c r="J24" s="96"/>
      <c r="K24" s="96"/>
      <c r="L24" s="96"/>
      <c r="M24" s="96"/>
      <c r="N24" s="96"/>
      <c r="O24" s="24"/>
      <c r="P24" s="24"/>
      <c r="Q24" s="24"/>
      <c r="R24" s="24"/>
    </row>
    <row r="25" spans="1:18" s="25" customFormat="1" x14ac:dyDescent="0.2">
      <c r="A25" s="24"/>
      <c r="B25" s="96"/>
      <c r="C25" s="96"/>
      <c r="D25" s="96"/>
      <c r="E25" s="96"/>
      <c r="F25" s="96"/>
      <c r="G25" s="96"/>
      <c r="H25" s="96"/>
      <c r="I25" s="96"/>
      <c r="J25" s="96"/>
      <c r="K25" s="96"/>
      <c r="L25" s="96"/>
      <c r="M25" s="96"/>
      <c r="N25" s="96"/>
      <c r="O25" s="24"/>
      <c r="P25" s="24"/>
      <c r="Q25" s="24"/>
      <c r="R25" s="24"/>
    </row>
    <row r="26" spans="1:18" s="25" customFormat="1" x14ac:dyDescent="0.2">
      <c r="A26" s="24"/>
      <c r="B26" s="96"/>
      <c r="C26" s="96"/>
      <c r="D26" s="96"/>
      <c r="E26" s="96"/>
      <c r="F26" s="96"/>
      <c r="G26" s="96"/>
      <c r="H26" s="96"/>
      <c r="I26" s="96"/>
      <c r="J26" s="96"/>
      <c r="K26" s="96"/>
      <c r="L26" s="96"/>
      <c r="M26" s="96"/>
      <c r="N26" s="96"/>
      <c r="O26" s="24"/>
      <c r="P26" s="24"/>
      <c r="Q26" s="24"/>
      <c r="R26" s="24"/>
    </row>
    <row r="27" spans="1:18" s="25" customFormat="1" x14ac:dyDescent="0.2">
      <c r="A27" s="24"/>
      <c r="B27" s="96"/>
      <c r="C27" s="96"/>
      <c r="D27" s="96"/>
      <c r="E27" s="96"/>
      <c r="F27" s="96"/>
      <c r="G27" s="96"/>
      <c r="H27" s="96"/>
      <c r="I27" s="96"/>
      <c r="J27" s="96"/>
      <c r="K27" s="96"/>
      <c r="L27" s="96"/>
      <c r="M27" s="96"/>
      <c r="N27" s="96"/>
      <c r="O27" s="24"/>
      <c r="P27" s="24"/>
      <c r="Q27" s="24"/>
      <c r="R27" s="24"/>
    </row>
    <row r="28" spans="1:18" s="25" customFormat="1" x14ac:dyDescent="0.2">
      <c r="A28" s="24"/>
      <c r="B28" s="96"/>
      <c r="C28" s="96"/>
      <c r="D28" s="96"/>
      <c r="E28" s="96"/>
      <c r="F28" s="96"/>
      <c r="G28" s="96"/>
      <c r="H28" s="96"/>
      <c r="I28" s="96"/>
      <c r="J28" s="96"/>
      <c r="K28" s="96"/>
      <c r="L28" s="96"/>
      <c r="M28" s="96"/>
      <c r="N28" s="96"/>
      <c r="O28" s="24"/>
      <c r="P28" s="24"/>
      <c r="Q28" s="24"/>
      <c r="R28" s="24"/>
    </row>
    <row r="29" spans="1:18" s="25" customFormat="1" x14ac:dyDescent="0.2">
      <c r="A29" s="24"/>
      <c r="B29" s="96"/>
      <c r="C29" s="96"/>
      <c r="D29" s="96"/>
      <c r="E29" s="96"/>
      <c r="F29" s="96"/>
      <c r="G29" s="96"/>
      <c r="H29" s="96"/>
      <c r="I29" s="96"/>
      <c r="J29" s="96"/>
      <c r="K29" s="96"/>
      <c r="L29" s="96"/>
      <c r="M29" s="96"/>
      <c r="N29" s="96"/>
      <c r="O29" s="24"/>
      <c r="P29" s="24"/>
      <c r="Q29" s="24"/>
      <c r="R29" s="24"/>
    </row>
    <row r="30" spans="1:18" s="25" customFormat="1" x14ac:dyDescent="0.2">
      <c r="A30" s="24"/>
      <c r="B30" s="24"/>
      <c r="C30" s="24"/>
      <c r="D30" s="24"/>
      <c r="E30" s="24"/>
      <c r="F30" s="24"/>
      <c r="G30" s="24"/>
      <c r="H30" s="24"/>
      <c r="I30" s="24"/>
      <c r="J30" s="24"/>
      <c r="K30" s="24"/>
      <c r="L30" s="24"/>
      <c r="M30" s="24"/>
      <c r="N30" s="24"/>
      <c r="O30" s="24"/>
      <c r="P30" s="24"/>
      <c r="Q30" s="24"/>
      <c r="R30" s="24"/>
    </row>
    <row r="31" spans="1:18" s="25" customFormat="1" x14ac:dyDescent="0.2">
      <c r="B31" s="26"/>
      <c r="C31" s="26"/>
      <c r="D31" s="26"/>
      <c r="E31" s="26"/>
      <c r="F31" s="26"/>
      <c r="G31" s="26"/>
      <c r="H31" s="26"/>
      <c r="I31" s="26"/>
      <c r="J31" s="26"/>
      <c r="K31" s="26"/>
      <c r="L31" s="26"/>
      <c r="M31" s="26"/>
      <c r="N31" s="26"/>
      <c r="O31" s="26"/>
      <c r="P31" s="26"/>
      <c r="Q31" s="26"/>
    </row>
    <row r="32" spans="1:18" s="25" customFormat="1" x14ac:dyDescent="0.2">
      <c r="B32" s="26"/>
      <c r="C32" s="26"/>
      <c r="D32" s="26"/>
      <c r="E32" s="26"/>
      <c r="F32" s="26"/>
      <c r="G32" s="26"/>
      <c r="H32" s="26"/>
      <c r="I32" s="26"/>
      <c r="J32" s="26"/>
      <c r="K32" s="26"/>
      <c r="L32" s="26"/>
      <c r="M32" s="26"/>
      <c r="N32" s="26"/>
      <c r="O32" s="26"/>
      <c r="P32" s="26"/>
    </row>
    <row r="33" spans="2:16" s="25" customFormat="1" x14ac:dyDescent="0.2">
      <c r="B33" s="26"/>
      <c r="C33" s="26"/>
      <c r="D33" s="26"/>
      <c r="E33" s="26"/>
      <c r="F33" s="26"/>
      <c r="G33" s="26"/>
      <c r="H33" s="26"/>
      <c r="I33" s="26"/>
      <c r="J33" s="26"/>
      <c r="K33" s="26"/>
      <c r="L33" s="26"/>
      <c r="M33" s="26"/>
      <c r="N33" s="26"/>
      <c r="O33" s="26"/>
      <c r="P33" s="26"/>
    </row>
    <row r="34" spans="2:16" s="25" customFormat="1" x14ac:dyDescent="0.2"/>
    <row r="35" spans="2:16" s="25" customFormat="1" x14ac:dyDescent="0.2"/>
    <row r="36" spans="2:16" s="25" customFormat="1" x14ac:dyDescent="0.2"/>
    <row r="37" spans="2:16" s="25" customFormat="1" x14ac:dyDescent="0.2"/>
    <row r="38" spans="2:16" s="25" customFormat="1" x14ac:dyDescent="0.2"/>
    <row r="39" spans="2:16" s="25" customFormat="1" x14ac:dyDescent="0.2"/>
    <row r="40" spans="2:16" s="25" customFormat="1" x14ac:dyDescent="0.2"/>
    <row r="41" spans="2:16" s="25" customFormat="1" x14ac:dyDescent="0.2"/>
    <row r="42" spans="2:16" s="25" customFormat="1" x14ac:dyDescent="0.2"/>
    <row r="43" spans="2:16" s="25" customFormat="1" x14ac:dyDescent="0.2"/>
    <row r="44" spans="2:16" s="25" customFormat="1" x14ac:dyDescent="0.2"/>
    <row r="45" spans="2:16" s="25" customFormat="1" x14ac:dyDescent="0.2"/>
    <row r="46" spans="2:16" s="25" customFormat="1" x14ac:dyDescent="0.2"/>
    <row r="47" spans="2:16" s="25" customFormat="1" x14ac:dyDescent="0.2"/>
    <row r="48" spans="2:16" s="25" customFormat="1" x14ac:dyDescent="0.2"/>
    <row r="49" s="25" customFormat="1" x14ac:dyDescent="0.2"/>
    <row r="50" s="25" customFormat="1" x14ac:dyDescent="0.2"/>
  </sheetData>
  <sheetProtection password="917C" sheet="1" objects="1" scenarios="1" sort="0" autoFilter="0"/>
  <autoFilter ref="B6:E11">
    <filterColumn colId="0" showButton="0"/>
    <filterColumn colId="1" showButton="0"/>
    <filterColumn colId="2" showButton="0"/>
  </autoFilter>
  <mergeCells count="27">
    <mergeCell ref="G22:I22"/>
    <mergeCell ref="G21:I21"/>
    <mergeCell ref="H6:H15"/>
    <mergeCell ref="B15:D15"/>
    <mergeCell ref="I15:K15"/>
    <mergeCell ref="E15:G15"/>
    <mergeCell ref="G17:I17"/>
    <mergeCell ref="G18:I20"/>
    <mergeCell ref="L15:N15"/>
    <mergeCell ref="K12:N12"/>
    <mergeCell ref="D10:G10"/>
    <mergeCell ref="D11:G11"/>
    <mergeCell ref="D12:G12"/>
    <mergeCell ref="K10:N10"/>
    <mergeCell ref="K11:N11"/>
    <mergeCell ref="B13:G13"/>
    <mergeCell ref="I13:N13"/>
    <mergeCell ref="B2:N2"/>
    <mergeCell ref="B4:N4"/>
    <mergeCell ref="I8:J8"/>
    <mergeCell ref="D8:G9"/>
    <mergeCell ref="K8:N9"/>
    <mergeCell ref="I7:N7"/>
    <mergeCell ref="B7:G7"/>
    <mergeCell ref="B6:G6"/>
    <mergeCell ref="B8:C8"/>
    <mergeCell ref="I6:N6"/>
  </mergeCells>
  <phoneticPr fontId="5" type="noConversion"/>
  <conditionalFormatting sqref="G18:I20">
    <cfRule type="cellIs" dxfId="5" priority="1" stopIfTrue="1" operator="equal">
      <formula>"Blue Alliance"</formula>
    </cfRule>
    <cfRule type="cellIs" dxfId="4" priority="2" stopIfTrue="1" operator="equal">
      <formula>"Red Alliance"</formula>
    </cfRule>
    <cfRule type="cellIs" dxfId="3" priority="3" stopIfTrue="1" operator="equal">
      <formula>"Equal"</formula>
    </cfRule>
  </conditionalFormatting>
  <pageMargins left="0.75" right="0.75" top="1" bottom="1" header="0.5" footer="0.5"/>
  <pageSetup orientation="portrait" verticalDpi="0" r:id="rId1"/>
  <headerFooter alignWithMargins="0"/>
  <customProperties>
    <customPr name="DVSECTIONID" r:id="rId2"/>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H701"/>
  <sheetViews>
    <sheetView workbookViewId="0">
      <selection activeCell="F9" sqref="F9"/>
    </sheetView>
  </sheetViews>
  <sheetFormatPr defaultRowHeight="12.75" x14ac:dyDescent="0.2"/>
  <cols>
    <col min="1" max="1" width="2.85546875" customWidth="1"/>
    <col min="2" max="2" width="7.140625" customWidth="1"/>
    <col min="3" max="3" width="32.140625" customWidth="1"/>
    <col min="4" max="5" width="7.140625" customWidth="1"/>
    <col min="6" max="6" width="21.42578125" customWidth="1"/>
    <col min="7" max="7" width="10.7109375" customWidth="1"/>
  </cols>
  <sheetData>
    <row r="1" spans="2:7" s="25" customFormat="1" ht="7.5" customHeight="1" thickBot="1" x14ac:dyDescent="0.25"/>
    <row r="2" spans="2:7" s="25" customFormat="1" ht="13.5" thickBot="1" x14ac:dyDescent="0.25">
      <c r="B2" s="149" t="s">
        <v>36</v>
      </c>
      <c r="C2" s="150"/>
      <c r="D2" s="150"/>
      <c r="E2" s="150"/>
      <c r="F2" s="150"/>
      <c r="G2" s="151"/>
    </row>
    <row r="3" spans="2:7" s="25" customFormat="1" ht="7.5" customHeight="1" thickBot="1" x14ac:dyDescent="0.25"/>
    <row r="4" spans="2:7" s="25" customFormat="1" ht="13.5" thickBot="1" x14ac:dyDescent="0.25">
      <c r="B4" s="161" t="s">
        <v>134</v>
      </c>
      <c r="C4" s="162"/>
      <c r="D4" s="162"/>
      <c r="E4" s="162"/>
      <c r="F4" s="162"/>
      <c r="G4" s="163"/>
    </row>
    <row r="5" spans="2:7" s="25" customFormat="1" ht="7.5" customHeight="1" thickBot="1" x14ac:dyDescent="0.25"/>
    <row r="6" spans="2:7" s="25" customFormat="1" ht="13.5" thickBot="1" x14ac:dyDescent="0.25">
      <c r="B6" s="161" t="s">
        <v>118</v>
      </c>
      <c r="C6" s="163"/>
      <c r="D6" s="87"/>
      <c r="E6" s="331" t="s">
        <v>119</v>
      </c>
      <c r="F6" s="331"/>
      <c r="G6" s="331"/>
    </row>
    <row r="7" spans="2:7" s="25" customFormat="1" ht="13.5" thickBot="1" x14ac:dyDescent="0.25">
      <c r="B7" s="299" t="s">
        <v>184</v>
      </c>
      <c r="C7" s="299"/>
      <c r="D7" s="87"/>
      <c r="E7" s="299" t="s">
        <v>121</v>
      </c>
      <c r="F7" s="299"/>
      <c r="G7" s="299"/>
    </row>
    <row r="8" spans="2:7" s="25" customFormat="1" ht="13.5" thickBot="1" x14ac:dyDescent="0.25">
      <c r="B8" s="69" t="s">
        <v>122</v>
      </c>
      <c r="C8" s="69" t="s">
        <v>19</v>
      </c>
      <c r="D8" s="87"/>
      <c r="E8" s="69" t="s">
        <v>122</v>
      </c>
      <c r="F8" s="69" t="s">
        <v>19</v>
      </c>
      <c r="G8" s="69" t="s">
        <v>109</v>
      </c>
    </row>
    <row r="9" spans="2:7" s="25" customFormat="1" ht="13.5" thickBot="1" x14ac:dyDescent="0.25">
      <c r="B9" s="69">
        <v>1</v>
      </c>
      <c r="C9" s="113"/>
      <c r="D9" s="88">
        <f>B9</f>
        <v>1</v>
      </c>
      <c r="E9" s="82">
        <v>1</v>
      </c>
      <c r="F9" s="89">
        <v>494</v>
      </c>
      <c r="G9" s="90">
        <f>IF(ISNA(VLOOKUP(F9,'Data Analysis'!$B$7:$O$60000,3,FALSE)),"",VLOOKUP(F9,'Data Analysis'!$B$7:$O$60000,3,FALSE))</f>
        <v>44.428571428571431</v>
      </c>
    </row>
    <row r="10" spans="2:7" s="25" customFormat="1" ht="13.5" thickBot="1" x14ac:dyDescent="0.25">
      <c r="B10" s="69">
        <v>2</v>
      </c>
      <c r="C10" s="113"/>
      <c r="D10" s="88">
        <f t="shared" ref="D10:D38" si="0">B10</f>
        <v>2</v>
      </c>
      <c r="E10" s="69">
        <v>2</v>
      </c>
      <c r="F10" s="76">
        <v>1332</v>
      </c>
      <c r="G10" s="90">
        <f>IF(ISNA(VLOOKUP(F10,'Data Analysis'!$B$7:$O$60000,3,FALSE)),"",VLOOKUP(F10,'Data Analysis'!$B$7:$O$60000,3,FALSE))</f>
        <v>44</v>
      </c>
    </row>
    <row r="11" spans="2:7" s="25" customFormat="1" ht="13.5" thickBot="1" x14ac:dyDescent="0.25">
      <c r="B11" s="69">
        <v>3</v>
      </c>
      <c r="C11" s="113"/>
      <c r="D11" s="88">
        <f t="shared" si="0"/>
        <v>3</v>
      </c>
      <c r="E11" s="69">
        <v>3</v>
      </c>
      <c r="F11" s="76">
        <v>2337</v>
      </c>
      <c r="G11" s="90">
        <f>IF(ISNA(VLOOKUP(F11,'Data Analysis'!$B$7:$O$60000,3,FALSE)),"",VLOOKUP(F11,'Data Analysis'!$B$7:$O$60000,3,FALSE))</f>
        <v>43.666666666666664</v>
      </c>
    </row>
    <row r="12" spans="2:7" s="25" customFormat="1" ht="13.5" thickBot="1" x14ac:dyDescent="0.25">
      <c r="B12" s="69">
        <v>4</v>
      </c>
      <c r="C12" s="113"/>
      <c r="D12" s="88">
        <f t="shared" si="0"/>
        <v>4</v>
      </c>
      <c r="E12" s="69">
        <v>4</v>
      </c>
      <c r="F12" s="76">
        <v>474</v>
      </c>
      <c r="G12" s="90">
        <f>IF(ISNA(VLOOKUP(F12,'Data Analysis'!$B$7:$O$60000,3,FALSE)),"",VLOOKUP(F12,'Data Analysis'!$B$7:$O$60000,3,FALSE))</f>
        <v>41</v>
      </c>
    </row>
    <row r="13" spans="2:7" s="25" customFormat="1" ht="13.5" thickBot="1" x14ac:dyDescent="0.25">
      <c r="B13" s="69">
        <v>5</v>
      </c>
      <c r="C13" s="113"/>
      <c r="D13" s="88">
        <f t="shared" si="0"/>
        <v>5</v>
      </c>
      <c r="E13" s="69">
        <v>5</v>
      </c>
      <c r="F13" s="76">
        <v>3098</v>
      </c>
      <c r="G13" s="90">
        <f>IF(ISNA(VLOOKUP(F13,'Data Analysis'!$B$7:$O$60000,3,FALSE)),"",VLOOKUP(F13,'Data Analysis'!$B$7:$O$60000,3,FALSE))</f>
        <v>40.75</v>
      </c>
    </row>
    <row r="14" spans="2:7" s="25" customFormat="1" ht="13.5" thickBot="1" x14ac:dyDescent="0.25">
      <c r="B14" s="69">
        <v>6</v>
      </c>
      <c r="C14" s="113"/>
      <c r="D14" s="88">
        <f t="shared" si="0"/>
        <v>6</v>
      </c>
      <c r="E14" s="69">
        <v>6</v>
      </c>
      <c r="F14" s="76">
        <v>573</v>
      </c>
      <c r="G14" s="90">
        <f>IF(ISNA(VLOOKUP(F14,'Data Analysis'!$B$7:$O$60000,3,FALSE)),"",VLOOKUP(F14,'Data Analysis'!$B$7:$O$60000,3,FALSE))</f>
        <v>38.75</v>
      </c>
    </row>
    <row r="15" spans="2:7" s="25" customFormat="1" ht="13.5" thickBot="1" x14ac:dyDescent="0.25">
      <c r="B15" s="69">
        <v>7</v>
      </c>
      <c r="C15" s="113"/>
      <c r="D15" s="88">
        <f t="shared" si="0"/>
        <v>7</v>
      </c>
      <c r="E15" s="69">
        <v>7</v>
      </c>
      <c r="F15" s="76">
        <v>3547</v>
      </c>
      <c r="G15" s="90">
        <f>IF(ISNA(VLOOKUP(F15,'Data Analysis'!$B$7:$O$60000,3,FALSE)),"",VLOOKUP(F15,'Data Analysis'!$B$7:$O$60000,3,FALSE))</f>
        <v>33</v>
      </c>
    </row>
    <row r="16" spans="2:7" s="25" customFormat="1" ht="13.5" thickBot="1" x14ac:dyDescent="0.25">
      <c r="B16" s="69">
        <v>8</v>
      </c>
      <c r="C16" s="113"/>
      <c r="D16" s="88">
        <f t="shared" si="0"/>
        <v>8</v>
      </c>
      <c r="E16" s="69">
        <v>8</v>
      </c>
      <c r="F16" s="76">
        <v>68</v>
      </c>
      <c r="G16" s="90">
        <f>IF(ISNA(VLOOKUP(F16,'Data Analysis'!$B$7:$O$60000,3,FALSE)),"",VLOOKUP(F16,'Data Analysis'!$B$7:$O$60000,3,FALSE))</f>
        <v>27.333333333333332</v>
      </c>
    </row>
    <row r="17" spans="2:7" s="25" customFormat="1" ht="13.5" thickBot="1" x14ac:dyDescent="0.25">
      <c r="B17" s="69">
        <v>9</v>
      </c>
      <c r="C17" s="113"/>
      <c r="D17" s="88">
        <f t="shared" si="0"/>
        <v>9</v>
      </c>
      <c r="E17" s="69">
        <v>9</v>
      </c>
      <c r="F17" s="76">
        <v>70</v>
      </c>
      <c r="G17" s="90">
        <f>IF(ISNA(VLOOKUP(F17,'Data Analysis'!$B$7:$O$60000,3,FALSE)),"",VLOOKUP(F17,'Data Analysis'!$B$7:$O$60000,3,FALSE))</f>
        <v>27</v>
      </c>
    </row>
    <row r="18" spans="2:7" s="25" customFormat="1" ht="13.5" thickBot="1" x14ac:dyDescent="0.25">
      <c r="B18" s="69">
        <v>10</v>
      </c>
      <c r="C18" s="113"/>
      <c r="D18" s="88">
        <f t="shared" si="0"/>
        <v>10</v>
      </c>
      <c r="E18" s="69">
        <v>10</v>
      </c>
      <c r="F18" s="76">
        <v>2145</v>
      </c>
      <c r="G18" s="90">
        <f>IF(ISNA(VLOOKUP(F18,'Data Analysis'!$B$7:$O$60000,3,FALSE)),"",VLOOKUP(F18,'Data Analysis'!$B$7:$O$60000,3,FALSE))</f>
        <v>23.142857142857142</v>
      </c>
    </row>
    <row r="19" spans="2:7" s="25" customFormat="1" ht="13.5" thickBot="1" x14ac:dyDescent="0.25">
      <c r="B19" s="69">
        <v>11</v>
      </c>
      <c r="C19" s="113"/>
      <c r="D19" s="88">
        <f t="shared" si="0"/>
        <v>11</v>
      </c>
      <c r="E19" s="69">
        <v>11</v>
      </c>
      <c r="F19" s="76">
        <v>3536</v>
      </c>
      <c r="G19" s="90">
        <f>IF(ISNA(VLOOKUP(F19,'Data Analysis'!$B$7:$O$60000,3,FALSE)),"",VLOOKUP(F19,'Data Analysis'!$B$7:$O$60000,3,FALSE))</f>
        <v>20.333333333333332</v>
      </c>
    </row>
    <row r="20" spans="2:7" s="25" customFormat="1" ht="13.5" thickBot="1" x14ac:dyDescent="0.25">
      <c r="B20" s="69">
        <v>12</v>
      </c>
      <c r="C20" s="113"/>
      <c r="D20" s="88">
        <f t="shared" si="0"/>
        <v>12</v>
      </c>
      <c r="E20" s="69">
        <v>12</v>
      </c>
      <c r="F20" s="76">
        <v>302</v>
      </c>
      <c r="G20" s="90">
        <f>IF(ISNA(VLOOKUP(F20,'Data Analysis'!$B$7:$O$60000,3,FALSE)),"",VLOOKUP(F20,'Data Analysis'!$B$7:$O$60000,3,FALSE))</f>
        <v>20</v>
      </c>
    </row>
    <row r="21" spans="2:7" s="25" customFormat="1" ht="13.5" thickBot="1" x14ac:dyDescent="0.25">
      <c r="B21" s="69">
        <v>13</v>
      </c>
      <c r="C21" s="113"/>
      <c r="D21" s="88">
        <f t="shared" si="0"/>
        <v>13</v>
      </c>
      <c r="E21" s="69">
        <v>13</v>
      </c>
      <c r="F21" s="76">
        <v>1322</v>
      </c>
      <c r="G21" s="90">
        <f>IF(ISNA(VLOOKUP(F21,'Data Analysis'!$B$7:$O$60000,3,FALSE)),"",VLOOKUP(F21,'Data Analysis'!$B$7:$O$60000,3,FALSE))</f>
        <v>19.142857142857142</v>
      </c>
    </row>
    <row r="22" spans="2:7" s="25" customFormat="1" ht="13.5" thickBot="1" x14ac:dyDescent="0.25">
      <c r="B22" s="69">
        <v>14</v>
      </c>
      <c r="C22" s="113"/>
      <c r="D22" s="88">
        <f t="shared" si="0"/>
        <v>14</v>
      </c>
      <c r="E22" s="69">
        <v>14</v>
      </c>
      <c r="F22" s="76">
        <v>2619</v>
      </c>
      <c r="G22" s="90">
        <f>IF(ISNA(VLOOKUP(F22,'Data Analysis'!$B$7:$O$60000,3,FALSE)),"",VLOOKUP(F22,'Data Analysis'!$B$7:$O$60000,3,FALSE))</f>
        <v>18.2</v>
      </c>
    </row>
    <row r="23" spans="2:7" s="25" customFormat="1" ht="13.5" thickBot="1" x14ac:dyDescent="0.25">
      <c r="B23" s="69">
        <v>15</v>
      </c>
      <c r="C23" s="113"/>
      <c r="D23" s="88">
        <f t="shared" si="0"/>
        <v>15</v>
      </c>
      <c r="E23" s="69">
        <v>15</v>
      </c>
      <c r="F23" s="76">
        <v>207</v>
      </c>
      <c r="G23" s="90">
        <f>IF(ISNA(VLOOKUP(F23,'Data Analysis'!$B$7:$O$60000,3,FALSE)),"",VLOOKUP(F23,'Data Analysis'!$B$7:$O$60000,3,FALSE))</f>
        <v>18</v>
      </c>
    </row>
    <row r="24" spans="2:7" s="25" customFormat="1" ht="13.5" thickBot="1" x14ac:dyDescent="0.25">
      <c r="B24" s="69">
        <v>16</v>
      </c>
      <c r="C24" s="113"/>
      <c r="D24" s="88">
        <f t="shared" si="0"/>
        <v>16</v>
      </c>
      <c r="E24" s="69">
        <v>16</v>
      </c>
      <c r="F24" s="76">
        <v>548</v>
      </c>
      <c r="G24" s="90">
        <f>IF(ISNA(VLOOKUP(F24,'Data Analysis'!$B$7:$O$60000,3,FALSE)),"",VLOOKUP(F24,'Data Analysis'!$B$7:$O$60000,3,FALSE))</f>
        <v>18</v>
      </c>
    </row>
    <row r="25" spans="2:7" s="25" customFormat="1" ht="13.5" thickBot="1" x14ac:dyDescent="0.25">
      <c r="B25" s="69">
        <v>17</v>
      </c>
      <c r="C25" s="113"/>
      <c r="D25" s="88">
        <f t="shared" si="0"/>
        <v>17</v>
      </c>
      <c r="E25" s="69">
        <v>17</v>
      </c>
      <c r="F25" s="76">
        <v>1504</v>
      </c>
      <c r="G25" s="90">
        <f>IF(ISNA(VLOOKUP(F25,'Data Analysis'!$B$7:$O$60000,3,FALSE)),"",VLOOKUP(F25,'Data Analysis'!$B$7:$O$60000,3,FALSE))</f>
        <v>17.625</v>
      </c>
    </row>
    <row r="26" spans="2:7" s="25" customFormat="1" ht="13.5" thickBot="1" x14ac:dyDescent="0.25">
      <c r="B26" s="69">
        <v>18</v>
      </c>
      <c r="C26" s="113"/>
      <c r="D26" s="88">
        <f t="shared" si="0"/>
        <v>18</v>
      </c>
      <c r="E26" s="69">
        <v>18</v>
      </c>
      <c r="F26" s="76">
        <v>830</v>
      </c>
      <c r="G26" s="90">
        <f>IF(ISNA(VLOOKUP(F26,'Data Analysis'!$B$7:$O$60000,3,FALSE)),"",VLOOKUP(F26,'Data Analysis'!$B$7:$O$60000,3,FALSE))</f>
        <v>15.3</v>
      </c>
    </row>
    <row r="27" spans="2:7" s="25" customFormat="1" ht="13.5" thickBot="1" x14ac:dyDescent="0.25">
      <c r="B27" s="69">
        <v>19</v>
      </c>
      <c r="C27" s="113"/>
      <c r="D27" s="88">
        <f t="shared" si="0"/>
        <v>19</v>
      </c>
      <c r="E27" s="69">
        <v>19</v>
      </c>
      <c r="F27" s="76">
        <v>835</v>
      </c>
      <c r="G27" s="90">
        <f>IF(ISNA(VLOOKUP(F27,'Data Analysis'!$B$7:$O$60000,3,FALSE)),"",VLOOKUP(F27,'Data Analysis'!$B$7:$O$60000,3,FALSE))</f>
        <v>14.142857142857142</v>
      </c>
    </row>
    <row r="28" spans="2:7" s="25" customFormat="1" ht="13.5" thickBot="1" x14ac:dyDescent="0.25">
      <c r="B28" s="69">
        <v>20</v>
      </c>
      <c r="C28" s="113"/>
      <c r="D28" s="88">
        <f t="shared" si="0"/>
        <v>20</v>
      </c>
      <c r="E28" s="69">
        <v>20</v>
      </c>
      <c r="F28" s="76">
        <v>3322</v>
      </c>
      <c r="G28" s="90">
        <f>IF(ISNA(VLOOKUP(F28,'Data Analysis'!$B$7:$O$60000,3,FALSE)),"",VLOOKUP(F28,'Data Analysis'!$B$7:$O$60000,3,FALSE))</f>
        <v>12.333333333333334</v>
      </c>
    </row>
    <row r="29" spans="2:7" s="25" customFormat="1" ht="13.5" thickBot="1" x14ac:dyDescent="0.25">
      <c r="B29" s="69">
        <v>21</v>
      </c>
      <c r="C29" s="113"/>
      <c r="D29" s="88">
        <f t="shared" si="0"/>
        <v>21</v>
      </c>
      <c r="E29" s="69">
        <v>21</v>
      </c>
      <c r="F29" s="69">
        <v>1025</v>
      </c>
      <c r="G29" s="90">
        <f>IF(ISNA(VLOOKUP(F29,'Data Analysis'!$B$7:$O$60000,3,FALSE)),"",VLOOKUP(F29,'Data Analysis'!$B$7:$O$60000,3,FALSE))</f>
        <v>9</v>
      </c>
    </row>
    <row r="30" spans="2:7" s="25" customFormat="1" ht="13.5" thickBot="1" x14ac:dyDescent="0.25">
      <c r="B30" s="69">
        <v>22</v>
      </c>
      <c r="C30" s="114"/>
      <c r="D30" s="88">
        <f t="shared" si="0"/>
        <v>22</v>
      </c>
      <c r="E30" s="69">
        <v>22</v>
      </c>
      <c r="F30" s="91">
        <v>2075</v>
      </c>
      <c r="G30" s="90">
        <f>IF(ISNA(VLOOKUP(F30,'Data Analysis'!$B$7:$O$60000,3,FALSE)),"",VLOOKUP(F30,'Data Analysis'!$B$7:$O$60000,3,FALSE))</f>
        <v>8.7142857142857135</v>
      </c>
    </row>
    <row r="31" spans="2:7" s="25" customFormat="1" ht="13.5" thickBot="1" x14ac:dyDescent="0.25">
      <c r="B31" s="69">
        <v>23</v>
      </c>
      <c r="C31" s="113"/>
      <c r="D31" s="88">
        <f t="shared" si="0"/>
        <v>23</v>
      </c>
      <c r="E31" s="69">
        <v>23</v>
      </c>
      <c r="F31" s="69">
        <v>3535</v>
      </c>
      <c r="G31" s="90">
        <f>IF(ISNA(VLOOKUP(F31,'Data Analysis'!$B$7:$O$60000,3,FALSE)),"",VLOOKUP(F31,'Data Analysis'!$B$7:$O$60000,3,FALSE))</f>
        <v>7.7777777777777777</v>
      </c>
    </row>
    <row r="32" spans="2:7" s="25" customFormat="1" ht="13.5" thickBot="1" x14ac:dyDescent="0.25">
      <c r="B32" s="69">
        <v>24</v>
      </c>
      <c r="C32" s="113"/>
      <c r="D32" s="88">
        <f t="shared" si="0"/>
        <v>24</v>
      </c>
      <c r="E32" s="69">
        <v>24</v>
      </c>
      <c r="F32" s="69">
        <v>1684</v>
      </c>
      <c r="G32" s="90">
        <f>IF(ISNA(VLOOKUP(F32,'Data Analysis'!$B$7:$O$60000,3,FALSE)),"",VLOOKUP(F32,'Data Analysis'!$B$7:$O$60000,3,FALSE))</f>
        <v>7.7142857142857144</v>
      </c>
    </row>
    <row r="33" spans="2:8" s="25" customFormat="1" ht="13.5" thickBot="1" x14ac:dyDescent="0.25">
      <c r="B33" s="69">
        <v>25</v>
      </c>
      <c r="C33" s="113"/>
      <c r="D33" s="88">
        <f t="shared" si="0"/>
        <v>25</v>
      </c>
      <c r="E33" s="69">
        <v>25</v>
      </c>
      <c r="F33" s="69">
        <v>3537</v>
      </c>
      <c r="G33" s="90">
        <f>IF(ISNA(VLOOKUP(F33,'Data Analysis'!$B$7:$O$60000,3,FALSE)),"",VLOOKUP(F33,'Data Analysis'!$B$7:$O$60000,3,FALSE))</f>
        <v>7.7142857142857144</v>
      </c>
    </row>
    <row r="34" spans="2:8" s="25" customFormat="1" ht="13.5" thickBot="1" x14ac:dyDescent="0.25">
      <c r="B34" s="69">
        <v>26</v>
      </c>
      <c r="C34" s="113"/>
      <c r="D34" s="88">
        <f t="shared" si="0"/>
        <v>26</v>
      </c>
      <c r="E34" s="69">
        <v>26</v>
      </c>
      <c r="F34" s="69">
        <v>247</v>
      </c>
      <c r="G34" s="90">
        <f>IF(ISNA(VLOOKUP(F34,'Data Analysis'!$B$7:$O$60000,3,FALSE)),"",VLOOKUP(F34,'Data Analysis'!$B$7:$O$60000,3,FALSE))</f>
        <v>6.4</v>
      </c>
    </row>
    <row r="35" spans="2:8" s="25" customFormat="1" ht="13.5" thickBot="1" x14ac:dyDescent="0.25">
      <c r="B35" s="69">
        <v>27</v>
      </c>
      <c r="C35" s="113"/>
      <c r="D35" s="88">
        <f t="shared" si="0"/>
        <v>27</v>
      </c>
      <c r="E35" s="69">
        <v>27</v>
      </c>
      <c r="F35" s="69">
        <v>269</v>
      </c>
      <c r="G35" s="90">
        <f>IF(ISNA(VLOOKUP(F35,'Data Analysis'!$B$7:$O$60000,3,FALSE)),"",VLOOKUP(F35,'Data Analysis'!$B$7:$O$60000,3,FALSE))</f>
        <v>6</v>
      </c>
    </row>
    <row r="36" spans="2:8" s="25" customFormat="1" ht="13.5" thickBot="1" x14ac:dyDescent="0.25">
      <c r="B36" s="69">
        <v>28</v>
      </c>
      <c r="C36" s="113"/>
      <c r="D36" s="88">
        <f t="shared" si="0"/>
        <v>28</v>
      </c>
      <c r="E36" s="69">
        <v>28</v>
      </c>
      <c r="F36" s="69">
        <v>66</v>
      </c>
      <c r="G36" s="90">
        <f>IF(ISNA(VLOOKUP(F36,'Data Analysis'!$B$7:$O$60000,3,FALSE)),"",VLOOKUP(F36,'Data Analysis'!$B$7:$O$60000,3,FALSE))</f>
        <v>4.5999999999999996</v>
      </c>
    </row>
    <row r="37" spans="2:8" s="25" customFormat="1" ht="13.5" thickBot="1" x14ac:dyDescent="0.25">
      <c r="B37" s="69">
        <v>29</v>
      </c>
      <c r="C37" s="113"/>
      <c r="D37" s="88">
        <f t="shared" si="0"/>
        <v>29</v>
      </c>
      <c r="E37" s="69">
        <v>29</v>
      </c>
      <c r="F37" s="69">
        <v>3707</v>
      </c>
      <c r="G37" s="90">
        <f>IF(ISNA(VLOOKUP(F37,'Data Analysis'!$B$7:$O$60000,3,FALSE)),"",VLOOKUP(F37,'Data Analysis'!$B$7:$O$60000,3,FALSE))</f>
        <v>4.5</v>
      </c>
    </row>
    <row r="38" spans="2:8" s="25" customFormat="1" ht="13.5" thickBot="1" x14ac:dyDescent="0.25">
      <c r="B38" s="69">
        <v>30</v>
      </c>
      <c r="C38" s="113"/>
      <c r="D38" s="88">
        <f t="shared" si="0"/>
        <v>30</v>
      </c>
      <c r="E38" s="69">
        <v>30</v>
      </c>
      <c r="F38" s="69">
        <v>894</v>
      </c>
      <c r="G38" s="90">
        <f>IF(ISNA(VLOOKUP(F38,'Data Analysis'!$B$7:$O$60000,3,FALSE)),"",VLOOKUP(F38,'Data Analysis'!$B$7:$O$60000,3,FALSE))</f>
        <v>3.6666666666666665</v>
      </c>
    </row>
    <row r="39" spans="2:8" s="25" customFormat="1" x14ac:dyDescent="0.2">
      <c r="B39" s="92"/>
      <c r="E39" s="74"/>
      <c r="F39" s="74"/>
      <c r="G39" s="49"/>
      <c r="H39" s="26"/>
    </row>
    <row r="40" spans="2:8" s="25" customFormat="1" x14ac:dyDescent="0.2">
      <c r="E40" s="74"/>
      <c r="F40" s="74"/>
      <c r="G40" s="49"/>
      <c r="H40" s="26"/>
    </row>
    <row r="41" spans="2:8" s="25" customFormat="1" x14ac:dyDescent="0.2">
      <c r="E41" s="74"/>
      <c r="F41" s="74"/>
      <c r="G41" s="49"/>
      <c r="H41" s="26"/>
    </row>
    <row r="42" spans="2:8" s="25" customFormat="1" x14ac:dyDescent="0.2">
      <c r="E42" s="74"/>
      <c r="F42" s="74"/>
      <c r="G42" s="49"/>
      <c r="H42" s="26"/>
    </row>
    <row r="43" spans="2:8" s="25" customFormat="1" x14ac:dyDescent="0.2">
      <c r="E43" s="74"/>
      <c r="F43" s="74"/>
      <c r="G43" s="49"/>
      <c r="H43" s="26"/>
    </row>
    <row r="44" spans="2:8" s="25" customFormat="1" x14ac:dyDescent="0.2">
      <c r="E44" s="74"/>
      <c r="F44" s="74"/>
      <c r="G44" s="49"/>
      <c r="H44" s="26"/>
    </row>
    <row r="45" spans="2:8" s="25" customFormat="1" x14ac:dyDescent="0.2">
      <c r="E45" s="74"/>
      <c r="F45" s="74"/>
      <c r="G45" s="49"/>
      <c r="H45" s="26"/>
    </row>
    <row r="46" spans="2:8" s="25" customFormat="1" x14ac:dyDescent="0.2">
      <c r="G46" s="49"/>
      <c r="H46" s="26"/>
    </row>
    <row r="47" spans="2:8" s="25" customFormat="1" x14ac:dyDescent="0.2">
      <c r="G47" s="49"/>
      <c r="H47" s="26"/>
    </row>
    <row r="48" spans="2:8" s="25" customFormat="1" x14ac:dyDescent="0.2">
      <c r="G48" s="49"/>
      <c r="H48" s="26"/>
    </row>
    <row r="49" spans="7:8" s="25" customFormat="1" x14ac:dyDescent="0.2">
      <c r="G49" s="49"/>
      <c r="H49" s="26"/>
    </row>
    <row r="50" spans="7:8" s="25" customFormat="1" x14ac:dyDescent="0.2">
      <c r="G50" s="49"/>
      <c r="H50" s="26"/>
    </row>
    <row r="51" spans="7:8" s="25" customFormat="1" x14ac:dyDescent="0.2">
      <c r="G51" s="49"/>
      <c r="H51" s="26"/>
    </row>
    <row r="52" spans="7:8" s="25" customFormat="1" x14ac:dyDescent="0.2">
      <c r="G52" s="49"/>
      <c r="H52" s="26"/>
    </row>
    <row r="53" spans="7:8" s="25" customFormat="1" x14ac:dyDescent="0.2">
      <c r="G53" s="49"/>
      <c r="H53" s="26"/>
    </row>
    <row r="54" spans="7:8" s="25" customFormat="1" x14ac:dyDescent="0.2">
      <c r="G54" s="49"/>
      <c r="H54" s="26"/>
    </row>
    <row r="55" spans="7:8" s="25" customFormat="1" x14ac:dyDescent="0.2">
      <c r="G55" s="49"/>
      <c r="H55" s="26"/>
    </row>
    <row r="56" spans="7:8" s="25" customFormat="1" x14ac:dyDescent="0.2">
      <c r="G56" s="49"/>
      <c r="H56" s="26"/>
    </row>
    <row r="57" spans="7:8" s="25" customFormat="1" x14ac:dyDescent="0.2">
      <c r="G57" s="49"/>
      <c r="H57" s="26"/>
    </row>
    <row r="58" spans="7:8" s="25" customFormat="1" x14ac:dyDescent="0.2">
      <c r="G58" s="49"/>
      <c r="H58" s="26"/>
    </row>
    <row r="59" spans="7:8" s="25" customFormat="1" x14ac:dyDescent="0.2">
      <c r="G59" s="49"/>
      <c r="H59" s="26"/>
    </row>
    <row r="60" spans="7:8" s="25" customFormat="1" x14ac:dyDescent="0.2">
      <c r="G60" s="49"/>
      <c r="H60" s="26"/>
    </row>
    <row r="61" spans="7:8" s="25" customFormat="1" x14ac:dyDescent="0.2">
      <c r="G61" s="49"/>
      <c r="H61" s="26"/>
    </row>
    <row r="62" spans="7:8" s="25" customFormat="1" x14ac:dyDescent="0.2">
      <c r="G62" s="49"/>
      <c r="H62" s="26"/>
    </row>
    <row r="63" spans="7:8" s="25" customFormat="1" x14ac:dyDescent="0.2">
      <c r="G63" s="49"/>
      <c r="H63" s="26"/>
    </row>
    <row r="64" spans="7:8" s="25" customFormat="1" x14ac:dyDescent="0.2">
      <c r="G64" s="49"/>
      <c r="H64" s="26"/>
    </row>
    <row r="65" spans="7:8" s="25" customFormat="1" x14ac:dyDescent="0.2">
      <c r="G65" s="49"/>
      <c r="H65" s="26"/>
    </row>
    <row r="66" spans="7:8" s="25" customFormat="1" x14ac:dyDescent="0.2">
      <c r="G66" s="49"/>
      <c r="H66" s="26"/>
    </row>
    <row r="67" spans="7:8" s="25" customFormat="1" x14ac:dyDescent="0.2">
      <c r="G67" s="49"/>
      <c r="H67" s="26"/>
    </row>
    <row r="68" spans="7:8" s="25" customFormat="1" x14ac:dyDescent="0.2">
      <c r="G68" s="49"/>
      <c r="H68" s="26"/>
    </row>
    <row r="69" spans="7:8" s="25" customFormat="1" x14ac:dyDescent="0.2">
      <c r="G69" s="49"/>
      <c r="H69" s="26"/>
    </row>
    <row r="70" spans="7:8" s="25" customFormat="1" x14ac:dyDescent="0.2">
      <c r="G70" s="49"/>
      <c r="H70" s="26"/>
    </row>
    <row r="71" spans="7:8" s="25" customFormat="1" x14ac:dyDescent="0.2">
      <c r="G71" s="49"/>
      <c r="H71" s="26"/>
    </row>
    <row r="72" spans="7:8" s="25" customFormat="1" x14ac:dyDescent="0.2">
      <c r="G72" s="49"/>
      <c r="H72" s="26"/>
    </row>
    <row r="73" spans="7:8" s="25" customFormat="1" x14ac:dyDescent="0.2">
      <c r="G73" s="49"/>
      <c r="H73" s="26"/>
    </row>
    <row r="74" spans="7:8" s="25" customFormat="1" x14ac:dyDescent="0.2">
      <c r="G74" s="49"/>
      <c r="H74" s="26"/>
    </row>
    <row r="75" spans="7:8" s="25" customFormat="1" x14ac:dyDescent="0.2">
      <c r="G75" s="49"/>
      <c r="H75" s="26"/>
    </row>
    <row r="76" spans="7:8" s="25" customFormat="1" x14ac:dyDescent="0.2">
      <c r="G76" s="49"/>
      <c r="H76" s="26"/>
    </row>
    <row r="77" spans="7:8" s="25" customFormat="1" x14ac:dyDescent="0.2">
      <c r="G77" s="49"/>
      <c r="H77" s="26"/>
    </row>
    <row r="78" spans="7:8" s="25" customFormat="1" x14ac:dyDescent="0.2">
      <c r="G78" s="49"/>
      <c r="H78" s="26"/>
    </row>
    <row r="79" spans="7:8" s="25" customFormat="1" x14ac:dyDescent="0.2">
      <c r="G79" s="49"/>
      <c r="H79" s="26"/>
    </row>
    <row r="80" spans="7:8" s="25" customFormat="1" x14ac:dyDescent="0.2">
      <c r="G80" s="49"/>
      <c r="H80" s="26"/>
    </row>
    <row r="81" spans="7:8" s="25" customFormat="1" x14ac:dyDescent="0.2">
      <c r="G81" s="49"/>
      <c r="H81" s="26"/>
    </row>
    <row r="82" spans="7:8" s="25" customFormat="1" x14ac:dyDescent="0.2">
      <c r="G82" s="49"/>
      <c r="H82" s="26"/>
    </row>
    <row r="83" spans="7:8" s="25" customFormat="1" x14ac:dyDescent="0.2">
      <c r="G83" s="49"/>
      <c r="H83" s="26"/>
    </row>
    <row r="84" spans="7:8" s="25" customFormat="1" x14ac:dyDescent="0.2">
      <c r="G84" s="49"/>
      <c r="H84" s="26"/>
    </row>
    <row r="85" spans="7:8" s="25" customFormat="1" x14ac:dyDescent="0.2">
      <c r="G85" s="49"/>
      <c r="H85" s="26"/>
    </row>
    <row r="86" spans="7:8" s="25" customFormat="1" x14ac:dyDescent="0.2">
      <c r="G86" s="49"/>
      <c r="H86" s="26"/>
    </row>
    <row r="87" spans="7:8" s="25" customFormat="1" x14ac:dyDescent="0.2">
      <c r="G87" s="49"/>
      <c r="H87" s="26"/>
    </row>
    <row r="88" spans="7:8" s="25" customFormat="1" x14ac:dyDescent="0.2">
      <c r="G88" s="49"/>
      <c r="H88" s="26"/>
    </row>
    <row r="89" spans="7:8" s="25" customFormat="1" x14ac:dyDescent="0.2">
      <c r="G89" s="49"/>
      <c r="H89" s="26"/>
    </row>
    <row r="90" spans="7:8" s="25" customFormat="1" x14ac:dyDescent="0.2">
      <c r="G90" s="49"/>
      <c r="H90" s="26"/>
    </row>
    <row r="91" spans="7:8" s="25" customFormat="1" x14ac:dyDescent="0.2">
      <c r="G91" s="49"/>
      <c r="H91" s="26"/>
    </row>
    <row r="92" spans="7:8" s="25" customFormat="1" x14ac:dyDescent="0.2">
      <c r="G92" s="49"/>
      <c r="H92" s="26"/>
    </row>
    <row r="93" spans="7:8" s="25" customFormat="1" x14ac:dyDescent="0.2">
      <c r="G93" s="49"/>
      <c r="H93" s="26"/>
    </row>
    <row r="94" spans="7:8" s="25" customFormat="1" x14ac:dyDescent="0.2">
      <c r="G94" s="49"/>
      <c r="H94" s="26"/>
    </row>
    <row r="95" spans="7:8" s="25" customFormat="1" x14ac:dyDescent="0.2">
      <c r="G95" s="49"/>
      <c r="H95" s="26"/>
    </row>
    <row r="96" spans="7:8" s="25" customFormat="1" x14ac:dyDescent="0.2">
      <c r="G96" s="49"/>
      <c r="H96" s="26"/>
    </row>
    <row r="97" spans="7:8" s="25" customFormat="1" x14ac:dyDescent="0.2">
      <c r="G97" s="49"/>
      <c r="H97" s="26"/>
    </row>
    <row r="98" spans="7:8" s="25" customFormat="1" x14ac:dyDescent="0.2">
      <c r="G98" s="49"/>
      <c r="H98" s="26"/>
    </row>
    <row r="99" spans="7:8" s="25" customFormat="1" x14ac:dyDescent="0.2">
      <c r="G99" s="49"/>
      <c r="H99" s="26"/>
    </row>
    <row r="100" spans="7:8" s="25" customFormat="1" x14ac:dyDescent="0.2">
      <c r="G100" s="49"/>
      <c r="H100" s="26"/>
    </row>
    <row r="101" spans="7:8" x14ac:dyDescent="0.2">
      <c r="G101" s="6"/>
      <c r="H101" s="4"/>
    </row>
    <row r="102" spans="7:8" x14ac:dyDescent="0.2">
      <c r="G102" s="6"/>
      <c r="H102" s="4"/>
    </row>
    <row r="103" spans="7:8" x14ac:dyDescent="0.2">
      <c r="G103" s="6"/>
      <c r="H103" s="4"/>
    </row>
    <row r="104" spans="7:8" x14ac:dyDescent="0.2">
      <c r="G104" s="6"/>
      <c r="H104" s="4"/>
    </row>
    <row r="105" spans="7:8" x14ac:dyDescent="0.2">
      <c r="G105" s="6"/>
      <c r="H105" s="4"/>
    </row>
    <row r="106" spans="7:8" x14ac:dyDescent="0.2">
      <c r="G106" s="6"/>
      <c r="H106" s="4"/>
    </row>
    <row r="107" spans="7:8" x14ac:dyDescent="0.2">
      <c r="G107" s="6"/>
      <c r="H107" s="4"/>
    </row>
    <row r="108" spans="7:8" x14ac:dyDescent="0.2">
      <c r="G108" s="6"/>
      <c r="H108" s="4"/>
    </row>
    <row r="109" spans="7:8" x14ac:dyDescent="0.2">
      <c r="G109" s="6"/>
      <c r="H109" s="4"/>
    </row>
    <row r="110" spans="7:8" x14ac:dyDescent="0.2">
      <c r="G110" s="6"/>
      <c r="H110" s="4"/>
    </row>
    <row r="111" spans="7:8" x14ac:dyDescent="0.2">
      <c r="G111" s="6"/>
      <c r="H111" s="4"/>
    </row>
    <row r="112" spans="7:8" x14ac:dyDescent="0.2">
      <c r="G112" s="6"/>
      <c r="H112" s="4"/>
    </row>
    <row r="113" spans="7:8" x14ac:dyDescent="0.2">
      <c r="G113" s="6"/>
      <c r="H113" s="4"/>
    </row>
    <row r="114" spans="7:8" x14ac:dyDescent="0.2">
      <c r="G114" s="6"/>
      <c r="H114" s="4"/>
    </row>
    <row r="115" spans="7:8" x14ac:dyDescent="0.2">
      <c r="G115" s="6"/>
      <c r="H115" s="4"/>
    </row>
    <row r="116" spans="7:8" x14ac:dyDescent="0.2">
      <c r="G116" s="6"/>
      <c r="H116" s="4"/>
    </row>
    <row r="117" spans="7:8" x14ac:dyDescent="0.2">
      <c r="G117" s="6"/>
      <c r="H117" s="4"/>
    </row>
    <row r="118" spans="7:8" x14ac:dyDescent="0.2">
      <c r="G118" s="6"/>
      <c r="H118" s="4"/>
    </row>
    <row r="119" spans="7:8" x14ac:dyDescent="0.2">
      <c r="G119" s="6"/>
      <c r="H119" s="4"/>
    </row>
    <row r="120" spans="7:8" x14ac:dyDescent="0.2">
      <c r="G120" s="6"/>
      <c r="H120" s="4"/>
    </row>
    <row r="121" spans="7:8" x14ac:dyDescent="0.2">
      <c r="G121" s="6"/>
      <c r="H121" s="4"/>
    </row>
    <row r="122" spans="7:8" x14ac:dyDescent="0.2">
      <c r="G122" s="6"/>
      <c r="H122" s="4"/>
    </row>
    <row r="123" spans="7:8" x14ac:dyDescent="0.2">
      <c r="G123" s="6"/>
      <c r="H123" s="4"/>
    </row>
    <row r="124" spans="7:8" x14ac:dyDescent="0.2">
      <c r="G124" s="6"/>
      <c r="H124" s="4"/>
    </row>
    <row r="125" spans="7:8" x14ac:dyDescent="0.2">
      <c r="G125" s="6"/>
      <c r="H125" s="4"/>
    </row>
    <row r="126" spans="7:8" x14ac:dyDescent="0.2">
      <c r="G126" s="6"/>
      <c r="H126" s="4"/>
    </row>
    <row r="127" spans="7:8" x14ac:dyDescent="0.2">
      <c r="G127" s="6"/>
      <c r="H127" s="4"/>
    </row>
    <row r="128" spans="7:8" x14ac:dyDescent="0.2">
      <c r="G128" s="6"/>
      <c r="H128" s="4"/>
    </row>
    <row r="129" spans="7:8" x14ac:dyDescent="0.2">
      <c r="G129" s="6"/>
      <c r="H129" s="4"/>
    </row>
    <row r="130" spans="7:8" x14ac:dyDescent="0.2">
      <c r="G130" s="6"/>
      <c r="H130" s="4"/>
    </row>
    <row r="131" spans="7:8" x14ac:dyDescent="0.2">
      <c r="G131" s="6"/>
      <c r="H131" s="4"/>
    </row>
    <row r="132" spans="7:8" x14ac:dyDescent="0.2">
      <c r="G132" s="6"/>
      <c r="H132" s="4"/>
    </row>
    <row r="133" spans="7:8" x14ac:dyDescent="0.2">
      <c r="G133" s="6"/>
      <c r="H133" s="4"/>
    </row>
    <row r="134" spans="7:8" x14ac:dyDescent="0.2">
      <c r="G134" s="6"/>
      <c r="H134" s="4"/>
    </row>
    <row r="135" spans="7:8" x14ac:dyDescent="0.2">
      <c r="G135" s="6"/>
      <c r="H135" s="4"/>
    </row>
    <row r="136" spans="7:8" x14ac:dyDescent="0.2">
      <c r="G136" s="6"/>
      <c r="H136" s="4"/>
    </row>
    <row r="137" spans="7:8" x14ac:dyDescent="0.2">
      <c r="G137" s="6"/>
      <c r="H137" s="4"/>
    </row>
    <row r="138" spans="7:8" x14ac:dyDescent="0.2">
      <c r="G138" s="6"/>
      <c r="H138" s="4"/>
    </row>
    <row r="139" spans="7:8" x14ac:dyDescent="0.2">
      <c r="G139" s="6"/>
      <c r="H139" s="4"/>
    </row>
    <row r="140" spans="7:8" x14ac:dyDescent="0.2">
      <c r="G140" s="6"/>
      <c r="H140" s="4"/>
    </row>
    <row r="141" spans="7:8" x14ac:dyDescent="0.2">
      <c r="G141" s="6"/>
      <c r="H141" s="4"/>
    </row>
    <row r="142" spans="7:8" x14ac:dyDescent="0.2">
      <c r="G142" s="6"/>
      <c r="H142" s="4"/>
    </row>
    <row r="143" spans="7:8" x14ac:dyDescent="0.2">
      <c r="G143" s="6"/>
      <c r="H143" s="4"/>
    </row>
    <row r="144" spans="7:8" x14ac:dyDescent="0.2">
      <c r="G144" s="6"/>
      <c r="H144" s="4"/>
    </row>
    <row r="145" spans="7:8" x14ac:dyDescent="0.2">
      <c r="G145" s="6"/>
      <c r="H145" s="4"/>
    </row>
    <row r="146" spans="7:8" x14ac:dyDescent="0.2">
      <c r="G146" s="6"/>
      <c r="H146" s="4"/>
    </row>
    <row r="147" spans="7:8" x14ac:dyDescent="0.2">
      <c r="G147" s="6"/>
      <c r="H147" s="4"/>
    </row>
    <row r="148" spans="7:8" x14ac:dyDescent="0.2">
      <c r="G148" s="6"/>
      <c r="H148" s="4"/>
    </row>
    <row r="149" spans="7:8" x14ac:dyDescent="0.2">
      <c r="G149" s="6"/>
      <c r="H149" s="4"/>
    </row>
    <row r="150" spans="7:8" x14ac:dyDescent="0.2">
      <c r="G150" s="6"/>
      <c r="H150" s="4"/>
    </row>
    <row r="151" spans="7:8" x14ac:dyDescent="0.2">
      <c r="G151" s="6"/>
      <c r="H151" s="4"/>
    </row>
    <row r="152" spans="7:8" x14ac:dyDescent="0.2">
      <c r="G152" s="6"/>
      <c r="H152" s="4"/>
    </row>
    <row r="153" spans="7:8" x14ac:dyDescent="0.2">
      <c r="G153" s="6"/>
      <c r="H153" s="4"/>
    </row>
    <row r="154" spans="7:8" x14ac:dyDescent="0.2">
      <c r="G154" s="6"/>
      <c r="H154" s="4"/>
    </row>
    <row r="155" spans="7:8" x14ac:dyDescent="0.2">
      <c r="G155" s="6"/>
      <c r="H155" s="4"/>
    </row>
    <row r="156" spans="7:8" x14ac:dyDescent="0.2">
      <c r="G156" s="6"/>
      <c r="H156" s="4"/>
    </row>
    <row r="157" spans="7:8" x14ac:dyDescent="0.2">
      <c r="G157" s="6"/>
      <c r="H157" s="4"/>
    </row>
    <row r="158" spans="7:8" x14ac:dyDescent="0.2">
      <c r="G158" s="6"/>
      <c r="H158" s="4"/>
    </row>
    <row r="159" spans="7:8" x14ac:dyDescent="0.2">
      <c r="G159" s="6"/>
      <c r="H159" s="4"/>
    </row>
    <row r="160" spans="7:8" x14ac:dyDescent="0.2">
      <c r="G160" s="6"/>
      <c r="H160" s="4"/>
    </row>
    <row r="161" spans="7:8" x14ac:dyDescent="0.2">
      <c r="G161" s="6"/>
      <c r="H161" s="4"/>
    </row>
    <row r="162" spans="7:8" x14ac:dyDescent="0.2">
      <c r="G162" s="6"/>
      <c r="H162" s="4"/>
    </row>
    <row r="163" spans="7:8" x14ac:dyDescent="0.2">
      <c r="G163" s="6"/>
      <c r="H163" s="4"/>
    </row>
    <row r="164" spans="7:8" x14ac:dyDescent="0.2">
      <c r="G164" s="6"/>
      <c r="H164" s="4"/>
    </row>
    <row r="165" spans="7:8" x14ac:dyDescent="0.2">
      <c r="G165" s="6"/>
      <c r="H165" s="4"/>
    </row>
    <row r="166" spans="7:8" x14ac:dyDescent="0.2">
      <c r="G166" s="6"/>
      <c r="H166" s="4"/>
    </row>
    <row r="167" spans="7:8" x14ac:dyDescent="0.2">
      <c r="G167" s="6"/>
      <c r="H167" s="4"/>
    </row>
    <row r="168" spans="7:8" x14ac:dyDescent="0.2">
      <c r="G168" s="6"/>
      <c r="H168" s="4"/>
    </row>
    <row r="169" spans="7:8" x14ac:dyDescent="0.2">
      <c r="G169" s="6"/>
      <c r="H169" s="4"/>
    </row>
    <row r="170" spans="7:8" x14ac:dyDescent="0.2">
      <c r="G170" s="6"/>
      <c r="H170" s="4"/>
    </row>
    <row r="171" spans="7:8" x14ac:dyDescent="0.2">
      <c r="G171" s="6"/>
      <c r="H171" s="4"/>
    </row>
    <row r="172" spans="7:8" x14ac:dyDescent="0.2">
      <c r="G172" s="6"/>
      <c r="H172" s="4"/>
    </row>
    <row r="173" spans="7:8" x14ac:dyDescent="0.2">
      <c r="G173" s="6"/>
      <c r="H173" s="4"/>
    </row>
    <row r="174" spans="7:8" x14ac:dyDescent="0.2">
      <c r="G174" s="6"/>
      <c r="H174" s="4"/>
    </row>
    <row r="175" spans="7:8" x14ac:dyDescent="0.2">
      <c r="G175" s="6"/>
      <c r="H175" s="4"/>
    </row>
    <row r="176" spans="7:8" x14ac:dyDescent="0.2">
      <c r="G176" s="6"/>
      <c r="H176" s="4"/>
    </row>
    <row r="177" spans="7:8" x14ac:dyDescent="0.2">
      <c r="G177" s="6"/>
      <c r="H177" s="4"/>
    </row>
    <row r="178" spans="7:8" x14ac:dyDescent="0.2">
      <c r="G178" s="6"/>
      <c r="H178" s="4"/>
    </row>
    <row r="179" spans="7:8" x14ac:dyDescent="0.2">
      <c r="G179" s="6"/>
      <c r="H179" s="4"/>
    </row>
    <row r="180" spans="7:8" x14ac:dyDescent="0.2">
      <c r="G180" s="6"/>
      <c r="H180" s="4"/>
    </row>
    <row r="181" spans="7:8" x14ac:dyDescent="0.2">
      <c r="G181" s="6"/>
      <c r="H181" s="4"/>
    </row>
    <row r="182" spans="7:8" x14ac:dyDescent="0.2">
      <c r="G182" s="6"/>
      <c r="H182" s="4"/>
    </row>
    <row r="183" spans="7:8" x14ac:dyDescent="0.2">
      <c r="G183" s="6"/>
      <c r="H183" s="4"/>
    </row>
    <row r="184" spans="7:8" x14ac:dyDescent="0.2">
      <c r="G184" s="6"/>
      <c r="H184" s="4"/>
    </row>
    <row r="185" spans="7:8" x14ac:dyDescent="0.2">
      <c r="G185" s="6"/>
      <c r="H185" s="4"/>
    </row>
    <row r="186" spans="7:8" x14ac:dyDescent="0.2">
      <c r="G186" s="6"/>
      <c r="H186" s="4"/>
    </row>
    <row r="187" spans="7:8" x14ac:dyDescent="0.2">
      <c r="G187" s="6"/>
      <c r="H187" s="4"/>
    </row>
    <row r="188" spans="7:8" x14ac:dyDescent="0.2">
      <c r="G188" s="6"/>
      <c r="H188" s="4"/>
    </row>
    <row r="189" spans="7:8" x14ac:dyDescent="0.2">
      <c r="G189" s="6"/>
      <c r="H189" s="4"/>
    </row>
    <row r="190" spans="7:8" x14ac:dyDescent="0.2">
      <c r="G190" s="6"/>
      <c r="H190" s="4"/>
    </row>
    <row r="191" spans="7:8" x14ac:dyDescent="0.2">
      <c r="G191" s="6"/>
      <c r="H191" s="4"/>
    </row>
    <row r="192" spans="7:8" x14ac:dyDescent="0.2">
      <c r="G192" s="6"/>
      <c r="H192" s="4"/>
    </row>
    <row r="193" spans="7:8" x14ac:dyDescent="0.2">
      <c r="G193" s="6"/>
      <c r="H193" s="4"/>
    </row>
    <row r="194" spans="7:8" x14ac:dyDescent="0.2">
      <c r="G194" s="6"/>
      <c r="H194" s="4"/>
    </row>
    <row r="195" spans="7:8" x14ac:dyDescent="0.2">
      <c r="G195" s="6"/>
      <c r="H195" s="4"/>
    </row>
    <row r="196" spans="7:8" x14ac:dyDescent="0.2">
      <c r="G196" s="6"/>
      <c r="H196" s="4"/>
    </row>
    <row r="197" spans="7:8" x14ac:dyDescent="0.2">
      <c r="G197" s="6"/>
      <c r="H197" s="4"/>
    </row>
    <row r="198" spans="7:8" x14ac:dyDescent="0.2">
      <c r="G198" s="6"/>
      <c r="H198" s="4"/>
    </row>
    <row r="199" spans="7:8" x14ac:dyDescent="0.2">
      <c r="G199" s="6"/>
      <c r="H199" s="4"/>
    </row>
    <row r="200" spans="7:8" x14ac:dyDescent="0.2">
      <c r="G200" s="6"/>
      <c r="H200" s="4"/>
    </row>
    <row r="201" spans="7:8" x14ac:dyDescent="0.2">
      <c r="G201" s="6"/>
      <c r="H201" s="4"/>
    </row>
    <row r="202" spans="7:8" x14ac:dyDescent="0.2">
      <c r="G202" s="6"/>
      <c r="H202" s="4"/>
    </row>
    <row r="203" spans="7:8" x14ac:dyDescent="0.2">
      <c r="G203" s="6"/>
      <c r="H203" s="4"/>
    </row>
    <row r="204" spans="7:8" x14ac:dyDescent="0.2">
      <c r="G204" s="6"/>
      <c r="H204" s="4"/>
    </row>
    <row r="205" spans="7:8" x14ac:dyDescent="0.2">
      <c r="G205" s="6"/>
      <c r="H205" s="4"/>
    </row>
    <row r="206" spans="7:8" x14ac:dyDescent="0.2">
      <c r="G206" s="6"/>
      <c r="H206" s="4"/>
    </row>
    <row r="207" spans="7:8" x14ac:dyDescent="0.2">
      <c r="G207" s="6"/>
      <c r="H207" s="4"/>
    </row>
    <row r="208" spans="7:8" x14ac:dyDescent="0.2">
      <c r="G208" s="6"/>
      <c r="H208" s="4"/>
    </row>
    <row r="209" spans="7:8" x14ac:dyDescent="0.2">
      <c r="G209" s="6"/>
      <c r="H209" s="4"/>
    </row>
    <row r="210" spans="7:8" x14ac:dyDescent="0.2">
      <c r="G210" s="6"/>
      <c r="H210" s="4"/>
    </row>
    <row r="211" spans="7:8" x14ac:dyDescent="0.2">
      <c r="G211" s="6"/>
      <c r="H211" s="4"/>
    </row>
    <row r="212" spans="7:8" x14ac:dyDescent="0.2">
      <c r="G212" s="6"/>
      <c r="H212" s="4"/>
    </row>
    <row r="213" spans="7:8" x14ac:dyDescent="0.2">
      <c r="G213" s="6"/>
      <c r="H213" s="4"/>
    </row>
    <row r="214" spans="7:8" x14ac:dyDescent="0.2">
      <c r="G214" s="6"/>
      <c r="H214" s="4"/>
    </row>
    <row r="215" spans="7:8" x14ac:dyDescent="0.2">
      <c r="G215" s="6"/>
      <c r="H215" s="4"/>
    </row>
    <row r="216" spans="7:8" x14ac:dyDescent="0.2">
      <c r="G216" s="6"/>
      <c r="H216" s="4"/>
    </row>
    <row r="217" spans="7:8" x14ac:dyDescent="0.2">
      <c r="G217" s="6"/>
      <c r="H217" s="4"/>
    </row>
    <row r="218" spans="7:8" x14ac:dyDescent="0.2">
      <c r="G218" s="6"/>
      <c r="H218" s="4"/>
    </row>
    <row r="219" spans="7:8" x14ac:dyDescent="0.2">
      <c r="G219" s="6"/>
      <c r="H219" s="4"/>
    </row>
    <row r="220" spans="7:8" x14ac:dyDescent="0.2">
      <c r="G220" s="6"/>
      <c r="H220" s="4"/>
    </row>
    <row r="221" spans="7:8" x14ac:dyDescent="0.2">
      <c r="G221" s="6"/>
      <c r="H221" s="4"/>
    </row>
    <row r="222" spans="7:8" x14ac:dyDescent="0.2">
      <c r="G222" s="6"/>
      <c r="H222" s="4"/>
    </row>
    <row r="223" spans="7:8" x14ac:dyDescent="0.2">
      <c r="G223" s="6"/>
      <c r="H223" s="4"/>
    </row>
    <row r="224" spans="7:8" x14ac:dyDescent="0.2">
      <c r="G224" s="6"/>
      <c r="H224" s="4"/>
    </row>
    <row r="225" spans="7:8" x14ac:dyDescent="0.2">
      <c r="G225" s="6"/>
      <c r="H225" s="4"/>
    </row>
    <row r="226" spans="7:8" x14ac:dyDescent="0.2">
      <c r="G226" s="6"/>
      <c r="H226" s="4"/>
    </row>
    <row r="227" spans="7:8" x14ac:dyDescent="0.2">
      <c r="G227" s="6"/>
      <c r="H227" s="4"/>
    </row>
    <row r="228" spans="7:8" x14ac:dyDescent="0.2">
      <c r="G228" s="6"/>
      <c r="H228" s="4"/>
    </row>
    <row r="229" spans="7:8" x14ac:dyDescent="0.2">
      <c r="G229" s="6"/>
      <c r="H229" s="4"/>
    </row>
    <row r="230" spans="7:8" x14ac:dyDescent="0.2">
      <c r="G230" s="6"/>
      <c r="H230" s="4"/>
    </row>
    <row r="231" spans="7:8" x14ac:dyDescent="0.2">
      <c r="G231" s="6"/>
      <c r="H231" s="4"/>
    </row>
    <row r="232" spans="7:8" x14ac:dyDescent="0.2">
      <c r="G232" s="6"/>
      <c r="H232" s="4"/>
    </row>
    <row r="233" spans="7:8" x14ac:dyDescent="0.2">
      <c r="G233" s="6"/>
      <c r="H233" s="4"/>
    </row>
    <row r="234" spans="7:8" x14ac:dyDescent="0.2">
      <c r="G234" s="6"/>
      <c r="H234" s="4"/>
    </row>
    <row r="235" spans="7:8" x14ac:dyDescent="0.2">
      <c r="G235" s="6"/>
      <c r="H235" s="4"/>
    </row>
    <row r="236" spans="7:8" x14ac:dyDescent="0.2">
      <c r="G236" s="6"/>
      <c r="H236" s="4"/>
    </row>
    <row r="237" spans="7:8" x14ac:dyDescent="0.2">
      <c r="G237" s="6"/>
      <c r="H237" s="4"/>
    </row>
    <row r="238" spans="7:8" x14ac:dyDescent="0.2">
      <c r="G238" s="6"/>
      <c r="H238" s="4"/>
    </row>
    <row r="239" spans="7:8" x14ac:dyDescent="0.2">
      <c r="G239" s="6"/>
      <c r="H239" s="4"/>
    </row>
    <row r="240" spans="7:8" x14ac:dyDescent="0.2">
      <c r="G240" s="6"/>
      <c r="H240" s="4"/>
    </row>
    <row r="241" spans="7:8" x14ac:dyDescent="0.2">
      <c r="G241" s="6"/>
      <c r="H241" s="4"/>
    </row>
    <row r="242" spans="7:8" x14ac:dyDescent="0.2">
      <c r="G242" s="6"/>
      <c r="H242" s="4"/>
    </row>
    <row r="243" spans="7:8" x14ac:dyDescent="0.2">
      <c r="G243" s="6"/>
      <c r="H243" s="4"/>
    </row>
    <row r="244" spans="7:8" x14ac:dyDescent="0.2">
      <c r="G244" s="6"/>
      <c r="H244" s="4"/>
    </row>
    <row r="245" spans="7:8" x14ac:dyDescent="0.2">
      <c r="G245" s="6"/>
      <c r="H245" s="4"/>
    </row>
    <row r="246" spans="7:8" x14ac:dyDescent="0.2">
      <c r="G246" s="6"/>
      <c r="H246" s="4"/>
    </row>
    <row r="247" spans="7:8" x14ac:dyDescent="0.2">
      <c r="G247" s="6"/>
      <c r="H247" s="4"/>
    </row>
    <row r="248" spans="7:8" x14ac:dyDescent="0.2">
      <c r="G248" s="6"/>
      <c r="H248" s="4"/>
    </row>
    <row r="249" spans="7:8" x14ac:dyDescent="0.2">
      <c r="G249" s="6"/>
      <c r="H249" s="4"/>
    </row>
    <row r="250" spans="7:8" x14ac:dyDescent="0.2">
      <c r="G250" s="6"/>
      <c r="H250" s="4"/>
    </row>
    <row r="251" spans="7:8" x14ac:dyDescent="0.2">
      <c r="G251" s="6"/>
      <c r="H251" s="4"/>
    </row>
    <row r="252" spans="7:8" x14ac:dyDescent="0.2">
      <c r="G252" s="6"/>
      <c r="H252" s="4"/>
    </row>
    <row r="253" spans="7:8" x14ac:dyDescent="0.2">
      <c r="G253" s="6"/>
      <c r="H253" s="4"/>
    </row>
    <row r="254" spans="7:8" x14ac:dyDescent="0.2">
      <c r="G254" s="6"/>
      <c r="H254" s="4"/>
    </row>
    <row r="255" spans="7:8" x14ac:dyDescent="0.2">
      <c r="G255" s="6"/>
      <c r="H255" s="4"/>
    </row>
    <row r="256" spans="7:8" x14ac:dyDescent="0.2">
      <c r="G256" s="6"/>
      <c r="H256" s="4"/>
    </row>
    <row r="257" spans="7:8" x14ac:dyDescent="0.2">
      <c r="G257" s="6"/>
      <c r="H257" s="4"/>
    </row>
    <row r="258" spans="7:8" x14ac:dyDescent="0.2">
      <c r="G258" s="6"/>
      <c r="H258" s="4"/>
    </row>
    <row r="259" spans="7:8" x14ac:dyDescent="0.2">
      <c r="G259" s="6"/>
      <c r="H259" s="4"/>
    </row>
    <row r="260" spans="7:8" x14ac:dyDescent="0.2">
      <c r="G260" s="6"/>
      <c r="H260" s="4"/>
    </row>
    <row r="261" spans="7:8" x14ac:dyDescent="0.2">
      <c r="G261" s="6"/>
      <c r="H261" s="4"/>
    </row>
    <row r="262" spans="7:8" x14ac:dyDescent="0.2">
      <c r="G262" s="6"/>
      <c r="H262" s="4"/>
    </row>
    <row r="263" spans="7:8" x14ac:dyDescent="0.2">
      <c r="G263" s="6"/>
      <c r="H263" s="4"/>
    </row>
    <row r="264" spans="7:8" x14ac:dyDescent="0.2">
      <c r="G264" s="6"/>
      <c r="H264" s="4"/>
    </row>
    <row r="265" spans="7:8" x14ac:dyDescent="0.2">
      <c r="G265" s="6"/>
      <c r="H265" s="4"/>
    </row>
    <row r="266" spans="7:8" x14ac:dyDescent="0.2">
      <c r="G266" s="6"/>
      <c r="H266" s="4"/>
    </row>
    <row r="267" spans="7:8" x14ac:dyDescent="0.2">
      <c r="G267" s="6"/>
      <c r="H267" s="4"/>
    </row>
    <row r="268" spans="7:8" x14ac:dyDescent="0.2">
      <c r="G268" s="6"/>
      <c r="H268" s="4"/>
    </row>
    <row r="269" spans="7:8" x14ac:dyDescent="0.2">
      <c r="G269" s="6"/>
      <c r="H269" s="4"/>
    </row>
    <row r="270" spans="7:8" x14ac:dyDescent="0.2">
      <c r="G270" s="6"/>
      <c r="H270" s="4"/>
    </row>
    <row r="271" spans="7:8" x14ac:dyDescent="0.2">
      <c r="G271" s="6"/>
      <c r="H271" s="4"/>
    </row>
    <row r="272" spans="7:8" x14ac:dyDescent="0.2">
      <c r="G272" s="6"/>
      <c r="H272" s="4"/>
    </row>
    <row r="273" spans="7:8" x14ac:dyDescent="0.2">
      <c r="G273" s="6"/>
      <c r="H273" s="4"/>
    </row>
    <row r="274" spans="7:8" x14ac:dyDescent="0.2">
      <c r="G274" s="6"/>
      <c r="H274" s="4"/>
    </row>
    <row r="275" spans="7:8" x14ac:dyDescent="0.2">
      <c r="G275" s="6"/>
      <c r="H275" s="4"/>
    </row>
    <row r="276" spans="7:8" x14ac:dyDescent="0.2">
      <c r="G276" s="6"/>
      <c r="H276" s="4"/>
    </row>
    <row r="277" spans="7:8" x14ac:dyDescent="0.2">
      <c r="G277" s="6"/>
      <c r="H277" s="4"/>
    </row>
    <row r="278" spans="7:8" x14ac:dyDescent="0.2">
      <c r="G278" s="6"/>
      <c r="H278" s="4"/>
    </row>
    <row r="279" spans="7:8" x14ac:dyDescent="0.2">
      <c r="G279" s="6"/>
      <c r="H279" s="4"/>
    </row>
    <row r="280" spans="7:8" x14ac:dyDescent="0.2">
      <c r="G280" s="6"/>
      <c r="H280" s="4"/>
    </row>
    <row r="281" spans="7:8" x14ac:dyDescent="0.2">
      <c r="G281" s="6"/>
      <c r="H281" s="4"/>
    </row>
    <row r="282" spans="7:8" x14ac:dyDescent="0.2">
      <c r="G282" s="6"/>
      <c r="H282" s="4"/>
    </row>
    <row r="283" spans="7:8" x14ac:dyDescent="0.2">
      <c r="G283" s="6"/>
      <c r="H283" s="4"/>
    </row>
    <row r="284" spans="7:8" x14ac:dyDescent="0.2">
      <c r="G284" s="6"/>
      <c r="H284" s="4"/>
    </row>
    <row r="285" spans="7:8" x14ac:dyDescent="0.2">
      <c r="G285" s="6"/>
      <c r="H285" s="4"/>
    </row>
    <row r="286" spans="7:8" x14ac:dyDescent="0.2">
      <c r="G286" s="6"/>
      <c r="H286" s="4"/>
    </row>
    <row r="287" spans="7:8" x14ac:dyDescent="0.2">
      <c r="G287" s="6"/>
      <c r="H287" s="4"/>
    </row>
    <row r="288" spans="7:8" x14ac:dyDescent="0.2">
      <c r="G288" s="6"/>
      <c r="H288" s="4"/>
    </row>
    <row r="289" spans="7:8" x14ac:dyDescent="0.2">
      <c r="G289" s="6"/>
      <c r="H289" s="4"/>
    </row>
    <row r="290" spans="7:8" x14ac:dyDescent="0.2">
      <c r="G290" s="6"/>
      <c r="H290" s="4"/>
    </row>
    <row r="291" spans="7:8" x14ac:dyDescent="0.2">
      <c r="G291" s="6"/>
      <c r="H291" s="4"/>
    </row>
    <row r="292" spans="7:8" x14ac:dyDescent="0.2">
      <c r="G292" s="6"/>
      <c r="H292" s="4"/>
    </row>
    <row r="293" spans="7:8" x14ac:dyDescent="0.2">
      <c r="G293" s="6"/>
      <c r="H293" s="4"/>
    </row>
    <row r="294" spans="7:8" x14ac:dyDescent="0.2">
      <c r="G294" s="6"/>
      <c r="H294" s="4"/>
    </row>
    <row r="295" spans="7:8" x14ac:dyDescent="0.2">
      <c r="G295" s="6"/>
      <c r="H295" s="4"/>
    </row>
    <row r="296" spans="7:8" x14ac:dyDescent="0.2">
      <c r="G296" s="6"/>
      <c r="H296" s="4"/>
    </row>
    <row r="297" spans="7:8" x14ac:dyDescent="0.2">
      <c r="G297" s="6"/>
      <c r="H297" s="4"/>
    </row>
    <row r="298" spans="7:8" x14ac:dyDescent="0.2">
      <c r="G298" s="6"/>
      <c r="H298" s="4"/>
    </row>
    <row r="299" spans="7:8" x14ac:dyDescent="0.2">
      <c r="G299" s="6"/>
      <c r="H299" s="4"/>
    </row>
    <row r="300" spans="7:8" x14ac:dyDescent="0.2">
      <c r="G300" s="6"/>
      <c r="H300" s="4"/>
    </row>
    <row r="301" spans="7:8" x14ac:dyDescent="0.2">
      <c r="G301" s="6"/>
      <c r="H301" s="4"/>
    </row>
    <row r="302" spans="7:8" x14ac:dyDescent="0.2">
      <c r="G302" s="6"/>
      <c r="H302" s="4"/>
    </row>
    <row r="303" spans="7:8" x14ac:dyDescent="0.2">
      <c r="G303" s="6"/>
      <c r="H303" s="4"/>
    </row>
    <row r="304" spans="7:8" x14ac:dyDescent="0.2">
      <c r="G304" s="6"/>
      <c r="H304" s="4"/>
    </row>
    <row r="305" spans="7:8" x14ac:dyDescent="0.2">
      <c r="G305" s="6"/>
      <c r="H305" s="4"/>
    </row>
    <row r="306" spans="7:8" x14ac:dyDescent="0.2">
      <c r="G306" s="6"/>
      <c r="H306" s="4"/>
    </row>
    <row r="307" spans="7:8" x14ac:dyDescent="0.2">
      <c r="G307" s="6"/>
      <c r="H307" s="4"/>
    </row>
    <row r="308" spans="7:8" x14ac:dyDescent="0.2">
      <c r="G308" s="6"/>
      <c r="H308" s="4"/>
    </row>
    <row r="309" spans="7:8" x14ac:dyDescent="0.2">
      <c r="G309" s="6"/>
      <c r="H309" s="4"/>
    </row>
    <row r="310" spans="7:8" x14ac:dyDescent="0.2">
      <c r="G310" s="6"/>
      <c r="H310" s="4"/>
    </row>
    <row r="311" spans="7:8" x14ac:dyDescent="0.2">
      <c r="G311" s="6"/>
      <c r="H311" s="4"/>
    </row>
    <row r="312" spans="7:8" x14ac:dyDescent="0.2">
      <c r="G312" s="6"/>
      <c r="H312" s="4"/>
    </row>
    <row r="313" spans="7:8" x14ac:dyDescent="0.2">
      <c r="G313" s="6"/>
      <c r="H313" s="4"/>
    </row>
    <row r="314" spans="7:8" x14ac:dyDescent="0.2">
      <c r="G314" s="6"/>
      <c r="H314" s="4"/>
    </row>
    <row r="315" spans="7:8" x14ac:dyDescent="0.2">
      <c r="G315" s="6"/>
      <c r="H315" s="4"/>
    </row>
    <row r="316" spans="7:8" x14ac:dyDescent="0.2">
      <c r="G316" s="6"/>
      <c r="H316" s="4"/>
    </row>
    <row r="317" spans="7:8" x14ac:dyDescent="0.2">
      <c r="G317" s="6"/>
      <c r="H317" s="4"/>
    </row>
    <row r="318" spans="7:8" x14ac:dyDescent="0.2">
      <c r="G318" s="6"/>
      <c r="H318" s="4"/>
    </row>
    <row r="319" spans="7:8" x14ac:dyDescent="0.2">
      <c r="G319" s="6"/>
      <c r="H319" s="4"/>
    </row>
    <row r="320" spans="7:8" x14ac:dyDescent="0.2">
      <c r="G320" s="6"/>
      <c r="H320" s="4"/>
    </row>
    <row r="321" spans="7:8" x14ac:dyDescent="0.2">
      <c r="G321" s="6"/>
      <c r="H321" s="4"/>
    </row>
    <row r="322" spans="7:8" x14ac:dyDescent="0.2">
      <c r="G322" s="6"/>
      <c r="H322" s="4"/>
    </row>
    <row r="323" spans="7:8" x14ac:dyDescent="0.2">
      <c r="G323" s="6"/>
      <c r="H323" s="4"/>
    </row>
    <row r="324" spans="7:8" x14ac:dyDescent="0.2">
      <c r="G324" s="6"/>
      <c r="H324" s="4"/>
    </row>
    <row r="325" spans="7:8" x14ac:dyDescent="0.2">
      <c r="G325" s="6"/>
      <c r="H325" s="4"/>
    </row>
    <row r="326" spans="7:8" x14ac:dyDescent="0.2">
      <c r="G326" s="6"/>
      <c r="H326" s="4"/>
    </row>
    <row r="327" spans="7:8" x14ac:dyDescent="0.2">
      <c r="G327" s="6"/>
      <c r="H327" s="4"/>
    </row>
    <row r="328" spans="7:8" x14ac:dyDescent="0.2">
      <c r="G328" s="6"/>
      <c r="H328" s="4"/>
    </row>
    <row r="329" spans="7:8" x14ac:dyDescent="0.2">
      <c r="G329" s="6"/>
      <c r="H329" s="4"/>
    </row>
    <row r="330" spans="7:8" x14ac:dyDescent="0.2">
      <c r="G330" s="6"/>
      <c r="H330" s="4"/>
    </row>
    <row r="331" spans="7:8" x14ac:dyDescent="0.2">
      <c r="G331" s="6"/>
      <c r="H331" s="4"/>
    </row>
    <row r="332" spans="7:8" x14ac:dyDescent="0.2">
      <c r="G332" s="6"/>
      <c r="H332" s="4"/>
    </row>
    <row r="333" spans="7:8" x14ac:dyDescent="0.2">
      <c r="G333" s="6"/>
      <c r="H333" s="4"/>
    </row>
    <row r="334" spans="7:8" x14ac:dyDescent="0.2">
      <c r="G334" s="6"/>
      <c r="H334" s="4"/>
    </row>
    <row r="335" spans="7:8" x14ac:dyDescent="0.2">
      <c r="G335" s="6"/>
      <c r="H335" s="4"/>
    </row>
    <row r="336" spans="7:8" x14ac:dyDescent="0.2">
      <c r="G336" s="6"/>
      <c r="H336" s="4"/>
    </row>
    <row r="337" spans="7:8" x14ac:dyDescent="0.2">
      <c r="G337" s="6"/>
      <c r="H337" s="4"/>
    </row>
    <row r="338" spans="7:8" x14ac:dyDescent="0.2">
      <c r="G338" s="6"/>
      <c r="H338" s="4"/>
    </row>
    <row r="339" spans="7:8" x14ac:dyDescent="0.2">
      <c r="G339" s="6"/>
      <c r="H339" s="4"/>
    </row>
    <row r="340" spans="7:8" x14ac:dyDescent="0.2">
      <c r="G340" s="6"/>
      <c r="H340" s="4"/>
    </row>
    <row r="341" spans="7:8" x14ac:dyDescent="0.2">
      <c r="G341" s="6"/>
      <c r="H341" s="4"/>
    </row>
    <row r="342" spans="7:8" x14ac:dyDescent="0.2">
      <c r="G342" s="6"/>
      <c r="H342" s="4"/>
    </row>
    <row r="343" spans="7:8" x14ac:dyDescent="0.2">
      <c r="G343" s="6"/>
      <c r="H343" s="4"/>
    </row>
    <row r="344" spans="7:8" x14ac:dyDescent="0.2">
      <c r="G344" s="6"/>
      <c r="H344" s="4"/>
    </row>
    <row r="345" spans="7:8" x14ac:dyDescent="0.2">
      <c r="G345" s="6"/>
      <c r="H345" s="4"/>
    </row>
    <row r="346" spans="7:8" x14ac:dyDescent="0.2">
      <c r="G346" s="6"/>
      <c r="H346" s="4"/>
    </row>
    <row r="347" spans="7:8" x14ac:dyDescent="0.2">
      <c r="G347" s="6"/>
      <c r="H347" s="4"/>
    </row>
    <row r="348" spans="7:8" x14ac:dyDescent="0.2">
      <c r="G348" s="6"/>
      <c r="H348" s="4"/>
    </row>
    <row r="349" spans="7:8" x14ac:dyDescent="0.2">
      <c r="G349" s="6"/>
      <c r="H349" s="4"/>
    </row>
    <row r="350" spans="7:8" x14ac:dyDescent="0.2">
      <c r="G350" s="6"/>
      <c r="H350" s="4"/>
    </row>
    <row r="351" spans="7:8" x14ac:dyDescent="0.2">
      <c r="G351" s="6"/>
      <c r="H351" s="4"/>
    </row>
    <row r="352" spans="7:8" x14ac:dyDescent="0.2">
      <c r="G352" s="6"/>
      <c r="H352" s="4"/>
    </row>
    <row r="353" spans="7:8" x14ac:dyDescent="0.2">
      <c r="G353" s="6"/>
      <c r="H353" s="4"/>
    </row>
    <row r="354" spans="7:8" x14ac:dyDescent="0.2">
      <c r="G354" s="6"/>
      <c r="H354" s="4"/>
    </row>
    <row r="355" spans="7:8" x14ac:dyDescent="0.2">
      <c r="G355" s="6"/>
      <c r="H355" s="4"/>
    </row>
    <row r="356" spans="7:8" x14ac:dyDescent="0.2">
      <c r="G356" s="6"/>
      <c r="H356" s="4"/>
    </row>
    <row r="357" spans="7:8" x14ac:dyDescent="0.2">
      <c r="G357" s="6"/>
      <c r="H357" s="4"/>
    </row>
    <row r="358" spans="7:8" x14ac:dyDescent="0.2">
      <c r="G358" s="6"/>
      <c r="H358" s="4"/>
    </row>
    <row r="359" spans="7:8" x14ac:dyDescent="0.2">
      <c r="G359" s="6"/>
      <c r="H359" s="4"/>
    </row>
    <row r="360" spans="7:8" x14ac:dyDescent="0.2">
      <c r="G360" s="6"/>
      <c r="H360" s="4"/>
    </row>
    <row r="361" spans="7:8" x14ac:dyDescent="0.2">
      <c r="G361" s="6"/>
      <c r="H361" s="4"/>
    </row>
    <row r="362" spans="7:8" x14ac:dyDescent="0.2">
      <c r="G362" s="6"/>
      <c r="H362" s="4"/>
    </row>
    <row r="363" spans="7:8" x14ac:dyDescent="0.2">
      <c r="G363" s="6"/>
      <c r="H363" s="4"/>
    </row>
    <row r="364" spans="7:8" x14ac:dyDescent="0.2">
      <c r="G364" s="6"/>
      <c r="H364" s="4"/>
    </row>
    <row r="365" spans="7:8" x14ac:dyDescent="0.2">
      <c r="G365" s="6"/>
      <c r="H365" s="4"/>
    </row>
    <row r="366" spans="7:8" x14ac:dyDescent="0.2">
      <c r="G366" s="6"/>
      <c r="H366" s="4"/>
    </row>
    <row r="367" spans="7:8" x14ac:dyDescent="0.2">
      <c r="G367" s="6"/>
      <c r="H367" s="4"/>
    </row>
    <row r="368" spans="7:8" x14ac:dyDescent="0.2">
      <c r="G368" s="6"/>
      <c r="H368" s="4"/>
    </row>
    <row r="369" spans="7:8" x14ac:dyDescent="0.2">
      <c r="G369" s="6"/>
      <c r="H369" s="4"/>
    </row>
    <row r="370" spans="7:8" x14ac:dyDescent="0.2">
      <c r="G370" s="6"/>
      <c r="H370" s="4"/>
    </row>
    <row r="371" spans="7:8" x14ac:dyDescent="0.2">
      <c r="G371" s="6"/>
      <c r="H371" s="4"/>
    </row>
    <row r="372" spans="7:8" x14ac:dyDescent="0.2">
      <c r="G372" s="6"/>
      <c r="H372" s="4"/>
    </row>
    <row r="373" spans="7:8" x14ac:dyDescent="0.2">
      <c r="G373" s="6"/>
      <c r="H373" s="4"/>
    </row>
    <row r="374" spans="7:8" x14ac:dyDescent="0.2">
      <c r="G374" s="6"/>
      <c r="H374" s="4"/>
    </row>
    <row r="375" spans="7:8" x14ac:dyDescent="0.2">
      <c r="G375" s="6"/>
      <c r="H375" s="4"/>
    </row>
    <row r="376" spans="7:8" x14ac:dyDescent="0.2">
      <c r="G376" s="6"/>
      <c r="H376" s="4"/>
    </row>
    <row r="377" spans="7:8" x14ac:dyDescent="0.2">
      <c r="G377" s="6"/>
      <c r="H377" s="4"/>
    </row>
    <row r="378" spans="7:8" x14ac:dyDescent="0.2">
      <c r="G378" s="6"/>
      <c r="H378" s="4"/>
    </row>
    <row r="379" spans="7:8" x14ac:dyDescent="0.2">
      <c r="G379" s="6"/>
      <c r="H379" s="4"/>
    </row>
    <row r="380" spans="7:8" x14ac:dyDescent="0.2">
      <c r="G380" s="6"/>
      <c r="H380" s="4"/>
    </row>
    <row r="381" spans="7:8" x14ac:dyDescent="0.2">
      <c r="G381" s="6"/>
      <c r="H381" s="4"/>
    </row>
    <row r="382" spans="7:8" x14ac:dyDescent="0.2">
      <c r="G382" s="6"/>
      <c r="H382" s="4"/>
    </row>
    <row r="383" spans="7:8" x14ac:dyDescent="0.2">
      <c r="G383" s="6"/>
      <c r="H383" s="4"/>
    </row>
    <row r="384" spans="7:8" x14ac:dyDescent="0.2">
      <c r="G384" s="6"/>
      <c r="H384" s="4"/>
    </row>
    <row r="385" spans="7:8" x14ac:dyDescent="0.2">
      <c r="G385" s="6"/>
      <c r="H385" s="4"/>
    </row>
    <row r="386" spans="7:8" x14ac:dyDescent="0.2">
      <c r="G386" s="6"/>
      <c r="H386" s="4"/>
    </row>
    <row r="387" spans="7:8" x14ac:dyDescent="0.2">
      <c r="G387" s="6"/>
      <c r="H387" s="4"/>
    </row>
    <row r="388" spans="7:8" x14ac:dyDescent="0.2">
      <c r="G388" s="6"/>
      <c r="H388" s="4"/>
    </row>
    <row r="389" spans="7:8" x14ac:dyDescent="0.2">
      <c r="G389" s="6"/>
      <c r="H389" s="4"/>
    </row>
    <row r="390" spans="7:8" x14ac:dyDescent="0.2">
      <c r="G390" s="6"/>
      <c r="H390" s="4"/>
    </row>
    <row r="391" spans="7:8" x14ac:dyDescent="0.2">
      <c r="G391" s="6"/>
      <c r="H391" s="4"/>
    </row>
    <row r="392" spans="7:8" x14ac:dyDescent="0.2">
      <c r="G392" s="6"/>
      <c r="H392" s="4"/>
    </row>
    <row r="393" spans="7:8" x14ac:dyDescent="0.2">
      <c r="G393" s="6"/>
      <c r="H393" s="4"/>
    </row>
    <row r="394" spans="7:8" x14ac:dyDescent="0.2">
      <c r="G394" s="6"/>
      <c r="H394" s="4"/>
    </row>
    <row r="395" spans="7:8" x14ac:dyDescent="0.2">
      <c r="G395" s="6"/>
      <c r="H395" s="4"/>
    </row>
    <row r="396" spans="7:8" x14ac:dyDescent="0.2">
      <c r="G396" s="6"/>
      <c r="H396" s="4"/>
    </row>
    <row r="397" spans="7:8" x14ac:dyDescent="0.2">
      <c r="G397" s="6"/>
      <c r="H397" s="4"/>
    </row>
    <row r="398" spans="7:8" x14ac:dyDescent="0.2">
      <c r="G398" s="6"/>
      <c r="H398" s="4"/>
    </row>
    <row r="399" spans="7:8" x14ac:dyDescent="0.2">
      <c r="G399" s="6"/>
      <c r="H399" s="4"/>
    </row>
    <row r="400" spans="7:8" x14ac:dyDescent="0.2">
      <c r="G400" s="6"/>
      <c r="H400" s="4"/>
    </row>
    <row r="401" spans="7:8" x14ac:dyDescent="0.2">
      <c r="G401" s="6"/>
      <c r="H401" s="4"/>
    </row>
    <row r="402" spans="7:8" x14ac:dyDescent="0.2">
      <c r="G402" s="6"/>
      <c r="H402" s="4"/>
    </row>
    <row r="403" spans="7:8" x14ac:dyDescent="0.2">
      <c r="G403" s="6"/>
      <c r="H403" s="4"/>
    </row>
    <row r="404" spans="7:8" x14ac:dyDescent="0.2">
      <c r="G404" s="6"/>
      <c r="H404" s="4"/>
    </row>
    <row r="405" spans="7:8" x14ac:dyDescent="0.2">
      <c r="G405" s="6"/>
      <c r="H405" s="4"/>
    </row>
    <row r="406" spans="7:8" x14ac:dyDescent="0.2">
      <c r="G406" s="6"/>
      <c r="H406" s="4"/>
    </row>
    <row r="407" spans="7:8" x14ac:dyDescent="0.2">
      <c r="G407" s="6"/>
      <c r="H407" s="4"/>
    </row>
    <row r="408" spans="7:8" x14ac:dyDescent="0.2">
      <c r="G408" s="6"/>
      <c r="H408" s="4"/>
    </row>
    <row r="409" spans="7:8" x14ac:dyDescent="0.2">
      <c r="G409" s="6"/>
      <c r="H409" s="4"/>
    </row>
    <row r="410" spans="7:8" x14ac:dyDescent="0.2">
      <c r="G410" s="6"/>
      <c r="H410" s="4"/>
    </row>
    <row r="411" spans="7:8" x14ac:dyDescent="0.2">
      <c r="G411" s="6"/>
      <c r="H411" s="4"/>
    </row>
    <row r="412" spans="7:8" x14ac:dyDescent="0.2">
      <c r="G412" s="6"/>
      <c r="H412" s="4"/>
    </row>
    <row r="413" spans="7:8" x14ac:dyDescent="0.2">
      <c r="G413" s="6"/>
      <c r="H413" s="4"/>
    </row>
    <row r="414" spans="7:8" x14ac:dyDescent="0.2">
      <c r="G414" s="6"/>
      <c r="H414" s="4"/>
    </row>
    <row r="415" spans="7:8" x14ac:dyDescent="0.2">
      <c r="G415" s="6"/>
      <c r="H415" s="4"/>
    </row>
    <row r="416" spans="7:8" x14ac:dyDescent="0.2">
      <c r="G416" s="6"/>
      <c r="H416" s="4"/>
    </row>
    <row r="417" spans="7:8" x14ac:dyDescent="0.2">
      <c r="G417" s="6"/>
      <c r="H417" s="4"/>
    </row>
    <row r="418" spans="7:8" x14ac:dyDescent="0.2">
      <c r="G418" s="6"/>
      <c r="H418" s="4"/>
    </row>
    <row r="419" spans="7:8" x14ac:dyDescent="0.2">
      <c r="G419" s="6"/>
      <c r="H419" s="4"/>
    </row>
    <row r="420" spans="7:8" x14ac:dyDescent="0.2">
      <c r="G420" s="6"/>
      <c r="H420" s="4"/>
    </row>
    <row r="421" spans="7:8" x14ac:dyDescent="0.2">
      <c r="G421" s="6"/>
      <c r="H421" s="4"/>
    </row>
    <row r="422" spans="7:8" x14ac:dyDescent="0.2">
      <c r="G422" s="6"/>
      <c r="H422" s="4"/>
    </row>
    <row r="423" spans="7:8" x14ac:dyDescent="0.2">
      <c r="G423" s="6"/>
      <c r="H423" s="4"/>
    </row>
    <row r="424" spans="7:8" x14ac:dyDescent="0.2">
      <c r="G424" s="6"/>
      <c r="H424" s="4"/>
    </row>
    <row r="425" spans="7:8" x14ac:dyDescent="0.2">
      <c r="G425" s="6"/>
      <c r="H425" s="4"/>
    </row>
    <row r="426" spans="7:8" x14ac:dyDescent="0.2">
      <c r="G426" s="6"/>
      <c r="H426" s="4"/>
    </row>
    <row r="427" spans="7:8" x14ac:dyDescent="0.2">
      <c r="G427" s="6"/>
      <c r="H427" s="4"/>
    </row>
    <row r="428" spans="7:8" x14ac:dyDescent="0.2">
      <c r="G428" s="6"/>
      <c r="H428" s="4"/>
    </row>
    <row r="429" spans="7:8" x14ac:dyDescent="0.2">
      <c r="G429" s="6"/>
      <c r="H429" s="4"/>
    </row>
    <row r="430" spans="7:8" x14ac:dyDescent="0.2">
      <c r="G430" s="6"/>
      <c r="H430" s="4"/>
    </row>
    <row r="431" spans="7:8" x14ac:dyDescent="0.2">
      <c r="G431" s="6"/>
      <c r="H431" s="4"/>
    </row>
    <row r="432" spans="7:8" x14ac:dyDescent="0.2">
      <c r="G432" s="6"/>
      <c r="H432" s="4"/>
    </row>
    <row r="433" spans="7:8" x14ac:dyDescent="0.2">
      <c r="G433" s="6"/>
      <c r="H433" s="4"/>
    </row>
    <row r="434" spans="7:8" x14ac:dyDescent="0.2">
      <c r="G434" s="6"/>
      <c r="H434" s="4"/>
    </row>
    <row r="435" spans="7:8" x14ac:dyDescent="0.2">
      <c r="G435" s="6"/>
      <c r="H435" s="4"/>
    </row>
    <row r="436" spans="7:8" x14ac:dyDescent="0.2">
      <c r="G436" s="6"/>
      <c r="H436" s="4"/>
    </row>
    <row r="437" spans="7:8" x14ac:dyDescent="0.2">
      <c r="G437" s="6"/>
      <c r="H437" s="4"/>
    </row>
    <row r="438" spans="7:8" x14ac:dyDescent="0.2">
      <c r="G438" s="6"/>
      <c r="H438" s="4"/>
    </row>
    <row r="439" spans="7:8" x14ac:dyDescent="0.2">
      <c r="G439" s="6"/>
      <c r="H439" s="4"/>
    </row>
    <row r="440" spans="7:8" x14ac:dyDescent="0.2">
      <c r="G440" s="6"/>
      <c r="H440" s="4"/>
    </row>
    <row r="441" spans="7:8" x14ac:dyDescent="0.2">
      <c r="G441" s="6"/>
      <c r="H441" s="4"/>
    </row>
    <row r="442" spans="7:8" x14ac:dyDescent="0.2">
      <c r="G442" s="6"/>
      <c r="H442" s="4"/>
    </row>
    <row r="443" spans="7:8" x14ac:dyDescent="0.2">
      <c r="G443" s="6"/>
      <c r="H443" s="4"/>
    </row>
    <row r="444" spans="7:8" x14ac:dyDescent="0.2">
      <c r="G444" s="6"/>
      <c r="H444" s="4"/>
    </row>
    <row r="445" spans="7:8" x14ac:dyDescent="0.2">
      <c r="G445" s="6"/>
      <c r="H445" s="4"/>
    </row>
    <row r="446" spans="7:8" x14ac:dyDescent="0.2">
      <c r="G446" s="6"/>
      <c r="H446" s="4"/>
    </row>
    <row r="447" spans="7:8" x14ac:dyDescent="0.2">
      <c r="G447" s="6"/>
      <c r="H447" s="4"/>
    </row>
    <row r="448" spans="7:8" x14ac:dyDescent="0.2">
      <c r="G448" s="6"/>
      <c r="H448" s="4"/>
    </row>
    <row r="449" spans="7:8" x14ac:dyDescent="0.2">
      <c r="G449" s="6"/>
      <c r="H449" s="4"/>
    </row>
    <row r="450" spans="7:8" x14ac:dyDescent="0.2">
      <c r="G450" s="6"/>
      <c r="H450" s="4"/>
    </row>
    <row r="451" spans="7:8" x14ac:dyDescent="0.2">
      <c r="G451" s="6"/>
      <c r="H451" s="4"/>
    </row>
    <row r="452" spans="7:8" x14ac:dyDescent="0.2">
      <c r="G452" s="6"/>
      <c r="H452" s="4"/>
    </row>
    <row r="453" spans="7:8" x14ac:dyDescent="0.2">
      <c r="G453" s="6"/>
      <c r="H453" s="4"/>
    </row>
    <row r="454" spans="7:8" x14ac:dyDescent="0.2">
      <c r="G454" s="6"/>
      <c r="H454" s="4"/>
    </row>
    <row r="455" spans="7:8" x14ac:dyDescent="0.2">
      <c r="G455" s="6"/>
      <c r="H455" s="4"/>
    </row>
    <row r="456" spans="7:8" x14ac:dyDescent="0.2">
      <c r="G456" s="6"/>
      <c r="H456" s="4"/>
    </row>
    <row r="457" spans="7:8" x14ac:dyDescent="0.2">
      <c r="G457" s="6"/>
      <c r="H457" s="4"/>
    </row>
    <row r="458" spans="7:8" x14ac:dyDescent="0.2">
      <c r="G458" s="6"/>
      <c r="H458" s="4"/>
    </row>
    <row r="459" spans="7:8" x14ac:dyDescent="0.2">
      <c r="G459" s="6"/>
      <c r="H459" s="4"/>
    </row>
    <row r="460" spans="7:8" x14ac:dyDescent="0.2">
      <c r="G460" s="6"/>
      <c r="H460" s="4"/>
    </row>
    <row r="461" spans="7:8" x14ac:dyDescent="0.2">
      <c r="G461" s="6"/>
      <c r="H461" s="4"/>
    </row>
    <row r="462" spans="7:8" x14ac:dyDescent="0.2">
      <c r="G462" s="6"/>
      <c r="H462" s="4"/>
    </row>
    <row r="463" spans="7:8" x14ac:dyDescent="0.2">
      <c r="G463" s="6"/>
      <c r="H463" s="4"/>
    </row>
    <row r="464" spans="7:8" x14ac:dyDescent="0.2">
      <c r="G464" s="6"/>
      <c r="H464" s="4"/>
    </row>
    <row r="465" spans="7:8" x14ac:dyDescent="0.2">
      <c r="G465" s="6"/>
      <c r="H465" s="4"/>
    </row>
    <row r="466" spans="7:8" x14ac:dyDescent="0.2">
      <c r="G466" s="6"/>
      <c r="H466" s="4"/>
    </row>
    <row r="467" spans="7:8" x14ac:dyDescent="0.2">
      <c r="G467" s="6"/>
      <c r="H467" s="4"/>
    </row>
    <row r="468" spans="7:8" x14ac:dyDescent="0.2">
      <c r="G468" s="6"/>
      <c r="H468" s="4"/>
    </row>
    <row r="469" spans="7:8" x14ac:dyDescent="0.2">
      <c r="G469" s="6"/>
      <c r="H469" s="4"/>
    </row>
    <row r="470" spans="7:8" x14ac:dyDescent="0.2">
      <c r="G470" s="6"/>
      <c r="H470" s="4"/>
    </row>
    <row r="471" spans="7:8" x14ac:dyDescent="0.2">
      <c r="G471" s="6"/>
      <c r="H471" s="4"/>
    </row>
    <row r="472" spans="7:8" x14ac:dyDescent="0.2">
      <c r="G472" s="6"/>
      <c r="H472" s="4"/>
    </row>
    <row r="473" spans="7:8" x14ac:dyDescent="0.2">
      <c r="G473" s="6"/>
      <c r="H473" s="4"/>
    </row>
    <row r="474" spans="7:8" x14ac:dyDescent="0.2">
      <c r="G474" s="6"/>
      <c r="H474" s="4"/>
    </row>
    <row r="475" spans="7:8" x14ac:dyDescent="0.2">
      <c r="G475" s="6"/>
      <c r="H475" s="4"/>
    </row>
    <row r="476" spans="7:8" x14ac:dyDescent="0.2">
      <c r="G476" s="6"/>
      <c r="H476" s="4"/>
    </row>
    <row r="477" spans="7:8" x14ac:dyDescent="0.2">
      <c r="G477" s="6"/>
      <c r="H477" s="4"/>
    </row>
    <row r="478" spans="7:8" x14ac:dyDescent="0.2">
      <c r="G478" s="6"/>
      <c r="H478" s="4"/>
    </row>
    <row r="479" spans="7:8" x14ac:dyDescent="0.2">
      <c r="G479" s="6"/>
      <c r="H479" s="4"/>
    </row>
    <row r="480" spans="7:8" x14ac:dyDescent="0.2">
      <c r="G480" s="6"/>
      <c r="H480" s="4"/>
    </row>
    <row r="481" spans="7:8" x14ac:dyDescent="0.2">
      <c r="G481" s="6"/>
      <c r="H481" s="4"/>
    </row>
    <row r="482" spans="7:8" x14ac:dyDescent="0.2">
      <c r="G482" s="6"/>
      <c r="H482" s="4"/>
    </row>
    <row r="483" spans="7:8" x14ac:dyDescent="0.2">
      <c r="G483" s="6"/>
      <c r="H483" s="4"/>
    </row>
    <row r="484" spans="7:8" x14ac:dyDescent="0.2">
      <c r="G484" s="6"/>
      <c r="H484" s="4"/>
    </row>
    <row r="485" spans="7:8" x14ac:dyDescent="0.2">
      <c r="G485" s="6"/>
      <c r="H485" s="4"/>
    </row>
    <row r="486" spans="7:8" x14ac:dyDescent="0.2">
      <c r="G486" s="6"/>
      <c r="H486" s="4"/>
    </row>
    <row r="487" spans="7:8" x14ac:dyDescent="0.2">
      <c r="G487" s="6"/>
      <c r="H487" s="4"/>
    </row>
    <row r="488" spans="7:8" x14ac:dyDescent="0.2">
      <c r="G488" s="6"/>
      <c r="H488" s="4"/>
    </row>
    <row r="489" spans="7:8" x14ac:dyDescent="0.2">
      <c r="G489" s="6"/>
      <c r="H489" s="4"/>
    </row>
    <row r="490" spans="7:8" x14ac:dyDescent="0.2">
      <c r="G490" s="6"/>
      <c r="H490" s="4"/>
    </row>
    <row r="491" spans="7:8" x14ac:dyDescent="0.2">
      <c r="G491" s="6"/>
      <c r="H491" s="4"/>
    </row>
    <row r="492" spans="7:8" x14ac:dyDescent="0.2">
      <c r="G492" s="6"/>
      <c r="H492" s="4"/>
    </row>
    <row r="493" spans="7:8" x14ac:dyDescent="0.2">
      <c r="G493" s="6"/>
      <c r="H493" s="4"/>
    </row>
    <row r="494" spans="7:8" x14ac:dyDescent="0.2">
      <c r="G494" s="6"/>
      <c r="H494" s="4"/>
    </row>
    <row r="495" spans="7:8" x14ac:dyDescent="0.2">
      <c r="G495" s="6"/>
      <c r="H495" s="4"/>
    </row>
    <row r="496" spans="7:8" x14ac:dyDescent="0.2">
      <c r="G496" s="6"/>
      <c r="H496" s="4"/>
    </row>
    <row r="497" spans="7:8" x14ac:dyDescent="0.2">
      <c r="G497" s="6"/>
      <c r="H497" s="4"/>
    </row>
    <row r="498" spans="7:8" x14ac:dyDescent="0.2">
      <c r="G498" s="6"/>
      <c r="H498" s="4"/>
    </row>
    <row r="499" spans="7:8" x14ac:dyDescent="0.2">
      <c r="G499" s="6"/>
      <c r="H499" s="4"/>
    </row>
    <row r="500" spans="7:8" x14ac:dyDescent="0.2">
      <c r="G500" s="6"/>
      <c r="H500" s="4"/>
    </row>
    <row r="501" spans="7:8" x14ac:dyDescent="0.2">
      <c r="G501" s="4"/>
      <c r="H501" s="4"/>
    </row>
    <row r="502" spans="7:8" x14ac:dyDescent="0.2">
      <c r="G502" s="4"/>
      <c r="H502" s="4"/>
    </row>
    <row r="503" spans="7:8" x14ac:dyDescent="0.2">
      <c r="G503" s="4"/>
      <c r="H503" s="4"/>
    </row>
    <row r="504" spans="7:8" x14ac:dyDescent="0.2">
      <c r="G504" s="4"/>
      <c r="H504" s="4"/>
    </row>
    <row r="505" spans="7:8" x14ac:dyDescent="0.2">
      <c r="G505" s="4"/>
      <c r="H505" s="4"/>
    </row>
    <row r="506" spans="7:8" x14ac:dyDescent="0.2">
      <c r="G506" s="4"/>
      <c r="H506" s="4"/>
    </row>
    <row r="507" spans="7:8" x14ac:dyDescent="0.2">
      <c r="G507" s="4"/>
      <c r="H507" s="4"/>
    </row>
    <row r="508" spans="7:8" x14ac:dyDescent="0.2">
      <c r="G508" s="4"/>
      <c r="H508" s="4"/>
    </row>
    <row r="509" spans="7:8" x14ac:dyDescent="0.2">
      <c r="G509" s="4"/>
      <c r="H509" s="4"/>
    </row>
    <row r="510" spans="7:8" x14ac:dyDescent="0.2">
      <c r="G510" s="4"/>
      <c r="H510" s="4"/>
    </row>
    <row r="511" spans="7:8" x14ac:dyDescent="0.2">
      <c r="G511" s="4"/>
      <c r="H511" s="4"/>
    </row>
    <row r="512" spans="7:8" x14ac:dyDescent="0.2">
      <c r="G512" s="4"/>
      <c r="H512" s="4"/>
    </row>
    <row r="513" spans="7:8" x14ac:dyDescent="0.2">
      <c r="G513" s="4"/>
      <c r="H513" s="4"/>
    </row>
    <row r="514" spans="7:8" x14ac:dyDescent="0.2">
      <c r="G514" s="4"/>
      <c r="H514" s="4"/>
    </row>
    <row r="515" spans="7:8" x14ac:dyDescent="0.2">
      <c r="G515" s="4"/>
      <c r="H515" s="4"/>
    </row>
    <row r="516" spans="7:8" x14ac:dyDescent="0.2">
      <c r="G516" s="4"/>
      <c r="H516" s="4"/>
    </row>
    <row r="517" spans="7:8" x14ac:dyDescent="0.2">
      <c r="G517" s="4"/>
      <c r="H517" s="4"/>
    </row>
    <row r="518" spans="7:8" x14ac:dyDescent="0.2">
      <c r="G518" s="4"/>
      <c r="H518" s="4"/>
    </row>
    <row r="519" spans="7:8" x14ac:dyDescent="0.2">
      <c r="G519" s="4"/>
      <c r="H519" s="4"/>
    </row>
    <row r="520" spans="7:8" x14ac:dyDescent="0.2">
      <c r="G520" s="4"/>
      <c r="H520" s="4"/>
    </row>
    <row r="521" spans="7:8" x14ac:dyDescent="0.2">
      <c r="G521" s="4"/>
      <c r="H521" s="4"/>
    </row>
    <row r="522" spans="7:8" x14ac:dyDescent="0.2">
      <c r="G522" s="4"/>
      <c r="H522" s="4"/>
    </row>
    <row r="523" spans="7:8" x14ac:dyDescent="0.2">
      <c r="G523" s="4"/>
      <c r="H523" s="4"/>
    </row>
    <row r="524" spans="7:8" x14ac:dyDescent="0.2">
      <c r="G524" s="4"/>
      <c r="H524" s="4"/>
    </row>
    <row r="525" spans="7:8" x14ac:dyDescent="0.2">
      <c r="G525" s="4"/>
      <c r="H525" s="4"/>
    </row>
    <row r="526" spans="7:8" x14ac:dyDescent="0.2">
      <c r="G526" s="4"/>
      <c r="H526" s="4"/>
    </row>
    <row r="527" spans="7:8" x14ac:dyDescent="0.2">
      <c r="G527" s="4"/>
      <c r="H527" s="4"/>
    </row>
    <row r="528" spans="7:8" x14ac:dyDescent="0.2">
      <c r="G528" s="4"/>
      <c r="H528" s="4"/>
    </row>
    <row r="529" spans="7:8" x14ac:dyDescent="0.2">
      <c r="G529" s="4"/>
      <c r="H529" s="4"/>
    </row>
    <row r="530" spans="7:8" x14ac:dyDescent="0.2">
      <c r="G530" s="4"/>
      <c r="H530" s="4"/>
    </row>
    <row r="531" spans="7:8" x14ac:dyDescent="0.2">
      <c r="G531" s="4"/>
      <c r="H531" s="4"/>
    </row>
    <row r="532" spans="7:8" x14ac:dyDescent="0.2">
      <c r="G532" s="4"/>
      <c r="H532" s="4"/>
    </row>
    <row r="533" spans="7:8" x14ac:dyDescent="0.2">
      <c r="G533" s="4"/>
      <c r="H533" s="4"/>
    </row>
    <row r="534" spans="7:8" x14ac:dyDescent="0.2">
      <c r="G534" s="4"/>
      <c r="H534" s="4"/>
    </row>
    <row r="535" spans="7:8" x14ac:dyDescent="0.2">
      <c r="G535" s="4"/>
      <c r="H535" s="4"/>
    </row>
    <row r="536" spans="7:8" x14ac:dyDescent="0.2">
      <c r="G536" s="4"/>
      <c r="H536" s="4"/>
    </row>
    <row r="537" spans="7:8" x14ac:dyDescent="0.2">
      <c r="G537" s="4"/>
      <c r="H537" s="4"/>
    </row>
    <row r="538" spans="7:8" x14ac:dyDescent="0.2">
      <c r="G538" s="4"/>
      <c r="H538" s="4"/>
    </row>
    <row r="539" spans="7:8" x14ac:dyDescent="0.2">
      <c r="G539" s="4"/>
      <c r="H539" s="4"/>
    </row>
    <row r="540" spans="7:8" x14ac:dyDescent="0.2">
      <c r="G540" s="4"/>
      <c r="H540" s="4"/>
    </row>
    <row r="541" spans="7:8" x14ac:dyDescent="0.2">
      <c r="G541" s="4"/>
      <c r="H541" s="4"/>
    </row>
    <row r="542" spans="7:8" x14ac:dyDescent="0.2">
      <c r="G542" s="4"/>
      <c r="H542" s="4"/>
    </row>
    <row r="543" spans="7:8" x14ac:dyDescent="0.2">
      <c r="G543" s="4"/>
      <c r="H543" s="4"/>
    </row>
    <row r="544" spans="7:8" x14ac:dyDescent="0.2">
      <c r="G544" s="4"/>
      <c r="H544" s="4"/>
    </row>
    <row r="545" spans="7:8" x14ac:dyDescent="0.2">
      <c r="G545" s="4"/>
      <c r="H545" s="4"/>
    </row>
    <row r="546" spans="7:8" x14ac:dyDescent="0.2">
      <c r="G546" s="4"/>
      <c r="H546" s="4"/>
    </row>
    <row r="547" spans="7:8" x14ac:dyDescent="0.2">
      <c r="G547" s="4"/>
      <c r="H547" s="4"/>
    </row>
    <row r="548" spans="7:8" x14ac:dyDescent="0.2">
      <c r="G548" s="4"/>
      <c r="H548" s="4"/>
    </row>
    <row r="549" spans="7:8" x14ac:dyDescent="0.2">
      <c r="G549" s="4"/>
      <c r="H549" s="4"/>
    </row>
    <row r="550" spans="7:8" x14ac:dyDescent="0.2">
      <c r="G550" s="4"/>
      <c r="H550" s="4"/>
    </row>
    <row r="551" spans="7:8" x14ac:dyDescent="0.2">
      <c r="G551" s="4"/>
      <c r="H551" s="4"/>
    </row>
    <row r="552" spans="7:8" x14ac:dyDescent="0.2">
      <c r="G552" s="4"/>
      <c r="H552" s="4"/>
    </row>
    <row r="553" spans="7:8" x14ac:dyDescent="0.2">
      <c r="G553" s="4"/>
      <c r="H553" s="4"/>
    </row>
    <row r="554" spans="7:8" x14ac:dyDescent="0.2">
      <c r="G554" s="4"/>
      <c r="H554" s="4"/>
    </row>
    <row r="555" spans="7:8" x14ac:dyDescent="0.2">
      <c r="G555" s="4"/>
      <c r="H555" s="4"/>
    </row>
    <row r="556" spans="7:8" x14ac:dyDescent="0.2">
      <c r="G556" s="4"/>
      <c r="H556" s="4"/>
    </row>
    <row r="557" spans="7:8" x14ac:dyDescent="0.2">
      <c r="G557" s="4"/>
      <c r="H557" s="4"/>
    </row>
    <row r="558" spans="7:8" x14ac:dyDescent="0.2">
      <c r="G558" s="4"/>
      <c r="H558" s="4"/>
    </row>
    <row r="559" spans="7:8" x14ac:dyDescent="0.2">
      <c r="G559" s="4"/>
      <c r="H559" s="4"/>
    </row>
    <row r="560" spans="7:8" x14ac:dyDescent="0.2">
      <c r="G560" s="4"/>
      <c r="H560" s="4"/>
    </row>
    <row r="561" spans="7:8" x14ac:dyDescent="0.2">
      <c r="G561" s="4"/>
      <c r="H561" s="4"/>
    </row>
    <row r="562" spans="7:8" x14ac:dyDescent="0.2">
      <c r="G562" s="4"/>
      <c r="H562" s="4"/>
    </row>
    <row r="563" spans="7:8" x14ac:dyDescent="0.2">
      <c r="G563" s="4"/>
      <c r="H563" s="4"/>
    </row>
    <row r="564" spans="7:8" x14ac:dyDescent="0.2">
      <c r="G564" s="4"/>
      <c r="H564" s="4"/>
    </row>
    <row r="565" spans="7:8" x14ac:dyDescent="0.2">
      <c r="G565" s="4"/>
      <c r="H565" s="4"/>
    </row>
    <row r="566" spans="7:8" x14ac:dyDescent="0.2">
      <c r="G566" s="4"/>
      <c r="H566" s="4"/>
    </row>
    <row r="567" spans="7:8" x14ac:dyDescent="0.2">
      <c r="G567" s="4"/>
      <c r="H567" s="4"/>
    </row>
    <row r="568" spans="7:8" x14ac:dyDescent="0.2">
      <c r="G568" s="4"/>
      <c r="H568" s="4"/>
    </row>
    <row r="569" spans="7:8" x14ac:dyDescent="0.2">
      <c r="G569" s="4"/>
      <c r="H569" s="4"/>
    </row>
    <row r="570" spans="7:8" x14ac:dyDescent="0.2">
      <c r="G570" s="4"/>
      <c r="H570" s="4"/>
    </row>
    <row r="571" spans="7:8" x14ac:dyDescent="0.2">
      <c r="G571" s="4"/>
      <c r="H571" s="4"/>
    </row>
    <row r="572" spans="7:8" x14ac:dyDescent="0.2">
      <c r="G572" s="4"/>
      <c r="H572" s="4"/>
    </row>
    <row r="573" spans="7:8" x14ac:dyDescent="0.2">
      <c r="G573" s="4"/>
      <c r="H573" s="4"/>
    </row>
    <row r="574" spans="7:8" x14ac:dyDescent="0.2">
      <c r="G574" s="4"/>
      <c r="H574" s="4"/>
    </row>
    <row r="575" spans="7:8" x14ac:dyDescent="0.2">
      <c r="G575" s="4"/>
      <c r="H575" s="4"/>
    </row>
    <row r="576" spans="7:8" x14ac:dyDescent="0.2">
      <c r="G576" s="4"/>
      <c r="H576" s="4"/>
    </row>
    <row r="577" spans="7:8" x14ac:dyDescent="0.2">
      <c r="G577" s="4"/>
      <c r="H577" s="4"/>
    </row>
    <row r="578" spans="7:8" x14ac:dyDescent="0.2">
      <c r="G578" s="4"/>
      <c r="H578" s="4"/>
    </row>
    <row r="579" spans="7:8" x14ac:dyDescent="0.2">
      <c r="G579" s="4"/>
      <c r="H579" s="4"/>
    </row>
    <row r="580" spans="7:8" x14ac:dyDescent="0.2">
      <c r="G580" s="4"/>
      <c r="H580" s="4"/>
    </row>
    <row r="581" spans="7:8" x14ac:dyDescent="0.2">
      <c r="G581" s="4"/>
      <c r="H581" s="4"/>
    </row>
    <row r="582" spans="7:8" x14ac:dyDescent="0.2">
      <c r="G582" s="4"/>
      <c r="H582" s="4"/>
    </row>
    <row r="583" spans="7:8" x14ac:dyDescent="0.2">
      <c r="G583" s="4"/>
      <c r="H583" s="4"/>
    </row>
    <row r="584" spans="7:8" x14ac:dyDescent="0.2">
      <c r="G584" s="4"/>
      <c r="H584" s="4"/>
    </row>
    <row r="585" spans="7:8" x14ac:dyDescent="0.2">
      <c r="G585" s="4"/>
      <c r="H585" s="4"/>
    </row>
    <row r="586" spans="7:8" x14ac:dyDescent="0.2">
      <c r="G586" s="4"/>
      <c r="H586" s="4"/>
    </row>
    <row r="587" spans="7:8" x14ac:dyDescent="0.2">
      <c r="G587" s="4"/>
      <c r="H587" s="4"/>
    </row>
    <row r="588" spans="7:8" x14ac:dyDescent="0.2">
      <c r="G588" s="4"/>
      <c r="H588" s="4"/>
    </row>
    <row r="589" spans="7:8" x14ac:dyDescent="0.2">
      <c r="G589" s="4"/>
      <c r="H589" s="4"/>
    </row>
    <row r="590" spans="7:8" x14ac:dyDescent="0.2">
      <c r="G590" s="4"/>
      <c r="H590" s="4"/>
    </row>
    <row r="591" spans="7:8" x14ac:dyDescent="0.2">
      <c r="G591" s="4"/>
      <c r="H591" s="4"/>
    </row>
    <row r="592" spans="7:8" x14ac:dyDescent="0.2">
      <c r="G592" s="4"/>
      <c r="H592" s="4"/>
    </row>
    <row r="593" spans="7:8" x14ac:dyDescent="0.2">
      <c r="G593" s="4"/>
      <c r="H593" s="4"/>
    </row>
    <row r="594" spans="7:8" x14ac:dyDescent="0.2">
      <c r="G594" s="4"/>
      <c r="H594" s="4"/>
    </row>
    <row r="595" spans="7:8" x14ac:dyDescent="0.2">
      <c r="G595" s="4"/>
      <c r="H595" s="4"/>
    </row>
    <row r="596" spans="7:8" x14ac:dyDescent="0.2">
      <c r="G596" s="4"/>
      <c r="H596" s="4"/>
    </row>
    <row r="597" spans="7:8" x14ac:dyDescent="0.2">
      <c r="G597" s="4"/>
      <c r="H597" s="4"/>
    </row>
    <row r="598" spans="7:8" x14ac:dyDescent="0.2">
      <c r="G598" s="4"/>
      <c r="H598" s="4"/>
    </row>
    <row r="599" spans="7:8" x14ac:dyDescent="0.2">
      <c r="G599" s="4"/>
      <c r="H599" s="4"/>
    </row>
    <row r="600" spans="7:8" x14ac:dyDescent="0.2">
      <c r="G600" s="4"/>
      <c r="H600" s="4"/>
    </row>
    <row r="601" spans="7:8" x14ac:dyDescent="0.2">
      <c r="G601" s="4"/>
      <c r="H601" s="4"/>
    </row>
    <row r="602" spans="7:8" x14ac:dyDescent="0.2">
      <c r="G602" s="4"/>
      <c r="H602" s="4"/>
    </row>
    <row r="603" spans="7:8" x14ac:dyDescent="0.2">
      <c r="G603" s="4"/>
      <c r="H603" s="4"/>
    </row>
    <row r="604" spans="7:8" x14ac:dyDescent="0.2">
      <c r="G604" s="4"/>
      <c r="H604" s="4"/>
    </row>
    <row r="605" spans="7:8" x14ac:dyDescent="0.2">
      <c r="G605" s="4"/>
      <c r="H605" s="4"/>
    </row>
    <row r="606" spans="7:8" x14ac:dyDescent="0.2">
      <c r="G606" s="4"/>
      <c r="H606" s="4"/>
    </row>
    <row r="607" spans="7:8" x14ac:dyDescent="0.2">
      <c r="G607" s="4"/>
      <c r="H607" s="4"/>
    </row>
    <row r="608" spans="7:8" x14ac:dyDescent="0.2">
      <c r="G608" s="4"/>
      <c r="H608" s="4"/>
    </row>
    <row r="609" spans="7:8" x14ac:dyDescent="0.2">
      <c r="G609" s="4"/>
      <c r="H609" s="4"/>
    </row>
    <row r="610" spans="7:8" x14ac:dyDescent="0.2">
      <c r="G610" s="4"/>
      <c r="H610" s="4"/>
    </row>
    <row r="611" spans="7:8" x14ac:dyDescent="0.2">
      <c r="G611" s="4"/>
      <c r="H611" s="4"/>
    </row>
    <row r="612" spans="7:8" x14ac:dyDescent="0.2">
      <c r="G612" s="4"/>
      <c r="H612" s="4"/>
    </row>
    <row r="613" spans="7:8" x14ac:dyDescent="0.2">
      <c r="G613" s="4"/>
      <c r="H613" s="4"/>
    </row>
    <row r="614" spans="7:8" x14ac:dyDescent="0.2">
      <c r="G614" s="4"/>
      <c r="H614" s="4"/>
    </row>
    <row r="615" spans="7:8" x14ac:dyDescent="0.2">
      <c r="G615" s="4"/>
      <c r="H615" s="4"/>
    </row>
    <row r="616" spans="7:8" x14ac:dyDescent="0.2">
      <c r="G616" s="4"/>
      <c r="H616" s="4"/>
    </row>
    <row r="617" spans="7:8" x14ac:dyDescent="0.2">
      <c r="G617" s="4"/>
      <c r="H617" s="4"/>
    </row>
    <row r="618" spans="7:8" x14ac:dyDescent="0.2">
      <c r="G618" s="4"/>
      <c r="H618" s="4"/>
    </row>
    <row r="619" spans="7:8" x14ac:dyDescent="0.2">
      <c r="G619" s="4"/>
      <c r="H619" s="4"/>
    </row>
    <row r="620" spans="7:8" x14ac:dyDescent="0.2">
      <c r="G620" s="4"/>
      <c r="H620" s="4"/>
    </row>
    <row r="621" spans="7:8" x14ac:dyDescent="0.2">
      <c r="G621" s="4"/>
      <c r="H621" s="4"/>
    </row>
    <row r="622" spans="7:8" x14ac:dyDescent="0.2">
      <c r="G622" s="4"/>
      <c r="H622" s="4"/>
    </row>
    <row r="623" spans="7:8" x14ac:dyDescent="0.2">
      <c r="G623" s="4"/>
      <c r="H623" s="4"/>
    </row>
    <row r="624" spans="7:8" x14ac:dyDescent="0.2">
      <c r="G624" s="4"/>
      <c r="H624" s="4"/>
    </row>
    <row r="625" spans="7:8" x14ac:dyDescent="0.2">
      <c r="G625" s="4"/>
      <c r="H625" s="4"/>
    </row>
    <row r="626" spans="7:8" x14ac:dyDescent="0.2">
      <c r="G626" s="4"/>
      <c r="H626" s="4"/>
    </row>
    <row r="627" spans="7:8" x14ac:dyDescent="0.2">
      <c r="G627" s="4"/>
      <c r="H627" s="4"/>
    </row>
    <row r="628" spans="7:8" x14ac:dyDescent="0.2">
      <c r="G628" s="4"/>
      <c r="H628" s="4"/>
    </row>
    <row r="629" spans="7:8" x14ac:dyDescent="0.2">
      <c r="G629" s="4"/>
      <c r="H629" s="4"/>
    </row>
    <row r="630" spans="7:8" x14ac:dyDescent="0.2">
      <c r="G630" s="4"/>
      <c r="H630" s="4"/>
    </row>
    <row r="631" spans="7:8" x14ac:dyDescent="0.2">
      <c r="G631" s="4"/>
      <c r="H631" s="4"/>
    </row>
    <row r="632" spans="7:8" x14ac:dyDescent="0.2">
      <c r="G632" s="4"/>
      <c r="H632" s="4"/>
    </row>
    <row r="633" spans="7:8" x14ac:dyDescent="0.2">
      <c r="G633" s="4"/>
      <c r="H633" s="4"/>
    </row>
    <row r="634" spans="7:8" x14ac:dyDescent="0.2">
      <c r="G634" s="4"/>
      <c r="H634" s="4"/>
    </row>
    <row r="635" spans="7:8" x14ac:dyDescent="0.2">
      <c r="G635" s="4"/>
      <c r="H635" s="4"/>
    </row>
    <row r="636" spans="7:8" x14ac:dyDescent="0.2">
      <c r="G636" s="4"/>
      <c r="H636" s="4"/>
    </row>
    <row r="637" spans="7:8" x14ac:dyDescent="0.2">
      <c r="G637" s="4"/>
      <c r="H637" s="4"/>
    </row>
    <row r="638" spans="7:8" x14ac:dyDescent="0.2">
      <c r="G638" s="4"/>
      <c r="H638" s="4"/>
    </row>
    <row r="639" spans="7:8" x14ac:dyDescent="0.2">
      <c r="G639" s="4"/>
      <c r="H639" s="4"/>
    </row>
    <row r="640" spans="7:8" x14ac:dyDescent="0.2">
      <c r="G640" s="4"/>
      <c r="H640" s="4"/>
    </row>
    <row r="641" spans="7:8" x14ac:dyDescent="0.2">
      <c r="G641" s="4"/>
      <c r="H641" s="4"/>
    </row>
    <row r="642" spans="7:8" x14ac:dyDescent="0.2">
      <c r="G642" s="4"/>
      <c r="H642" s="4"/>
    </row>
    <row r="643" spans="7:8" x14ac:dyDescent="0.2">
      <c r="G643" s="4"/>
      <c r="H643" s="4"/>
    </row>
    <row r="644" spans="7:8" x14ac:dyDescent="0.2">
      <c r="G644" s="4"/>
      <c r="H644" s="4"/>
    </row>
    <row r="645" spans="7:8" x14ac:dyDescent="0.2">
      <c r="G645" s="4"/>
      <c r="H645" s="4"/>
    </row>
    <row r="646" spans="7:8" x14ac:dyDescent="0.2">
      <c r="G646" s="4"/>
      <c r="H646" s="4"/>
    </row>
    <row r="647" spans="7:8" x14ac:dyDescent="0.2">
      <c r="G647" s="4"/>
      <c r="H647" s="4"/>
    </row>
    <row r="648" spans="7:8" x14ac:dyDescent="0.2">
      <c r="G648" s="4"/>
      <c r="H648" s="4"/>
    </row>
    <row r="649" spans="7:8" x14ac:dyDescent="0.2">
      <c r="G649" s="4"/>
      <c r="H649" s="4"/>
    </row>
    <row r="650" spans="7:8" x14ac:dyDescent="0.2">
      <c r="G650" s="4"/>
      <c r="H650" s="4"/>
    </row>
    <row r="651" spans="7:8" x14ac:dyDescent="0.2">
      <c r="G651" s="4"/>
      <c r="H651" s="4"/>
    </row>
    <row r="652" spans="7:8" x14ac:dyDescent="0.2">
      <c r="G652" s="4"/>
      <c r="H652" s="4"/>
    </row>
    <row r="653" spans="7:8" x14ac:dyDescent="0.2">
      <c r="G653" s="4"/>
      <c r="H653" s="4"/>
    </row>
    <row r="654" spans="7:8" x14ac:dyDescent="0.2">
      <c r="G654" s="4"/>
      <c r="H654" s="4"/>
    </row>
    <row r="655" spans="7:8" x14ac:dyDescent="0.2">
      <c r="G655" s="4"/>
      <c r="H655" s="4"/>
    </row>
    <row r="656" spans="7:8" x14ac:dyDescent="0.2">
      <c r="G656" s="4"/>
      <c r="H656" s="4"/>
    </row>
    <row r="657" spans="7:8" x14ac:dyDescent="0.2">
      <c r="G657" s="4"/>
      <c r="H657" s="4"/>
    </row>
    <row r="658" spans="7:8" x14ac:dyDescent="0.2">
      <c r="G658" s="4"/>
      <c r="H658" s="4"/>
    </row>
    <row r="659" spans="7:8" x14ac:dyDescent="0.2">
      <c r="G659" s="4"/>
      <c r="H659" s="4"/>
    </row>
    <row r="660" spans="7:8" x14ac:dyDescent="0.2">
      <c r="G660" s="4"/>
      <c r="H660" s="4"/>
    </row>
    <row r="661" spans="7:8" x14ac:dyDescent="0.2">
      <c r="G661" s="4"/>
      <c r="H661" s="4"/>
    </row>
    <row r="662" spans="7:8" x14ac:dyDescent="0.2">
      <c r="G662" s="4"/>
      <c r="H662" s="4"/>
    </row>
    <row r="663" spans="7:8" x14ac:dyDescent="0.2">
      <c r="G663" s="4"/>
      <c r="H663" s="4"/>
    </row>
    <row r="664" spans="7:8" x14ac:dyDescent="0.2">
      <c r="G664" s="4"/>
      <c r="H664" s="4"/>
    </row>
    <row r="665" spans="7:8" x14ac:dyDescent="0.2">
      <c r="G665" s="4"/>
      <c r="H665" s="4"/>
    </row>
    <row r="666" spans="7:8" x14ac:dyDescent="0.2">
      <c r="G666" s="4"/>
      <c r="H666" s="4"/>
    </row>
    <row r="667" spans="7:8" x14ac:dyDescent="0.2">
      <c r="G667" s="4"/>
      <c r="H667" s="4"/>
    </row>
    <row r="668" spans="7:8" x14ac:dyDescent="0.2">
      <c r="G668" s="4"/>
      <c r="H668" s="4"/>
    </row>
    <row r="669" spans="7:8" x14ac:dyDescent="0.2">
      <c r="G669" s="4"/>
      <c r="H669" s="4"/>
    </row>
    <row r="670" spans="7:8" x14ac:dyDescent="0.2">
      <c r="G670" s="4"/>
      <c r="H670" s="4"/>
    </row>
    <row r="671" spans="7:8" x14ac:dyDescent="0.2">
      <c r="G671" s="4"/>
      <c r="H671" s="4"/>
    </row>
    <row r="672" spans="7:8" x14ac:dyDescent="0.2">
      <c r="G672" s="4"/>
      <c r="H672" s="4"/>
    </row>
    <row r="673" spans="7:8" x14ac:dyDescent="0.2">
      <c r="G673" s="4"/>
      <c r="H673" s="4"/>
    </row>
    <row r="674" spans="7:8" x14ac:dyDescent="0.2">
      <c r="G674" s="4"/>
      <c r="H674" s="4"/>
    </row>
    <row r="675" spans="7:8" x14ac:dyDescent="0.2">
      <c r="G675" s="4"/>
      <c r="H675" s="4"/>
    </row>
    <row r="676" spans="7:8" x14ac:dyDescent="0.2">
      <c r="G676" s="4"/>
      <c r="H676" s="4"/>
    </row>
    <row r="677" spans="7:8" x14ac:dyDescent="0.2">
      <c r="G677" s="4"/>
      <c r="H677" s="4"/>
    </row>
    <row r="678" spans="7:8" x14ac:dyDescent="0.2">
      <c r="G678" s="4"/>
      <c r="H678" s="4"/>
    </row>
    <row r="679" spans="7:8" x14ac:dyDescent="0.2">
      <c r="G679" s="4"/>
      <c r="H679" s="4"/>
    </row>
    <row r="680" spans="7:8" x14ac:dyDescent="0.2">
      <c r="G680" s="4"/>
      <c r="H680" s="4"/>
    </row>
    <row r="681" spans="7:8" x14ac:dyDescent="0.2">
      <c r="G681" s="4"/>
      <c r="H681" s="4"/>
    </row>
    <row r="682" spans="7:8" x14ac:dyDescent="0.2">
      <c r="G682" s="4"/>
      <c r="H682" s="4"/>
    </row>
    <row r="683" spans="7:8" x14ac:dyDescent="0.2">
      <c r="G683" s="4"/>
      <c r="H683" s="4"/>
    </row>
    <row r="684" spans="7:8" x14ac:dyDescent="0.2">
      <c r="G684" s="4"/>
      <c r="H684" s="4"/>
    </row>
    <row r="685" spans="7:8" x14ac:dyDescent="0.2">
      <c r="G685" s="4"/>
      <c r="H685" s="4"/>
    </row>
    <row r="686" spans="7:8" x14ac:dyDescent="0.2">
      <c r="G686" s="4"/>
      <c r="H686" s="4"/>
    </row>
    <row r="687" spans="7:8" x14ac:dyDescent="0.2">
      <c r="G687" s="4"/>
      <c r="H687" s="4"/>
    </row>
    <row r="688" spans="7:8" x14ac:dyDescent="0.2">
      <c r="G688" s="4"/>
      <c r="H688" s="4"/>
    </row>
    <row r="689" spans="7:8" x14ac:dyDescent="0.2">
      <c r="G689" s="4"/>
      <c r="H689" s="4"/>
    </row>
    <row r="690" spans="7:8" x14ac:dyDescent="0.2">
      <c r="G690" s="4"/>
      <c r="H690" s="4"/>
    </row>
    <row r="691" spans="7:8" x14ac:dyDescent="0.2">
      <c r="G691" s="4"/>
      <c r="H691" s="4"/>
    </row>
    <row r="692" spans="7:8" x14ac:dyDescent="0.2">
      <c r="G692" s="4"/>
      <c r="H692" s="4"/>
    </row>
    <row r="693" spans="7:8" x14ac:dyDescent="0.2">
      <c r="G693" s="4"/>
      <c r="H693" s="4"/>
    </row>
    <row r="694" spans="7:8" x14ac:dyDescent="0.2">
      <c r="G694" s="4"/>
      <c r="H694" s="4"/>
    </row>
    <row r="695" spans="7:8" x14ac:dyDescent="0.2">
      <c r="G695" s="4"/>
      <c r="H695" s="4"/>
    </row>
    <row r="696" spans="7:8" x14ac:dyDescent="0.2">
      <c r="G696" s="4"/>
      <c r="H696" s="4"/>
    </row>
    <row r="697" spans="7:8" x14ac:dyDescent="0.2">
      <c r="G697" s="4"/>
      <c r="H697" s="4"/>
    </row>
    <row r="698" spans="7:8" x14ac:dyDescent="0.2">
      <c r="G698" s="4"/>
      <c r="H698" s="4"/>
    </row>
    <row r="699" spans="7:8" x14ac:dyDescent="0.2">
      <c r="G699" s="4"/>
      <c r="H699" s="4"/>
    </row>
    <row r="700" spans="7:8" x14ac:dyDescent="0.2">
      <c r="G700" s="4"/>
      <c r="H700" s="4"/>
    </row>
    <row r="701" spans="7:8" x14ac:dyDescent="0.2">
      <c r="G701" s="4"/>
      <c r="H701" s="4"/>
    </row>
  </sheetData>
  <sheetProtection password="917C" sheet="1" objects="1" scenarios="1" sort="0" autoFilter="0"/>
  <mergeCells count="6">
    <mergeCell ref="B2:G2"/>
    <mergeCell ref="B4:G4"/>
    <mergeCell ref="E6:G6"/>
    <mergeCell ref="E7:G7"/>
    <mergeCell ref="B6:C6"/>
    <mergeCell ref="B7:C7"/>
  </mergeCells>
  <phoneticPr fontId="5" type="noConversion"/>
  <pageMargins left="0.75" right="0.75" top="1" bottom="1" header="0.5" footer="0.5"/>
  <pageSetup orientation="portrait" verticalDpi="0" r:id="rId1"/>
  <headerFooter alignWithMargins="0"/>
  <customProperties>
    <customPr name="DVSECTIONID" r:id="rId2"/>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O49"/>
  <sheetViews>
    <sheetView workbookViewId="0">
      <selection activeCell="S13" sqref="S13"/>
    </sheetView>
  </sheetViews>
  <sheetFormatPr defaultRowHeight="12.75" x14ac:dyDescent="0.2"/>
  <cols>
    <col min="1" max="1" width="5.7109375" customWidth="1"/>
    <col min="2" max="2" width="7.140625" customWidth="1"/>
    <col min="3" max="3" width="8.5703125" customWidth="1"/>
    <col min="4" max="7" width="7.85546875" customWidth="1"/>
    <col min="8" max="8" width="2.140625" customWidth="1"/>
    <col min="9" max="9" width="7.140625" customWidth="1"/>
    <col min="10" max="10" width="8.5703125" customWidth="1"/>
    <col min="11" max="14" width="7.85546875" customWidth="1"/>
  </cols>
  <sheetData>
    <row r="1" spans="2:15" s="25" customFormat="1" ht="15" customHeight="1" thickBot="1" x14ac:dyDescent="0.25"/>
    <row r="2" spans="2:15" s="25" customFormat="1" ht="13.5" thickBot="1" x14ac:dyDescent="0.25">
      <c r="B2" s="149" t="s">
        <v>36</v>
      </c>
      <c r="C2" s="150"/>
      <c r="D2" s="150"/>
      <c r="E2" s="150"/>
      <c r="F2" s="150"/>
      <c r="G2" s="150"/>
      <c r="H2" s="150"/>
      <c r="I2" s="150"/>
      <c r="J2" s="150"/>
      <c r="K2" s="150"/>
      <c r="L2" s="150"/>
      <c r="M2" s="150"/>
      <c r="N2" s="151"/>
    </row>
    <row r="3" spans="2:15" s="25" customFormat="1" ht="7.5" customHeight="1" thickBot="1" x14ac:dyDescent="0.25">
      <c r="L3" s="68"/>
      <c r="M3" s="68"/>
    </row>
    <row r="4" spans="2:15" s="25" customFormat="1" ht="13.5" thickBot="1" x14ac:dyDescent="0.25">
      <c r="B4" s="161" t="s">
        <v>106</v>
      </c>
      <c r="C4" s="162"/>
      <c r="D4" s="162"/>
      <c r="E4" s="162"/>
      <c r="F4" s="162"/>
      <c r="G4" s="162"/>
      <c r="H4" s="162"/>
      <c r="I4" s="162"/>
      <c r="J4" s="162"/>
      <c r="K4" s="162"/>
      <c r="L4" s="162"/>
      <c r="M4" s="162"/>
      <c r="N4" s="163"/>
    </row>
    <row r="5" spans="2:15" s="25" customFormat="1" ht="11.25" customHeight="1" thickBot="1" x14ac:dyDescent="0.25"/>
    <row r="6" spans="2:15" s="25" customFormat="1" ht="16.5" thickBot="1" x14ac:dyDescent="0.3">
      <c r="B6" s="343" t="s">
        <v>107</v>
      </c>
      <c r="C6" s="344"/>
      <c r="D6" s="344"/>
      <c r="E6" s="344"/>
      <c r="F6" s="344"/>
      <c r="G6" s="345"/>
      <c r="I6" s="340" t="s">
        <v>108</v>
      </c>
      <c r="J6" s="341"/>
      <c r="K6" s="341"/>
      <c r="L6" s="341"/>
      <c r="M6" s="341"/>
      <c r="N6" s="342"/>
    </row>
    <row r="7" spans="2:15" s="25" customFormat="1" ht="13.5" thickBot="1" x14ac:dyDescent="0.25">
      <c r="B7" s="299" t="s">
        <v>96</v>
      </c>
      <c r="C7" s="299"/>
      <c r="D7" s="332" t="s">
        <v>109</v>
      </c>
      <c r="E7" s="333"/>
      <c r="F7" s="332" t="s">
        <v>110</v>
      </c>
      <c r="G7" s="333"/>
      <c r="I7" s="299" t="s">
        <v>96</v>
      </c>
      <c r="J7" s="299"/>
      <c r="K7" s="332" t="s">
        <v>109</v>
      </c>
      <c r="L7" s="333"/>
      <c r="M7" s="332" t="s">
        <v>110</v>
      </c>
      <c r="N7" s="333"/>
    </row>
    <row r="8" spans="2:15" s="25" customFormat="1" ht="13.5" thickBot="1" x14ac:dyDescent="0.25">
      <c r="B8" s="69" t="s">
        <v>111</v>
      </c>
      <c r="C8" s="69" t="s">
        <v>19</v>
      </c>
      <c r="D8" s="274"/>
      <c r="E8" s="276"/>
      <c r="F8" s="274"/>
      <c r="G8" s="276"/>
      <c r="I8" s="69" t="s">
        <v>111</v>
      </c>
      <c r="J8" s="69" t="s">
        <v>19</v>
      </c>
      <c r="K8" s="274"/>
      <c r="L8" s="276"/>
      <c r="M8" s="274"/>
      <c r="N8" s="276"/>
    </row>
    <row r="9" spans="2:15" s="25" customFormat="1" ht="16.5" thickBot="1" x14ac:dyDescent="0.25">
      <c r="B9" s="69">
        <v>1</v>
      </c>
      <c r="C9" s="70"/>
      <c r="D9" s="306" t="e">
        <f>VLOOKUP(C9,'Data Analysis'!$B$7:$O$60000,3,FALSE)</f>
        <v>#N/A</v>
      </c>
      <c r="E9" s="308"/>
      <c r="F9" s="334" t="e">
        <f>SUM(D9:E11)</f>
        <v>#N/A</v>
      </c>
      <c r="G9" s="335"/>
      <c r="I9" s="69">
        <v>1</v>
      </c>
      <c r="J9" s="70"/>
      <c r="K9" s="306" t="e">
        <f>VLOOKUP(J9,'Data Analysis'!$B$7:$O$60000,3,FALSE)</f>
        <v>#N/A</v>
      </c>
      <c r="L9" s="308"/>
      <c r="M9" s="334" t="e">
        <f>SUM(K9:L11)</f>
        <v>#N/A</v>
      </c>
      <c r="N9" s="335"/>
    </row>
    <row r="10" spans="2:15" s="25" customFormat="1" ht="16.5" thickBot="1" x14ac:dyDescent="0.25">
      <c r="B10" s="69">
        <v>2</v>
      </c>
      <c r="C10" s="70"/>
      <c r="D10" s="306" t="e">
        <f>VLOOKUP(C10,'Data Analysis'!$B$7:$O$60000,3,FALSE)</f>
        <v>#N/A</v>
      </c>
      <c r="E10" s="308"/>
      <c r="F10" s="336"/>
      <c r="G10" s="337"/>
      <c r="I10" s="69">
        <v>2</v>
      </c>
      <c r="J10" s="70"/>
      <c r="K10" s="306" t="e">
        <f>VLOOKUP(J10,'Data Analysis'!$B$7:$O$60000,3,FALSE)</f>
        <v>#N/A</v>
      </c>
      <c r="L10" s="308"/>
      <c r="M10" s="336"/>
      <c r="N10" s="337"/>
    </row>
    <row r="11" spans="2:15" s="25" customFormat="1" ht="16.5" thickBot="1" x14ac:dyDescent="0.25">
      <c r="B11" s="69">
        <v>3</v>
      </c>
      <c r="C11" s="70"/>
      <c r="D11" s="306" t="e">
        <f>VLOOKUP(C11,'Data Analysis'!$B$7:$O$60000,3,FALSE)</f>
        <v>#N/A</v>
      </c>
      <c r="E11" s="308"/>
      <c r="F11" s="338"/>
      <c r="G11" s="339"/>
      <c r="I11" s="69">
        <v>3</v>
      </c>
      <c r="J11" s="70"/>
      <c r="K11" s="306" t="e">
        <f>VLOOKUP(J11,'Data Analysis'!$B$7:$O$60000,3,FALSE)</f>
        <v>#N/A</v>
      </c>
      <c r="L11" s="308"/>
      <c r="M11" s="338"/>
      <c r="N11" s="339"/>
      <c r="O11" s="44"/>
    </row>
    <row r="12" spans="2:15" s="25" customFormat="1" ht="11.25" customHeight="1" thickBot="1" x14ac:dyDescent="0.25"/>
    <row r="13" spans="2:15" s="25" customFormat="1" ht="16.5" thickBot="1" x14ac:dyDescent="0.3">
      <c r="B13" s="343" t="s">
        <v>112</v>
      </c>
      <c r="C13" s="344"/>
      <c r="D13" s="344"/>
      <c r="E13" s="344"/>
      <c r="F13" s="344"/>
      <c r="G13" s="345"/>
      <c r="I13" s="340" t="s">
        <v>113</v>
      </c>
      <c r="J13" s="341"/>
      <c r="K13" s="341"/>
      <c r="L13" s="341"/>
      <c r="M13" s="341"/>
      <c r="N13" s="342"/>
    </row>
    <row r="14" spans="2:15" s="25" customFormat="1" ht="13.5" thickBot="1" x14ac:dyDescent="0.25">
      <c r="B14" s="299" t="s">
        <v>96</v>
      </c>
      <c r="C14" s="299"/>
      <c r="D14" s="332" t="s">
        <v>109</v>
      </c>
      <c r="E14" s="333"/>
      <c r="F14" s="332" t="s">
        <v>110</v>
      </c>
      <c r="G14" s="333"/>
      <c r="I14" s="299" t="s">
        <v>96</v>
      </c>
      <c r="J14" s="299"/>
      <c r="K14" s="332" t="s">
        <v>109</v>
      </c>
      <c r="L14" s="333"/>
      <c r="M14" s="332" t="s">
        <v>110</v>
      </c>
      <c r="N14" s="333"/>
    </row>
    <row r="15" spans="2:15" s="25" customFormat="1" ht="13.5" thickBot="1" x14ac:dyDescent="0.25">
      <c r="B15" s="69" t="s">
        <v>111</v>
      </c>
      <c r="C15" s="69" t="s">
        <v>19</v>
      </c>
      <c r="D15" s="274"/>
      <c r="E15" s="276"/>
      <c r="F15" s="274"/>
      <c r="G15" s="276"/>
      <c r="I15" s="69" t="s">
        <v>111</v>
      </c>
      <c r="J15" s="69" t="s">
        <v>19</v>
      </c>
      <c r="K15" s="274"/>
      <c r="L15" s="276"/>
      <c r="M15" s="274"/>
      <c r="N15" s="276"/>
    </row>
    <row r="16" spans="2:15" s="25" customFormat="1" ht="16.5" thickBot="1" x14ac:dyDescent="0.25">
      <c r="B16" s="69">
        <v>1</v>
      </c>
      <c r="C16" s="70"/>
      <c r="D16" s="306" t="e">
        <f>VLOOKUP(C16,'Data Analysis'!$B$7:$O$60000,3,FALSE)</f>
        <v>#N/A</v>
      </c>
      <c r="E16" s="308"/>
      <c r="F16" s="334" t="e">
        <f>SUM(D16:E18)</f>
        <v>#N/A</v>
      </c>
      <c r="G16" s="335"/>
      <c r="I16" s="69">
        <v>1</v>
      </c>
      <c r="J16" s="70"/>
      <c r="K16" s="306" t="e">
        <f>VLOOKUP(J16,'Data Analysis'!$B$7:$O$60000,3,FALSE)</f>
        <v>#N/A</v>
      </c>
      <c r="L16" s="308"/>
      <c r="M16" s="334" t="e">
        <f>SUM(K16:L18)</f>
        <v>#N/A</v>
      </c>
      <c r="N16" s="335"/>
    </row>
    <row r="17" spans="2:14" s="25" customFormat="1" ht="16.5" thickBot="1" x14ac:dyDescent="0.25">
      <c r="B17" s="69">
        <v>2</v>
      </c>
      <c r="C17" s="70"/>
      <c r="D17" s="306" t="e">
        <f>VLOOKUP(C17,'Data Analysis'!$B$7:$O$60000,3,FALSE)</f>
        <v>#N/A</v>
      </c>
      <c r="E17" s="308"/>
      <c r="F17" s="336"/>
      <c r="G17" s="337"/>
      <c r="I17" s="69">
        <v>2</v>
      </c>
      <c r="J17" s="70"/>
      <c r="K17" s="306" t="e">
        <f>VLOOKUP(J17,'Data Analysis'!$B$7:$O$60000,3,FALSE)</f>
        <v>#N/A</v>
      </c>
      <c r="L17" s="308"/>
      <c r="M17" s="336"/>
      <c r="N17" s="337"/>
    </row>
    <row r="18" spans="2:14" s="25" customFormat="1" ht="16.5" thickBot="1" x14ac:dyDescent="0.25">
      <c r="B18" s="69">
        <v>3</v>
      </c>
      <c r="C18" s="70"/>
      <c r="D18" s="306" t="e">
        <f>VLOOKUP(C18,'Data Analysis'!$B$7:$O$60000,3,FALSE)</f>
        <v>#N/A</v>
      </c>
      <c r="E18" s="308"/>
      <c r="F18" s="338"/>
      <c r="G18" s="339"/>
      <c r="I18" s="69">
        <v>3</v>
      </c>
      <c r="J18" s="70"/>
      <c r="K18" s="306" t="e">
        <f>VLOOKUP(J18,'Data Analysis'!$B$7:$O$60000,3,FALSE)</f>
        <v>#N/A</v>
      </c>
      <c r="L18" s="308"/>
      <c r="M18" s="338"/>
      <c r="N18" s="339"/>
    </row>
    <row r="19" spans="2:14" s="25" customFormat="1" ht="11.25" customHeight="1" thickBot="1" x14ac:dyDescent="0.25"/>
    <row r="20" spans="2:14" s="25" customFormat="1" ht="16.5" thickBot="1" x14ac:dyDescent="0.3">
      <c r="B20" s="343" t="s">
        <v>114</v>
      </c>
      <c r="C20" s="344"/>
      <c r="D20" s="344"/>
      <c r="E20" s="344"/>
      <c r="F20" s="344"/>
      <c r="G20" s="345"/>
      <c r="I20" s="340" t="s">
        <v>115</v>
      </c>
      <c r="J20" s="341"/>
      <c r="K20" s="341"/>
      <c r="L20" s="341"/>
      <c r="M20" s="341"/>
      <c r="N20" s="342"/>
    </row>
    <row r="21" spans="2:14" s="25" customFormat="1" ht="13.5" thickBot="1" x14ac:dyDescent="0.25">
      <c r="B21" s="299" t="s">
        <v>96</v>
      </c>
      <c r="C21" s="299"/>
      <c r="D21" s="332" t="s">
        <v>109</v>
      </c>
      <c r="E21" s="333"/>
      <c r="F21" s="332" t="s">
        <v>110</v>
      </c>
      <c r="G21" s="333"/>
      <c r="I21" s="299" t="s">
        <v>96</v>
      </c>
      <c r="J21" s="299"/>
      <c r="K21" s="332" t="s">
        <v>109</v>
      </c>
      <c r="L21" s="333"/>
      <c r="M21" s="332" t="s">
        <v>110</v>
      </c>
      <c r="N21" s="333"/>
    </row>
    <row r="22" spans="2:14" s="25" customFormat="1" ht="13.5" thickBot="1" x14ac:dyDescent="0.25">
      <c r="B22" s="69" t="s">
        <v>111</v>
      </c>
      <c r="C22" s="69" t="s">
        <v>19</v>
      </c>
      <c r="D22" s="274"/>
      <c r="E22" s="276"/>
      <c r="F22" s="274"/>
      <c r="G22" s="276"/>
      <c r="I22" s="69" t="s">
        <v>111</v>
      </c>
      <c r="J22" s="69" t="s">
        <v>19</v>
      </c>
      <c r="K22" s="274"/>
      <c r="L22" s="276"/>
      <c r="M22" s="274"/>
      <c r="N22" s="276"/>
    </row>
    <row r="23" spans="2:14" s="25" customFormat="1" ht="16.5" thickBot="1" x14ac:dyDescent="0.25">
      <c r="B23" s="69">
        <v>1</v>
      </c>
      <c r="C23" s="70"/>
      <c r="D23" s="306" t="e">
        <f>VLOOKUP(C23,'Data Analysis'!$B$7:$O$60000,3,FALSE)</f>
        <v>#N/A</v>
      </c>
      <c r="E23" s="308"/>
      <c r="F23" s="334" t="e">
        <f>SUM(D23:E25)</f>
        <v>#N/A</v>
      </c>
      <c r="G23" s="335"/>
      <c r="I23" s="69">
        <v>1</v>
      </c>
      <c r="J23" s="70"/>
      <c r="K23" s="306" t="e">
        <f>VLOOKUP(J23,'Data Analysis'!$B$7:$O$60000,3,FALSE)</f>
        <v>#N/A</v>
      </c>
      <c r="L23" s="308"/>
      <c r="M23" s="334" t="e">
        <f>SUM(K23:L25)</f>
        <v>#N/A</v>
      </c>
      <c r="N23" s="335"/>
    </row>
    <row r="24" spans="2:14" s="25" customFormat="1" ht="16.5" thickBot="1" x14ac:dyDescent="0.25">
      <c r="B24" s="69">
        <v>2</v>
      </c>
      <c r="C24" s="70"/>
      <c r="D24" s="306" t="e">
        <f>VLOOKUP(C24,'Data Analysis'!$B$7:$O$60000,3,FALSE)</f>
        <v>#N/A</v>
      </c>
      <c r="E24" s="308"/>
      <c r="F24" s="336"/>
      <c r="G24" s="337"/>
      <c r="I24" s="69">
        <v>2</v>
      </c>
      <c r="J24" s="70"/>
      <c r="K24" s="306" t="e">
        <f>VLOOKUP(J24,'Data Analysis'!$B$7:$O$60000,3,FALSE)</f>
        <v>#N/A</v>
      </c>
      <c r="L24" s="308"/>
      <c r="M24" s="336"/>
      <c r="N24" s="337"/>
    </row>
    <row r="25" spans="2:14" s="25" customFormat="1" ht="16.5" thickBot="1" x14ac:dyDescent="0.25">
      <c r="B25" s="69">
        <v>3</v>
      </c>
      <c r="C25" s="70"/>
      <c r="D25" s="306" t="e">
        <f>VLOOKUP(C25,'Data Analysis'!$B$7:$O$60000,3,FALSE)</f>
        <v>#N/A</v>
      </c>
      <c r="E25" s="308"/>
      <c r="F25" s="338"/>
      <c r="G25" s="339"/>
      <c r="I25" s="69">
        <v>3</v>
      </c>
      <c r="J25" s="70"/>
      <c r="K25" s="306" t="e">
        <f>VLOOKUP(J25,'Data Analysis'!$B$7:$O$60000,3,FALSE)</f>
        <v>#N/A</v>
      </c>
      <c r="L25" s="308"/>
      <c r="M25" s="338"/>
      <c r="N25" s="339"/>
    </row>
    <row r="26" spans="2:14" s="25" customFormat="1" ht="11.25" customHeight="1" thickBot="1" x14ac:dyDescent="0.25"/>
    <row r="27" spans="2:14" s="25" customFormat="1" ht="16.5" thickBot="1" x14ac:dyDescent="0.3">
      <c r="B27" s="343" t="s">
        <v>116</v>
      </c>
      <c r="C27" s="344"/>
      <c r="D27" s="344"/>
      <c r="E27" s="344"/>
      <c r="F27" s="344"/>
      <c r="G27" s="345"/>
      <c r="I27" s="340" t="s">
        <v>117</v>
      </c>
      <c r="J27" s="341"/>
      <c r="K27" s="341"/>
      <c r="L27" s="341"/>
      <c r="M27" s="341"/>
      <c r="N27" s="342"/>
    </row>
    <row r="28" spans="2:14" s="25" customFormat="1" ht="13.5" thickBot="1" x14ac:dyDescent="0.25">
      <c r="B28" s="299" t="s">
        <v>96</v>
      </c>
      <c r="C28" s="299"/>
      <c r="D28" s="332" t="s">
        <v>109</v>
      </c>
      <c r="E28" s="333"/>
      <c r="F28" s="332" t="s">
        <v>110</v>
      </c>
      <c r="G28" s="333"/>
      <c r="I28" s="299" t="s">
        <v>96</v>
      </c>
      <c r="J28" s="299"/>
      <c r="K28" s="332" t="s">
        <v>109</v>
      </c>
      <c r="L28" s="333"/>
      <c r="M28" s="332" t="s">
        <v>110</v>
      </c>
      <c r="N28" s="333"/>
    </row>
    <row r="29" spans="2:14" s="25" customFormat="1" ht="13.5" thickBot="1" x14ac:dyDescent="0.25">
      <c r="B29" s="69" t="s">
        <v>111</v>
      </c>
      <c r="C29" s="69" t="s">
        <v>19</v>
      </c>
      <c r="D29" s="274"/>
      <c r="E29" s="276"/>
      <c r="F29" s="274"/>
      <c r="G29" s="276"/>
      <c r="I29" s="69" t="s">
        <v>111</v>
      </c>
      <c r="J29" s="69" t="s">
        <v>19</v>
      </c>
      <c r="K29" s="274"/>
      <c r="L29" s="276"/>
      <c r="M29" s="274"/>
      <c r="N29" s="276"/>
    </row>
    <row r="30" spans="2:14" s="25" customFormat="1" ht="16.5" thickBot="1" x14ac:dyDescent="0.25">
      <c r="B30" s="69">
        <v>1</v>
      </c>
      <c r="C30" s="70"/>
      <c r="D30" s="306" t="e">
        <f>VLOOKUP(C30,'Data Analysis'!$B$7:$O$60000,3,FALSE)</f>
        <v>#N/A</v>
      </c>
      <c r="E30" s="308"/>
      <c r="F30" s="334" t="e">
        <f>SUM(D30:E32)</f>
        <v>#N/A</v>
      </c>
      <c r="G30" s="335"/>
      <c r="I30" s="69">
        <v>1</v>
      </c>
      <c r="J30" s="70"/>
      <c r="K30" s="306" t="e">
        <f>VLOOKUP(J30,'Data Analysis'!$B$7:$O$60000,3,FALSE)</f>
        <v>#N/A</v>
      </c>
      <c r="L30" s="308"/>
      <c r="M30" s="334" t="e">
        <f>SUM(K30:L32)</f>
        <v>#N/A</v>
      </c>
      <c r="N30" s="335"/>
    </row>
    <row r="31" spans="2:14" s="25" customFormat="1" ht="16.5" thickBot="1" x14ac:dyDescent="0.25">
      <c r="B31" s="69">
        <v>2</v>
      </c>
      <c r="C31" s="70"/>
      <c r="D31" s="306" t="e">
        <f>VLOOKUP(C31,'Data Analysis'!$B$7:$O$60000,3,FALSE)</f>
        <v>#N/A</v>
      </c>
      <c r="E31" s="308"/>
      <c r="F31" s="336"/>
      <c r="G31" s="337"/>
      <c r="I31" s="69">
        <v>2</v>
      </c>
      <c r="J31" s="70"/>
      <c r="K31" s="306" t="e">
        <f>VLOOKUP(J31,'Data Analysis'!$B$7:$O$60000,3,FALSE)</f>
        <v>#N/A</v>
      </c>
      <c r="L31" s="308"/>
      <c r="M31" s="336"/>
      <c r="N31" s="337"/>
    </row>
    <row r="32" spans="2:14" s="25" customFormat="1" ht="16.5" thickBot="1" x14ac:dyDescent="0.25">
      <c r="B32" s="69">
        <v>3</v>
      </c>
      <c r="C32" s="70"/>
      <c r="D32" s="306" t="e">
        <f>VLOOKUP(C32,'Data Analysis'!$B$7:$O$60000,3,FALSE)</f>
        <v>#N/A</v>
      </c>
      <c r="E32" s="308"/>
      <c r="F32" s="338"/>
      <c r="G32" s="339"/>
      <c r="I32" s="69">
        <v>3</v>
      </c>
      <c r="J32" s="70"/>
      <c r="K32" s="306" t="e">
        <f>VLOOKUP(J32,'Data Analysis'!$B$7:$O$60000,3,FALSE)</f>
        <v>#N/A</v>
      </c>
      <c r="L32" s="308"/>
      <c r="M32" s="338"/>
      <c r="N32" s="339"/>
    </row>
    <row r="33" s="25" customFormat="1" x14ac:dyDescent="0.2"/>
    <row r="34" s="25" customFormat="1" x14ac:dyDescent="0.2"/>
    <row r="35" s="25" customFormat="1" x14ac:dyDescent="0.2"/>
    <row r="36" s="25" customFormat="1" x14ac:dyDescent="0.2"/>
    <row r="37" s="25" customFormat="1" x14ac:dyDescent="0.2"/>
    <row r="38" s="25" customFormat="1" x14ac:dyDescent="0.2"/>
    <row r="39" s="25" customFormat="1" x14ac:dyDescent="0.2"/>
    <row r="40" s="25" customFormat="1" x14ac:dyDescent="0.2"/>
    <row r="41" s="25" customFormat="1" x14ac:dyDescent="0.2"/>
    <row r="42" s="25" customFormat="1" x14ac:dyDescent="0.2"/>
    <row r="43" s="25" customFormat="1" x14ac:dyDescent="0.2"/>
    <row r="44" s="25" customFormat="1" x14ac:dyDescent="0.2"/>
    <row r="45" s="25" customFormat="1" x14ac:dyDescent="0.2"/>
    <row r="46" s="25" customFormat="1" x14ac:dyDescent="0.2"/>
    <row r="47" s="25" customFormat="1" x14ac:dyDescent="0.2"/>
    <row r="48" s="25" customFormat="1" x14ac:dyDescent="0.2"/>
    <row r="49" s="25" customFormat="1" x14ac:dyDescent="0.2"/>
  </sheetData>
  <sheetProtection password="917C" sheet="1" objects="1" scenarios="1" sort="0" autoFilter="0"/>
  <mergeCells count="66">
    <mergeCell ref="B20:G20"/>
    <mergeCell ref="D18:E18"/>
    <mergeCell ref="D17:E17"/>
    <mergeCell ref="F7:G8"/>
    <mergeCell ref="F9:G11"/>
    <mergeCell ref="D16:E16"/>
    <mergeCell ref="F16:G18"/>
    <mergeCell ref="B13:G13"/>
    <mergeCell ref="B14:C14"/>
    <mergeCell ref="D7:E8"/>
    <mergeCell ref="D11:E11"/>
    <mergeCell ref="D10:E10"/>
    <mergeCell ref="D9:E9"/>
    <mergeCell ref="F28:G29"/>
    <mergeCell ref="F23:G25"/>
    <mergeCell ref="B21:C21"/>
    <mergeCell ref="M30:N32"/>
    <mergeCell ref="I27:N27"/>
    <mergeCell ref="K23:L23"/>
    <mergeCell ref="K24:L24"/>
    <mergeCell ref="K25:L25"/>
    <mergeCell ref="K32:L32"/>
    <mergeCell ref="K30:L30"/>
    <mergeCell ref="K31:L31"/>
    <mergeCell ref="D24:E24"/>
    <mergeCell ref="D23:E23"/>
    <mergeCell ref="F21:G22"/>
    <mergeCell ref="D32:E32"/>
    <mergeCell ref="B4:N4"/>
    <mergeCell ref="B2:N2"/>
    <mergeCell ref="K7:L8"/>
    <mergeCell ref="K14:L15"/>
    <mergeCell ref="D14:E15"/>
    <mergeCell ref="I14:J14"/>
    <mergeCell ref="I6:N6"/>
    <mergeCell ref="I7:J7"/>
    <mergeCell ref="I13:N13"/>
    <mergeCell ref="B6:G6"/>
    <mergeCell ref="F14:G15"/>
    <mergeCell ref="B7:C7"/>
    <mergeCell ref="M7:N8"/>
    <mergeCell ref="M14:N15"/>
    <mergeCell ref="D31:E31"/>
    <mergeCell ref="D30:E30"/>
    <mergeCell ref="F30:G32"/>
    <mergeCell ref="K9:L9"/>
    <mergeCell ref="K10:L10"/>
    <mergeCell ref="K11:L11"/>
    <mergeCell ref="K16:L16"/>
    <mergeCell ref="K21:L22"/>
    <mergeCell ref="K28:L29"/>
    <mergeCell ref="D28:E29"/>
    <mergeCell ref="D21:E22"/>
    <mergeCell ref="I28:J28"/>
    <mergeCell ref="I21:J21"/>
    <mergeCell ref="B27:G27"/>
    <mergeCell ref="B28:C28"/>
    <mergeCell ref="D25:E25"/>
    <mergeCell ref="M21:N22"/>
    <mergeCell ref="M28:N29"/>
    <mergeCell ref="M9:N11"/>
    <mergeCell ref="M16:N18"/>
    <mergeCell ref="M23:N25"/>
    <mergeCell ref="I20:N20"/>
    <mergeCell ref="K18:L18"/>
    <mergeCell ref="K17:L17"/>
  </mergeCells>
  <phoneticPr fontId="5" type="noConversion"/>
  <pageMargins left="0.75" right="0.75" top="1" bottom="1" header="0.5" footer="0.5"/>
  <headerFooter alignWithMargins="0"/>
  <customProperties>
    <customPr name="DVSECTIONID" r:id="rId1"/>
  </customPropertie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filterMode="1"/>
  <dimension ref="B1:K5000"/>
  <sheetViews>
    <sheetView workbookViewId="0"/>
  </sheetViews>
  <sheetFormatPr defaultRowHeight="12.75" x14ac:dyDescent="0.2"/>
  <cols>
    <col min="1" max="1" width="5.7109375" customWidth="1"/>
    <col min="2" max="2" width="11.85546875" style="83" customWidth="1"/>
    <col min="3" max="3" width="10.5703125" style="83" customWidth="1"/>
    <col min="4" max="4" width="16.42578125" style="83" customWidth="1"/>
    <col min="5" max="5" width="15" style="83" bestFit="1" customWidth="1"/>
    <col min="6" max="6" width="13.5703125" style="83" customWidth="1"/>
    <col min="7" max="7" width="50" style="83" customWidth="1"/>
    <col min="9" max="9" width="9.140625" hidden="1" customWidth="1"/>
    <col min="10" max="10" width="11.140625" hidden="1" customWidth="1"/>
  </cols>
  <sheetData>
    <row r="1" spans="2:11" s="25" customFormat="1" ht="15" customHeight="1" thickBot="1" x14ac:dyDescent="0.25"/>
    <row r="2" spans="2:11" s="25" customFormat="1" ht="13.5" thickBot="1" x14ac:dyDescent="0.25">
      <c r="B2" s="149" t="s">
        <v>36</v>
      </c>
      <c r="C2" s="150"/>
      <c r="D2" s="150"/>
      <c r="E2" s="150"/>
      <c r="F2" s="150"/>
      <c r="G2" s="151"/>
      <c r="H2" s="72"/>
      <c r="I2" s="72"/>
      <c r="J2" s="72"/>
      <c r="K2" s="72"/>
    </row>
    <row r="3" spans="2:11" s="25" customFormat="1" ht="7.5" customHeight="1" thickBot="1" x14ac:dyDescent="0.25">
      <c r="I3" s="73"/>
      <c r="J3" s="73"/>
      <c r="K3" s="73"/>
    </row>
    <row r="4" spans="2:11" s="25" customFormat="1" ht="13.5" thickBot="1" x14ac:dyDescent="0.25">
      <c r="B4" s="347" t="s">
        <v>120</v>
      </c>
      <c r="C4" s="348"/>
      <c r="D4" s="348"/>
      <c r="E4" s="348"/>
      <c r="F4" s="348"/>
      <c r="G4" s="349"/>
    </row>
    <row r="5" spans="2:11" s="25" customFormat="1" x14ac:dyDescent="0.2">
      <c r="B5" s="181" t="s">
        <v>182</v>
      </c>
      <c r="C5" s="179"/>
      <c r="D5" s="179"/>
      <c r="E5" s="179"/>
      <c r="F5" s="179"/>
      <c r="G5" s="346"/>
    </row>
    <row r="6" spans="2:11" s="25" customFormat="1" ht="13.5" thickBot="1" x14ac:dyDescent="0.25">
      <c r="B6" s="182" t="s">
        <v>183</v>
      </c>
      <c r="C6" s="180"/>
      <c r="D6" s="180"/>
      <c r="E6" s="180"/>
      <c r="F6" s="180"/>
      <c r="G6" s="244"/>
    </row>
    <row r="7" spans="2:11" s="25" customFormat="1" x14ac:dyDescent="0.2">
      <c r="B7" s="139" t="s">
        <v>19</v>
      </c>
      <c r="C7" s="139" t="s">
        <v>123</v>
      </c>
      <c r="D7" s="140" t="s">
        <v>125</v>
      </c>
      <c r="E7" s="141" t="s">
        <v>136</v>
      </c>
      <c r="F7" s="142" t="s">
        <v>109</v>
      </c>
      <c r="G7" s="143" t="s">
        <v>135</v>
      </c>
    </row>
    <row r="8" spans="2:11" s="25" customFormat="1" x14ac:dyDescent="0.2">
      <c r="B8" s="122">
        <v>494</v>
      </c>
      <c r="C8" s="115"/>
      <c r="D8" s="117"/>
      <c r="E8" s="117" t="str">
        <f>IF(ISNA(VLOOKUP(B8,'Qualification And AFSS'!$C$9:$D$38,2,FALSE)),"",VLOOKUP(B8,'Qualification And AFSS'!$C$9:$D$38,2,FALSE))</f>
        <v/>
      </c>
      <c r="F8" s="117">
        <f>IF(ISNA(VLOOKUP(B8,'Data Analysis'!$B$7:$O$60000,3,FALSE)),"",VLOOKUP(B8,'Data Analysis'!$B$7:$O$60000,3,FALSE))</f>
        <v>44.428571428571431</v>
      </c>
      <c r="G8" s="121"/>
    </row>
    <row r="9" spans="2:11" s="25" customFormat="1" x14ac:dyDescent="0.2">
      <c r="B9" s="122">
        <v>1332</v>
      </c>
      <c r="C9" s="115"/>
      <c r="D9" s="117"/>
      <c r="E9" s="117" t="str">
        <f>IF(ISNA(VLOOKUP(B9,'Qualification And AFSS'!$C$9:$D$38,2,FALSE)),"",VLOOKUP(B9,'Qualification And AFSS'!$C$9:$D$38,2,FALSE))</f>
        <v/>
      </c>
      <c r="F9" s="117">
        <f>IF(ISNA(VLOOKUP(B9,'Data Analysis'!$B$7:$O$60000,3,FALSE)),"",VLOOKUP(B9,'Data Analysis'!$B$7:$O$60000,3,FALSE))</f>
        <v>44</v>
      </c>
      <c r="G9" s="121"/>
      <c r="I9" s="56" t="s">
        <v>123</v>
      </c>
      <c r="J9" s="56" t="s">
        <v>124</v>
      </c>
    </row>
    <row r="10" spans="2:11" s="25" customFormat="1" x14ac:dyDescent="0.2">
      <c r="B10" s="120">
        <v>2337</v>
      </c>
      <c r="C10" s="115"/>
      <c r="D10" s="116"/>
      <c r="E10" s="117" t="str">
        <f>IF(ISNA(VLOOKUP(B10,'Qualification And AFSS'!$C$9:$D$38,2,FALSE)),"",VLOOKUP(B10,'Qualification And AFSS'!$C$9:$D$38,2,FALSE))</f>
        <v/>
      </c>
      <c r="F10" s="117">
        <f>IF(ISNA(VLOOKUP(B10,'Data Analysis'!$B$7:$O$60000,3,FALSE)),"",VLOOKUP(B10,'Data Analysis'!$B$7:$O$60000,3,FALSE))</f>
        <v>43.666666666666664</v>
      </c>
      <c r="G10" s="121"/>
      <c r="I10" s="56" t="s">
        <v>126</v>
      </c>
      <c r="J10" s="56">
        <v>1</v>
      </c>
    </row>
    <row r="11" spans="2:11" s="25" customFormat="1" x14ac:dyDescent="0.2">
      <c r="B11" s="122">
        <v>474</v>
      </c>
      <c r="C11" s="115"/>
      <c r="D11" s="117"/>
      <c r="E11" s="117" t="str">
        <f>IF(ISNA(VLOOKUP(B11,'Qualification And AFSS'!$C$9:$D$38,2,FALSE)),"",VLOOKUP(B11,'Qualification And AFSS'!$C$9:$D$38,2,FALSE))</f>
        <v/>
      </c>
      <c r="F11" s="117">
        <f>IF(ISNA(VLOOKUP(B11,'Data Analysis'!$B$7:$O$60000,3,FALSE)),"",VLOOKUP(B11,'Data Analysis'!$B$7:$O$60000,3,FALSE))</f>
        <v>41</v>
      </c>
      <c r="G11" s="121"/>
      <c r="I11" s="56" t="s">
        <v>127</v>
      </c>
      <c r="J11" s="56">
        <v>2</v>
      </c>
    </row>
    <row r="12" spans="2:11" s="25" customFormat="1" hidden="1" x14ac:dyDescent="0.2">
      <c r="B12" s="122">
        <v>573</v>
      </c>
      <c r="C12" s="115" t="s">
        <v>127</v>
      </c>
      <c r="D12" s="117">
        <v>0.2</v>
      </c>
      <c r="E12" s="117" t="str">
        <f>IF(ISNA(VLOOKUP(B12,'Qualification And AFSS'!$C$9:$D$38,2,FALSE)),"",VLOOKUP(B12,'Qualification And AFSS'!$C$9:$D$38,2,FALSE))</f>
        <v/>
      </c>
      <c r="F12" s="117">
        <f>IF(ISNA(VLOOKUP(B12,'Data Analysis'!$B$7:$O$60000,3,FALSE)),"",VLOOKUP(B12,'Data Analysis'!$B$7:$O$60000,3,FALSE))</f>
        <v>38.75</v>
      </c>
      <c r="G12" s="121"/>
      <c r="I12" s="56" t="s">
        <v>128</v>
      </c>
      <c r="J12" s="56">
        <v>3</v>
      </c>
    </row>
    <row r="13" spans="2:11" s="25" customFormat="1" x14ac:dyDescent="0.2">
      <c r="B13" s="122">
        <v>3098</v>
      </c>
      <c r="C13" s="115"/>
      <c r="D13" s="117"/>
      <c r="E13" s="117" t="str">
        <f>IF(ISNA(VLOOKUP(B13,'Qualification And AFSS'!$C$9:$D$38,2,FALSE)),"",VLOOKUP(B13,'Qualification And AFSS'!$C$9:$D$38,2,FALSE))</f>
        <v/>
      </c>
      <c r="F13" s="117">
        <f>IF(ISNA(VLOOKUP(B13,'Data Analysis'!$B$7:$O$60000,3,FALSE)),"",VLOOKUP(B13,'Data Analysis'!$B$7:$O$60000,3,FALSE))</f>
        <v>40.75</v>
      </c>
      <c r="G13" s="121"/>
      <c r="I13" s="56" t="s">
        <v>129</v>
      </c>
      <c r="J13" s="56">
        <v>4</v>
      </c>
    </row>
    <row r="14" spans="2:11" s="25" customFormat="1" x14ac:dyDescent="0.2">
      <c r="B14" s="122">
        <v>3547</v>
      </c>
      <c r="C14" s="115"/>
      <c r="D14" s="117"/>
      <c r="E14" s="117" t="str">
        <f>IF(ISNA(VLOOKUP(B14,'Qualification And AFSS'!$C$9:$D$38,2,FALSE)),"",VLOOKUP(B14,'Qualification And AFSS'!$C$9:$D$38,2,FALSE))</f>
        <v/>
      </c>
      <c r="F14" s="117">
        <f>IF(ISNA(VLOOKUP(B14,'Data Analysis'!$B$7:$O$60000,3,FALSE)),"",VLOOKUP(B14,'Data Analysis'!$B$7:$O$60000,3,FALSE))</f>
        <v>33</v>
      </c>
      <c r="G14" s="121"/>
      <c r="I14" s="56" t="s">
        <v>130</v>
      </c>
      <c r="J14" s="56">
        <v>5</v>
      </c>
    </row>
    <row r="15" spans="2:11" s="25" customFormat="1" x14ac:dyDescent="0.2">
      <c r="B15" s="122">
        <v>68</v>
      </c>
      <c r="C15" s="115"/>
      <c r="D15" s="117"/>
      <c r="E15" s="117" t="str">
        <f>IF(ISNA(VLOOKUP(B15,'Qualification And AFSS'!$C$9:$D$38,2,FALSE)),"",VLOOKUP(B15,'Qualification And AFSS'!$C$9:$D$38,2,FALSE))</f>
        <v/>
      </c>
      <c r="F15" s="117">
        <f>IF(ISNA(VLOOKUP(B15,'Data Analysis'!$B$7:$O$60000,3,FALSE)),"",VLOOKUP(B15,'Data Analysis'!$B$7:$O$60000,3,FALSE))</f>
        <v>27.333333333333332</v>
      </c>
      <c r="G15" s="121"/>
      <c r="I15" s="56" t="s">
        <v>131</v>
      </c>
      <c r="J15" s="56">
        <v>6</v>
      </c>
    </row>
    <row r="16" spans="2:11" s="25" customFormat="1" x14ac:dyDescent="0.2">
      <c r="B16" s="122">
        <v>70</v>
      </c>
      <c r="C16" s="115"/>
      <c r="D16" s="117"/>
      <c r="E16" s="117" t="str">
        <f>IF(ISNA(VLOOKUP(B16,'Qualification And AFSS'!$C$9:$D$38,2,FALSE)),"",VLOOKUP(B16,'Qualification And AFSS'!$C$9:$D$38,2,FALSE))</f>
        <v/>
      </c>
      <c r="F16" s="117">
        <f>IF(ISNA(VLOOKUP(B16,'Data Analysis'!$B$7:$O$60000,3,FALSE)),"",VLOOKUP(B16,'Data Analysis'!$B$7:$O$60000,3,FALSE))</f>
        <v>27</v>
      </c>
      <c r="G16" s="121"/>
    </row>
    <row r="17" spans="2:9" s="25" customFormat="1" x14ac:dyDescent="0.2">
      <c r="B17" s="122">
        <v>2145</v>
      </c>
      <c r="C17" s="115"/>
      <c r="D17" s="117"/>
      <c r="E17" s="117" t="str">
        <f>IF(ISNA(VLOOKUP(B17,'Qualification And AFSS'!$C$9:$D$38,2,FALSE)),"",VLOOKUP(B17,'Qualification And AFSS'!$C$9:$D$38,2,FALSE))</f>
        <v/>
      </c>
      <c r="F17" s="117">
        <f>IF(ISNA(VLOOKUP(B17,'Data Analysis'!$B$7:$O$60000,3,FALSE)),"",VLOOKUP(B17,'Data Analysis'!$B$7:$O$60000,3,FALSE))</f>
        <v>23.142857142857142</v>
      </c>
      <c r="G17" s="121"/>
      <c r="I17" s="75" t="s">
        <v>132</v>
      </c>
    </row>
    <row r="18" spans="2:9" s="25" customFormat="1" x14ac:dyDescent="0.2">
      <c r="B18" s="122">
        <v>3536</v>
      </c>
      <c r="C18" s="115"/>
      <c r="D18" s="117"/>
      <c r="E18" s="117" t="str">
        <f>IF(ISNA(VLOOKUP(B18,'Qualification And AFSS'!$C$9:$D$38,2,FALSE)),"",VLOOKUP(B18,'Qualification And AFSS'!$C$9:$D$38,2,FALSE))</f>
        <v/>
      </c>
      <c r="F18" s="117">
        <f>IF(ISNA(VLOOKUP(B18,'Data Analysis'!$B$7:$O$60000,3,FALSE)),"",VLOOKUP(B18,'Data Analysis'!$B$7:$O$60000,3,FALSE))</f>
        <v>20.333333333333332</v>
      </c>
      <c r="G18" s="121"/>
      <c r="I18" s="75">
        <v>0</v>
      </c>
    </row>
    <row r="19" spans="2:9" s="25" customFormat="1" x14ac:dyDescent="0.2">
      <c r="B19" s="122">
        <v>302</v>
      </c>
      <c r="C19" s="115"/>
      <c r="D19" s="117"/>
      <c r="E19" s="117" t="str">
        <f>IF(ISNA(VLOOKUP(B19,'Qualification And AFSS'!$C$9:$D$38,2,FALSE)),"",VLOOKUP(B19,'Qualification And AFSS'!$C$9:$D$38,2,FALSE))</f>
        <v/>
      </c>
      <c r="F19" s="117">
        <f>IF(ISNA(VLOOKUP(B19,'Data Analysis'!$B$7:$O$60000,3,FALSE)),"",VLOOKUP(B19,'Data Analysis'!$B$7:$O$60000,3,FALSE))</f>
        <v>20</v>
      </c>
      <c r="G19" s="121"/>
      <c r="I19" s="75">
        <f>I18+0.1</f>
        <v>0.1</v>
      </c>
    </row>
    <row r="20" spans="2:9" s="25" customFormat="1" x14ac:dyDescent="0.2">
      <c r="B20" s="122">
        <v>1322</v>
      </c>
      <c r="C20" s="115"/>
      <c r="D20" s="117"/>
      <c r="E20" s="117" t="str">
        <f>IF(ISNA(VLOOKUP(B20,'Qualification And AFSS'!$C$9:$D$38,2,FALSE)),"",VLOOKUP(B20,'Qualification And AFSS'!$C$9:$D$38,2,FALSE))</f>
        <v/>
      </c>
      <c r="F20" s="117">
        <f>IF(ISNA(VLOOKUP(B20,'Data Analysis'!$B$7:$O$60000,3,FALSE)),"",VLOOKUP(B20,'Data Analysis'!$B$7:$O$60000,3,FALSE))</f>
        <v>19.142857142857142</v>
      </c>
      <c r="G20" s="121"/>
      <c r="I20" s="75">
        <f t="shared" ref="I20:I68" si="0">I19+0.1</f>
        <v>0.2</v>
      </c>
    </row>
    <row r="21" spans="2:9" s="25" customFormat="1" x14ac:dyDescent="0.2">
      <c r="B21" s="122">
        <v>2619</v>
      </c>
      <c r="C21" s="115"/>
      <c r="D21" s="117"/>
      <c r="E21" s="117" t="str">
        <f>IF(ISNA(VLOOKUP(B21,'Qualification And AFSS'!$C$9:$D$38,2,FALSE)),"",VLOOKUP(B21,'Qualification And AFSS'!$C$9:$D$38,2,FALSE))</f>
        <v/>
      </c>
      <c r="F21" s="117">
        <f>IF(ISNA(VLOOKUP(B21,'Data Analysis'!$B$7:$O$60000,3,FALSE)),"",VLOOKUP(B21,'Data Analysis'!$B$7:$O$60000,3,FALSE))</f>
        <v>18.2</v>
      </c>
      <c r="G21" s="121"/>
      <c r="I21" s="75">
        <f t="shared" si="0"/>
        <v>0.30000000000000004</v>
      </c>
    </row>
    <row r="22" spans="2:9" s="25" customFormat="1" x14ac:dyDescent="0.2">
      <c r="B22" s="122">
        <v>207</v>
      </c>
      <c r="C22" s="115"/>
      <c r="D22" s="117"/>
      <c r="E22" s="117" t="str">
        <f>IF(ISNA(VLOOKUP(B22,'Qualification And AFSS'!$C$9:$D$38,2,FALSE)),"",VLOOKUP(B22,'Qualification And AFSS'!$C$9:$D$38,2,FALSE))</f>
        <v/>
      </c>
      <c r="F22" s="117">
        <f>IF(ISNA(VLOOKUP(B22,'Data Analysis'!$B$7:$O$60000,3,FALSE)),"",VLOOKUP(B22,'Data Analysis'!$B$7:$O$60000,3,FALSE))</f>
        <v>18</v>
      </c>
      <c r="G22" s="121"/>
      <c r="I22" s="75">
        <f t="shared" si="0"/>
        <v>0.4</v>
      </c>
    </row>
    <row r="23" spans="2:9" s="25" customFormat="1" x14ac:dyDescent="0.2">
      <c r="B23" s="122">
        <v>548</v>
      </c>
      <c r="C23" s="115"/>
      <c r="D23" s="117"/>
      <c r="E23" s="117" t="str">
        <f>IF(ISNA(VLOOKUP(B23,'Qualification And AFSS'!$C$9:$D$38,2,FALSE)),"",VLOOKUP(B23,'Qualification And AFSS'!$C$9:$D$38,2,FALSE))</f>
        <v/>
      </c>
      <c r="F23" s="117">
        <f>IF(ISNA(VLOOKUP(B23,'Data Analysis'!$B$7:$O$60000,3,FALSE)),"",VLOOKUP(B23,'Data Analysis'!$B$7:$O$60000,3,FALSE))</f>
        <v>18</v>
      </c>
      <c r="G23" s="121"/>
      <c r="I23" s="75">
        <f t="shared" si="0"/>
        <v>0.5</v>
      </c>
    </row>
    <row r="24" spans="2:9" s="25" customFormat="1" x14ac:dyDescent="0.2">
      <c r="B24" s="122">
        <v>1504</v>
      </c>
      <c r="C24" s="115"/>
      <c r="D24" s="117"/>
      <c r="E24" s="117" t="str">
        <f>IF(ISNA(VLOOKUP(B24,'Qualification And AFSS'!$C$9:$D$38,2,FALSE)),"",VLOOKUP(B24,'Qualification And AFSS'!$C$9:$D$38,2,FALSE))</f>
        <v/>
      </c>
      <c r="F24" s="117">
        <f>IF(ISNA(VLOOKUP(B24,'Data Analysis'!$B$7:$O$60000,3,FALSE)),"",VLOOKUP(B24,'Data Analysis'!$B$7:$O$60000,3,FALSE))</f>
        <v>17.625</v>
      </c>
      <c r="G24" s="121"/>
      <c r="I24" s="75">
        <f t="shared" si="0"/>
        <v>0.6</v>
      </c>
    </row>
    <row r="25" spans="2:9" s="25" customFormat="1" x14ac:dyDescent="0.2">
      <c r="B25" s="122">
        <v>830</v>
      </c>
      <c r="C25" s="115"/>
      <c r="D25" s="117"/>
      <c r="E25" s="117" t="str">
        <f>IF(ISNA(VLOOKUP(B25,'Qualification And AFSS'!$C$9:$D$38,2,FALSE)),"",VLOOKUP(B25,'Qualification And AFSS'!$C$9:$D$38,2,FALSE))</f>
        <v/>
      </c>
      <c r="F25" s="117">
        <f>IF(ISNA(VLOOKUP(B25,'Data Analysis'!$B$7:$O$60000,3,FALSE)),"",VLOOKUP(B25,'Data Analysis'!$B$7:$O$60000,3,FALSE))</f>
        <v>15.3</v>
      </c>
      <c r="G25" s="121"/>
      <c r="I25" s="75">
        <f t="shared" si="0"/>
        <v>0.7</v>
      </c>
    </row>
    <row r="26" spans="2:9" s="25" customFormat="1" x14ac:dyDescent="0.2">
      <c r="B26" s="122">
        <v>835</v>
      </c>
      <c r="C26" s="115"/>
      <c r="D26" s="117"/>
      <c r="E26" s="117" t="str">
        <f>IF(ISNA(VLOOKUP(B26,'Qualification And AFSS'!$C$9:$D$38,2,FALSE)),"",VLOOKUP(B26,'Qualification And AFSS'!$C$9:$D$38,2,FALSE))</f>
        <v/>
      </c>
      <c r="F26" s="117">
        <f>IF(ISNA(VLOOKUP(B26,'Data Analysis'!$B$7:$O$60000,3,FALSE)),"",VLOOKUP(B26,'Data Analysis'!$B$7:$O$60000,3,FALSE))</f>
        <v>14.142857142857142</v>
      </c>
      <c r="G26" s="121"/>
      <c r="I26" s="75">
        <f t="shared" si="0"/>
        <v>0.79999999999999993</v>
      </c>
    </row>
    <row r="27" spans="2:9" s="25" customFormat="1" x14ac:dyDescent="0.2">
      <c r="B27" s="122">
        <v>3322</v>
      </c>
      <c r="C27" s="115"/>
      <c r="D27" s="117"/>
      <c r="E27" s="117" t="str">
        <f>IF(ISNA(VLOOKUP(B27,'Qualification And AFSS'!$C$9:$D$38,2,FALSE)),"",VLOOKUP(B27,'Qualification And AFSS'!$C$9:$D$38,2,FALSE))</f>
        <v/>
      </c>
      <c r="F27" s="117">
        <f>IF(ISNA(VLOOKUP(B27,'Data Analysis'!$B$7:$O$60000,3,FALSE)),"",VLOOKUP(B27,'Data Analysis'!$B$7:$O$60000,3,FALSE))</f>
        <v>12.333333333333334</v>
      </c>
      <c r="G27" s="121"/>
      <c r="I27" s="75">
        <f t="shared" si="0"/>
        <v>0.89999999999999991</v>
      </c>
    </row>
    <row r="28" spans="2:9" s="25" customFormat="1" x14ac:dyDescent="0.2">
      <c r="B28" s="122">
        <v>1025</v>
      </c>
      <c r="C28" s="115"/>
      <c r="D28" s="117"/>
      <c r="E28" s="117" t="str">
        <f>IF(ISNA(VLOOKUP(B28,'Qualification And AFSS'!$C$9:$D$38,2,FALSE)),"",VLOOKUP(B28,'Qualification And AFSS'!$C$9:$D$38,2,FALSE))</f>
        <v/>
      </c>
      <c r="F28" s="117">
        <f>IF(ISNA(VLOOKUP(B28,'Data Analysis'!$B$7:$O$60000,3,FALSE)),"",VLOOKUP(B28,'Data Analysis'!$B$7:$O$60000,3,FALSE))</f>
        <v>9</v>
      </c>
      <c r="G28" s="121"/>
      <c r="I28" s="75">
        <f t="shared" si="0"/>
        <v>0.99999999999999989</v>
      </c>
    </row>
    <row r="29" spans="2:9" s="25" customFormat="1" x14ac:dyDescent="0.2">
      <c r="B29" s="122">
        <v>2075</v>
      </c>
      <c r="C29" s="115"/>
      <c r="D29" s="117"/>
      <c r="E29" s="117" t="str">
        <f>IF(ISNA(VLOOKUP(B29,'Qualification And AFSS'!$C$9:$D$38,2,FALSE)),"",VLOOKUP(B29,'Qualification And AFSS'!$C$9:$D$38,2,FALSE))</f>
        <v/>
      </c>
      <c r="F29" s="117">
        <f>IF(ISNA(VLOOKUP(B29,'Data Analysis'!$B$7:$O$60000,3,FALSE)),"",VLOOKUP(B29,'Data Analysis'!$B$7:$O$60000,3,FALSE))</f>
        <v>8.7142857142857135</v>
      </c>
      <c r="G29" s="121"/>
      <c r="I29" s="75">
        <f t="shared" si="0"/>
        <v>1.0999999999999999</v>
      </c>
    </row>
    <row r="30" spans="2:9" s="25" customFormat="1" x14ac:dyDescent="0.2">
      <c r="B30" s="122">
        <v>3535</v>
      </c>
      <c r="C30" s="115"/>
      <c r="D30" s="117"/>
      <c r="E30" s="117" t="str">
        <f>IF(ISNA(VLOOKUP(B30,'Qualification And AFSS'!$C$9:$D$38,2,FALSE)),"",VLOOKUP(B30,'Qualification And AFSS'!$C$9:$D$38,2,FALSE))</f>
        <v/>
      </c>
      <c r="F30" s="117">
        <f>IF(ISNA(VLOOKUP(B30,'Data Analysis'!$B$7:$O$60000,3,FALSE)),"",VLOOKUP(B30,'Data Analysis'!$B$7:$O$60000,3,FALSE))</f>
        <v>7.7777777777777777</v>
      </c>
      <c r="G30" s="121"/>
      <c r="I30" s="75">
        <f t="shared" si="0"/>
        <v>1.2</v>
      </c>
    </row>
    <row r="31" spans="2:9" s="25" customFormat="1" x14ac:dyDescent="0.2">
      <c r="B31" s="122">
        <v>1684</v>
      </c>
      <c r="C31" s="115"/>
      <c r="D31" s="117"/>
      <c r="E31" s="117" t="str">
        <f>IF(ISNA(VLOOKUP(B31,'Qualification And AFSS'!$C$9:$D$38,2,FALSE)),"",VLOOKUP(B31,'Qualification And AFSS'!$C$9:$D$38,2,FALSE))</f>
        <v/>
      </c>
      <c r="F31" s="117">
        <f>IF(ISNA(VLOOKUP(B31,'Data Analysis'!$B$7:$O$60000,3,FALSE)),"",VLOOKUP(B31,'Data Analysis'!$B$7:$O$60000,3,FALSE))</f>
        <v>7.7142857142857144</v>
      </c>
      <c r="G31" s="121"/>
      <c r="I31" s="75">
        <f t="shared" si="0"/>
        <v>1.3</v>
      </c>
    </row>
    <row r="32" spans="2:9" s="25" customFormat="1" x14ac:dyDescent="0.2">
      <c r="B32" s="122">
        <v>3537</v>
      </c>
      <c r="C32" s="115"/>
      <c r="D32" s="117"/>
      <c r="E32" s="117" t="str">
        <f>IF(ISNA(VLOOKUP(B32,'Qualification And AFSS'!$C$9:$D$38,2,FALSE)),"",VLOOKUP(B32,'Qualification And AFSS'!$C$9:$D$38,2,FALSE))</f>
        <v/>
      </c>
      <c r="F32" s="117">
        <f>IF(ISNA(VLOOKUP(B32,'Data Analysis'!$B$7:$O$60000,3,FALSE)),"",VLOOKUP(B32,'Data Analysis'!$B$7:$O$60000,3,FALSE))</f>
        <v>7.7142857142857144</v>
      </c>
      <c r="G32" s="121"/>
      <c r="I32" s="75">
        <f t="shared" si="0"/>
        <v>1.4000000000000001</v>
      </c>
    </row>
    <row r="33" spans="2:9" s="25" customFormat="1" x14ac:dyDescent="0.2">
      <c r="B33" s="122">
        <v>247</v>
      </c>
      <c r="C33" s="115"/>
      <c r="D33" s="117"/>
      <c r="E33" s="117" t="str">
        <f>IF(ISNA(VLOOKUP(B33,'Qualification And AFSS'!$C$9:$D$38,2,FALSE)),"",VLOOKUP(B33,'Qualification And AFSS'!$C$9:$D$38,2,FALSE))</f>
        <v/>
      </c>
      <c r="F33" s="117">
        <f>IF(ISNA(VLOOKUP(B33,'Data Analysis'!$B$7:$O$60000,3,FALSE)),"",VLOOKUP(B33,'Data Analysis'!$B$7:$O$60000,3,FALSE))</f>
        <v>6.4</v>
      </c>
      <c r="G33" s="121"/>
      <c r="I33" s="75">
        <f t="shared" si="0"/>
        <v>1.5000000000000002</v>
      </c>
    </row>
    <row r="34" spans="2:9" s="25" customFormat="1" x14ac:dyDescent="0.2">
      <c r="B34" s="122">
        <v>269</v>
      </c>
      <c r="C34" s="115"/>
      <c r="D34" s="117"/>
      <c r="E34" s="117" t="str">
        <f>IF(ISNA(VLOOKUP(B34,'Qualification And AFSS'!$C$9:$D$38,2,FALSE)),"",VLOOKUP(B34,'Qualification And AFSS'!$C$9:$D$38,2,FALSE))</f>
        <v/>
      </c>
      <c r="F34" s="117">
        <f>IF(ISNA(VLOOKUP(B34,'Data Analysis'!$B$7:$O$60000,3,FALSE)),"",VLOOKUP(B34,'Data Analysis'!$B$7:$O$60000,3,FALSE))</f>
        <v>6</v>
      </c>
      <c r="G34" s="121"/>
      <c r="I34" s="75">
        <f t="shared" si="0"/>
        <v>1.6000000000000003</v>
      </c>
    </row>
    <row r="35" spans="2:9" s="25" customFormat="1" x14ac:dyDescent="0.2">
      <c r="B35" s="122">
        <v>3707</v>
      </c>
      <c r="C35" s="115"/>
      <c r="D35" s="117"/>
      <c r="E35" s="117" t="str">
        <f>IF(ISNA(VLOOKUP(B35,'Qualification And AFSS'!$C$9:$D$38,2,FALSE)),"",VLOOKUP(B35,'Qualification And AFSS'!$C$9:$D$38,2,FALSE))</f>
        <v/>
      </c>
      <c r="F35" s="117">
        <f>IF(ISNA(VLOOKUP(B35,'Data Analysis'!$B$7:$O$60000,3,FALSE)),"",VLOOKUP(B35,'Data Analysis'!$B$7:$O$60000,3,FALSE))</f>
        <v>4.5</v>
      </c>
      <c r="G35" s="121"/>
      <c r="I35" s="75">
        <f t="shared" si="0"/>
        <v>1.7000000000000004</v>
      </c>
    </row>
    <row r="36" spans="2:9" s="25" customFormat="1" x14ac:dyDescent="0.2">
      <c r="B36" s="122">
        <v>66</v>
      </c>
      <c r="C36" s="115"/>
      <c r="D36" s="117"/>
      <c r="E36" s="117" t="str">
        <f>IF(ISNA(VLOOKUP(B36,'Qualification And AFSS'!$C$9:$D$38,2,FALSE)),"",VLOOKUP(B36,'Qualification And AFSS'!$C$9:$D$38,2,FALSE))</f>
        <v/>
      </c>
      <c r="F36" s="117">
        <f>IF(ISNA(VLOOKUP(B36,'Data Analysis'!$B$7:$O$60000,3,FALSE)),"",VLOOKUP(B36,'Data Analysis'!$B$7:$O$60000,3,FALSE))</f>
        <v>4.5999999999999996</v>
      </c>
      <c r="G36" s="121"/>
      <c r="I36" s="75">
        <f t="shared" si="0"/>
        <v>1.8000000000000005</v>
      </c>
    </row>
    <row r="37" spans="2:9" s="25" customFormat="1" x14ac:dyDescent="0.2">
      <c r="B37" s="122">
        <v>894</v>
      </c>
      <c r="C37" s="115"/>
      <c r="D37" s="117"/>
      <c r="E37" s="117" t="str">
        <f>IF(ISNA(VLOOKUP(B37,'Qualification And AFSS'!$C$9:$D$38,2,FALSE)),"",VLOOKUP(B37,'Qualification And AFSS'!$C$9:$D$38,2,FALSE))</f>
        <v/>
      </c>
      <c r="F37" s="117">
        <f>IF(ISNA(VLOOKUP(B37,'Data Analysis'!$B$7:$O$60000,3,FALSE)),"",VLOOKUP(B37,'Data Analysis'!$B$7:$O$60000,3,FALSE))</f>
        <v>3.6666666666666665</v>
      </c>
      <c r="G37" s="121"/>
      <c r="I37" s="75">
        <f t="shared" si="0"/>
        <v>1.9000000000000006</v>
      </c>
    </row>
    <row r="38" spans="2:9" s="25" customFormat="1" x14ac:dyDescent="0.2">
      <c r="B38" s="122">
        <v>3658</v>
      </c>
      <c r="C38" s="115"/>
      <c r="D38" s="117"/>
      <c r="E38" s="117" t="str">
        <f>IF(ISNA(VLOOKUP(B38,'Qualification And AFSS'!$C$9:$D$38,2,FALSE)),"",VLOOKUP(B38,'Qualification And AFSS'!$C$9:$D$38,2,FALSE))</f>
        <v/>
      </c>
      <c r="F38" s="117">
        <f>IF(ISNA(VLOOKUP(B38,'Data Analysis'!$B$7:$O$60000,3,FALSE)),"",VLOOKUP(B38,'Data Analysis'!$B$7:$O$60000,3,FALSE))</f>
        <v>3</v>
      </c>
      <c r="G38" s="121"/>
      <c r="I38" s="75">
        <f t="shared" si="0"/>
        <v>2.0000000000000004</v>
      </c>
    </row>
    <row r="39" spans="2:9" s="25" customFormat="1" x14ac:dyDescent="0.2">
      <c r="B39" s="122">
        <v>3638</v>
      </c>
      <c r="C39" s="115"/>
      <c r="D39" s="117"/>
      <c r="E39" s="117" t="str">
        <f>IF(ISNA(VLOOKUP(B39,'Qualification And AFSS'!$C$9:$D$38,2,FALSE)),"",VLOOKUP(B39,'Qualification And AFSS'!$C$9:$D$38,2,FALSE))</f>
        <v/>
      </c>
      <c r="F39" s="117">
        <f>IF(ISNA(VLOOKUP(B39,'Data Analysis'!$B$7:$O$60000,3,FALSE)),"",VLOOKUP(B39,'Data Analysis'!$B$7:$O$60000,3,FALSE))</f>
        <v>2.5</v>
      </c>
      <c r="G39" s="121"/>
      <c r="I39" s="75">
        <f t="shared" si="0"/>
        <v>2.1000000000000005</v>
      </c>
    </row>
    <row r="40" spans="2:9" s="25" customFormat="1" x14ac:dyDescent="0.2">
      <c r="B40" s="122">
        <v>3773</v>
      </c>
      <c r="C40" s="115"/>
      <c r="D40" s="117"/>
      <c r="E40" s="117" t="str">
        <f>IF(ISNA(VLOOKUP(B40,'Qualification And AFSS'!$C$9:$D$38,2,FALSE)),"",VLOOKUP(B40,'Qualification And AFSS'!$C$9:$D$38,2,FALSE))</f>
        <v/>
      </c>
      <c r="F40" s="117">
        <f>IF(ISNA(VLOOKUP(B40,'Data Analysis'!$B$7:$O$60000,3,FALSE)),"",VLOOKUP(B40,'Data Analysis'!$B$7:$O$60000,3,FALSE))</f>
        <v>2.5</v>
      </c>
      <c r="G40" s="121"/>
      <c r="I40" s="75">
        <f t="shared" si="0"/>
        <v>2.2000000000000006</v>
      </c>
    </row>
    <row r="41" spans="2:9" s="25" customFormat="1" x14ac:dyDescent="0.2">
      <c r="B41" s="122">
        <v>860</v>
      </c>
      <c r="C41" s="115"/>
      <c r="D41" s="117"/>
      <c r="E41" s="117" t="str">
        <f>IF(ISNA(VLOOKUP(B41,'Qualification And AFSS'!$C$9:$D$38,2,FALSE)),"",VLOOKUP(B41,'Qualification And AFSS'!$C$9:$D$38,2,FALSE))</f>
        <v/>
      </c>
      <c r="F41" s="117">
        <f>IF(ISNA(VLOOKUP(B41,'Data Analysis'!$B$7:$O$60000,3,FALSE)),"",VLOOKUP(B41,'Data Analysis'!$B$7:$O$60000,3,FALSE))</f>
        <v>2</v>
      </c>
      <c r="G41" s="121"/>
      <c r="I41" s="75">
        <f t="shared" si="0"/>
        <v>2.3000000000000007</v>
      </c>
    </row>
    <row r="42" spans="2:9" s="25" customFormat="1" x14ac:dyDescent="0.2">
      <c r="B42" s="122">
        <v>3656</v>
      </c>
      <c r="C42" s="115"/>
      <c r="D42" s="117"/>
      <c r="E42" s="117" t="str">
        <f>IF(ISNA(VLOOKUP(B42,'Qualification And AFSS'!$C$9:$D$38,2,FALSE)),"",VLOOKUP(B42,'Qualification And AFSS'!$C$9:$D$38,2,FALSE))</f>
        <v/>
      </c>
      <c r="F42" s="117">
        <f>IF(ISNA(VLOOKUP(B42,'Data Analysis'!$B$7:$O$60000,3,FALSE)),"",VLOOKUP(B42,'Data Analysis'!$B$7:$O$60000,3,FALSE))</f>
        <v>1.5</v>
      </c>
      <c r="G42" s="121"/>
      <c r="I42" s="75">
        <f t="shared" si="0"/>
        <v>2.4000000000000008</v>
      </c>
    </row>
    <row r="43" spans="2:9" s="25" customFormat="1" x14ac:dyDescent="0.2">
      <c r="B43" s="122">
        <v>470</v>
      </c>
      <c r="C43" s="115"/>
      <c r="D43" s="117"/>
      <c r="E43" s="117" t="str">
        <f>IF(ISNA(VLOOKUP(B43,'Qualification And AFSS'!$C$9:$D$38,2,FALSE)),"",VLOOKUP(B43,'Qualification And AFSS'!$C$9:$D$38,2,FALSE))</f>
        <v/>
      </c>
      <c r="F43" s="117">
        <f>IF(ISNA(VLOOKUP(B43,'Data Analysis'!$B$7:$O$60000,3,FALSE)),"",VLOOKUP(B43,'Data Analysis'!$B$7:$O$60000,3,FALSE))</f>
        <v>1.2857142857142858</v>
      </c>
      <c r="G43" s="121"/>
      <c r="I43" s="75">
        <f t="shared" si="0"/>
        <v>2.5000000000000009</v>
      </c>
    </row>
    <row r="44" spans="2:9" s="25" customFormat="1" x14ac:dyDescent="0.2">
      <c r="B44" s="122">
        <v>862</v>
      </c>
      <c r="C44" s="115"/>
      <c r="D44" s="117"/>
      <c r="E44" s="117" t="str">
        <f>IF(ISNA(VLOOKUP(B44,'Qualification And AFSS'!$C$9:$D$38,2,FALSE)),"",VLOOKUP(B44,'Qualification And AFSS'!$C$9:$D$38,2,FALSE))</f>
        <v/>
      </c>
      <c r="F44" s="117">
        <f>IF(ISNA(VLOOKUP(B44,'Data Analysis'!$B$7:$O$60000,3,FALSE)),"",VLOOKUP(B44,'Data Analysis'!$B$7:$O$60000,3,FALSE))</f>
        <v>0.83333333333333337</v>
      </c>
      <c r="G44" s="121"/>
      <c r="I44" s="75">
        <f t="shared" si="0"/>
        <v>2.600000000000001</v>
      </c>
    </row>
    <row r="45" spans="2:9" s="25" customFormat="1" x14ac:dyDescent="0.2">
      <c r="B45" s="122">
        <v>3415</v>
      </c>
      <c r="C45" s="115"/>
      <c r="D45" s="117"/>
      <c r="E45" s="117" t="str">
        <f>IF(ISNA(VLOOKUP(B45,'Qualification And AFSS'!$C$9:$D$38,2,FALSE)),"",VLOOKUP(B45,'Qualification And AFSS'!$C$9:$D$38,2,FALSE))</f>
        <v/>
      </c>
      <c r="F45" s="117">
        <f>IF(ISNA(VLOOKUP(B45,'Data Analysis'!$B$7:$O$60000,3,FALSE)),"",VLOOKUP(B45,'Data Analysis'!$B$7:$O$60000,3,FALSE))</f>
        <v>0.42857142857142855</v>
      </c>
      <c r="G45" s="121"/>
      <c r="I45" s="75">
        <f t="shared" si="0"/>
        <v>2.7000000000000011</v>
      </c>
    </row>
    <row r="46" spans="2:9" s="25" customFormat="1" x14ac:dyDescent="0.2">
      <c r="B46" s="122">
        <v>3655</v>
      </c>
      <c r="C46" s="115"/>
      <c r="D46" s="117"/>
      <c r="E46" s="117" t="str">
        <f>IF(ISNA(VLOOKUP(B46,'Qualification And AFSS'!$C$9:$D$38,2,FALSE)),"",VLOOKUP(B46,'Qualification And AFSS'!$C$9:$D$38,2,FALSE))</f>
        <v/>
      </c>
      <c r="F46" s="117">
        <f>IF(ISNA(VLOOKUP(B46,'Data Analysis'!$B$7:$O$60000,3,FALSE)),"",VLOOKUP(B46,'Data Analysis'!$B$7:$O$60000,3,FALSE))</f>
        <v>0.16666666666666666</v>
      </c>
      <c r="G46" s="121"/>
      <c r="I46" s="75">
        <f t="shared" si="0"/>
        <v>2.8000000000000012</v>
      </c>
    </row>
    <row r="47" spans="2:9" s="25" customFormat="1" x14ac:dyDescent="0.2">
      <c r="B47" s="122">
        <v>240</v>
      </c>
      <c r="C47" s="115"/>
      <c r="D47" s="117"/>
      <c r="E47" s="117" t="str">
        <f>IF(ISNA(VLOOKUP(B47,'Qualification And AFSS'!$C$9:$D$38,2,FALSE)),"",VLOOKUP(B47,'Qualification And AFSS'!$C$9:$D$38,2,FALSE))</f>
        <v/>
      </c>
      <c r="F47" s="117">
        <f>IF(ISNA(VLOOKUP(B47,'Data Analysis'!$B$7:$O$60000,3,FALSE)),"",VLOOKUP(B47,'Data Analysis'!$B$7:$O$60000,3,FALSE))</f>
        <v>0.125</v>
      </c>
      <c r="G47" s="121"/>
      <c r="I47" s="75">
        <f t="shared" si="0"/>
        <v>2.9000000000000012</v>
      </c>
    </row>
    <row r="48" spans="2:9" s="25" customFormat="1" x14ac:dyDescent="0.2">
      <c r="B48" s="122">
        <v>882</v>
      </c>
      <c r="C48" s="115"/>
      <c r="D48" s="117"/>
      <c r="E48" s="117" t="str">
        <f>IF(ISNA(VLOOKUP(B48,'Qualification And AFSS'!$C$9:$D$38,2,FALSE)),"",VLOOKUP(B48,'Qualification And AFSS'!$C$9:$D$38,2,FALSE))</f>
        <v/>
      </c>
      <c r="F48" s="117">
        <f>IF(ISNA(VLOOKUP(B48,'Data Analysis'!$B$7:$O$60000,3,FALSE)),"",VLOOKUP(B48,'Data Analysis'!$B$7:$O$60000,3,FALSE))</f>
        <v>0</v>
      </c>
      <c r="G48" s="121"/>
      <c r="I48" s="75">
        <f t="shared" si="0"/>
        <v>3.0000000000000013</v>
      </c>
    </row>
    <row r="49" spans="2:9" s="25" customFormat="1" x14ac:dyDescent="0.2">
      <c r="B49" s="122">
        <v>1076</v>
      </c>
      <c r="C49" s="115"/>
      <c r="D49" s="117"/>
      <c r="E49" s="117" t="str">
        <f>IF(ISNA(VLOOKUP(B49,'Qualification And AFSS'!$C$9:$D$38,2,FALSE)),"",VLOOKUP(B49,'Qualification And AFSS'!$C$9:$D$38,2,FALSE))</f>
        <v/>
      </c>
      <c r="F49" s="117">
        <f>IF(ISNA(VLOOKUP(B49,'Data Analysis'!$B$7:$O$60000,3,FALSE)),"",VLOOKUP(B49,'Data Analysis'!$B$7:$O$60000,3,FALSE))</f>
        <v>0</v>
      </c>
      <c r="G49" s="121"/>
      <c r="I49" s="75">
        <f t="shared" si="0"/>
        <v>3.1000000000000014</v>
      </c>
    </row>
    <row r="50" spans="2:9" s="25" customFormat="1" x14ac:dyDescent="0.2">
      <c r="B50" s="122">
        <v>1502</v>
      </c>
      <c r="C50" s="115"/>
      <c r="D50" s="117"/>
      <c r="E50" s="117" t="str">
        <f>IF(ISNA(VLOOKUP(B50,'Qualification And AFSS'!$C$9:$D$38,2,FALSE)),"",VLOOKUP(B50,'Qualification And AFSS'!$C$9:$D$38,2,FALSE))</f>
        <v/>
      </c>
      <c r="F50" s="117">
        <f>IF(ISNA(VLOOKUP(B50,'Data Analysis'!$B$7:$O$60000,3,FALSE)),"",VLOOKUP(B50,'Data Analysis'!$B$7:$O$60000,3,FALSE))</f>
        <v>0</v>
      </c>
      <c r="G50" s="121"/>
      <c r="I50" s="75">
        <f t="shared" si="0"/>
        <v>3.2000000000000015</v>
      </c>
    </row>
    <row r="51" spans="2:9" s="25" customFormat="1" x14ac:dyDescent="0.2">
      <c r="B51" s="122">
        <v>1507</v>
      </c>
      <c r="C51" s="115"/>
      <c r="D51" s="117"/>
      <c r="E51" s="117" t="str">
        <f>IF(ISNA(VLOOKUP(B51,'Qualification And AFSS'!$C$9:$D$38,2,FALSE)),"",VLOOKUP(B51,'Qualification And AFSS'!$C$9:$D$38,2,FALSE))</f>
        <v/>
      </c>
      <c r="F51" s="117">
        <f>IF(ISNA(VLOOKUP(B51,'Data Analysis'!$B$7:$O$60000,3,FALSE)),"",VLOOKUP(B51,'Data Analysis'!$B$7:$O$60000,3,FALSE))</f>
        <v>0</v>
      </c>
      <c r="G51" s="121"/>
      <c r="I51" s="75">
        <f t="shared" si="0"/>
        <v>3.3000000000000016</v>
      </c>
    </row>
    <row r="52" spans="2:9" s="25" customFormat="1" x14ac:dyDescent="0.2">
      <c r="B52" s="122">
        <v>2627</v>
      </c>
      <c r="C52" s="115"/>
      <c r="D52" s="117"/>
      <c r="E52" s="117" t="str">
        <f>IF(ISNA(VLOOKUP(B52,'Qualification And AFSS'!$C$9:$D$38,2,FALSE)),"",VLOOKUP(B52,'Qualification And AFSS'!$C$9:$D$38,2,FALSE))</f>
        <v/>
      </c>
      <c r="F52" s="117">
        <f>IF(ISNA(VLOOKUP(B52,'Data Analysis'!$B$7:$O$60000,3,FALSE)),"",VLOOKUP(B52,'Data Analysis'!$B$7:$O$60000,3,FALSE))</f>
        <v>0</v>
      </c>
      <c r="G52" s="121"/>
      <c r="I52" s="75">
        <f t="shared" si="0"/>
        <v>3.4000000000000017</v>
      </c>
    </row>
    <row r="53" spans="2:9" s="25" customFormat="1" x14ac:dyDescent="0.2">
      <c r="B53" s="122">
        <v>3546</v>
      </c>
      <c r="C53" s="115"/>
      <c r="D53" s="117"/>
      <c r="E53" s="117" t="str">
        <f>IF(ISNA(VLOOKUP(B53,'Qualification And AFSS'!$C$9:$D$38,2,FALSE)),"",VLOOKUP(B53,'Qualification And AFSS'!$C$9:$D$38,2,FALSE))</f>
        <v/>
      </c>
      <c r="F53" s="117">
        <f>IF(ISNA(VLOOKUP(B53,'Data Analysis'!$B$7:$O$60000,3,FALSE)),"",VLOOKUP(B53,'Data Analysis'!$B$7:$O$60000,3,FALSE))</f>
        <v>0</v>
      </c>
      <c r="G53" s="121"/>
      <c r="I53" s="75">
        <f t="shared" si="0"/>
        <v>3.5000000000000018</v>
      </c>
    </row>
    <row r="54" spans="2:9" s="25" customFormat="1" x14ac:dyDescent="0.2">
      <c r="B54" s="122">
        <v>3548</v>
      </c>
      <c r="C54" s="115"/>
      <c r="D54" s="117"/>
      <c r="E54" s="117" t="str">
        <f>IF(ISNA(VLOOKUP(B54,'Qualification And AFSS'!$C$9:$D$38,2,FALSE)),"",VLOOKUP(B54,'Qualification And AFSS'!$C$9:$D$38,2,FALSE))</f>
        <v/>
      </c>
      <c r="F54" s="117">
        <f>IF(ISNA(VLOOKUP(B54,'Data Analysis'!$B$7:$O$60000,3,FALSE)),"",VLOOKUP(B54,'Data Analysis'!$B$7:$O$60000,3,FALSE))</f>
        <v>0</v>
      </c>
      <c r="G54" s="121"/>
      <c r="I54" s="75">
        <f t="shared" si="0"/>
        <v>3.6000000000000019</v>
      </c>
    </row>
    <row r="55" spans="2:9" s="25" customFormat="1" x14ac:dyDescent="0.2">
      <c r="B55" s="122">
        <v>3631</v>
      </c>
      <c r="C55" s="115"/>
      <c r="D55" s="117"/>
      <c r="E55" s="117" t="str">
        <f>IF(ISNA(VLOOKUP(B55,'Qualification And AFSS'!$C$9:$D$38,2,FALSE)),"",VLOOKUP(B55,'Qualification And AFSS'!$C$9:$D$38,2,FALSE))</f>
        <v/>
      </c>
      <c r="F55" s="117">
        <f>IF(ISNA(VLOOKUP(B55,'Data Analysis'!$B$7:$O$60000,3,FALSE)),"",VLOOKUP(B55,'Data Analysis'!$B$7:$O$60000,3,FALSE))</f>
        <v>0</v>
      </c>
      <c r="G55" s="121"/>
      <c r="I55" s="75">
        <f t="shared" si="0"/>
        <v>3.700000000000002</v>
      </c>
    </row>
    <row r="56" spans="2:9" s="25" customFormat="1" x14ac:dyDescent="0.2">
      <c r="B56" s="122">
        <v>3635</v>
      </c>
      <c r="C56" s="115"/>
      <c r="D56" s="117"/>
      <c r="E56" s="117" t="str">
        <f>IF(ISNA(VLOOKUP(B56,'Qualification And AFSS'!$C$9:$D$38,2,FALSE)),"",VLOOKUP(B56,'Qualification And AFSS'!$C$9:$D$38,2,FALSE))</f>
        <v/>
      </c>
      <c r="F56" s="117">
        <f>IF(ISNA(VLOOKUP(B56,'Data Analysis'!$B$7:$O$60000,3,FALSE)),"",VLOOKUP(B56,'Data Analysis'!$B$7:$O$60000,3,FALSE))</f>
        <v>0</v>
      </c>
      <c r="G56" s="121"/>
      <c r="I56" s="75">
        <f t="shared" si="0"/>
        <v>3.800000000000002</v>
      </c>
    </row>
    <row r="57" spans="2:9" s="25" customFormat="1" x14ac:dyDescent="0.2">
      <c r="B57" s="122">
        <v>3641</v>
      </c>
      <c r="C57" s="115"/>
      <c r="D57" s="117"/>
      <c r="E57" s="117" t="str">
        <f>IF(ISNA(VLOOKUP(B57,'Qualification And AFSS'!$C$9:$D$38,2,FALSE)),"",VLOOKUP(B57,'Qualification And AFSS'!$C$9:$D$38,2,FALSE))</f>
        <v/>
      </c>
      <c r="F57" s="117">
        <f>IF(ISNA(VLOOKUP(B57,'Data Analysis'!$B$7:$O$60000,3,FALSE)),"",VLOOKUP(B57,'Data Analysis'!$B$7:$O$60000,3,FALSE))</f>
        <v>0</v>
      </c>
      <c r="G57" s="121"/>
      <c r="I57" s="75">
        <f t="shared" si="0"/>
        <v>3.9000000000000021</v>
      </c>
    </row>
    <row r="58" spans="2:9" s="25" customFormat="1" x14ac:dyDescent="0.2">
      <c r="B58" s="122">
        <v>3642</v>
      </c>
      <c r="C58" s="115"/>
      <c r="D58" s="117"/>
      <c r="E58" s="117" t="str">
        <f>IF(ISNA(VLOOKUP(B58,'Qualification And AFSS'!$C$9:$D$38,2,FALSE)),"",VLOOKUP(B58,'Qualification And AFSS'!$C$9:$D$38,2,FALSE))</f>
        <v/>
      </c>
      <c r="F58" s="117">
        <f>IF(ISNA(VLOOKUP(B58,'Data Analysis'!$B$7:$O$60000,3,FALSE)),"",VLOOKUP(B58,'Data Analysis'!$B$7:$O$60000,3,FALSE))</f>
        <v>0</v>
      </c>
      <c r="G58" s="121"/>
      <c r="I58" s="75">
        <f t="shared" si="0"/>
        <v>4.0000000000000018</v>
      </c>
    </row>
    <row r="59" spans="2:9" s="25" customFormat="1" x14ac:dyDescent="0.2">
      <c r="B59" s="122">
        <v>3668</v>
      </c>
      <c r="C59" s="115"/>
      <c r="D59" s="117"/>
      <c r="E59" s="117" t="str">
        <f>IF(ISNA(VLOOKUP(B59,'Qualification And AFSS'!$C$9:$D$38,2,FALSE)),"",VLOOKUP(B59,'Qualification And AFSS'!$C$9:$D$38,2,FALSE))</f>
        <v/>
      </c>
      <c r="F59" s="117">
        <f>IF(ISNA(VLOOKUP(B59,'Data Analysis'!$B$7:$O$60000,3,FALSE)),"",VLOOKUP(B59,'Data Analysis'!$B$7:$O$60000,3,FALSE))</f>
        <v>0</v>
      </c>
      <c r="G59" s="121"/>
      <c r="I59" s="75">
        <f t="shared" si="0"/>
        <v>4.1000000000000014</v>
      </c>
    </row>
    <row r="60" spans="2:9" s="25" customFormat="1" x14ac:dyDescent="0.2">
      <c r="B60" s="122"/>
      <c r="C60" s="115"/>
      <c r="D60" s="117"/>
      <c r="E60" s="117"/>
      <c r="F60" s="117"/>
      <c r="G60" s="121"/>
      <c r="I60" s="75">
        <f t="shared" si="0"/>
        <v>4.2000000000000011</v>
      </c>
    </row>
    <row r="61" spans="2:9" s="25" customFormat="1" x14ac:dyDescent="0.2">
      <c r="B61" s="122"/>
      <c r="C61" s="115"/>
      <c r="D61" s="117"/>
      <c r="E61" s="117"/>
      <c r="F61" s="117"/>
      <c r="G61" s="121"/>
      <c r="I61" s="75">
        <f t="shared" si="0"/>
        <v>4.3000000000000007</v>
      </c>
    </row>
    <row r="62" spans="2:9" s="25" customFormat="1" x14ac:dyDescent="0.2">
      <c r="B62" s="122"/>
      <c r="C62" s="115"/>
      <c r="D62" s="117"/>
      <c r="E62" s="117"/>
      <c r="F62" s="117"/>
      <c r="G62" s="121"/>
      <c r="I62" s="75">
        <f t="shared" si="0"/>
        <v>4.4000000000000004</v>
      </c>
    </row>
    <row r="63" spans="2:9" s="25" customFormat="1" x14ac:dyDescent="0.2">
      <c r="B63" s="122"/>
      <c r="C63" s="115"/>
      <c r="D63" s="117"/>
      <c r="E63" s="117"/>
      <c r="F63" s="117"/>
      <c r="G63" s="121"/>
      <c r="I63" s="75">
        <f t="shared" si="0"/>
        <v>4.5</v>
      </c>
    </row>
    <row r="64" spans="2:9" s="25" customFormat="1" x14ac:dyDescent="0.2">
      <c r="B64" s="122"/>
      <c r="C64" s="115"/>
      <c r="D64" s="117"/>
      <c r="E64" s="117"/>
      <c r="F64" s="117"/>
      <c r="G64" s="121"/>
      <c r="I64" s="75">
        <f t="shared" si="0"/>
        <v>4.5999999999999996</v>
      </c>
    </row>
    <row r="65" spans="2:9" s="25" customFormat="1" x14ac:dyDescent="0.2">
      <c r="B65" s="122"/>
      <c r="C65" s="115"/>
      <c r="D65" s="117"/>
      <c r="E65" s="117"/>
      <c r="F65" s="117"/>
      <c r="G65" s="121"/>
      <c r="I65" s="75">
        <f t="shared" si="0"/>
        <v>4.6999999999999993</v>
      </c>
    </row>
    <row r="66" spans="2:9" s="25" customFormat="1" x14ac:dyDescent="0.2">
      <c r="B66" s="122"/>
      <c r="C66" s="115"/>
      <c r="D66" s="117"/>
      <c r="E66" s="117"/>
      <c r="F66" s="117"/>
      <c r="G66" s="121"/>
      <c r="I66" s="75">
        <f t="shared" si="0"/>
        <v>4.7999999999999989</v>
      </c>
    </row>
    <row r="67" spans="2:9" s="25" customFormat="1" x14ac:dyDescent="0.2">
      <c r="B67" s="122"/>
      <c r="C67" s="115"/>
      <c r="D67" s="117"/>
      <c r="E67" s="117"/>
      <c r="F67" s="117"/>
      <c r="G67" s="121"/>
      <c r="I67" s="75">
        <f t="shared" si="0"/>
        <v>4.8999999999999986</v>
      </c>
    </row>
    <row r="68" spans="2:9" s="25" customFormat="1" x14ac:dyDescent="0.2">
      <c r="B68" s="122"/>
      <c r="C68" s="115"/>
      <c r="D68" s="117"/>
      <c r="E68" s="117"/>
      <c r="F68" s="117"/>
      <c r="G68" s="121"/>
      <c r="I68" s="75">
        <f t="shared" si="0"/>
        <v>4.9999999999999982</v>
      </c>
    </row>
    <row r="69" spans="2:9" s="25" customFormat="1" x14ac:dyDescent="0.2">
      <c r="B69" s="122"/>
      <c r="C69" s="115"/>
      <c r="D69" s="117"/>
      <c r="E69" s="117"/>
      <c r="F69" s="117"/>
      <c r="G69" s="121"/>
    </row>
    <row r="70" spans="2:9" s="25" customFormat="1" x14ac:dyDescent="0.2">
      <c r="B70" s="122"/>
      <c r="C70" s="115"/>
      <c r="D70" s="117"/>
      <c r="E70" s="117"/>
      <c r="F70" s="117"/>
      <c r="G70" s="121"/>
    </row>
    <row r="71" spans="2:9" s="25" customFormat="1" x14ac:dyDescent="0.2">
      <c r="B71" s="122"/>
      <c r="C71" s="115"/>
      <c r="D71" s="117"/>
      <c r="E71" s="117"/>
      <c r="F71" s="117"/>
      <c r="G71" s="121"/>
    </row>
    <row r="72" spans="2:9" s="25" customFormat="1" x14ac:dyDescent="0.2">
      <c r="B72" s="122"/>
      <c r="C72" s="115"/>
      <c r="D72" s="117"/>
      <c r="E72" s="117"/>
      <c r="F72" s="117"/>
      <c r="G72" s="121"/>
    </row>
    <row r="73" spans="2:9" s="25" customFormat="1" x14ac:dyDescent="0.2">
      <c r="B73" s="122"/>
      <c r="C73" s="115"/>
      <c r="D73" s="117"/>
      <c r="E73" s="117"/>
      <c r="F73" s="117"/>
      <c r="G73" s="121"/>
    </row>
    <row r="74" spans="2:9" s="25" customFormat="1" x14ac:dyDescent="0.2">
      <c r="B74" s="122"/>
      <c r="C74" s="115"/>
      <c r="D74" s="117"/>
      <c r="E74" s="117"/>
      <c r="F74" s="117"/>
      <c r="G74" s="121"/>
    </row>
    <row r="75" spans="2:9" s="25" customFormat="1" x14ac:dyDescent="0.2">
      <c r="B75" s="122"/>
      <c r="C75" s="115"/>
      <c r="D75" s="117"/>
      <c r="E75" s="117"/>
      <c r="F75" s="117"/>
      <c r="G75" s="121"/>
    </row>
    <row r="76" spans="2:9" s="25" customFormat="1" x14ac:dyDescent="0.2">
      <c r="B76" s="122"/>
      <c r="C76" s="115"/>
      <c r="D76" s="117"/>
      <c r="E76" s="117"/>
      <c r="F76" s="117"/>
      <c r="G76" s="121"/>
    </row>
    <row r="77" spans="2:9" s="25" customFormat="1" x14ac:dyDescent="0.2">
      <c r="B77" s="122"/>
      <c r="C77" s="115"/>
      <c r="D77" s="117"/>
      <c r="E77" s="117"/>
      <c r="F77" s="117"/>
      <c r="G77" s="121"/>
    </row>
    <row r="78" spans="2:9" s="25" customFormat="1" x14ac:dyDescent="0.2">
      <c r="B78" s="122"/>
      <c r="C78" s="115"/>
      <c r="D78" s="117"/>
      <c r="E78" s="117"/>
      <c r="F78" s="117"/>
      <c r="G78" s="121"/>
    </row>
    <row r="79" spans="2:9" s="25" customFormat="1" x14ac:dyDescent="0.2">
      <c r="B79" s="122"/>
      <c r="C79" s="115"/>
      <c r="D79" s="117"/>
      <c r="E79" s="117"/>
      <c r="F79" s="117"/>
      <c r="G79" s="121"/>
    </row>
    <row r="80" spans="2:9" s="25" customFormat="1" x14ac:dyDescent="0.2">
      <c r="B80" s="122"/>
      <c r="C80" s="115"/>
      <c r="D80" s="117"/>
      <c r="E80" s="117"/>
      <c r="F80" s="117"/>
      <c r="G80" s="121"/>
    </row>
    <row r="81" spans="2:7" s="25" customFormat="1" x14ac:dyDescent="0.2">
      <c r="B81" s="122"/>
      <c r="C81" s="115"/>
      <c r="D81" s="117"/>
      <c r="E81" s="117"/>
      <c r="F81" s="117"/>
      <c r="G81" s="121"/>
    </row>
    <row r="82" spans="2:7" s="25" customFormat="1" x14ac:dyDescent="0.2">
      <c r="B82" s="122"/>
      <c r="C82" s="115"/>
      <c r="D82" s="117"/>
      <c r="E82" s="117"/>
      <c r="F82" s="117"/>
      <c r="G82" s="121"/>
    </row>
    <row r="83" spans="2:7" s="25" customFormat="1" x14ac:dyDescent="0.2">
      <c r="B83" s="122"/>
      <c r="C83" s="115"/>
      <c r="D83" s="117"/>
      <c r="E83" s="117"/>
      <c r="F83" s="117"/>
      <c r="G83" s="121"/>
    </row>
    <row r="84" spans="2:7" s="25" customFormat="1" x14ac:dyDescent="0.2">
      <c r="B84" s="122"/>
      <c r="C84" s="115"/>
      <c r="D84" s="117"/>
      <c r="E84" s="117"/>
      <c r="F84" s="117"/>
      <c r="G84" s="121"/>
    </row>
    <row r="85" spans="2:7" s="25" customFormat="1" x14ac:dyDescent="0.2">
      <c r="B85" s="122"/>
      <c r="C85" s="115"/>
      <c r="D85" s="117"/>
      <c r="E85" s="117"/>
      <c r="F85" s="117"/>
      <c r="G85" s="121"/>
    </row>
    <row r="86" spans="2:7" s="25" customFormat="1" x14ac:dyDescent="0.2">
      <c r="B86" s="122"/>
      <c r="C86" s="115"/>
      <c r="D86" s="117"/>
      <c r="E86" s="117"/>
      <c r="F86" s="117"/>
      <c r="G86" s="121"/>
    </row>
    <row r="87" spans="2:7" s="25" customFormat="1" x14ac:dyDescent="0.2">
      <c r="B87" s="122"/>
      <c r="C87" s="115"/>
      <c r="D87" s="117"/>
      <c r="E87" s="117"/>
      <c r="F87" s="117"/>
      <c r="G87" s="121"/>
    </row>
    <row r="88" spans="2:7" s="25" customFormat="1" x14ac:dyDescent="0.2">
      <c r="B88" s="122"/>
      <c r="C88" s="115"/>
      <c r="D88" s="117"/>
      <c r="E88" s="117"/>
      <c r="F88" s="117"/>
      <c r="G88" s="121"/>
    </row>
    <row r="89" spans="2:7" s="25" customFormat="1" x14ac:dyDescent="0.2">
      <c r="B89" s="122"/>
      <c r="C89" s="115"/>
      <c r="D89" s="117"/>
      <c r="E89" s="117"/>
      <c r="F89" s="117"/>
      <c r="G89" s="121"/>
    </row>
    <row r="90" spans="2:7" s="25" customFormat="1" x14ac:dyDescent="0.2">
      <c r="B90" s="122"/>
      <c r="C90" s="115"/>
      <c r="D90" s="117"/>
      <c r="E90" s="117"/>
      <c r="F90" s="117"/>
      <c r="G90" s="121"/>
    </row>
    <row r="91" spans="2:7" s="25" customFormat="1" x14ac:dyDescent="0.2">
      <c r="B91" s="122"/>
      <c r="C91" s="115"/>
      <c r="D91" s="117"/>
      <c r="E91" s="117"/>
      <c r="F91" s="117"/>
      <c r="G91" s="121"/>
    </row>
    <row r="92" spans="2:7" s="25" customFormat="1" x14ac:dyDescent="0.2">
      <c r="B92" s="122"/>
      <c r="C92" s="115"/>
      <c r="D92" s="117"/>
      <c r="E92" s="117"/>
      <c r="F92" s="117"/>
      <c r="G92" s="121"/>
    </row>
    <row r="93" spans="2:7" s="25" customFormat="1" x14ac:dyDescent="0.2">
      <c r="B93" s="122"/>
      <c r="C93" s="115"/>
      <c r="D93" s="117"/>
      <c r="E93" s="117"/>
      <c r="F93" s="117"/>
      <c r="G93" s="121"/>
    </row>
    <row r="94" spans="2:7" s="25" customFormat="1" x14ac:dyDescent="0.2">
      <c r="B94" s="122"/>
      <c r="C94" s="115"/>
      <c r="D94" s="117"/>
      <c r="E94" s="117"/>
      <c r="F94" s="117"/>
      <c r="G94" s="121"/>
    </row>
    <row r="95" spans="2:7" s="25" customFormat="1" x14ac:dyDescent="0.2">
      <c r="B95" s="122"/>
      <c r="C95" s="115"/>
      <c r="D95" s="117"/>
      <c r="E95" s="117"/>
      <c r="F95" s="117"/>
      <c r="G95" s="121"/>
    </row>
    <row r="96" spans="2:7" s="25" customFormat="1" x14ac:dyDescent="0.2">
      <c r="B96" s="122"/>
      <c r="C96" s="115"/>
      <c r="D96" s="117"/>
      <c r="E96" s="117"/>
      <c r="F96" s="117"/>
      <c r="G96" s="121"/>
    </row>
    <row r="97" spans="2:7" s="25" customFormat="1" x14ac:dyDescent="0.2">
      <c r="B97" s="122"/>
      <c r="C97" s="115"/>
      <c r="D97" s="117"/>
      <c r="E97" s="117"/>
      <c r="F97" s="117"/>
      <c r="G97" s="121"/>
    </row>
    <row r="98" spans="2:7" s="25" customFormat="1" x14ac:dyDescent="0.2">
      <c r="B98" s="122"/>
      <c r="C98" s="115"/>
      <c r="D98" s="117"/>
      <c r="E98" s="117"/>
      <c r="F98" s="117"/>
      <c r="G98" s="121"/>
    </row>
    <row r="99" spans="2:7" s="25" customFormat="1" x14ac:dyDescent="0.2">
      <c r="B99" s="122"/>
      <c r="C99" s="115"/>
      <c r="D99" s="117"/>
      <c r="E99" s="117"/>
      <c r="F99" s="117"/>
      <c r="G99" s="121"/>
    </row>
    <row r="100" spans="2:7" s="25" customFormat="1" x14ac:dyDescent="0.2">
      <c r="B100" s="122"/>
      <c r="C100" s="115"/>
      <c r="D100" s="117"/>
      <c r="E100" s="117"/>
      <c r="F100" s="117"/>
      <c r="G100" s="121"/>
    </row>
    <row r="101" spans="2:7" s="25" customFormat="1" ht="13.5" thickBot="1" x14ac:dyDescent="0.25">
      <c r="B101" s="123"/>
      <c r="C101" s="118"/>
      <c r="D101" s="118"/>
      <c r="E101" s="118"/>
      <c r="F101" s="118"/>
      <c r="G101" s="124"/>
    </row>
    <row r="102" spans="2:7" s="25" customFormat="1" x14ac:dyDescent="0.2">
      <c r="B102" s="125"/>
      <c r="C102" s="125"/>
      <c r="D102" s="125"/>
      <c r="E102" s="126"/>
      <c r="F102" s="126"/>
      <c r="G102" s="125"/>
    </row>
    <row r="103" spans="2:7" s="25" customFormat="1" x14ac:dyDescent="0.2">
      <c r="B103" s="125"/>
      <c r="C103" s="125"/>
      <c r="D103" s="125"/>
      <c r="E103" s="126"/>
      <c r="F103" s="126"/>
      <c r="G103" s="125"/>
    </row>
    <row r="104" spans="2:7" s="25" customFormat="1" x14ac:dyDescent="0.2">
      <c r="B104" s="125"/>
      <c r="C104" s="125"/>
      <c r="D104" s="125"/>
      <c r="E104" s="126"/>
      <c r="F104" s="126"/>
      <c r="G104" s="125"/>
    </row>
    <row r="105" spans="2:7" s="25" customFormat="1" x14ac:dyDescent="0.2">
      <c r="B105" s="125"/>
      <c r="C105" s="125"/>
      <c r="D105" s="125"/>
      <c r="E105" s="126"/>
      <c r="F105" s="126"/>
      <c r="G105" s="125"/>
    </row>
    <row r="106" spans="2:7" s="25" customFormat="1" x14ac:dyDescent="0.2">
      <c r="B106" s="125"/>
      <c r="C106" s="125"/>
      <c r="D106" s="125"/>
      <c r="E106" s="126"/>
      <c r="F106" s="126"/>
      <c r="G106" s="125"/>
    </row>
    <row r="107" spans="2:7" s="25" customFormat="1" x14ac:dyDescent="0.2">
      <c r="B107" s="125"/>
      <c r="C107" s="125"/>
      <c r="D107" s="125"/>
      <c r="E107" s="126"/>
      <c r="F107" s="126"/>
      <c r="G107" s="125"/>
    </row>
    <row r="108" spans="2:7" s="25" customFormat="1" x14ac:dyDescent="0.2">
      <c r="B108" s="125"/>
      <c r="C108" s="125"/>
      <c r="D108" s="125"/>
      <c r="E108" s="126"/>
      <c r="F108" s="126"/>
      <c r="G108" s="125"/>
    </row>
    <row r="109" spans="2:7" s="25" customFormat="1" x14ac:dyDescent="0.2">
      <c r="B109" s="125"/>
      <c r="C109" s="125"/>
      <c r="D109" s="125"/>
      <c r="E109" s="126"/>
      <c r="F109" s="126"/>
      <c r="G109" s="125"/>
    </row>
    <row r="110" spans="2:7" s="25" customFormat="1" x14ac:dyDescent="0.2">
      <c r="B110" s="125"/>
      <c r="C110" s="125"/>
      <c r="D110" s="125"/>
      <c r="E110" s="126"/>
      <c r="F110" s="126"/>
      <c r="G110" s="125"/>
    </row>
    <row r="111" spans="2:7" s="25" customFormat="1" x14ac:dyDescent="0.2">
      <c r="B111" s="125"/>
      <c r="C111" s="125"/>
      <c r="D111" s="125"/>
      <c r="E111" s="126"/>
      <c r="F111" s="126"/>
      <c r="G111" s="125"/>
    </row>
    <row r="112" spans="2:7" s="25" customFormat="1" x14ac:dyDescent="0.2">
      <c r="B112" s="125"/>
      <c r="C112" s="125"/>
      <c r="D112" s="125"/>
      <c r="E112" s="126"/>
      <c r="F112" s="126"/>
      <c r="G112" s="125"/>
    </row>
    <row r="113" spans="2:7" s="25" customFormat="1" x14ac:dyDescent="0.2">
      <c r="B113" s="125"/>
      <c r="C113" s="125"/>
      <c r="D113" s="125"/>
      <c r="E113" s="126"/>
      <c r="F113" s="126"/>
      <c r="G113" s="125"/>
    </row>
    <row r="114" spans="2:7" s="25" customFormat="1" x14ac:dyDescent="0.2">
      <c r="B114" s="125"/>
      <c r="C114" s="125"/>
      <c r="D114" s="125"/>
      <c r="E114" s="126"/>
      <c r="F114" s="126"/>
      <c r="G114" s="125"/>
    </row>
    <row r="115" spans="2:7" s="25" customFormat="1" x14ac:dyDescent="0.2">
      <c r="B115" s="125"/>
      <c r="C115" s="125"/>
      <c r="D115" s="125"/>
      <c r="E115" s="126"/>
      <c r="F115" s="126"/>
      <c r="G115" s="125"/>
    </row>
    <row r="116" spans="2:7" s="25" customFormat="1" x14ac:dyDescent="0.2">
      <c r="B116" s="125"/>
      <c r="C116" s="125"/>
      <c r="D116" s="125"/>
      <c r="E116" s="126"/>
      <c r="F116" s="126"/>
      <c r="G116" s="125"/>
    </row>
    <row r="117" spans="2:7" s="25" customFormat="1" x14ac:dyDescent="0.2">
      <c r="B117" s="125"/>
      <c r="C117" s="125"/>
      <c r="D117" s="125"/>
      <c r="E117" s="126"/>
      <c r="F117" s="126"/>
      <c r="G117" s="125"/>
    </row>
    <row r="118" spans="2:7" s="25" customFormat="1" x14ac:dyDescent="0.2">
      <c r="B118" s="125"/>
      <c r="C118" s="125"/>
      <c r="D118" s="125"/>
      <c r="E118" s="126"/>
      <c r="F118" s="126"/>
      <c r="G118" s="125"/>
    </row>
    <row r="119" spans="2:7" s="25" customFormat="1" x14ac:dyDescent="0.2">
      <c r="B119" s="125"/>
      <c r="C119" s="125"/>
      <c r="D119" s="125"/>
      <c r="E119" s="126"/>
      <c r="F119" s="126"/>
      <c r="G119" s="125"/>
    </row>
    <row r="120" spans="2:7" s="25" customFormat="1" x14ac:dyDescent="0.2">
      <c r="B120" s="125"/>
      <c r="C120" s="125"/>
      <c r="D120" s="125"/>
      <c r="E120" s="126"/>
      <c r="F120" s="126"/>
      <c r="G120" s="125"/>
    </row>
    <row r="121" spans="2:7" x14ac:dyDescent="0.2">
      <c r="B121" s="127"/>
      <c r="C121" s="127"/>
      <c r="D121" s="127"/>
      <c r="E121" s="128"/>
      <c r="F121" s="128"/>
      <c r="G121" s="127"/>
    </row>
    <row r="122" spans="2:7" x14ac:dyDescent="0.2">
      <c r="B122" s="127"/>
      <c r="C122" s="127"/>
      <c r="D122" s="127"/>
      <c r="E122" s="128"/>
      <c r="F122" s="128"/>
      <c r="G122" s="127"/>
    </row>
    <row r="123" spans="2:7" x14ac:dyDescent="0.2">
      <c r="B123" s="127"/>
      <c r="C123" s="127"/>
      <c r="D123" s="127"/>
      <c r="E123" s="128"/>
      <c r="F123" s="128"/>
      <c r="G123" s="127"/>
    </row>
    <row r="124" spans="2:7" x14ac:dyDescent="0.2">
      <c r="B124" s="127"/>
      <c r="C124" s="127"/>
      <c r="D124" s="127"/>
      <c r="E124" s="128"/>
      <c r="F124" s="128"/>
      <c r="G124" s="127"/>
    </row>
    <row r="125" spans="2:7" x14ac:dyDescent="0.2">
      <c r="B125" s="127"/>
      <c r="C125" s="127"/>
      <c r="D125" s="127"/>
      <c r="E125" s="128"/>
      <c r="F125" s="128"/>
      <c r="G125" s="127"/>
    </row>
    <row r="126" spans="2:7" x14ac:dyDescent="0.2">
      <c r="B126" s="127"/>
      <c r="C126" s="127"/>
      <c r="D126" s="127"/>
      <c r="E126" s="128"/>
      <c r="F126" s="128"/>
      <c r="G126" s="127"/>
    </row>
    <row r="127" spans="2:7" x14ac:dyDescent="0.2">
      <c r="B127" s="127"/>
      <c r="C127" s="127"/>
      <c r="D127" s="127"/>
      <c r="E127" s="128"/>
      <c r="F127" s="128"/>
      <c r="G127" s="127"/>
    </row>
    <row r="128" spans="2:7" x14ac:dyDescent="0.2">
      <c r="B128" s="127"/>
      <c r="C128" s="127"/>
      <c r="D128" s="127"/>
      <c r="E128" s="128"/>
      <c r="F128" s="128"/>
      <c r="G128" s="127"/>
    </row>
    <row r="129" spans="2:7" x14ac:dyDescent="0.2">
      <c r="B129" s="127"/>
      <c r="C129" s="127"/>
      <c r="D129" s="127"/>
      <c r="E129" s="128"/>
      <c r="F129" s="128"/>
      <c r="G129" s="127"/>
    </row>
    <row r="130" spans="2:7" x14ac:dyDescent="0.2">
      <c r="B130" s="127"/>
      <c r="C130" s="127"/>
      <c r="D130" s="127"/>
      <c r="E130" s="128"/>
      <c r="F130" s="128"/>
      <c r="G130" s="127"/>
    </row>
    <row r="131" spans="2:7" x14ac:dyDescent="0.2">
      <c r="B131" s="127"/>
      <c r="C131" s="127"/>
      <c r="D131" s="127"/>
      <c r="E131" s="128"/>
      <c r="F131" s="128"/>
      <c r="G131" s="127"/>
    </row>
    <row r="132" spans="2:7" x14ac:dyDescent="0.2">
      <c r="B132" s="127"/>
      <c r="C132" s="127"/>
      <c r="D132" s="127"/>
      <c r="E132" s="128"/>
      <c r="F132" s="128"/>
      <c r="G132" s="127"/>
    </row>
    <row r="133" spans="2:7" x14ac:dyDescent="0.2">
      <c r="B133" s="127"/>
      <c r="C133" s="127"/>
      <c r="D133" s="127"/>
      <c r="E133" s="128"/>
      <c r="F133" s="128"/>
      <c r="G133" s="127"/>
    </row>
    <row r="134" spans="2:7" x14ac:dyDescent="0.2">
      <c r="B134" s="127"/>
      <c r="C134" s="127"/>
      <c r="D134" s="127"/>
      <c r="E134" s="128"/>
      <c r="F134" s="128"/>
      <c r="G134" s="127"/>
    </row>
    <row r="135" spans="2:7" x14ac:dyDescent="0.2">
      <c r="B135" s="127"/>
      <c r="C135" s="127"/>
      <c r="D135" s="127"/>
      <c r="E135" s="128"/>
      <c r="F135" s="128"/>
      <c r="G135" s="127"/>
    </row>
    <row r="136" spans="2:7" x14ac:dyDescent="0.2">
      <c r="B136" s="127"/>
      <c r="C136" s="127"/>
      <c r="D136" s="127"/>
      <c r="E136" s="128"/>
      <c r="F136" s="128"/>
      <c r="G136" s="127"/>
    </row>
    <row r="137" spans="2:7" x14ac:dyDescent="0.2">
      <c r="B137" s="127"/>
      <c r="C137" s="127"/>
      <c r="D137" s="127"/>
      <c r="E137" s="128"/>
      <c r="F137" s="128"/>
      <c r="G137" s="127"/>
    </row>
    <row r="138" spans="2:7" x14ac:dyDescent="0.2">
      <c r="B138" s="127"/>
      <c r="C138" s="127"/>
      <c r="D138" s="127"/>
      <c r="E138" s="128"/>
      <c r="F138" s="128"/>
      <c r="G138" s="127"/>
    </row>
    <row r="139" spans="2:7" x14ac:dyDescent="0.2">
      <c r="B139" s="127"/>
      <c r="C139" s="127"/>
      <c r="D139" s="127"/>
      <c r="E139" s="128"/>
      <c r="F139" s="128"/>
      <c r="G139" s="127"/>
    </row>
    <row r="140" spans="2:7" x14ac:dyDescent="0.2">
      <c r="B140" s="127"/>
      <c r="C140" s="127"/>
      <c r="D140" s="127"/>
      <c r="E140" s="128"/>
      <c r="F140" s="128"/>
      <c r="G140" s="127"/>
    </row>
    <row r="141" spans="2:7" x14ac:dyDescent="0.2">
      <c r="B141" s="127"/>
      <c r="C141" s="127"/>
      <c r="D141" s="127"/>
      <c r="E141" s="128"/>
      <c r="F141" s="128"/>
      <c r="G141" s="127"/>
    </row>
    <row r="142" spans="2:7" x14ac:dyDescent="0.2">
      <c r="B142" s="127"/>
      <c r="C142" s="127"/>
      <c r="D142" s="127"/>
      <c r="E142" s="128"/>
      <c r="F142" s="128"/>
      <c r="G142" s="127"/>
    </row>
    <row r="143" spans="2:7" x14ac:dyDescent="0.2">
      <c r="B143" s="127"/>
      <c r="C143" s="127"/>
      <c r="D143" s="127"/>
      <c r="E143" s="128"/>
      <c r="F143" s="128"/>
      <c r="G143" s="127"/>
    </row>
    <row r="144" spans="2:7" x14ac:dyDescent="0.2">
      <c r="B144" s="127"/>
      <c r="C144" s="127"/>
      <c r="D144" s="127"/>
      <c r="E144" s="128"/>
      <c r="F144" s="128"/>
      <c r="G144" s="127"/>
    </row>
    <row r="145" spans="2:7" x14ac:dyDescent="0.2">
      <c r="B145" s="127"/>
      <c r="C145" s="127"/>
      <c r="D145" s="127"/>
      <c r="E145" s="128"/>
      <c r="F145" s="128"/>
      <c r="G145" s="127"/>
    </row>
    <row r="146" spans="2:7" x14ac:dyDescent="0.2">
      <c r="B146" s="127"/>
      <c r="C146" s="127"/>
      <c r="D146" s="127"/>
      <c r="E146" s="128"/>
      <c r="F146" s="128"/>
      <c r="G146" s="127"/>
    </row>
    <row r="147" spans="2:7" x14ac:dyDescent="0.2">
      <c r="B147" s="127"/>
      <c r="C147" s="127"/>
      <c r="D147" s="127"/>
      <c r="E147" s="128"/>
      <c r="F147" s="128"/>
      <c r="G147" s="127"/>
    </row>
    <row r="148" spans="2:7" x14ac:dyDescent="0.2">
      <c r="B148" s="127"/>
      <c r="C148" s="127"/>
      <c r="D148" s="127"/>
      <c r="E148" s="128"/>
      <c r="F148" s="128"/>
      <c r="G148" s="127"/>
    </row>
    <row r="149" spans="2:7" x14ac:dyDescent="0.2">
      <c r="B149" s="127"/>
      <c r="C149" s="127"/>
      <c r="D149" s="127"/>
      <c r="E149" s="128"/>
      <c r="F149" s="128"/>
      <c r="G149" s="127"/>
    </row>
    <row r="150" spans="2:7" x14ac:dyDescent="0.2">
      <c r="B150" s="127"/>
      <c r="C150" s="127"/>
      <c r="D150" s="127"/>
      <c r="E150" s="128"/>
      <c r="F150" s="128"/>
      <c r="G150" s="127"/>
    </row>
    <row r="151" spans="2:7" x14ac:dyDescent="0.2">
      <c r="B151" s="127"/>
      <c r="C151" s="127"/>
      <c r="D151" s="127"/>
      <c r="E151" s="128"/>
      <c r="F151" s="128"/>
      <c r="G151" s="127"/>
    </row>
    <row r="152" spans="2:7" x14ac:dyDescent="0.2">
      <c r="B152" s="127"/>
      <c r="C152" s="127"/>
      <c r="D152" s="127"/>
      <c r="E152" s="128"/>
      <c r="F152" s="128"/>
      <c r="G152" s="127"/>
    </row>
    <row r="153" spans="2:7" x14ac:dyDescent="0.2">
      <c r="B153" s="127"/>
      <c r="C153" s="127"/>
      <c r="D153" s="127"/>
      <c r="E153" s="128"/>
      <c r="F153" s="128"/>
      <c r="G153" s="127"/>
    </row>
    <row r="154" spans="2:7" x14ac:dyDescent="0.2">
      <c r="B154" s="127"/>
      <c r="C154" s="127"/>
      <c r="D154" s="127"/>
      <c r="E154" s="128"/>
      <c r="F154" s="128"/>
      <c r="G154" s="127"/>
    </row>
    <row r="155" spans="2:7" x14ac:dyDescent="0.2">
      <c r="B155" s="127"/>
      <c r="C155" s="127"/>
      <c r="D155" s="127"/>
      <c r="E155" s="128"/>
      <c r="F155" s="128"/>
      <c r="G155" s="127"/>
    </row>
    <row r="156" spans="2:7" x14ac:dyDescent="0.2">
      <c r="B156" s="127"/>
      <c r="C156" s="127"/>
      <c r="D156" s="127"/>
      <c r="E156" s="128"/>
      <c r="F156" s="128"/>
      <c r="G156" s="127"/>
    </row>
    <row r="157" spans="2:7" x14ac:dyDescent="0.2">
      <c r="B157" s="127"/>
      <c r="C157" s="127"/>
      <c r="D157" s="127"/>
      <c r="E157" s="128"/>
      <c r="F157" s="128"/>
      <c r="G157" s="127"/>
    </row>
    <row r="158" spans="2:7" x14ac:dyDescent="0.2">
      <c r="B158" s="127"/>
      <c r="C158" s="127"/>
      <c r="D158" s="127"/>
      <c r="E158" s="128"/>
      <c r="F158" s="128"/>
      <c r="G158" s="127"/>
    </row>
    <row r="159" spans="2:7" x14ac:dyDescent="0.2">
      <c r="B159" s="127"/>
      <c r="C159" s="127"/>
      <c r="D159" s="127"/>
      <c r="E159" s="128"/>
      <c r="F159" s="128"/>
      <c r="G159" s="127"/>
    </row>
    <row r="160" spans="2:7" x14ac:dyDescent="0.2">
      <c r="B160" s="127"/>
      <c r="C160" s="127"/>
      <c r="D160" s="127"/>
      <c r="E160" s="128"/>
      <c r="F160" s="128"/>
      <c r="G160" s="127"/>
    </row>
    <row r="161" spans="2:7" x14ac:dyDescent="0.2">
      <c r="B161" s="127"/>
      <c r="C161" s="127"/>
      <c r="D161" s="127"/>
      <c r="E161" s="128"/>
      <c r="F161" s="128"/>
      <c r="G161" s="127"/>
    </row>
    <row r="162" spans="2:7" x14ac:dyDescent="0.2">
      <c r="B162" s="127"/>
      <c r="C162" s="127"/>
      <c r="D162" s="127"/>
      <c r="E162" s="128"/>
      <c r="F162" s="128"/>
      <c r="G162" s="127"/>
    </row>
    <row r="163" spans="2:7" x14ac:dyDescent="0.2">
      <c r="B163" s="127"/>
      <c r="C163" s="127"/>
      <c r="D163" s="127"/>
      <c r="E163" s="128"/>
      <c r="F163" s="128"/>
      <c r="G163" s="127"/>
    </row>
    <row r="164" spans="2:7" x14ac:dyDescent="0.2">
      <c r="B164" s="127"/>
      <c r="C164" s="127"/>
      <c r="D164" s="127"/>
      <c r="E164" s="128"/>
      <c r="F164" s="128"/>
      <c r="G164" s="127"/>
    </row>
    <row r="165" spans="2:7" x14ac:dyDescent="0.2">
      <c r="B165" s="127"/>
      <c r="C165" s="127"/>
      <c r="D165" s="127"/>
      <c r="E165" s="128"/>
      <c r="F165" s="128"/>
      <c r="G165" s="127"/>
    </row>
    <row r="166" spans="2:7" x14ac:dyDescent="0.2">
      <c r="B166" s="127"/>
      <c r="C166" s="127"/>
      <c r="D166" s="127"/>
      <c r="E166" s="128"/>
      <c r="F166" s="128"/>
      <c r="G166" s="127"/>
    </row>
    <row r="167" spans="2:7" x14ac:dyDescent="0.2">
      <c r="B167" s="127"/>
      <c r="C167" s="127"/>
      <c r="D167" s="127"/>
      <c r="E167" s="128"/>
      <c r="F167" s="128"/>
      <c r="G167" s="127"/>
    </row>
    <row r="168" spans="2:7" x14ac:dyDescent="0.2">
      <c r="B168" s="127"/>
      <c r="C168" s="127"/>
      <c r="D168" s="127"/>
      <c r="E168" s="128"/>
      <c r="F168" s="128"/>
      <c r="G168" s="127"/>
    </row>
    <row r="169" spans="2:7" x14ac:dyDescent="0.2">
      <c r="B169" s="127"/>
      <c r="C169" s="127"/>
      <c r="D169" s="127"/>
      <c r="E169" s="128"/>
      <c r="F169" s="128"/>
      <c r="G169" s="127"/>
    </row>
    <row r="170" spans="2:7" x14ac:dyDescent="0.2">
      <c r="B170" s="127"/>
      <c r="C170" s="127"/>
      <c r="D170" s="127"/>
      <c r="E170" s="128"/>
      <c r="F170" s="128"/>
      <c r="G170" s="127"/>
    </row>
    <row r="171" spans="2:7" x14ac:dyDescent="0.2">
      <c r="B171" s="127"/>
      <c r="C171" s="127"/>
      <c r="D171" s="127"/>
      <c r="E171" s="128"/>
      <c r="F171" s="128"/>
      <c r="G171" s="127"/>
    </row>
    <row r="172" spans="2:7" x14ac:dyDescent="0.2">
      <c r="B172" s="127"/>
      <c r="C172" s="127"/>
      <c r="D172" s="127"/>
      <c r="E172" s="128"/>
      <c r="F172" s="128"/>
      <c r="G172" s="127"/>
    </row>
    <row r="173" spans="2:7" x14ac:dyDescent="0.2">
      <c r="B173" s="127"/>
      <c r="C173" s="127"/>
      <c r="D173" s="127"/>
      <c r="E173" s="128"/>
      <c r="F173" s="128"/>
      <c r="G173" s="127"/>
    </row>
    <row r="174" spans="2:7" x14ac:dyDescent="0.2">
      <c r="B174" s="127"/>
      <c r="C174" s="127"/>
      <c r="D174" s="127"/>
      <c r="E174" s="128"/>
      <c r="F174" s="128"/>
      <c r="G174" s="127"/>
    </row>
    <row r="175" spans="2:7" x14ac:dyDescent="0.2">
      <c r="B175" s="127"/>
      <c r="C175" s="127"/>
      <c r="D175" s="127"/>
      <c r="E175" s="128"/>
      <c r="F175" s="128"/>
      <c r="G175" s="127"/>
    </row>
    <row r="176" spans="2:7" x14ac:dyDescent="0.2">
      <c r="B176" s="127"/>
      <c r="C176" s="127"/>
      <c r="D176" s="127"/>
      <c r="E176" s="128"/>
      <c r="F176" s="128"/>
      <c r="G176" s="127"/>
    </row>
    <row r="177" spans="2:7" x14ac:dyDescent="0.2">
      <c r="B177" s="127"/>
      <c r="C177" s="127"/>
      <c r="D177" s="127"/>
      <c r="E177" s="128"/>
      <c r="F177" s="128"/>
      <c r="G177" s="127"/>
    </row>
    <row r="178" spans="2:7" x14ac:dyDescent="0.2">
      <c r="B178" s="127"/>
      <c r="C178" s="127"/>
      <c r="D178" s="127"/>
      <c r="E178" s="128"/>
      <c r="F178" s="128"/>
      <c r="G178" s="127"/>
    </row>
    <row r="179" spans="2:7" x14ac:dyDescent="0.2">
      <c r="B179" s="127"/>
      <c r="C179" s="127"/>
      <c r="D179" s="127"/>
      <c r="E179" s="128"/>
      <c r="F179" s="128"/>
      <c r="G179" s="127"/>
    </row>
    <row r="180" spans="2:7" x14ac:dyDescent="0.2">
      <c r="B180" s="127"/>
      <c r="C180" s="127"/>
      <c r="D180" s="127"/>
      <c r="E180" s="128"/>
      <c r="F180" s="128"/>
      <c r="G180" s="127"/>
    </row>
    <row r="181" spans="2:7" x14ac:dyDescent="0.2">
      <c r="B181" s="127"/>
      <c r="C181" s="127"/>
      <c r="D181" s="127"/>
      <c r="E181" s="128"/>
      <c r="F181" s="128"/>
      <c r="G181" s="127"/>
    </row>
    <row r="182" spans="2:7" x14ac:dyDescent="0.2">
      <c r="B182" s="127"/>
      <c r="C182" s="127"/>
      <c r="D182" s="127"/>
      <c r="E182" s="128"/>
      <c r="F182" s="128"/>
      <c r="G182" s="127"/>
    </row>
    <row r="183" spans="2:7" x14ac:dyDescent="0.2">
      <c r="B183" s="127"/>
      <c r="C183" s="127"/>
      <c r="D183" s="127"/>
      <c r="E183" s="128"/>
      <c r="F183" s="128"/>
      <c r="G183" s="127"/>
    </row>
    <row r="184" spans="2:7" x14ac:dyDescent="0.2">
      <c r="B184" s="127"/>
      <c r="C184" s="127"/>
      <c r="D184" s="127"/>
      <c r="E184" s="128"/>
      <c r="F184" s="128"/>
      <c r="G184" s="127"/>
    </row>
    <row r="185" spans="2:7" x14ac:dyDescent="0.2">
      <c r="B185" s="127"/>
      <c r="C185" s="127"/>
      <c r="D185" s="127"/>
      <c r="E185" s="128"/>
      <c r="F185" s="128"/>
      <c r="G185" s="127"/>
    </row>
    <row r="186" spans="2:7" x14ac:dyDescent="0.2">
      <c r="B186" s="127"/>
      <c r="C186" s="127"/>
      <c r="D186" s="127"/>
      <c r="E186" s="128"/>
      <c r="F186" s="128"/>
      <c r="G186" s="127"/>
    </row>
    <row r="187" spans="2:7" x14ac:dyDescent="0.2">
      <c r="B187" s="127"/>
      <c r="C187" s="127"/>
      <c r="D187" s="127"/>
      <c r="E187" s="128"/>
      <c r="F187" s="128"/>
      <c r="G187" s="127"/>
    </row>
    <row r="188" spans="2:7" x14ac:dyDescent="0.2">
      <c r="B188" s="127"/>
      <c r="C188" s="127"/>
      <c r="D188" s="127"/>
      <c r="E188" s="128"/>
      <c r="F188" s="128"/>
      <c r="G188" s="127"/>
    </row>
    <row r="189" spans="2:7" x14ac:dyDescent="0.2">
      <c r="B189" s="127"/>
      <c r="C189" s="127"/>
      <c r="D189" s="127"/>
      <c r="E189" s="128"/>
      <c r="F189" s="128"/>
      <c r="G189" s="127"/>
    </row>
    <row r="190" spans="2:7" x14ac:dyDescent="0.2">
      <c r="B190" s="127"/>
      <c r="C190" s="127"/>
      <c r="D190" s="127"/>
      <c r="E190" s="128"/>
      <c r="F190" s="128"/>
      <c r="G190" s="127"/>
    </row>
    <row r="191" spans="2:7" x14ac:dyDescent="0.2">
      <c r="B191" s="127"/>
      <c r="C191" s="127"/>
      <c r="D191" s="127"/>
      <c r="E191" s="128"/>
      <c r="F191" s="128"/>
      <c r="G191" s="127"/>
    </row>
    <row r="192" spans="2:7" x14ac:dyDescent="0.2">
      <c r="B192" s="127"/>
      <c r="C192" s="127"/>
      <c r="D192" s="127"/>
      <c r="E192" s="128"/>
      <c r="F192" s="128"/>
      <c r="G192" s="127"/>
    </row>
    <row r="193" spans="2:7" x14ac:dyDescent="0.2">
      <c r="B193" s="127"/>
      <c r="C193" s="127"/>
      <c r="D193" s="127"/>
      <c r="E193" s="128"/>
      <c r="F193" s="128"/>
      <c r="G193" s="127"/>
    </row>
    <row r="194" spans="2:7" x14ac:dyDescent="0.2">
      <c r="B194" s="127"/>
      <c r="C194" s="127"/>
      <c r="D194" s="127"/>
      <c r="E194" s="128"/>
      <c r="F194" s="128"/>
      <c r="G194" s="127"/>
    </row>
    <row r="195" spans="2:7" x14ac:dyDescent="0.2">
      <c r="B195" s="127"/>
      <c r="C195" s="127"/>
      <c r="D195" s="127"/>
      <c r="E195" s="128"/>
      <c r="F195" s="128"/>
      <c r="G195" s="127"/>
    </row>
    <row r="196" spans="2:7" x14ac:dyDescent="0.2">
      <c r="B196" s="127"/>
      <c r="C196" s="127"/>
      <c r="D196" s="127"/>
      <c r="E196" s="128"/>
      <c r="F196" s="128"/>
      <c r="G196" s="127"/>
    </row>
    <row r="197" spans="2:7" x14ac:dyDescent="0.2">
      <c r="B197" s="127"/>
      <c r="C197" s="127"/>
      <c r="D197" s="127"/>
      <c r="E197" s="128"/>
      <c r="F197" s="128"/>
      <c r="G197" s="127"/>
    </row>
    <row r="198" spans="2:7" x14ac:dyDescent="0.2">
      <c r="B198" s="127"/>
      <c r="C198" s="127"/>
      <c r="D198" s="127"/>
      <c r="E198" s="128"/>
      <c r="F198" s="128"/>
      <c r="G198" s="127"/>
    </row>
    <row r="199" spans="2:7" x14ac:dyDescent="0.2">
      <c r="B199" s="127"/>
      <c r="C199" s="127"/>
      <c r="D199" s="127"/>
      <c r="E199" s="128"/>
      <c r="F199" s="128"/>
      <c r="G199" s="127"/>
    </row>
    <row r="200" spans="2:7" x14ac:dyDescent="0.2">
      <c r="B200" s="127"/>
      <c r="C200" s="127"/>
      <c r="D200" s="127"/>
      <c r="E200" s="128"/>
      <c r="F200" s="128"/>
      <c r="G200" s="127"/>
    </row>
    <row r="201" spans="2:7" x14ac:dyDescent="0.2">
      <c r="B201" s="127"/>
      <c r="C201" s="127"/>
      <c r="D201" s="127"/>
      <c r="E201" s="128"/>
      <c r="F201" s="128"/>
      <c r="G201" s="127"/>
    </row>
    <row r="202" spans="2:7" x14ac:dyDescent="0.2">
      <c r="B202" s="127"/>
      <c r="C202" s="127"/>
      <c r="D202" s="127"/>
      <c r="E202" s="128"/>
      <c r="F202" s="128"/>
      <c r="G202" s="127"/>
    </row>
    <row r="203" spans="2:7" x14ac:dyDescent="0.2">
      <c r="B203" s="127"/>
      <c r="C203" s="127"/>
      <c r="D203" s="127"/>
      <c r="E203" s="128"/>
      <c r="F203" s="128"/>
      <c r="G203" s="127"/>
    </row>
    <row r="204" spans="2:7" x14ac:dyDescent="0.2">
      <c r="B204" s="127"/>
      <c r="C204" s="127"/>
      <c r="D204" s="127"/>
      <c r="E204" s="128"/>
      <c r="F204" s="128"/>
      <c r="G204" s="127"/>
    </row>
    <row r="205" spans="2:7" x14ac:dyDescent="0.2">
      <c r="B205" s="127"/>
      <c r="C205" s="127"/>
      <c r="D205" s="127"/>
      <c r="E205" s="128"/>
      <c r="F205" s="128"/>
      <c r="G205" s="127"/>
    </row>
    <row r="206" spans="2:7" x14ac:dyDescent="0.2">
      <c r="B206" s="127"/>
      <c r="C206" s="127"/>
      <c r="D206" s="127"/>
      <c r="E206" s="128"/>
      <c r="F206" s="128"/>
      <c r="G206" s="127"/>
    </row>
    <row r="207" spans="2:7" x14ac:dyDescent="0.2">
      <c r="B207" s="127"/>
      <c r="C207" s="127"/>
      <c r="D207" s="127"/>
      <c r="E207" s="128"/>
      <c r="F207" s="128"/>
      <c r="G207" s="127"/>
    </row>
    <row r="208" spans="2:7" x14ac:dyDescent="0.2">
      <c r="B208" s="127"/>
      <c r="C208" s="127"/>
      <c r="D208" s="127"/>
      <c r="E208" s="128"/>
      <c r="F208" s="128"/>
      <c r="G208" s="127"/>
    </row>
    <row r="209" spans="2:7" x14ac:dyDescent="0.2">
      <c r="B209" s="127"/>
      <c r="C209" s="127"/>
      <c r="D209" s="127"/>
      <c r="E209" s="128"/>
      <c r="F209" s="128"/>
      <c r="G209" s="127"/>
    </row>
    <row r="210" spans="2:7" x14ac:dyDescent="0.2">
      <c r="B210" s="127"/>
      <c r="C210" s="127"/>
      <c r="D210" s="127"/>
      <c r="E210" s="128"/>
      <c r="F210" s="128"/>
      <c r="G210" s="127"/>
    </row>
    <row r="211" spans="2:7" x14ac:dyDescent="0.2">
      <c r="B211" s="127"/>
      <c r="C211" s="127"/>
      <c r="D211" s="127"/>
      <c r="E211" s="128"/>
      <c r="F211" s="128"/>
      <c r="G211" s="127"/>
    </row>
    <row r="212" spans="2:7" x14ac:dyDescent="0.2">
      <c r="B212" s="127"/>
      <c r="C212" s="127"/>
      <c r="D212" s="127"/>
      <c r="E212" s="128"/>
      <c r="F212" s="128"/>
      <c r="G212" s="127"/>
    </row>
    <row r="213" spans="2:7" x14ac:dyDescent="0.2">
      <c r="B213" s="127"/>
      <c r="C213" s="127"/>
      <c r="D213" s="127"/>
      <c r="E213" s="128"/>
      <c r="F213" s="128"/>
      <c r="G213" s="127"/>
    </row>
    <row r="214" spans="2:7" x14ac:dyDescent="0.2">
      <c r="B214" s="127"/>
      <c r="C214" s="127"/>
      <c r="D214" s="127"/>
      <c r="E214" s="128"/>
      <c r="F214" s="128"/>
      <c r="G214" s="127"/>
    </row>
    <row r="215" spans="2:7" x14ac:dyDescent="0.2">
      <c r="B215" s="127"/>
      <c r="C215" s="127"/>
      <c r="D215" s="127"/>
      <c r="E215" s="128"/>
      <c r="F215" s="128"/>
      <c r="G215" s="127"/>
    </row>
    <row r="216" spans="2:7" x14ac:dyDescent="0.2">
      <c r="B216" s="127"/>
      <c r="C216" s="127"/>
      <c r="D216" s="127"/>
      <c r="E216" s="128"/>
      <c r="F216" s="128"/>
      <c r="G216" s="127"/>
    </row>
    <row r="217" spans="2:7" x14ac:dyDescent="0.2">
      <c r="B217" s="127"/>
      <c r="C217" s="127"/>
      <c r="D217" s="127"/>
      <c r="E217" s="128"/>
      <c r="F217" s="128"/>
      <c r="G217" s="127"/>
    </row>
    <row r="218" spans="2:7" x14ac:dyDescent="0.2">
      <c r="B218" s="127"/>
      <c r="C218" s="127"/>
      <c r="D218" s="127"/>
      <c r="E218" s="128"/>
      <c r="F218" s="128"/>
      <c r="G218" s="127"/>
    </row>
    <row r="219" spans="2:7" x14ac:dyDescent="0.2">
      <c r="B219" s="127"/>
      <c r="C219" s="127"/>
      <c r="D219" s="127"/>
      <c r="E219" s="128"/>
      <c r="F219" s="128"/>
      <c r="G219" s="127"/>
    </row>
    <row r="220" spans="2:7" x14ac:dyDescent="0.2">
      <c r="B220" s="127"/>
      <c r="C220" s="127"/>
      <c r="D220" s="127"/>
      <c r="E220" s="128"/>
      <c r="F220" s="128"/>
      <c r="G220" s="127"/>
    </row>
    <row r="221" spans="2:7" x14ac:dyDescent="0.2">
      <c r="B221" s="127"/>
      <c r="C221" s="127"/>
      <c r="D221" s="127"/>
      <c r="E221" s="128"/>
      <c r="F221" s="128"/>
      <c r="G221" s="127"/>
    </row>
    <row r="222" spans="2:7" x14ac:dyDescent="0.2">
      <c r="B222" s="127"/>
      <c r="C222" s="127"/>
      <c r="D222" s="127"/>
      <c r="E222" s="128"/>
      <c r="F222" s="128"/>
      <c r="G222" s="127"/>
    </row>
    <row r="223" spans="2:7" x14ac:dyDescent="0.2">
      <c r="B223" s="127"/>
      <c r="C223" s="127"/>
      <c r="D223" s="127"/>
      <c r="E223" s="128"/>
      <c r="F223" s="128"/>
      <c r="G223" s="127"/>
    </row>
    <row r="224" spans="2:7" x14ac:dyDescent="0.2">
      <c r="B224" s="127"/>
      <c r="C224" s="127"/>
      <c r="D224" s="127"/>
      <c r="E224" s="128"/>
      <c r="F224" s="128"/>
      <c r="G224" s="127"/>
    </row>
    <row r="225" spans="2:7" x14ac:dyDescent="0.2">
      <c r="B225" s="127"/>
      <c r="C225" s="127"/>
      <c r="D225" s="127"/>
      <c r="E225" s="128"/>
      <c r="F225" s="128"/>
      <c r="G225" s="127"/>
    </row>
    <row r="226" spans="2:7" x14ac:dyDescent="0.2">
      <c r="B226" s="127"/>
      <c r="C226" s="127"/>
      <c r="D226" s="127"/>
      <c r="E226" s="128"/>
      <c r="F226" s="128"/>
      <c r="G226" s="127"/>
    </row>
    <row r="227" spans="2:7" x14ac:dyDescent="0.2">
      <c r="B227" s="127"/>
      <c r="C227" s="127"/>
      <c r="D227" s="127"/>
      <c r="E227" s="128"/>
      <c r="F227" s="128"/>
      <c r="G227" s="127"/>
    </row>
    <row r="228" spans="2:7" x14ac:dyDescent="0.2">
      <c r="B228" s="127"/>
      <c r="C228" s="127"/>
      <c r="D228" s="127"/>
      <c r="E228" s="128"/>
      <c r="F228" s="128"/>
      <c r="G228" s="127"/>
    </row>
    <row r="229" spans="2:7" x14ac:dyDescent="0.2">
      <c r="B229" s="127"/>
      <c r="C229" s="127"/>
      <c r="D229" s="127"/>
      <c r="E229" s="128"/>
      <c r="F229" s="128"/>
      <c r="G229" s="127"/>
    </row>
    <row r="230" spans="2:7" x14ac:dyDescent="0.2">
      <c r="B230" s="127"/>
      <c r="C230" s="127"/>
      <c r="D230" s="127"/>
      <c r="E230" s="128"/>
      <c r="F230" s="128"/>
      <c r="G230" s="127"/>
    </row>
    <row r="231" spans="2:7" x14ac:dyDescent="0.2">
      <c r="B231" s="127"/>
      <c r="C231" s="127"/>
      <c r="D231" s="127"/>
      <c r="E231" s="128"/>
      <c r="F231" s="128"/>
      <c r="G231" s="127"/>
    </row>
    <row r="232" spans="2:7" x14ac:dyDescent="0.2">
      <c r="B232" s="127"/>
      <c r="C232" s="127"/>
      <c r="D232" s="127"/>
      <c r="E232" s="128"/>
      <c r="F232" s="128"/>
      <c r="G232" s="127"/>
    </row>
    <row r="233" spans="2:7" x14ac:dyDescent="0.2">
      <c r="B233" s="127"/>
      <c r="C233" s="127"/>
      <c r="D233" s="127"/>
      <c r="E233" s="128"/>
      <c r="F233" s="128"/>
      <c r="G233" s="127"/>
    </row>
    <row r="234" spans="2:7" x14ac:dyDescent="0.2">
      <c r="B234" s="127"/>
      <c r="C234" s="127"/>
      <c r="D234" s="127"/>
      <c r="E234" s="128"/>
      <c r="F234" s="128"/>
      <c r="G234" s="127"/>
    </row>
    <row r="235" spans="2:7" x14ac:dyDescent="0.2">
      <c r="B235" s="127"/>
      <c r="C235" s="127"/>
      <c r="D235" s="127"/>
      <c r="E235" s="128"/>
      <c r="F235" s="128"/>
      <c r="G235" s="127"/>
    </row>
    <row r="236" spans="2:7" x14ac:dyDescent="0.2">
      <c r="B236" s="127"/>
      <c r="C236" s="127"/>
      <c r="D236" s="127"/>
      <c r="E236" s="128"/>
      <c r="F236" s="128"/>
      <c r="G236" s="127"/>
    </row>
    <row r="237" spans="2:7" x14ac:dyDescent="0.2">
      <c r="B237" s="127"/>
      <c r="C237" s="127"/>
      <c r="D237" s="127"/>
      <c r="E237" s="128"/>
      <c r="F237" s="128"/>
      <c r="G237" s="127"/>
    </row>
    <row r="238" spans="2:7" x14ac:dyDescent="0.2">
      <c r="B238" s="127"/>
      <c r="C238" s="127"/>
      <c r="D238" s="127"/>
      <c r="E238" s="128"/>
      <c r="F238" s="128"/>
      <c r="G238" s="127"/>
    </row>
    <row r="239" spans="2:7" x14ac:dyDescent="0.2">
      <c r="B239" s="127"/>
      <c r="C239" s="127"/>
      <c r="D239" s="127"/>
      <c r="E239" s="128"/>
      <c r="F239" s="128"/>
      <c r="G239" s="127"/>
    </row>
    <row r="240" spans="2:7" x14ac:dyDescent="0.2">
      <c r="B240" s="127"/>
      <c r="C240" s="127"/>
      <c r="D240" s="127"/>
      <c r="E240" s="128"/>
      <c r="F240" s="128"/>
      <c r="G240" s="127"/>
    </row>
    <row r="241" spans="2:7" x14ac:dyDescent="0.2">
      <c r="B241" s="127"/>
      <c r="C241" s="127"/>
      <c r="D241" s="127"/>
      <c r="E241" s="128"/>
      <c r="F241" s="128"/>
      <c r="G241" s="127"/>
    </row>
    <row r="242" spans="2:7" x14ac:dyDescent="0.2">
      <c r="B242" s="127"/>
      <c r="C242" s="127"/>
      <c r="D242" s="127"/>
      <c r="E242" s="128"/>
      <c r="F242" s="128"/>
      <c r="G242" s="127"/>
    </row>
    <row r="243" spans="2:7" x14ac:dyDescent="0.2">
      <c r="B243" s="127"/>
      <c r="C243" s="127"/>
      <c r="D243" s="127"/>
      <c r="E243" s="128"/>
      <c r="F243" s="128"/>
      <c r="G243" s="127"/>
    </row>
    <row r="244" spans="2:7" x14ac:dyDescent="0.2">
      <c r="B244" s="127"/>
      <c r="C244" s="127"/>
      <c r="D244" s="127"/>
      <c r="E244" s="128"/>
      <c r="F244" s="128"/>
      <c r="G244" s="127"/>
    </row>
    <row r="245" spans="2:7" x14ac:dyDescent="0.2">
      <c r="B245" s="127"/>
      <c r="C245" s="127"/>
      <c r="D245" s="127"/>
      <c r="E245" s="128"/>
      <c r="F245" s="128"/>
      <c r="G245" s="127"/>
    </row>
    <row r="246" spans="2:7" x14ac:dyDescent="0.2">
      <c r="B246" s="127"/>
      <c r="C246" s="127"/>
      <c r="D246" s="127"/>
      <c r="E246" s="128"/>
      <c r="F246" s="128"/>
      <c r="G246" s="127"/>
    </row>
    <row r="247" spans="2:7" x14ac:dyDescent="0.2">
      <c r="B247" s="127"/>
      <c r="C247" s="127"/>
      <c r="D247" s="127"/>
      <c r="E247" s="128"/>
      <c r="F247" s="128"/>
      <c r="G247" s="127"/>
    </row>
    <row r="248" spans="2:7" x14ac:dyDescent="0.2">
      <c r="B248" s="127"/>
      <c r="C248" s="127"/>
      <c r="D248" s="127"/>
      <c r="E248" s="128"/>
      <c r="F248" s="128"/>
      <c r="G248" s="127"/>
    </row>
    <row r="249" spans="2:7" x14ac:dyDescent="0.2">
      <c r="B249" s="127"/>
      <c r="C249" s="127"/>
      <c r="D249" s="127"/>
      <c r="E249" s="128"/>
      <c r="F249" s="128"/>
      <c r="G249" s="127"/>
    </row>
    <row r="250" spans="2:7" x14ac:dyDescent="0.2">
      <c r="B250" s="127"/>
      <c r="C250" s="127"/>
      <c r="D250" s="127"/>
      <c r="E250" s="128"/>
      <c r="F250" s="128"/>
      <c r="G250" s="127"/>
    </row>
    <row r="251" spans="2:7" x14ac:dyDescent="0.2">
      <c r="B251" s="127"/>
      <c r="C251" s="127"/>
      <c r="D251" s="127"/>
      <c r="E251" s="128"/>
      <c r="F251" s="128"/>
      <c r="G251" s="127"/>
    </row>
    <row r="252" spans="2:7" x14ac:dyDescent="0.2">
      <c r="B252" s="127"/>
      <c r="C252" s="127"/>
      <c r="D252" s="127"/>
      <c r="E252" s="128"/>
      <c r="F252" s="128"/>
      <c r="G252" s="127"/>
    </row>
    <row r="253" spans="2:7" x14ac:dyDescent="0.2">
      <c r="B253" s="127"/>
      <c r="C253" s="127"/>
      <c r="D253" s="127"/>
      <c r="E253" s="128"/>
      <c r="F253" s="128"/>
      <c r="G253" s="127"/>
    </row>
    <row r="254" spans="2:7" x14ac:dyDescent="0.2">
      <c r="B254" s="127"/>
      <c r="C254" s="127"/>
      <c r="D254" s="127"/>
      <c r="E254" s="128"/>
      <c r="F254" s="128"/>
      <c r="G254" s="127"/>
    </row>
    <row r="255" spans="2:7" x14ac:dyDescent="0.2">
      <c r="B255" s="127"/>
      <c r="C255" s="127"/>
      <c r="D255" s="127"/>
      <c r="E255" s="128"/>
      <c r="F255" s="128"/>
      <c r="G255" s="127"/>
    </row>
    <row r="256" spans="2:7" x14ac:dyDescent="0.2">
      <c r="B256" s="127"/>
      <c r="C256" s="127"/>
      <c r="D256" s="127"/>
      <c r="E256" s="128"/>
      <c r="F256" s="128"/>
      <c r="G256" s="127"/>
    </row>
    <row r="257" spans="2:7" x14ac:dyDescent="0.2">
      <c r="B257" s="127"/>
      <c r="C257" s="127"/>
      <c r="D257" s="127"/>
      <c r="E257" s="128"/>
      <c r="F257" s="128"/>
      <c r="G257" s="127"/>
    </row>
    <row r="258" spans="2:7" x14ac:dyDescent="0.2">
      <c r="B258" s="127"/>
      <c r="C258" s="127"/>
      <c r="D258" s="127"/>
      <c r="E258" s="128"/>
      <c r="F258" s="128"/>
      <c r="G258" s="127"/>
    </row>
    <row r="259" spans="2:7" x14ac:dyDescent="0.2">
      <c r="B259" s="127"/>
      <c r="C259" s="127"/>
      <c r="D259" s="127"/>
      <c r="E259" s="128"/>
      <c r="F259" s="128"/>
      <c r="G259" s="127"/>
    </row>
    <row r="260" spans="2:7" x14ac:dyDescent="0.2">
      <c r="B260" s="127"/>
      <c r="C260" s="127"/>
      <c r="D260" s="127"/>
      <c r="E260" s="128"/>
      <c r="F260" s="128"/>
      <c r="G260" s="127"/>
    </row>
    <row r="261" spans="2:7" x14ac:dyDescent="0.2">
      <c r="B261" s="127"/>
      <c r="C261" s="127"/>
      <c r="D261" s="127"/>
      <c r="E261" s="128"/>
      <c r="F261" s="128"/>
      <c r="G261" s="127"/>
    </row>
    <row r="262" spans="2:7" x14ac:dyDescent="0.2">
      <c r="B262" s="127"/>
      <c r="C262" s="127"/>
      <c r="D262" s="127"/>
      <c r="E262" s="128"/>
      <c r="F262" s="128"/>
      <c r="G262" s="127"/>
    </row>
    <row r="263" spans="2:7" x14ac:dyDescent="0.2">
      <c r="B263" s="127"/>
      <c r="C263" s="127"/>
      <c r="D263" s="127"/>
      <c r="E263" s="128"/>
      <c r="F263" s="128"/>
      <c r="G263" s="127"/>
    </row>
    <row r="264" spans="2:7" x14ac:dyDescent="0.2">
      <c r="B264" s="127"/>
      <c r="C264" s="127"/>
      <c r="D264" s="127"/>
      <c r="E264" s="128"/>
      <c r="F264" s="128"/>
      <c r="G264" s="127"/>
    </row>
    <row r="265" spans="2:7" x14ac:dyDescent="0.2">
      <c r="B265" s="127"/>
      <c r="C265" s="127"/>
      <c r="D265" s="127"/>
      <c r="E265" s="128"/>
      <c r="F265" s="128"/>
      <c r="G265" s="127"/>
    </row>
    <row r="266" spans="2:7" x14ac:dyDescent="0.2">
      <c r="B266" s="127"/>
      <c r="C266" s="127"/>
      <c r="D266" s="127"/>
      <c r="E266" s="128"/>
      <c r="F266" s="128"/>
      <c r="G266" s="127"/>
    </row>
    <row r="267" spans="2:7" x14ac:dyDescent="0.2">
      <c r="B267" s="127"/>
      <c r="C267" s="127"/>
      <c r="D267" s="127"/>
      <c r="E267" s="128"/>
      <c r="F267" s="128"/>
      <c r="G267" s="127"/>
    </row>
    <row r="268" spans="2:7" x14ac:dyDescent="0.2">
      <c r="B268" s="127"/>
      <c r="C268" s="127"/>
      <c r="D268" s="127"/>
      <c r="E268" s="128"/>
      <c r="F268" s="128"/>
      <c r="G268" s="127"/>
    </row>
    <row r="269" spans="2:7" x14ac:dyDescent="0.2">
      <c r="B269" s="127"/>
      <c r="C269" s="127"/>
      <c r="D269" s="127"/>
      <c r="E269" s="128"/>
      <c r="F269" s="128"/>
      <c r="G269" s="127"/>
    </row>
    <row r="270" spans="2:7" x14ac:dyDescent="0.2">
      <c r="B270" s="127"/>
      <c r="C270" s="127"/>
      <c r="D270" s="127"/>
      <c r="E270" s="128"/>
      <c r="F270" s="128"/>
      <c r="G270" s="127"/>
    </row>
    <row r="271" spans="2:7" x14ac:dyDescent="0.2">
      <c r="B271" s="127"/>
      <c r="C271" s="127"/>
      <c r="D271" s="127"/>
      <c r="E271" s="128"/>
      <c r="F271" s="128"/>
      <c r="G271" s="127"/>
    </row>
    <row r="272" spans="2:7" x14ac:dyDescent="0.2">
      <c r="B272" s="127"/>
      <c r="C272" s="127"/>
      <c r="D272" s="127"/>
      <c r="E272" s="128"/>
      <c r="F272" s="128"/>
      <c r="G272" s="127"/>
    </row>
    <row r="273" spans="2:7" x14ac:dyDescent="0.2">
      <c r="B273" s="127"/>
      <c r="C273" s="127"/>
      <c r="D273" s="127"/>
      <c r="E273" s="128"/>
      <c r="F273" s="128"/>
      <c r="G273" s="127"/>
    </row>
    <row r="274" spans="2:7" x14ac:dyDescent="0.2">
      <c r="B274" s="127"/>
      <c r="C274" s="127"/>
      <c r="D274" s="127"/>
      <c r="E274" s="128"/>
      <c r="F274" s="128"/>
      <c r="G274" s="127"/>
    </row>
    <row r="275" spans="2:7" x14ac:dyDescent="0.2">
      <c r="B275" s="127"/>
      <c r="C275" s="127"/>
      <c r="D275" s="127"/>
      <c r="E275" s="128"/>
      <c r="F275" s="128"/>
      <c r="G275" s="127"/>
    </row>
    <row r="276" spans="2:7" x14ac:dyDescent="0.2">
      <c r="B276" s="127"/>
      <c r="C276" s="127"/>
      <c r="D276" s="127"/>
      <c r="E276" s="128"/>
      <c r="F276" s="128"/>
      <c r="G276" s="127"/>
    </row>
    <row r="277" spans="2:7" x14ac:dyDescent="0.2">
      <c r="B277" s="127"/>
      <c r="C277" s="127"/>
      <c r="D277" s="127"/>
      <c r="E277" s="128"/>
      <c r="F277" s="128"/>
      <c r="G277" s="127"/>
    </row>
    <row r="278" spans="2:7" x14ac:dyDescent="0.2">
      <c r="B278" s="127"/>
      <c r="C278" s="127"/>
      <c r="D278" s="127"/>
      <c r="E278" s="128"/>
      <c r="F278" s="128"/>
      <c r="G278" s="127"/>
    </row>
    <row r="279" spans="2:7" x14ac:dyDescent="0.2">
      <c r="B279" s="127"/>
      <c r="C279" s="127"/>
      <c r="D279" s="127"/>
      <c r="E279" s="128"/>
      <c r="F279" s="128"/>
      <c r="G279" s="127"/>
    </row>
    <row r="280" spans="2:7" x14ac:dyDescent="0.2">
      <c r="B280" s="127"/>
      <c r="C280" s="127"/>
      <c r="D280" s="127"/>
      <c r="E280" s="128"/>
      <c r="F280" s="128"/>
      <c r="G280" s="127"/>
    </row>
    <row r="281" spans="2:7" x14ac:dyDescent="0.2">
      <c r="B281" s="127"/>
      <c r="C281" s="127"/>
      <c r="D281" s="127"/>
      <c r="E281" s="128"/>
      <c r="F281" s="128"/>
      <c r="G281" s="127"/>
    </row>
    <row r="282" spans="2:7" x14ac:dyDescent="0.2">
      <c r="B282" s="127"/>
      <c r="C282" s="127"/>
      <c r="D282" s="127"/>
      <c r="E282" s="128"/>
      <c r="F282" s="128"/>
      <c r="G282" s="127"/>
    </row>
    <row r="283" spans="2:7" x14ac:dyDescent="0.2">
      <c r="B283" s="127"/>
      <c r="C283" s="127"/>
      <c r="D283" s="127"/>
      <c r="E283" s="128"/>
      <c r="F283" s="128"/>
      <c r="G283" s="127"/>
    </row>
    <row r="284" spans="2:7" x14ac:dyDescent="0.2">
      <c r="B284" s="127"/>
      <c r="C284" s="127"/>
      <c r="D284" s="127"/>
      <c r="E284" s="128"/>
      <c r="F284" s="128"/>
      <c r="G284" s="127"/>
    </row>
    <row r="285" spans="2:7" x14ac:dyDescent="0.2">
      <c r="B285" s="127"/>
      <c r="C285" s="127"/>
      <c r="D285" s="127"/>
      <c r="E285" s="128"/>
      <c r="F285" s="128"/>
      <c r="G285" s="127"/>
    </row>
    <row r="286" spans="2:7" x14ac:dyDescent="0.2">
      <c r="B286" s="127"/>
      <c r="C286" s="127"/>
      <c r="D286" s="127"/>
      <c r="E286" s="128"/>
      <c r="F286" s="128"/>
      <c r="G286" s="127"/>
    </row>
    <row r="287" spans="2:7" x14ac:dyDescent="0.2">
      <c r="B287" s="127"/>
      <c r="C287" s="127"/>
      <c r="D287" s="127"/>
      <c r="E287" s="128"/>
      <c r="F287" s="128"/>
      <c r="G287" s="127"/>
    </row>
    <row r="288" spans="2:7" x14ac:dyDescent="0.2">
      <c r="B288" s="127"/>
      <c r="C288" s="127"/>
      <c r="D288" s="127"/>
      <c r="E288" s="128"/>
      <c r="F288" s="128"/>
      <c r="G288" s="127"/>
    </row>
    <row r="289" spans="2:7" x14ac:dyDescent="0.2">
      <c r="B289" s="127"/>
      <c r="C289" s="127"/>
      <c r="D289" s="127"/>
      <c r="E289" s="128"/>
      <c r="F289" s="128"/>
      <c r="G289" s="127"/>
    </row>
    <row r="290" spans="2:7" x14ac:dyDescent="0.2">
      <c r="B290" s="127"/>
      <c r="C290" s="127"/>
      <c r="D290" s="127"/>
      <c r="E290" s="128"/>
      <c r="F290" s="128"/>
      <c r="G290" s="127"/>
    </row>
    <row r="291" spans="2:7" x14ac:dyDescent="0.2">
      <c r="B291" s="127"/>
      <c r="C291" s="127"/>
      <c r="D291" s="127"/>
      <c r="E291" s="128"/>
      <c r="F291" s="128"/>
      <c r="G291" s="127"/>
    </row>
    <row r="292" spans="2:7" x14ac:dyDescent="0.2">
      <c r="B292" s="127"/>
      <c r="C292" s="127"/>
      <c r="D292" s="127"/>
      <c r="E292" s="128"/>
      <c r="F292" s="128"/>
      <c r="G292" s="127"/>
    </row>
    <row r="293" spans="2:7" x14ac:dyDescent="0.2">
      <c r="B293" s="127"/>
      <c r="C293" s="127"/>
      <c r="D293" s="127"/>
      <c r="E293" s="128"/>
      <c r="F293" s="128"/>
      <c r="G293" s="127"/>
    </row>
    <row r="294" spans="2:7" x14ac:dyDescent="0.2">
      <c r="B294" s="127"/>
      <c r="C294" s="127"/>
      <c r="D294" s="127"/>
      <c r="E294" s="128"/>
      <c r="F294" s="128"/>
      <c r="G294" s="127"/>
    </row>
    <row r="295" spans="2:7" x14ac:dyDescent="0.2">
      <c r="B295" s="127"/>
      <c r="C295" s="127"/>
      <c r="D295" s="127"/>
      <c r="E295" s="128"/>
      <c r="F295" s="128"/>
      <c r="G295" s="127"/>
    </row>
    <row r="296" spans="2:7" x14ac:dyDescent="0.2">
      <c r="B296" s="127"/>
      <c r="C296" s="127"/>
      <c r="D296" s="127"/>
      <c r="E296" s="128"/>
      <c r="F296" s="128"/>
      <c r="G296" s="127"/>
    </row>
    <row r="297" spans="2:7" x14ac:dyDescent="0.2">
      <c r="B297" s="127"/>
      <c r="C297" s="127"/>
      <c r="D297" s="127"/>
      <c r="E297" s="128"/>
      <c r="F297" s="128"/>
      <c r="G297" s="127"/>
    </row>
    <row r="298" spans="2:7" x14ac:dyDescent="0.2">
      <c r="B298" s="127"/>
      <c r="C298" s="127"/>
      <c r="D298" s="127"/>
      <c r="E298" s="128"/>
      <c r="F298" s="128"/>
      <c r="G298" s="127"/>
    </row>
    <row r="299" spans="2:7" x14ac:dyDescent="0.2">
      <c r="B299" s="127"/>
      <c r="C299" s="127"/>
      <c r="D299" s="127"/>
      <c r="E299" s="128"/>
      <c r="F299" s="128"/>
      <c r="G299" s="127"/>
    </row>
    <row r="300" spans="2:7" x14ac:dyDescent="0.2">
      <c r="B300" s="127"/>
      <c r="C300" s="127"/>
      <c r="D300" s="127"/>
      <c r="E300" s="128"/>
      <c r="F300" s="128"/>
      <c r="G300" s="127"/>
    </row>
    <row r="301" spans="2:7" x14ac:dyDescent="0.2">
      <c r="B301" s="127"/>
      <c r="C301" s="127"/>
      <c r="D301" s="127"/>
      <c r="E301" s="128"/>
      <c r="F301" s="128"/>
      <c r="G301" s="127"/>
    </row>
    <row r="302" spans="2:7" x14ac:dyDescent="0.2">
      <c r="B302" s="127"/>
      <c r="C302" s="127"/>
      <c r="D302" s="127"/>
      <c r="E302" s="128"/>
      <c r="F302" s="128"/>
      <c r="G302" s="127"/>
    </row>
    <row r="303" spans="2:7" x14ac:dyDescent="0.2">
      <c r="B303" s="127"/>
      <c r="C303" s="127"/>
      <c r="D303" s="127"/>
      <c r="E303" s="128"/>
      <c r="F303" s="128"/>
      <c r="G303" s="127"/>
    </row>
    <row r="304" spans="2:7" x14ac:dyDescent="0.2">
      <c r="B304" s="127"/>
      <c r="C304" s="127"/>
      <c r="D304" s="127"/>
      <c r="E304" s="128"/>
      <c r="F304" s="128"/>
      <c r="G304" s="127"/>
    </row>
    <row r="305" spans="2:7" x14ac:dyDescent="0.2">
      <c r="B305" s="127"/>
      <c r="C305" s="127"/>
      <c r="D305" s="127"/>
      <c r="E305" s="128"/>
      <c r="F305" s="128"/>
      <c r="G305" s="127"/>
    </row>
    <row r="306" spans="2:7" x14ac:dyDescent="0.2">
      <c r="B306" s="127"/>
      <c r="C306" s="127"/>
      <c r="D306" s="127"/>
      <c r="E306" s="128"/>
      <c r="F306" s="128"/>
      <c r="G306" s="127"/>
    </row>
    <row r="307" spans="2:7" x14ac:dyDescent="0.2">
      <c r="B307" s="127"/>
      <c r="C307" s="127"/>
      <c r="D307" s="127"/>
      <c r="E307" s="128"/>
      <c r="F307" s="128"/>
      <c r="G307" s="127"/>
    </row>
    <row r="308" spans="2:7" x14ac:dyDescent="0.2">
      <c r="B308" s="127"/>
      <c r="C308" s="127"/>
      <c r="D308" s="127"/>
      <c r="E308" s="128"/>
      <c r="F308" s="128"/>
      <c r="G308" s="127"/>
    </row>
    <row r="309" spans="2:7" x14ac:dyDescent="0.2">
      <c r="B309" s="127"/>
      <c r="C309" s="127"/>
      <c r="D309" s="127"/>
      <c r="E309" s="128"/>
      <c r="F309" s="128"/>
      <c r="G309" s="127"/>
    </row>
    <row r="310" spans="2:7" x14ac:dyDescent="0.2">
      <c r="B310" s="127"/>
      <c r="C310" s="127"/>
      <c r="D310" s="127"/>
      <c r="E310" s="128"/>
      <c r="F310" s="128"/>
      <c r="G310" s="127"/>
    </row>
    <row r="311" spans="2:7" x14ac:dyDescent="0.2">
      <c r="B311" s="127"/>
      <c r="C311" s="127"/>
      <c r="D311" s="127"/>
      <c r="E311" s="128"/>
      <c r="F311" s="128"/>
      <c r="G311" s="127"/>
    </row>
    <row r="312" spans="2:7" x14ac:dyDescent="0.2">
      <c r="B312" s="127"/>
      <c r="C312" s="127"/>
      <c r="D312" s="127"/>
      <c r="E312" s="128"/>
      <c r="F312" s="128"/>
      <c r="G312" s="127"/>
    </row>
    <row r="313" spans="2:7" x14ac:dyDescent="0.2">
      <c r="B313" s="127"/>
      <c r="C313" s="127"/>
      <c r="D313" s="127"/>
      <c r="E313" s="128"/>
      <c r="F313" s="128"/>
      <c r="G313" s="127"/>
    </row>
    <row r="314" spans="2:7" x14ac:dyDescent="0.2">
      <c r="B314" s="127"/>
      <c r="C314" s="127"/>
      <c r="D314" s="127"/>
      <c r="E314" s="128"/>
      <c r="F314" s="128"/>
      <c r="G314" s="127"/>
    </row>
    <row r="315" spans="2:7" x14ac:dyDescent="0.2">
      <c r="B315" s="127"/>
      <c r="C315" s="127"/>
      <c r="D315" s="127"/>
      <c r="E315" s="128"/>
      <c r="F315" s="128"/>
      <c r="G315" s="127"/>
    </row>
    <row r="316" spans="2:7" x14ac:dyDescent="0.2">
      <c r="B316" s="127"/>
      <c r="C316" s="127"/>
      <c r="D316" s="127"/>
      <c r="E316" s="128"/>
      <c r="F316" s="128"/>
      <c r="G316" s="127"/>
    </row>
    <row r="317" spans="2:7" x14ac:dyDescent="0.2">
      <c r="B317" s="127"/>
      <c r="C317" s="127"/>
      <c r="D317" s="127"/>
      <c r="E317" s="128"/>
      <c r="F317" s="128"/>
      <c r="G317" s="127"/>
    </row>
    <row r="318" spans="2:7" x14ac:dyDescent="0.2">
      <c r="B318" s="127"/>
      <c r="C318" s="127"/>
      <c r="D318" s="127"/>
      <c r="E318" s="128"/>
      <c r="F318" s="128"/>
      <c r="G318" s="127"/>
    </row>
    <row r="319" spans="2:7" x14ac:dyDescent="0.2">
      <c r="B319" s="127"/>
      <c r="C319" s="127"/>
      <c r="D319" s="127"/>
      <c r="E319" s="128"/>
      <c r="F319" s="128"/>
      <c r="G319" s="127"/>
    </row>
    <row r="320" spans="2:7" x14ac:dyDescent="0.2">
      <c r="B320" s="127"/>
      <c r="C320" s="127"/>
      <c r="D320" s="127"/>
      <c r="E320" s="128"/>
      <c r="F320" s="128"/>
      <c r="G320" s="127"/>
    </row>
    <row r="321" spans="2:7" x14ac:dyDescent="0.2">
      <c r="B321" s="127"/>
      <c r="C321" s="127"/>
      <c r="D321" s="127"/>
      <c r="E321" s="128"/>
      <c r="F321" s="128"/>
      <c r="G321" s="127"/>
    </row>
    <row r="322" spans="2:7" x14ac:dyDescent="0.2">
      <c r="B322" s="127"/>
      <c r="C322" s="127"/>
      <c r="D322" s="127"/>
      <c r="E322" s="128"/>
      <c r="F322" s="128"/>
      <c r="G322" s="127"/>
    </row>
    <row r="323" spans="2:7" x14ac:dyDescent="0.2">
      <c r="B323" s="127"/>
      <c r="C323" s="127"/>
      <c r="D323" s="127"/>
      <c r="E323" s="128"/>
      <c r="F323" s="128"/>
      <c r="G323" s="127"/>
    </row>
    <row r="324" spans="2:7" x14ac:dyDescent="0.2">
      <c r="B324" s="127"/>
      <c r="C324" s="127"/>
      <c r="D324" s="127"/>
      <c r="E324" s="128"/>
      <c r="F324" s="128"/>
      <c r="G324" s="127"/>
    </row>
    <row r="325" spans="2:7" x14ac:dyDescent="0.2">
      <c r="B325" s="127"/>
      <c r="C325" s="127"/>
      <c r="D325" s="127"/>
      <c r="E325" s="128"/>
      <c r="F325" s="128"/>
      <c r="G325" s="127"/>
    </row>
    <row r="326" spans="2:7" x14ac:dyDescent="0.2">
      <c r="B326" s="127"/>
      <c r="C326" s="127"/>
      <c r="D326" s="127"/>
      <c r="E326" s="128"/>
      <c r="F326" s="128"/>
      <c r="G326" s="127"/>
    </row>
    <row r="327" spans="2:7" x14ac:dyDescent="0.2">
      <c r="B327" s="127"/>
      <c r="C327" s="127"/>
      <c r="D327" s="127"/>
      <c r="E327" s="128"/>
      <c r="F327" s="128"/>
      <c r="G327" s="127"/>
    </row>
    <row r="328" spans="2:7" x14ac:dyDescent="0.2">
      <c r="B328" s="127"/>
      <c r="C328" s="127"/>
      <c r="D328" s="127"/>
      <c r="E328" s="128"/>
      <c r="F328" s="128"/>
      <c r="G328" s="127"/>
    </row>
    <row r="329" spans="2:7" x14ac:dyDescent="0.2">
      <c r="B329" s="127"/>
      <c r="C329" s="127"/>
      <c r="D329" s="127"/>
      <c r="E329" s="128"/>
      <c r="F329" s="128"/>
      <c r="G329" s="127"/>
    </row>
    <row r="330" spans="2:7" x14ac:dyDescent="0.2">
      <c r="B330" s="127"/>
      <c r="C330" s="127"/>
      <c r="D330" s="127"/>
      <c r="E330" s="128"/>
      <c r="F330" s="128"/>
      <c r="G330" s="127"/>
    </row>
    <row r="331" spans="2:7" x14ac:dyDescent="0.2">
      <c r="B331" s="127"/>
      <c r="C331" s="127"/>
      <c r="D331" s="127"/>
      <c r="E331" s="128"/>
      <c r="F331" s="128"/>
      <c r="G331" s="127"/>
    </row>
    <row r="332" spans="2:7" x14ac:dyDescent="0.2">
      <c r="B332" s="127"/>
      <c r="C332" s="127"/>
      <c r="D332" s="127"/>
      <c r="E332" s="128"/>
      <c r="F332" s="128"/>
      <c r="G332" s="127"/>
    </row>
    <row r="333" spans="2:7" x14ac:dyDescent="0.2">
      <c r="B333" s="127"/>
      <c r="C333" s="127"/>
      <c r="D333" s="127"/>
      <c r="E333" s="128"/>
      <c r="F333" s="128"/>
      <c r="G333" s="127"/>
    </row>
    <row r="334" spans="2:7" x14ac:dyDescent="0.2">
      <c r="B334" s="127"/>
      <c r="C334" s="127"/>
      <c r="D334" s="127"/>
      <c r="E334" s="128"/>
      <c r="F334" s="128"/>
      <c r="G334" s="127"/>
    </row>
    <row r="335" spans="2:7" x14ac:dyDescent="0.2">
      <c r="B335" s="127"/>
      <c r="C335" s="127"/>
      <c r="D335" s="127"/>
      <c r="E335" s="128"/>
      <c r="F335" s="128"/>
      <c r="G335" s="127"/>
    </row>
    <row r="336" spans="2:7" x14ac:dyDescent="0.2">
      <c r="B336" s="127"/>
      <c r="C336" s="127"/>
      <c r="D336" s="127"/>
      <c r="E336" s="128"/>
      <c r="F336" s="128"/>
      <c r="G336" s="127"/>
    </row>
    <row r="337" spans="2:7" x14ac:dyDescent="0.2">
      <c r="B337" s="127"/>
      <c r="C337" s="127"/>
      <c r="D337" s="127"/>
      <c r="E337" s="128"/>
      <c r="F337" s="128"/>
      <c r="G337" s="127"/>
    </row>
    <row r="338" spans="2:7" x14ac:dyDescent="0.2">
      <c r="B338" s="127"/>
      <c r="C338" s="127"/>
      <c r="D338" s="127"/>
      <c r="E338" s="128"/>
      <c r="F338" s="128"/>
      <c r="G338" s="127"/>
    </row>
    <row r="339" spans="2:7" x14ac:dyDescent="0.2">
      <c r="B339" s="127"/>
      <c r="C339" s="127"/>
      <c r="D339" s="127"/>
      <c r="E339" s="128"/>
      <c r="F339" s="128"/>
      <c r="G339" s="127"/>
    </row>
    <row r="340" spans="2:7" x14ac:dyDescent="0.2">
      <c r="B340" s="127"/>
      <c r="C340" s="127"/>
      <c r="D340" s="127"/>
      <c r="E340" s="128"/>
      <c r="F340" s="128"/>
      <c r="G340" s="127"/>
    </row>
    <row r="341" spans="2:7" x14ac:dyDescent="0.2">
      <c r="B341" s="127"/>
      <c r="C341" s="127"/>
      <c r="D341" s="127"/>
      <c r="E341" s="128"/>
      <c r="F341" s="128"/>
      <c r="G341" s="127"/>
    </row>
    <row r="342" spans="2:7" x14ac:dyDescent="0.2">
      <c r="B342" s="127"/>
      <c r="C342" s="127"/>
      <c r="D342" s="127"/>
      <c r="E342" s="128"/>
      <c r="F342" s="128"/>
      <c r="G342" s="127"/>
    </row>
    <row r="343" spans="2:7" x14ac:dyDescent="0.2">
      <c r="B343" s="127"/>
      <c r="C343" s="127"/>
      <c r="D343" s="127"/>
      <c r="E343" s="128"/>
      <c r="F343" s="128"/>
      <c r="G343" s="127"/>
    </row>
    <row r="344" spans="2:7" x14ac:dyDescent="0.2">
      <c r="B344" s="127"/>
      <c r="C344" s="127"/>
      <c r="D344" s="127"/>
      <c r="E344" s="128"/>
      <c r="F344" s="128"/>
      <c r="G344" s="127"/>
    </row>
    <row r="345" spans="2:7" x14ac:dyDescent="0.2">
      <c r="B345" s="127"/>
      <c r="C345" s="127"/>
      <c r="D345" s="127"/>
      <c r="E345" s="128"/>
      <c r="F345" s="128"/>
      <c r="G345" s="127"/>
    </row>
    <row r="346" spans="2:7" x14ac:dyDescent="0.2">
      <c r="B346" s="127"/>
      <c r="C346" s="127"/>
      <c r="D346" s="127"/>
      <c r="E346" s="128"/>
      <c r="F346" s="128"/>
      <c r="G346" s="127"/>
    </row>
    <row r="347" spans="2:7" x14ac:dyDescent="0.2">
      <c r="B347" s="127"/>
      <c r="C347" s="127"/>
      <c r="D347" s="127"/>
      <c r="E347" s="128"/>
      <c r="F347" s="128"/>
      <c r="G347" s="127"/>
    </row>
    <row r="348" spans="2:7" x14ac:dyDescent="0.2">
      <c r="B348" s="127"/>
      <c r="C348" s="127"/>
      <c r="D348" s="127"/>
      <c r="E348" s="128"/>
      <c r="F348" s="128"/>
      <c r="G348" s="127"/>
    </row>
    <row r="349" spans="2:7" x14ac:dyDescent="0.2">
      <c r="B349" s="127"/>
      <c r="C349" s="127"/>
      <c r="D349" s="127"/>
      <c r="E349" s="128"/>
      <c r="F349" s="128"/>
      <c r="G349" s="127"/>
    </row>
    <row r="350" spans="2:7" x14ac:dyDescent="0.2">
      <c r="B350" s="127"/>
      <c r="C350" s="127"/>
      <c r="D350" s="127"/>
      <c r="E350" s="128"/>
      <c r="F350" s="128"/>
      <c r="G350" s="127"/>
    </row>
    <row r="351" spans="2:7" x14ac:dyDescent="0.2">
      <c r="B351" s="127"/>
      <c r="C351" s="127"/>
      <c r="D351" s="127"/>
      <c r="E351" s="128"/>
      <c r="F351" s="128"/>
      <c r="G351" s="127"/>
    </row>
    <row r="352" spans="2:7" x14ac:dyDescent="0.2">
      <c r="B352" s="127"/>
      <c r="C352" s="127"/>
      <c r="D352" s="127"/>
      <c r="E352" s="128"/>
      <c r="F352" s="128"/>
      <c r="G352" s="127"/>
    </row>
    <row r="353" spans="2:7" x14ac:dyDescent="0.2">
      <c r="B353" s="127"/>
      <c r="C353" s="127"/>
      <c r="D353" s="127"/>
      <c r="E353" s="128"/>
      <c r="F353" s="128"/>
      <c r="G353" s="127"/>
    </row>
    <row r="354" spans="2:7" x14ac:dyDescent="0.2">
      <c r="B354" s="127"/>
      <c r="C354" s="127"/>
      <c r="D354" s="127"/>
      <c r="E354" s="128"/>
      <c r="F354" s="128"/>
      <c r="G354" s="127"/>
    </row>
    <row r="355" spans="2:7" x14ac:dyDescent="0.2">
      <c r="B355" s="127"/>
      <c r="C355" s="127"/>
      <c r="D355" s="127"/>
      <c r="E355" s="128"/>
      <c r="F355" s="128"/>
      <c r="G355" s="127"/>
    </row>
    <row r="356" spans="2:7" x14ac:dyDescent="0.2">
      <c r="B356" s="127"/>
      <c r="C356" s="127"/>
      <c r="D356" s="127"/>
      <c r="E356" s="128"/>
      <c r="F356" s="128"/>
      <c r="G356" s="127"/>
    </row>
    <row r="357" spans="2:7" x14ac:dyDescent="0.2">
      <c r="B357" s="127"/>
      <c r="C357" s="127"/>
      <c r="D357" s="127"/>
      <c r="E357" s="128"/>
      <c r="F357" s="128"/>
      <c r="G357" s="127"/>
    </row>
    <row r="358" spans="2:7" x14ac:dyDescent="0.2">
      <c r="B358" s="127"/>
      <c r="C358" s="127"/>
      <c r="D358" s="127"/>
      <c r="E358" s="128"/>
      <c r="F358" s="128"/>
      <c r="G358" s="127"/>
    </row>
    <row r="359" spans="2:7" x14ac:dyDescent="0.2">
      <c r="B359" s="127"/>
      <c r="C359" s="127"/>
      <c r="D359" s="127"/>
      <c r="E359" s="128"/>
      <c r="F359" s="128"/>
      <c r="G359" s="127"/>
    </row>
    <row r="360" spans="2:7" x14ac:dyDescent="0.2">
      <c r="B360" s="127"/>
      <c r="C360" s="127"/>
      <c r="D360" s="127"/>
      <c r="E360" s="128"/>
      <c r="F360" s="128"/>
      <c r="G360" s="127"/>
    </row>
    <row r="361" spans="2:7" x14ac:dyDescent="0.2">
      <c r="B361" s="127"/>
      <c r="C361" s="127"/>
      <c r="D361" s="127"/>
      <c r="E361" s="128"/>
      <c r="F361" s="128"/>
      <c r="G361" s="127"/>
    </row>
    <row r="362" spans="2:7" x14ac:dyDescent="0.2">
      <c r="B362" s="127"/>
      <c r="C362" s="127"/>
      <c r="D362" s="127"/>
      <c r="E362" s="128"/>
      <c r="F362" s="128"/>
      <c r="G362" s="127"/>
    </row>
    <row r="363" spans="2:7" x14ac:dyDescent="0.2">
      <c r="B363" s="127"/>
      <c r="C363" s="127"/>
      <c r="D363" s="127"/>
      <c r="E363" s="128"/>
      <c r="F363" s="128"/>
      <c r="G363" s="127"/>
    </row>
    <row r="364" spans="2:7" x14ac:dyDescent="0.2">
      <c r="B364" s="127"/>
      <c r="C364" s="127"/>
      <c r="D364" s="127"/>
      <c r="E364" s="128"/>
      <c r="F364" s="128"/>
      <c r="G364" s="127"/>
    </row>
    <row r="365" spans="2:7" x14ac:dyDescent="0.2">
      <c r="B365" s="127"/>
      <c r="C365" s="127"/>
      <c r="D365" s="127"/>
      <c r="E365" s="128"/>
      <c r="F365" s="128"/>
      <c r="G365" s="127"/>
    </row>
    <row r="366" spans="2:7" x14ac:dyDescent="0.2">
      <c r="B366" s="127"/>
      <c r="C366" s="127"/>
      <c r="D366" s="127"/>
      <c r="E366" s="128"/>
      <c r="F366" s="128"/>
      <c r="G366" s="127"/>
    </row>
    <row r="367" spans="2:7" x14ac:dyDescent="0.2">
      <c r="B367" s="127"/>
      <c r="C367" s="127"/>
      <c r="D367" s="127"/>
      <c r="E367" s="128"/>
      <c r="F367" s="128"/>
      <c r="G367" s="127"/>
    </row>
    <row r="368" spans="2:7" x14ac:dyDescent="0.2">
      <c r="B368" s="127"/>
      <c r="C368" s="127"/>
      <c r="D368" s="127"/>
      <c r="E368" s="128"/>
      <c r="F368" s="128"/>
      <c r="G368" s="127"/>
    </row>
    <row r="369" spans="2:7" x14ac:dyDescent="0.2">
      <c r="B369" s="127"/>
      <c r="C369" s="127"/>
      <c r="D369" s="127"/>
      <c r="E369" s="128"/>
      <c r="F369" s="128"/>
      <c r="G369" s="127"/>
    </row>
    <row r="370" spans="2:7" x14ac:dyDescent="0.2">
      <c r="B370" s="127"/>
      <c r="C370" s="127"/>
      <c r="D370" s="127"/>
      <c r="E370" s="128"/>
      <c r="F370" s="128"/>
      <c r="G370" s="127"/>
    </row>
    <row r="371" spans="2:7" x14ac:dyDescent="0.2">
      <c r="B371" s="127"/>
      <c r="C371" s="127"/>
      <c r="D371" s="127"/>
      <c r="E371" s="128"/>
      <c r="F371" s="128"/>
      <c r="G371" s="127"/>
    </row>
    <row r="372" spans="2:7" x14ac:dyDescent="0.2">
      <c r="B372" s="127"/>
      <c r="C372" s="127"/>
      <c r="D372" s="127"/>
      <c r="E372" s="128"/>
      <c r="F372" s="128"/>
      <c r="G372" s="127"/>
    </row>
    <row r="373" spans="2:7" x14ac:dyDescent="0.2">
      <c r="B373" s="127"/>
      <c r="C373" s="127"/>
      <c r="D373" s="127"/>
      <c r="E373" s="128"/>
      <c r="F373" s="128"/>
      <c r="G373" s="127"/>
    </row>
    <row r="374" spans="2:7" x14ac:dyDescent="0.2">
      <c r="B374" s="127"/>
      <c r="C374" s="127"/>
      <c r="D374" s="127"/>
      <c r="E374" s="128"/>
      <c r="F374" s="128"/>
      <c r="G374" s="127"/>
    </row>
    <row r="375" spans="2:7" x14ac:dyDescent="0.2">
      <c r="B375" s="127"/>
      <c r="C375" s="127"/>
      <c r="D375" s="127"/>
      <c r="E375" s="128"/>
      <c r="F375" s="128"/>
      <c r="G375" s="127"/>
    </row>
    <row r="376" spans="2:7" x14ac:dyDescent="0.2">
      <c r="B376" s="127"/>
      <c r="C376" s="127"/>
      <c r="D376" s="127"/>
      <c r="E376" s="128"/>
      <c r="F376" s="128"/>
      <c r="G376" s="127"/>
    </row>
    <row r="377" spans="2:7" x14ac:dyDescent="0.2">
      <c r="B377" s="127"/>
      <c r="C377" s="127"/>
      <c r="D377" s="127"/>
      <c r="E377" s="128"/>
      <c r="F377" s="128"/>
      <c r="G377" s="127"/>
    </row>
    <row r="378" spans="2:7" x14ac:dyDescent="0.2">
      <c r="B378" s="127"/>
      <c r="C378" s="127"/>
      <c r="D378" s="127"/>
      <c r="E378" s="128"/>
      <c r="F378" s="128"/>
      <c r="G378" s="127"/>
    </row>
    <row r="379" spans="2:7" x14ac:dyDescent="0.2">
      <c r="B379" s="127"/>
      <c r="C379" s="127"/>
      <c r="D379" s="127"/>
      <c r="E379" s="128"/>
      <c r="F379" s="128"/>
      <c r="G379" s="127"/>
    </row>
    <row r="380" spans="2:7" x14ac:dyDescent="0.2">
      <c r="B380" s="127"/>
      <c r="C380" s="127"/>
      <c r="D380" s="127"/>
      <c r="E380" s="128"/>
      <c r="F380" s="128"/>
      <c r="G380" s="127"/>
    </row>
    <row r="381" spans="2:7" x14ac:dyDescent="0.2">
      <c r="B381" s="127"/>
      <c r="C381" s="127"/>
      <c r="D381" s="127"/>
      <c r="E381" s="128"/>
      <c r="F381" s="128"/>
      <c r="G381" s="127"/>
    </row>
    <row r="382" spans="2:7" x14ac:dyDescent="0.2">
      <c r="B382" s="127"/>
      <c r="C382" s="127"/>
      <c r="D382" s="127"/>
      <c r="E382" s="128"/>
      <c r="F382" s="128"/>
      <c r="G382" s="127"/>
    </row>
    <row r="383" spans="2:7" x14ac:dyDescent="0.2">
      <c r="B383" s="127"/>
      <c r="C383" s="127"/>
      <c r="D383" s="127"/>
      <c r="E383" s="128"/>
      <c r="F383" s="128"/>
      <c r="G383" s="127"/>
    </row>
    <row r="384" spans="2:7" x14ac:dyDescent="0.2">
      <c r="B384" s="127"/>
      <c r="C384" s="127"/>
      <c r="D384" s="127"/>
      <c r="E384" s="128"/>
      <c r="F384" s="128"/>
      <c r="G384" s="127"/>
    </row>
    <row r="385" spans="2:7" x14ac:dyDescent="0.2">
      <c r="B385" s="127"/>
      <c r="C385" s="127"/>
      <c r="D385" s="127"/>
      <c r="E385" s="128"/>
      <c r="F385" s="128"/>
      <c r="G385" s="127"/>
    </row>
    <row r="386" spans="2:7" x14ac:dyDescent="0.2">
      <c r="B386" s="127"/>
      <c r="C386" s="127"/>
      <c r="D386" s="127"/>
      <c r="E386" s="128"/>
      <c r="F386" s="128"/>
      <c r="G386" s="127"/>
    </row>
    <row r="387" spans="2:7" x14ac:dyDescent="0.2">
      <c r="B387" s="127"/>
      <c r="C387" s="127"/>
      <c r="D387" s="127"/>
      <c r="E387" s="128"/>
      <c r="F387" s="128"/>
      <c r="G387" s="127"/>
    </row>
    <row r="388" spans="2:7" x14ac:dyDescent="0.2">
      <c r="B388" s="127"/>
      <c r="C388" s="127"/>
      <c r="D388" s="127"/>
      <c r="E388" s="128"/>
      <c r="F388" s="128"/>
      <c r="G388" s="127"/>
    </row>
    <row r="389" spans="2:7" x14ac:dyDescent="0.2">
      <c r="B389" s="127"/>
      <c r="C389" s="127"/>
      <c r="D389" s="127"/>
      <c r="E389" s="128"/>
      <c r="F389" s="128"/>
      <c r="G389" s="127"/>
    </row>
    <row r="390" spans="2:7" x14ac:dyDescent="0.2">
      <c r="B390" s="127"/>
      <c r="C390" s="127"/>
      <c r="D390" s="127"/>
      <c r="E390" s="128"/>
      <c r="F390" s="128"/>
      <c r="G390" s="127"/>
    </row>
    <row r="391" spans="2:7" x14ac:dyDescent="0.2">
      <c r="B391" s="127"/>
      <c r="C391" s="127"/>
      <c r="D391" s="127"/>
      <c r="E391" s="128"/>
      <c r="F391" s="128"/>
      <c r="G391" s="127"/>
    </row>
    <row r="392" spans="2:7" x14ac:dyDescent="0.2">
      <c r="B392" s="127"/>
      <c r="C392" s="127"/>
      <c r="D392" s="127"/>
      <c r="E392" s="128"/>
      <c r="F392" s="128"/>
      <c r="G392" s="127"/>
    </row>
    <row r="393" spans="2:7" x14ac:dyDescent="0.2">
      <c r="B393" s="127"/>
      <c r="C393" s="127"/>
      <c r="D393" s="127"/>
      <c r="E393" s="128"/>
      <c r="F393" s="128"/>
      <c r="G393" s="127"/>
    </row>
    <row r="394" spans="2:7" x14ac:dyDescent="0.2">
      <c r="B394" s="127"/>
      <c r="C394" s="127"/>
      <c r="D394" s="127"/>
      <c r="E394" s="128"/>
      <c r="F394" s="128"/>
      <c r="G394" s="127"/>
    </row>
    <row r="395" spans="2:7" x14ac:dyDescent="0.2">
      <c r="B395" s="127"/>
      <c r="C395" s="127"/>
      <c r="D395" s="127"/>
      <c r="E395" s="128"/>
      <c r="F395" s="128"/>
      <c r="G395" s="127"/>
    </row>
    <row r="396" spans="2:7" x14ac:dyDescent="0.2">
      <c r="B396" s="127"/>
      <c r="C396" s="127"/>
      <c r="D396" s="127"/>
      <c r="E396" s="128"/>
      <c r="F396" s="128"/>
      <c r="G396" s="127"/>
    </row>
    <row r="397" spans="2:7" x14ac:dyDescent="0.2">
      <c r="B397" s="127"/>
      <c r="C397" s="127"/>
      <c r="D397" s="127"/>
      <c r="E397" s="128"/>
      <c r="F397" s="128"/>
      <c r="G397" s="127"/>
    </row>
    <row r="398" spans="2:7" x14ac:dyDescent="0.2">
      <c r="B398" s="127"/>
      <c r="C398" s="127"/>
      <c r="D398" s="127"/>
      <c r="E398" s="128"/>
      <c r="F398" s="128"/>
      <c r="G398" s="127"/>
    </row>
    <row r="399" spans="2:7" x14ac:dyDescent="0.2">
      <c r="B399" s="127"/>
      <c r="C399" s="127"/>
      <c r="D399" s="127"/>
      <c r="E399" s="128"/>
      <c r="F399" s="128"/>
      <c r="G399" s="127"/>
    </row>
    <row r="400" spans="2:7" x14ac:dyDescent="0.2">
      <c r="B400" s="127"/>
      <c r="C400" s="127"/>
      <c r="D400" s="127"/>
      <c r="E400" s="128"/>
      <c r="F400" s="128"/>
      <c r="G400" s="127"/>
    </row>
    <row r="401" spans="2:7" x14ac:dyDescent="0.2">
      <c r="B401" s="127"/>
      <c r="C401" s="127"/>
      <c r="D401" s="127"/>
      <c r="E401" s="128"/>
      <c r="F401" s="128"/>
      <c r="G401" s="127"/>
    </row>
    <row r="402" spans="2:7" x14ac:dyDescent="0.2">
      <c r="B402" s="127"/>
      <c r="C402" s="127"/>
      <c r="D402" s="127"/>
      <c r="E402" s="128"/>
      <c r="F402" s="128"/>
      <c r="G402" s="127"/>
    </row>
    <row r="403" spans="2:7" x14ac:dyDescent="0.2">
      <c r="B403" s="127"/>
      <c r="C403" s="127"/>
      <c r="D403" s="127"/>
      <c r="E403" s="128"/>
      <c r="F403" s="128"/>
      <c r="G403" s="127"/>
    </row>
    <row r="404" spans="2:7" x14ac:dyDescent="0.2">
      <c r="B404" s="127"/>
      <c r="C404" s="127"/>
      <c r="D404" s="127"/>
      <c r="E404" s="128"/>
      <c r="F404" s="128"/>
      <c r="G404" s="127"/>
    </row>
    <row r="405" spans="2:7" x14ac:dyDescent="0.2">
      <c r="B405" s="127"/>
      <c r="C405" s="127"/>
      <c r="D405" s="127"/>
      <c r="E405" s="128"/>
      <c r="F405" s="128"/>
      <c r="G405" s="127"/>
    </row>
    <row r="406" spans="2:7" x14ac:dyDescent="0.2">
      <c r="B406" s="127"/>
      <c r="C406" s="127"/>
      <c r="D406" s="127"/>
      <c r="E406" s="128"/>
      <c r="F406" s="128"/>
      <c r="G406" s="127"/>
    </row>
    <row r="407" spans="2:7" x14ac:dyDescent="0.2">
      <c r="B407" s="127"/>
      <c r="C407" s="127"/>
      <c r="D407" s="127"/>
      <c r="E407" s="128"/>
      <c r="F407" s="128"/>
      <c r="G407" s="127"/>
    </row>
    <row r="408" spans="2:7" x14ac:dyDescent="0.2">
      <c r="B408" s="127"/>
      <c r="C408" s="127"/>
      <c r="D408" s="127"/>
      <c r="E408" s="128"/>
      <c r="F408" s="128"/>
      <c r="G408" s="127"/>
    </row>
    <row r="409" spans="2:7" x14ac:dyDescent="0.2">
      <c r="B409" s="127"/>
      <c r="C409" s="127"/>
      <c r="D409" s="127"/>
      <c r="E409" s="128"/>
      <c r="F409" s="128"/>
      <c r="G409" s="127"/>
    </row>
    <row r="410" spans="2:7" x14ac:dyDescent="0.2">
      <c r="B410" s="127"/>
      <c r="C410" s="127"/>
      <c r="D410" s="127"/>
      <c r="E410" s="128"/>
      <c r="F410" s="128"/>
      <c r="G410" s="127"/>
    </row>
    <row r="411" spans="2:7" x14ac:dyDescent="0.2">
      <c r="B411" s="127"/>
      <c r="C411" s="127"/>
      <c r="D411" s="127"/>
      <c r="E411" s="128"/>
      <c r="F411" s="128"/>
      <c r="G411" s="127"/>
    </row>
    <row r="412" spans="2:7" x14ac:dyDescent="0.2">
      <c r="B412" s="127"/>
      <c r="C412" s="127"/>
      <c r="D412" s="127"/>
      <c r="E412" s="128"/>
      <c r="F412" s="128"/>
      <c r="G412" s="127"/>
    </row>
    <row r="413" spans="2:7" x14ac:dyDescent="0.2">
      <c r="B413" s="127"/>
      <c r="C413" s="127"/>
      <c r="D413" s="127"/>
      <c r="E413" s="128"/>
      <c r="F413" s="128"/>
      <c r="G413" s="127"/>
    </row>
    <row r="414" spans="2:7" x14ac:dyDescent="0.2">
      <c r="B414" s="127"/>
      <c r="C414" s="127"/>
      <c r="D414" s="127"/>
      <c r="E414" s="128"/>
      <c r="F414" s="128"/>
      <c r="G414" s="127"/>
    </row>
    <row r="415" spans="2:7" x14ac:dyDescent="0.2">
      <c r="B415" s="127"/>
      <c r="C415" s="127"/>
      <c r="D415" s="127"/>
      <c r="E415" s="128"/>
      <c r="F415" s="128"/>
      <c r="G415" s="127"/>
    </row>
    <row r="416" spans="2:7" x14ac:dyDescent="0.2">
      <c r="B416" s="127"/>
      <c r="C416" s="127"/>
      <c r="D416" s="127"/>
      <c r="E416" s="128"/>
      <c r="F416" s="128"/>
      <c r="G416" s="127"/>
    </row>
    <row r="417" spans="2:7" x14ac:dyDescent="0.2">
      <c r="B417" s="127"/>
      <c r="C417" s="127"/>
      <c r="D417" s="127"/>
      <c r="E417" s="128"/>
      <c r="F417" s="128"/>
      <c r="G417" s="127"/>
    </row>
    <row r="418" spans="2:7" x14ac:dyDescent="0.2">
      <c r="B418" s="127"/>
      <c r="C418" s="127"/>
      <c r="D418" s="127"/>
      <c r="E418" s="128"/>
      <c r="F418" s="128"/>
      <c r="G418" s="127"/>
    </row>
    <row r="419" spans="2:7" x14ac:dyDescent="0.2">
      <c r="B419" s="127"/>
      <c r="C419" s="127"/>
      <c r="D419" s="127"/>
      <c r="E419" s="128"/>
      <c r="F419" s="128"/>
      <c r="G419" s="127"/>
    </row>
    <row r="420" spans="2:7" x14ac:dyDescent="0.2">
      <c r="B420" s="127"/>
      <c r="C420" s="127"/>
      <c r="D420" s="127"/>
      <c r="E420" s="128"/>
      <c r="F420" s="128"/>
      <c r="G420" s="127"/>
    </row>
    <row r="421" spans="2:7" x14ac:dyDescent="0.2">
      <c r="B421" s="127"/>
      <c r="C421" s="127"/>
      <c r="D421" s="127"/>
      <c r="E421" s="128"/>
      <c r="F421" s="128"/>
      <c r="G421" s="127"/>
    </row>
    <row r="422" spans="2:7" x14ac:dyDescent="0.2">
      <c r="B422" s="127"/>
      <c r="C422" s="127"/>
      <c r="D422" s="127"/>
      <c r="E422" s="128"/>
      <c r="F422" s="128"/>
      <c r="G422" s="127"/>
    </row>
    <row r="423" spans="2:7" x14ac:dyDescent="0.2">
      <c r="B423" s="127"/>
      <c r="C423" s="127"/>
      <c r="D423" s="127"/>
      <c r="E423" s="128"/>
      <c r="F423" s="128"/>
      <c r="G423" s="127"/>
    </row>
    <row r="424" spans="2:7" x14ac:dyDescent="0.2">
      <c r="B424" s="127"/>
      <c r="C424" s="127"/>
      <c r="D424" s="127"/>
      <c r="E424" s="128"/>
      <c r="F424" s="128"/>
      <c r="G424" s="127"/>
    </row>
    <row r="425" spans="2:7" x14ac:dyDescent="0.2">
      <c r="B425" s="127"/>
      <c r="C425" s="127"/>
      <c r="D425" s="127"/>
      <c r="E425" s="128"/>
      <c r="F425" s="128"/>
      <c r="G425" s="127"/>
    </row>
    <row r="426" spans="2:7" x14ac:dyDescent="0.2">
      <c r="B426" s="127"/>
      <c r="C426" s="127"/>
      <c r="D426" s="127"/>
      <c r="E426" s="128"/>
      <c r="F426" s="128"/>
      <c r="G426" s="127"/>
    </row>
    <row r="427" spans="2:7" x14ac:dyDescent="0.2">
      <c r="B427" s="127"/>
      <c r="C427" s="127"/>
      <c r="D427" s="127"/>
      <c r="E427" s="128"/>
      <c r="F427" s="128"/>
      <c r="G427" s="127"/>
    </row>
    <row r="428" spans="2:7" x14ac:dyDescent="0.2">
      <c r="B428" s="127"/>
      <c r="C428" s="127"/>
      <c r="D428" s="127"/>
      <c r="E428" s="128"/>
      <c r="F428" s="128"/>
      <c r="G428" s="127"/>
    </row>
    <row r="429" spans="2:7" x14ac:dyDescent="0.2">
      <c r="B429" s="127"/>
      <c r="C429" s="127"/>
      <c r="D429" s="127"/>
      <c r="E429" s="128"/>
      <c r="F429" s="128"/>
      <c r="G429" s="127"/>
    </row>
    <row r="430" spans="2:7" x14ac:dyDescent="0.2">
      <c r="B430" s="127"/>
      <c r="C430" s="127"/>
      <c r="D430" s="127"/>
      <c r="E430" s="128"/>
      <c r="F430" s="128"/>
      <c r="G430" s="127"/>
    </row>
    <row r="431" spans="2:7" x14ac:dyDescent="0.2">
      <c r="B431" s="127"/>
      <c r="C431" s="127"/>
      <c r="D431" s="127"/>
      <c r="E431" s="128"/>
      <c r="F431" s="128"/>
      <c r="G431" s="127"/>
    </row>
    <row r="432" spans="2:7" x14ac:dyDescent="0.2">
      <c r="B432" s="127"/>
      <c r="C432" s="127"/>
      <c r="D432" s="127"/>
      <c r="E432" s="128"/>
      <c r="F432" s="128"/>
      <c r="G432" s="127"/>
    </row>
    <row r="433" spans="2:7" x14ac:dyDescent="0.2">
      <c r="B433" s="127"/>
      <c r="C433" s="127"/>
      <c r="D433" s="127"/>
      <c r="E433" s="128"/>
      <c r="F433" s="128"/>
      <c r="G433" s="127"/>
    </row>
    <row r="434" spans="2:7" x14ac:dyDescent="0.2">
      <c r="B434" s="127"/>
      <c r="C434" s="127"/>
      <c r="D434" s="127"/>
      <c r="E434" s="128"/>
      <c r="F434" s="128"/>
      <c r="G434" s="127"/>
    </row>
    <row r="435" spans="2:7" x14ac:dyDescent="0.2">
      <c r="B435" s="127"/>
      <c r="C435" s="127"/>
      <c r="D435" s="127"/>
      <c r="E435" s="128"/>
      <c r="F435" s="128"/>
      <c r="G435" s="127"/>
    </row>
    <row r="436" spans="2:7" x14ac:dyDescent="0.2">
      <c r="B436" s="127"/>
      <c r="C436" s="127"/>
      <c r="D436" s="127"/>
      <c r="E436" s="128"/>
      <c r="F436" s="128"/>
      <c r="G436" s="127"/>
    </row>
    <row r="437" spans="2:7" x14ac:dyDescent="0.2">
      <c r="B437" s="127"/>
      <c r="C437" s="127"/>
      <c r="D437" s="127"/>
      <c r="E437" s="128"/>
      <c r="F437" s="128"/>
      <c r="G437" s="127"/>
    </row>
    <row r="438" spans="2:7" x14ac:dyDescent="0.2">
      <c r="B438" s="127"/>
      <c r="C438" s="127"/>
      <c r="D438" s="127"/>
      <c r="E438" s="128"/>
      <c r="F438" s="128"/>
      <c r="G438" s="127"/>
    </row>
    <row r="439" spans="2:7" x14ac:dyDescent="0.2">
      <c r="B439" s="127"/>
      <c r="C439" s="127"/>
      <c r="D439" s="127"/>
      <c r="E439" s="128"/>
      <c r="F439" s="128"/>
      <c r="G439" s="127"/>
    </row>
    <row r="440" spans="2:7" x14ac:dyDescent="0.2">
      <c r="B440" s="127"/>
      <c r="C440" s="127"/>
      <c r="D440" s="127"/>
      <c r="E440" s="128"/>
      <c r="F440" s="128"/>
      <c r="G440" s="127"/>
    </row>
    <row r="441" spans="2:7" x14ac:dyDescent="0.2">
      <c r="B441" s="127"/>
      <c r="C441" s="127"/>
      <c r="D441" s="127"/>
      <c r="E441" s="128"/>
      <c r="F441" s="128"/>
      <c r="G441" s="127"/>
    </row>
    <row r="442" spans="2:7" x14ac:dyDescent="0.2">
      <c r="B442" s="127"/>
      <c r="C442" s="127"/>
      <c r="D442" s="127"/>
      <c r="E442" s="128"/>
      <c r="F442" s="128"/>
      <c r="G442" s="127"/>
    </row>
    <row r="443" spans="2:7" x14ac:dyDescent="0.2">
      <c r="B443" s="127"/>
      <c r="C443" s="127"/>
      <c r="D443" s="127"/>
      <c r="E443" s="128"/>
      <c r="F443" s="128"/>
      <c r="G443" s="127"/>
    </row>
    <row r="444" spans="2:7" x14ac:dyDescent="0.2">
      <c r="B444" s="127"/>
      <c r="C444" s="127"/>
      <c r="D444" s="127"/>
      <c r="E444" s="128"/>
      <c r="F444" s="128"/>
      <c r="G444" s="127"/>
    </row>
    <row r="445" spans="2:7" x14ac:dyDescent="0.2">
      <c r="B445" s="127"/>
      <c r="C445" s="127"/>
      <c r="D445" s="127"/>
      <c r="E445" s="128"/>
      <c r="F445" s="128"/>
      <c r="G445" s="127"/>
    </row>
    <row r="446" spans="2:7" x14ac:dyDescent="0.2">
      <c r="B446" s="127"/>
      <c r="C446" s="127"/>
      <c r="D446" s="127"/>
      <c r="E446" s="128"/>
      <c r="F446" s="128"/>
      <c r="G446" s="127"/>
    </row>
    <row r="447" spans="2:7" x14ac:dyDescent="0.2">
      <c r="B447" s="127"/>
      <c r="C447" s="127"/>
      <c r="D447" s="127"/>
      <c r="E447" s="128"/>
      <c r="F447" s="128"/>
      <c r="G447" s="127"/>
    </row>
    <row r="448" spans="2:7" x14ac:dyDescent="0.2">
      <c r="B448" s="127"/>
      <c r="C448" s="127"/>
      <c r="D448" s="127"/>
      <c r="E448" s="128"/>
      <c r="F448" s="128"/>
      <c r="G448" s="127"/>
    </row>
    <row r="449" spans="2:7" x14ac:dyDescent="0.2">
      <c r="B449" s="127"/>
      <c r="C449" s="127"/>
      <c r="D449" s="127"/>
      <c r="E449" s="128"/>
      <c r="F449" s="128"/>
      <c r="G449" s="127"/>
    </row>
    <row r="450" spans="2:7" x14ac:dyDescent="0.2">
      <c r="B450" s="127"/>
      <c r="C450" s="127"/>
      <c r="D450" s="127"/>
      <c r="E450" s="128"/>
      <c r="F450" s="128"/>
      <c r="G450" s="127"/>
    </row>
    <row r="451" spans="2:7" x14ac:dyDescent="0.2">
      <c r="B451" s="127"/>
      <c r="C451" s="127"/>
      <c r="D451" s="127"/>
      <c r="E451" s="128"/>
      <c r="F451" s="128"/>
      <c r="G451" s="127"/>
    </row>
    <row r="452" spans="2:7" x14ac:dyDescent="0.2">
      <c r="B452" s="127"/>
      <c r="C452" s="127"/>
      <c r="D452" s="127"/>
      <c r="E452" s="128"/>
      <c r="F452" s="128"/>
      <c r="G452" s="127"/>
    </row>
    <row r="453" spans="2:7" x14ac:dyDescent="0.2">
      <c r="B453" s="127"/>
      <c r="C453" s="127"/>
      <c r="D453" s="127"/>
      <c r="E453" s="128"/>
      <c r="F453" s="128"/>
      <c r="G453" s="127"/>
    </row>
    <row r="454" spans="2:7" x14ac:dyDescent="0.2">
      <c r="B454" s="127"/>
      <c r="C454" s="127"/>
      <c r="D454" s="127"/>
      <c r="E454" s="128"/>
      <c r="F454" s="128"/>
      <c r="G454" s="127"/>
    </row>
    <row r="455" spans="2:7" x14ac:dyDescent="0.2">
      <c r="B455" s="127"/>
      <c r="C455" s="127"/>
      <c r="D455" s="127"/>
      <c r="E455" s="128"/>
      <c r="F455" s="128"/>
      <c r="G455" s="127"/>
    </row>
    <row r="456" spans="2:7" x14ac:dyDescent="0.2">
      <c r="B456" s="127"/>
      <c r="C456" s="127"/>
      <c r="D456" s="127"/>
      <c r="E456" s="128"/>
      <c r="F456" s="128"/>
      <c r="G456" s="127"/>
    </row>
    <row r="457" spans="2:7" x14ac:dyDescent="0.2">
      <c r="B457" s="127"/>
      <c r="C457" s="127"/>
      <c r="D457" s="127"/>
      <c r="E457" s="128"/>
      <c r="F457" s="128"/>
      <c r="G457" s="127"/>
    </row>
    <row r="458" spans="2:7" x14ac:dyDescent="0.2">
      <c r="B458" s="127"/>
      <c r="C458" s="127"/>
      <c r="D458" s="127"/>
      <c r="E458" s="128"/>
      <c r="F458" s="128"/>
      <c r="G458" s="127"/>
    </row>
    <row r="459" spans="2:7" x14ac:dyDescent="0.2">
      <c r="B459" s="127"/>
      <c r="C459" s="127"/>
      <c r="D459" s="127"/>
      <c r="E459" s="128"/>
      <c r="F459" s="128"/>
      <c r="G459" s="127"/>
    </row>
    <row r="460" spans="2:7" x14ac:dyDescent="0.2">
      <c r="B460" s="127"/>
      <c r="C460" s="127"/>
      <c r="D460" s="127"/>
      <c r="E460" s="128"/>
      <c r="F460" s="128"/>
      <c r="G460" s="127"/>
    </row>
    <row r="461" spans="2:7" x14ac:dyDescent="0.2">
      <c r="B461" s="127"/>
      <c r="C461" s="127"/>
      <c r="D461" s="127"/>
      <c r="E461" s="128"/>
      <c r="F461" s="128"/>
      <c r="G461" s="127"/>
    </row>
    <row r="462" spans="2:7" x14ac:dyDescent="0.2">
      <c r="B462" s="127"/>
      <c r="C462" s="127"/>
      <c r="D462" s="127"/>
      <c r="E462" s="128"/>
      <c r="F462" s="128"/>
      <c r="G462" s="127"/>
    </row>
    <row r="463" spans="2:7" x14ac:dyDescent="0.2">
      <c r="B463" s="127"/>
      <c r="C463" s="127"/>
      <c r="D463" s="127"/>
      <c r="E463" s="128"/>
      <c r="F463" s="128"/>
      <c r="G463" s="127"/>
    </row>
    <row r="464" spans="2:7" x14ac:dyDescent="0.2">
      <c r="B464" s="127"/>
      <c r="C464" s="127"/>
      <c r="D464" s="127"/>
      <c r="E464" s="128"/>
      <c r="F464" s="128"/>
      <c r="G464" s="127"/>
    </row>
    <row r="465" spans="2:7" x14ac:dyDescent="0.2">
      <c r="B465" s="127"/>
      <c r="C465" s="127"/>
      <c r="D465" s="127"/>
      <c r="E465" s="128"/>
      <c r="F465" s="128"/>
      <c r="G465" s="127"/>
    </row>
    <row r="466" spans="2:7" x14ac:dyDescent="0.2">
      <c r="B466" s="127"/>
      <c r="C466" s="127"/>
      <c r="D466" s="127"/>
      <c r="E466" s="128"/>
      <c r="F466" s="128"/>
      <c r="G466" s="127"/>
    </row>
    <row r="467" spans="2:7" x14ac:dyDescent="0.2">
      <c r="B467" s="127"/>
      <c r="C467" s="127"/>
      <c r="D467" s="127"/>
      <c r="E467" s="128"/>
      <c r="F467" s="128"/>
      <c r="G467" s="127"/>
    </row>
    <row r="468" spans="2:7" x14ac:dyDescent="0.2">
      <c r="B468" s="127"/>
      <c r="C468" s="127"/>
      <c r="D468" s="127"/>
      <c r="E468" s="128"/>
      <c r="F468" s="128"/>
      <c r="G468" s="127"/>
    </row>
    <row r="469" spans="2:7" x14ac:dyDescent="0.2">
      <c r="B469" s="127"/>
      <c r="C469" s="127"/>
      <c r="D469" s="127"/>
      <c r="E469" s="128"/>
      <c r="F469" s="128"/>
      <c r="G469" s="127"/>
    </row>
    <row r="470" spans="2:7" x14ac:dyDescent="0.2">
      <c r="B470" s="127"/>
      <c r="C470" s="127"/>
      <c r="D470" s="127"/>
      <c r="E470" s="128"/>
      <c r="F470" s="128"/>
      <c r="G470" s="127"/>
    </row>
    <row r="471" spans="2:7" x14ac:dyDescent="0.2">
      <c r="B471" s="127"/>
      <c r="C471" s="127"/>
      <c r="D471" s="127"/>
      <c r="E471" s="128"/>
      <c r="F471" s="128"/>
      <c r="G471" s="127"/>
    </row>
    <row r="472" spans="2:7" x14ac:dyDescent="0.2">
      <c r="B472" s="127"/>
      <c r="C472" s="127"/>
      <c r="D472" s="127"/>
      <c r="E472" s="128"/>
      <c r="F472" s="128"/>
      <c r="G472" s="127"/>
    </row>
    <row r="473" spans="2:7" x14ac:dyDescent="0.2">
      <c r="B473" s="127"/>
      <c r="C473" s="127"/>
      <c r="D473" s="127"/>
      <c r="E473" s="128"/>
      <c r="F473" s="128"/>
      <c r="G473" s="127"/>
    </row>
    <row r="474" spans="2:7" x14ac:dyDescent="0.2">
      <c r="B474" s="127"/>
      <c r="C474" s="127"/>
      <c r="D474" s="127"/>
      <c r="E474" s="128"/>
      <c r="F474" s="128"/>
      <c r="G474" s="127"/>
    </row>
    <row r="475" spans="2:7" x14ac:dyDescent="0.2">
      <c r="B475" s="127"/>
      <c r="C475" s="127"/>
      <c r="D475" s="127"/>
      <c r="E475" s="128"/>
      <c r="F475" s="128"/>
      <c r="G475" s="127"/>
    </row>
    <row r="476" spans="2:7" x14ac:dyDescent="0.2">
      <c r="B476" s="127"/>
      <c r="C476" s="127"/>
      <c r="D476" s="127"/>
      <c r="E476" s="128"/>
      <c r="F476" s="128"/>
      <c r="G476" s="127"/>
    </row>
    <row r="477" spans="2:7" x14ac:dyDescent="0.2">
      <c r="B477" s="127"/>
      <c r="C477" s="127"/>
      <c r="D477" s="127"/>
      <c r="E477" s="128"/>
      <c r="F477" s="128"/>
      <c r="G477" s="127"/>
    </row>
    <row r="478" spans="2:7" x14ac:dyDescent="0.2">
      <c r="B478" s="127"/>
      <c r="C478" s="127"/>
      <c r="D478" s="127"/>
      <c r="E478" s="128"/>
      <c r="F478" s="128"/>
      <c r="G478" s="127"/>
    </row>
    <row r="479" spans="2:7" x14ac:dyDescent="0.2">
      <c r="B479" s="127"/>
      <c r="C479" s="127"/>
      <c r="D479" s="127"/>
      <c r="E479" s="128"/>
      <c r="F479" s="128"/>
      <c r="G479" s="127"/>
    </row>
    <row r="480" spans="2:7" x14ac:dyDescent="0.2">
      <c r="B480" s="127"/>
      <c r="C480" s="127"/>
      <c r="D480" s="127"/>
      <c r="E480" s="128"/>
      <c r="F480" s="128"/>
      <c r="G480" s="127"/>
    </row>
    <row r="481" spans="2:7" x14ac:dyDescent="0.2">
      <c r="B481" s="127"/>
      <c r="C481" s="127"/>
      <c r="D481" s="127"/>
      <c r="E481" s="128"/>
      <c r="F481" s="128"/>
      <c r="G481" s="127"/>
    </row>
    <row r="482" spans="2:7" x14ac:dyDescent="0.2">
      <c r="B482" s="127"/>
      <c r="C482" s="127"/>
      <c r="D482" s="127"/>
      <c r="E482" s="128"/>
      <c r="F482" s="128"/>
      <c r="G482" s="127"/>
    </row>
    <row r="483" spans="2:7" x14ac:dyDescent="0.2">
      <c r="B483" s="127"/>
      <c r="C483" s="127"/>
      <c r="D483" s="127"/>
      <c r="E483" s="128"/>
      <c r="F483" s="128"/>
      <c r="G483" s="127"/>
    </row>
    <row r="484" spans="2:7" x14ac:dyDescent="0.2">
      <c r="B484" s="127"/>
      <c r="C484" s="127"/>
      <c r="D484" s="127"/>
      <c r="E484" s="128"/>
      <c r="F484" s="128"/>
      <c r="G484" s="127"/>
    </row>
    <row r="485" spans="2:7" x14ac:dyDescent="0.2">
      <c r="B485" s="127"/>
      <c r="C485" s="127"/>
      <c r="D485" s="127"/>
      <c r="E485" s="128"/>
      <c r="F485" s="128"/>
      <c r="G485" s="127"/>
    </row>
    <row r="486" spans="2:7" x14ac:dyDescent="0.2">
      <c r="B486" s="127"/>
      <c r="C486" s="127"/>
      <c r="D486" s="127"/>
      <c r="E486" s="128"/>
      <c r="F486" s="128"/>
      <c r="G486" s="127"/>
    </row>
    <row r="487" spans="2:7" x14ac:dyDescent="0.2">
      <c r="B487" s="127"/>
      <c r="C487" s="127"/>
      <c r="D487" s="127"/>
      <c r="E487" s="128"/>
      <c r="F487" s="128"/>
      <c r="G487" s="127"/>
    </row>
    <row r="488" spans="2:7" x14ac:dyDescent="0.2">
      <c r="B488" s="127"/>
      <c r="C488" s="127"/>
      <c r="D488" s="127"/>
      <c r="E488" s="128"/>
      <c r="F488" s="128"/>
      <c r="G488" s="127"/>
    </row>
    <row r="489" spans="2:7" x14ac:dyDescent="0.2">
      <c r="B489" s="127"/>
      <c r="C489" s="127"/>
      <c r="D489" s="127"/>
      <c r="E489" s="128"/>
      <c r="F489" s="128"/>
      <c r="G489" s="127"/>
    </row>
    <row r="490" spans="2:7" x14ac:dyDescent="0.2">
      <c r="B490" s="127"/>
      <c r="C490" s="127"/>
      <c r="D490" s="127"/>
      <c r="E490" s="128"/>
      <c r="F490" s="128"/>
      <c r="G490" s="127"/>
    </row>
    <row r="491" spans="2:7" x14ac:dyDescent="0.2">
      <c r="B491" s="127"/>
      <c r="C491" s="127"/>
      <c r="D491" s="127"/>
      <c r="E491" s="128"/>
      <c r="F491" s="128"/>
      <c r="G491" s="127"/>
    </row>
    <row r="492" spans="2:7" x14ac:dyDescent="0.2">
      <c r="B492" s="127"/>
      <c r="C492" s="127"/>
      <c r="D492" s="127"/>
      <c r="E492" s="128"/>
      <c r="F492" s="128"/>
      <c r="G492" s="127"/>
    </row>
    <row r="493" spans="2:7" x14ac:dyDescent="0.2">
      <c r="B493" s="127"/>
      <c r="C493" s="127"/>
      <c r="D493" s="127"/>
      <c r="E493" s="128"/>
      <c r="F493" s="128"/>
      <c r="G493" s="127"/>
    </row>
    <row r="494" spans="2:7" x14ac:dyDescent="0.2">
      <c r="B494" s="127"/>
      <c r="C494" s="127"/>
      <c r="D494" s="127"/>
      <c r="E494" s="128"/>
      <c r="F494" s="128"/>
      <c r="G494" s="127"/>
    </row>
    <row r="495" spans="2:7" x14ac:dyDescent="0.2">
      <c r="B495" s="127"/>
      <c r="C495" s="127"/>
      <c r="D495" s="127"/>
      <c r="E495" s="128"/>
      <c r="F495" s="128"/>
      <c r="G495" s="127"/>
    </row>
    <row r="496" spans="2:7" x14ac:dyDescent="0.2">
      <c r="B496" s="127"/>
      <c r="C496" s="127"/>
      <c r="D496" s="127"/>
      <c r="E496" s="128"/>
      <c r="F496" s="128"/>
      <c r="G496" s="127"/>
    </row>
    <row r="497" spans="2:7" x14ac:dyDescent="0.2">
      <c r="B497" s="127"/>
      <c r="C497" s="127"/>
      <c r="D497" s="127"/>
      <c r="E497" s="128"/>
      <c r="F497" s="128"/>
      <c r="G497" s="127"/>
    </row>
    <row r="498" spans="2:7" x14ac:dyDescent="0.2">
      <c r="B498" s="127"/>
      <c r="C498" s="127"/>
      <c r="D498" s="127"/>
      <c r="E498" s="128"/>
      <c r="F498" s="128"/>
      <c r="G498" s="127"/>
    </row>
    <row r="499" spans="2:7" x14ac:dyDescent="0.2">
      <c r="B499" s="127"/>
      <c r="C499" s="127"/>
      <c r="D499" s="127"/>
      <c r="E499" s="128"/>
      <c r="F499" s="128"/>
      <c r="G499" s="127"/>
    </row>
    <row r="500" spans="2:7" x14ac:dyDescent="0.2">
      <c r="B500" s="127"/>
      <c r="C500" s="127"/>
      <c r="D500" s="127"/>
      <c r="E500" s="128"/>
      <c r="F500" s="128"/>
      <c r="G500" s="127"/>
    </row>
    <row r="501" spans="2:7" x14ac:dyDescent="0.2">
      <c r="B501" s="127"/>
      <c r="C501" s="127"/>
      <c r="D501" s="127"/>
      <c r="E501" s="127"/>
      <c r="F501" s="127"/>
      <c r="G501" s="127"/>
    </row>
    <row r="502" spans="2:7" x14ac:dyDescent="0.2">
      <c r="B502" s="127"/>
      <c r="C502" s="127"/>
      <c r="D502" s="127"/>
      <c r="E502" s="127"/>
      <c r="F502" s="127"/>
      <c r="G502" s="127"/>
    </row>
    <row r="503" spans="2:7" x14ac:dyDescent="0.2">
      <c r="B503" s="127"/>
      <c r="C503" s="127"/>
      <c r="D503" s="127"/>
      <c r="E503" s="127"/>
      <c r="F503" s="127"/>
      <c r="G503" s="127"/>
    </row>
    <row r="504" spans="2:7" x14ac:dyDescent="0.2">
      <c r="B504" s="127"/>
      <c r="C504" s="127"/>
      <c r="D504" s="127"/>
      <c r="E504" s="127"/>
      <c r="F504" s="127"/>
      <c r="G504" s="127"/>
    </row>
    <row r="505" spans="2:7" x14ac:dyDescent="0.2">
      <c r="B505" s="127"/>
      <c r="C505" s="127"/>
      <c r="D505" s="127"/>
      <c r="E505" s="127"/>
      <c r="F505" s="127"/>
      <c r="G505" s="127"/>
    </row>
    <row r="506" spans="2:7" x14ac:dyDescent="0.2">
      <c r="B506" s="127"/>
      <c r="C506" s="127"/>
      <c r="D506" s="127"/>
      <c r="E506" s="127"/>
      <c r="F506" s="127"/>
      <c r="G506" s="127"/>
    </row>
    <row r="507" spans="2:7" x14ac:dyDescent="0.2">
      <c r="B507" s="127"/>
      <c r="C507" s="127"/>
      <c r="D507" s="127"/>
      <c r="E507" s="127"/>
      <c r="F507" s="127"/>
      <c r="G507" s="127"/>
    </row>
    <row r="508" spans="2:7" x14ac:dyDescent="0.2">
      <c r="B508" s="127"/>
      <c r="C508" s="127"/>
      <c r="D508" s="127"/>
      <c r="E508" s="127"/>
      <c r="F508" s="127"/>
      <c r="G508" s="127"/>
    </row>
    <row r="509" spans="2:7" x14ac:dyDescent="0.2">
      <c r="B509" s="127"/>
      <c r="C509" s="127"/>
      <c r="D509" s="127"/>
      <c r="E509" s="127"/>
      <c r="F509" s="127"/>
      <c r="G509" s="127"/>
    </row>
    <row r="510" spans="2:7" x14ac:dyDescent="0.2">
      <c r="B510" s="127"/>
      <c r="C510" s="127"/>
      <c r="D510" s="127"/>
      <c r="E510" s="127"/>
      <c r="F510" s="127"/>
      <c r="G510" s="127"/>
    </row>
    <row r="511" spans="2:7" x14ac:dyDescent="0.2">
      <c r="B511" s="127"/>
      <c r="C511" s="127"/>
      <c r="D511" s="127"/>
      <c r="E511" s="127"/>
      <c r="F511" s="127"/>
      <c r="G511" s="127"/>
    </row>
    <row r="512" spans="2:7" x14ac:dyDescent="0.2">
      <c r="B512" s="127"/>
      <c r="C512" s="127"/>
      <c r="D512" s="127"/>
      <c r="E512" s="127"/>
      <c r="F512" s="127"/>
      <c r="G512" s="127"/>
    </row>
    <row r="513" spans="2:7" x14ac:dyDescent="0.2">
      <c r="B513" s="127"/>
      <c r="C513" s="127"/>
      <c r="D513" s="127"/>
      <c r="E513" s="127"/>
      <c r="F513" s="127"/>
      <c r="G513" s="127"/>
    </row>
    <row r="514" spans="2:7" x14ac:dyDescent="0.2">
      <c r="B514" s="127"/>
      <c r="C514" s="127"/>
      <c r="D514" s="127"/>
      <c r="E514" s="127"/>
      <c r="F514" s="127"/>
      <c r="G514" s="127"/>
    </row>
    <row r="515" spans="2:7" x14ac:dyDescent="0.2">
      <c r="B515" s="127"/>
      <c r="C515" s="127"/>
      <c r="D515" s="127"/>
      <c r="E515" s="127"/>
      <c r="F515" s="127"/>
      <c r="G515" s="127"/>
    </row>
    <row r="516" spans="2:7" x14ac:dyDescent="0.2">
      <c r="B516" s="127"/>
      <c r="C516" s="127"/>
      <c r="D516" s="127"/>
      <c r="E516" s="127"/>
      <c r="F516" s="127"/>
      <c r="G516" s="127"/>
    </row>
    <row r="517" spans="2:7" x14ac:dyDescent="0.2">
      <c r="B517" s="127"/>
      <c r="C517" s="127"/>
      <c r="D517" s="127"/>
      <c r="E517" s="127"/>
      <c r="F517" s="127"/>
      <c r="G517" s="127"/>
    </row>
    <row r="518" spans="2:7" x14ac:dyDescent="0.2">
      <c r="B518" s="127"/>
      <c r="C518" s="127"/>
      <c r="D518" s="127"/>
      <c r="E518" s="127"/>
      <c r="F518" s="127"/>
      <c r="G518" s="127"/>
    </row>
    <row r="519" spans="2:7" x14ac:dyDescent="0.2">
      <c r="B519" s="127"/>
      <c r="C519" s="127"/>
      <c r="D519" s="127"/>
      <c r="E519" s="127"/>
      <c r="F519" s="127"/>
      <c r="G519" s="127"/>
    </row>
    <row r="520" spans="2:7" x14ac:dyDescent="0.2">
      <c r="B520" s="127"/>
      <c r="C520" s="127"/>
      <c r="D520" s="127"/>
      <c r="E520" s="127"/>
      <c r="F520" s="127"/>
      <c r="G520" s="127"/>
    </row>
    <row r="521" spans="2:7" x14ac:dyDescent="0.2">
      <c r="B521" s="127"/>
      <c r="C521" s="127"/>
      <c r="D521" s="127"/>
      <c r="E521" s="127"/>
      <c r="F521" s="127"/>
      <c r="G521" s="127"/>
    </row>
    <row r="522" spans="2:7" x14ac:dyDescent="0.2">
      <c r="B522" s="127"/>
      <c r="C522" s="127"/>
      <c r="D522" s="127"/>
      <c r="E522" s="127"/>
      <c r="F522" s="127"/>
      <c r="G522" s="127"/>
    </row>
    <row r="523" spans="2:7" x14ac:dyDescent="0.2">
      <c r="B523" s="127"/>
      <c r="C523" s="127"/>
      <c r="D523" s="127"/>
      <c r="E523" s="127"/>
      <c r="F523" s="127"/>
      <c r="G523" s="127"/>
    </row>
    <row r="524" spans="2:7" x14ac:dyDescent="0.2">
      <c r="B524" s="127"/>
      <c r="C524" s="127"/>
      <c r="D524" s="127"/>
      <c r="E524" s="127"/>
      <c r="F524" s="127"/>
      <c r="G524" s="127"/>
    </row>
    <row r="525" spans="2:7" x14ac:dyDescent="0.2">
      <c r="B525" s="127"/>
      <c r="C525" s="127"/>
      <c r="D525" s="127"/>
      <c r="E525" s="127"/>
      <c r="F525" s="127"/>
      <c r="G525" s="127"/>
    </row>
    <row r="526" spans="2:7" x14ac:dyDescent="0.2">
      <c r="B526" s="127"/>
      <c r="C526" s="127"/>
      <c r="D526" s="127"/>
      <c r="E526" s="127"/>
      <c r="F526" s="127"/>
      <c r="G526" s="127"/>
    </row>
    <row r="527" spans="2:7" x14ac:dyDescent="0.2">
      <c r="B527" s="127"/>
      <c r="C527" s="127"/>
      <c r="D527" s="127"/>
      <c r="E527" s="127"/>
      <c r="F527" s="127"/>
      <c r="G527" s="127"/>
    </row>
    <row r="528" spans="2:7" x14ac:dyDescent="0.2">
      <c r="B528" s="127"/>
      <c r="C528" s="127"/>
      <c r="D528" s="127"/>
      <c r="E528" s="127"/>
      <c r="F528" s="127"/>
      <c r="G528" s="127"/>
    </row>
    <row r="529" spans="2:7" x14ac:dyDescent="0.2">
      <c r="B529" s="127"/>
      <c r="C529" s="127"/>
      <c r="D529" s="127"/>
      <c r="E529" s="127"/>
      <c r="F529" s="127"/>
      <c r="G529" s="127"/>
    </row>
    <row r="530" spans="2:7" x14ac:dyDescent="0.2">
      <c r="B530" s="127"/>
      <c r="C530" s="127"/>
      <c r="D530" s="127"/>
      <c r="E530" s="127"/>
      <c r="F530" s="127"/>
      <c r="G530" s="127"/>
    </row>
    <row r="531" spans="2:7" x14ac:dyDescent="0.2">
      <c r="B531" s="127"/>
      <c r="C531" s="127"/>
      <c r="D531" s="127"/>
      <c r="E531" s="127"/>
      <c r="F531" s="127"/>
      <c r="G531" s="127"/>
    </row>
    <row r="532" spans="2:7" x14ac:dyDescent="0.2">
      <c r="B532" s="127"/>
      <c r="C532" s="127"/>
      <c r="D532" s="127"/>
      <c r="E532" s="127"/>
      <c r="F532" s="127"/>
      <c r="G532" s="127"/>
    </row>
    <row r="533" spans="2:7" x14ac:dyDescent="0.2">
      <c r="B533" s="127"/>
      <c r="C533" s="127"/>
      <c r="D533" s="127"/>
      <c r="E533" s="127"/>
      <c r="F533" s="127"/>
      <c r="G533" s="127"/>
    </row>
    <row r="534" spans="2:7" x14ac:dyDescent="0.2">
      <c r="B534" s="127"/>
      <c r="C534" s="127"/>
      <c r="D534" s="127"/>
      <c r="E534" s="127"/>
      <c r="F534" s="127"/>
      <c r="G534" s="127"/>
    </row>
    <row r="535" spans="2:7" x14ac:dyDescent="0.2">
      <c r="B535" s="127"/>
      <c r="C535" s="127"/>
      <c r="D535" s="127"/>
      <c r="E535" s="127"/>
      <c r="F535" s="127"/>
      <c r="G535" s="127"/>
    </row>
    <row r="536" spans="2:7" x14ac:dyDescent="0.2">
      <c r="B536" s="127"/>
      <c r="C536" s="127"/>
      <c r="D536" s="127"/>
      <c r="E536" s="127"/>
      <c r="F536" s="127"/>
      <c r="G536" s="127"/>
    </row>
    <row r="537" spans="2:7" x14ac:dyDescent="0.2">
      <c r="B537" s="127"/>
      <c r="C537" s="127"/>
      <c r="D537" s="127"/>
      <c r="E537" s="127"/>
      <c r="F537" s="127"/>
      <c r="G537" s="127"/>
    </row>
    <row r="538" spans="2:7" x14ac:dyDescent="0.2">
      <c r="B538" s="127"/>
      <c r="C538" s="127"/>
      <c r="D538" s="127"/>
      <c r="E538" s="127"/>
      <c r="F538" s="127"/>
      <c r="G538" s="127"/>
    </row>
    <row r="539" spans="2:7" x14ac:dyDescent="0.2">
      <c r="B539" s="127"/>
      <c r="C539" s="127"/>
      <c r="D539" s="127"/>
      <c r="E539" s="127"/>
      <c r="F539" s="127"/>
      <c r="G539" s="127"/>
    </row>
    <row r="540" spans="2:7" x14ac:dyDescent="0.2">
      <c r="B540" s="127"/>
      <c r="C540" s="127"/>
      <c r="D540" s="127"/>
      <c r="E540" s="127"/>
      <c r="F540" s="127"/>
      <c r="G540" s="127"/>
    </row>
    <row r="541" spans="2:7" x14ac:dyDescent="0.2">
      <c r="B541" s="127"/>
      <c r="C541" s="127"/>
      <c r="D541" s="127"/>
      <c r="E541" s="127"/>
      <c r="F541" s="127"/>
      <c r="G541" s="127"/>
    </row>
    <row r="542" spans="2:7" x14ac:dyDescent="0.2">
      <c r="B542" s="127"/>
      <c r="C542" s="127"/>
      <c r="D542" s="127"/>
      <c r="E542" s="127"/>
      <c r="F542" s="127"/>
      <c r="G542" s="127"/>
    </row>
    <row r="543" spans="2:7" x14ac:dyDescent="0.2">
      <c r="B543" s="127"/>
      <c r="C543" s="127"/>
      <c r="D543" s="127"/>
      <c r="E543" s="127"/>
      <c r="F543" s="127"/>
      <c r="G543" s="127"/>
    </row>
    <row r="544" spans="2:7" x14ac:dyDescent="0.2">
      <c r="B544" s="127"/>
      <c r="C544" s="127"/>
      <c r="D544" s="127"/>
      <c r="E544" s="127"/>
      <c r="F544" s="127"/>
      <c r="G544" s="127"/>
    </row>
    <row r="545" spans="2:7" x14ac:dyDescent="0.2">
      <c r="B545" s="127"/>
      <c r="C545" s="127"/>
      <c r="D545" s="127"/>
      <c r="E545" s="127"/>
      <c r="F545" s="127"/>
      <c r="G545" s="127"/>
    </row>
    <row r="546" spans="2:7" x14ac:dyDescent="0.2">
      <c r="B546" s="127"/>
      <c r="C546" s="127"/>
      <c r="D546" s="127"/>
      <c r="E546" s="127"/>
      <c r="F546" s="127"/>
      <c r="G546" s="127"/>
    </row>
    <row r="547" spans="2:7" x14ac:dyDescent="0.2">
      <c r="B547" s="127"/>
      <c r="C547" s="127"/>
      <c r="D547" s="127"/>
      <c r="E547" s="127"/>
      <c r="F547" s="127"/>
      <c r="G547" s="127"/>
    </row>
    <row r="548" spans="2:7" x14ac:dyDescent="0.2">
      <c r="B548" s="127"/>
      <c r="C548" s="127"/>
      <c r="D548" s="127"/>
      <c r="E548" s="127"/>
      <c r="F548" s="127"/>
      <c r="G548" s="127"/>
    </row>
    <row r="549" spans="2:7" x14ac:dyDescent="0.2">
      <c r="B549" s="127"/>
      <c r="C549" s="127"/>
      <c r="D549" s="127"/>
      <c r="E549" s="127"/>
      <c r="F549" s="127"/>
      <c r="G549" s="127"/>
    </row>
    <row r="550" spans="2:7" x14ac:dyDescent="0.2">
      <c r="B550" s="127"/>
      <c r="C550" s="127"/>
      <c r="D550" s="127"/>
      <c r="E550" s="127"/>
      <c r="F550" s="127"/>
      <c r="G550" s="127"/>
    </row>
    <row r="551" spans="2:7" x14ac:dyDescent="0.2">
      <c r="B551" s="127"/>
      <c r="C551" s="127"/>
      <c r="D551" s="127"/>
      <c r="E551" s="127"/>
      <c r="F551" s="127"/>
      <c r="G551" s="127"/>
    </row>
    <row r="552" spans="2:7" x14ac:dyDescent="0.2">
      <c r="B552" s="127"/>
      <c r="C552" s="127"/>
      <c r="D552" s="127"/>
      <c r="E552" s="127"/>
      <c r="F552" s="127"/>
      <c r="G552" s="127"/>
    </row>
    <row r="553" spans="2:7" x14ac:dyDescent="0.2">
      <c r="B553" s="127"/>
      <c r="C553" s="127"/>
      <c r="D553" s="127"/>
      <c r="E553" s="127"/>
      <c r="F553" s="127"/>
      <c r="G553" s="127"/>
    </row>
    <row r="554" spans="2:7" x14ac:dyDescent="0.2">
      <c r="B554" s="127"/>
      <c r="C554" s="127"/>
      <c r="D554" s="127"/>
      <c r="E554" s="127"/>
      <c r="F554" s="127"/>
      <c r="G554" s="127"/>
    </row>
    <row r="555" spans="2:7" x14ac:dyDescent="0.2">
      <c r="B555" s="127"/>
      <c r="C555" s="127"/>
      <c r="D555" s="127"/>
      <c r="E555" s="127"/>
      <c r="F555" s="127"/>
      <c r="G555" s="127"/>
    </row>
    <row r="556" spans="2:7" x14ac:dyDescent="0.2">
      <c r="B556" s="127"/>
      <c r="C556" s="127"/>
      <c r="D556" s="127"/>
      <c r="E556" s="127"/>
      <c r="F556" s="127"/>
      <c r="G556" s="127"/>
    </row>
    <row r="557" spans="2:7" x14ac:dyDescent="0.2">
      <c r="B557" s="127"/>
      <c r="C557" s="127"/>
      <c r="D557" s="127"/>
      <c r="E557" s="127"/>
      <c r="F557" s="127"/>
      <c r="G557" s="127"/>
    </row>
    <row r="558" spans="2:7" x14ac:dyDescent="0.2">
      <c r="B558" s="127"/>
      <c r="C558" s="127"/>
      <c r="D558" s="127"/>
      <c r="E558" s="127"/>
      <c r="F558" s="127"/>
      <c r="G558" s="127"/>
    </row>
    <row r="559" spans="2:7" x14ac:dyDescent="0.2">
      <c r="B559" s="127"/>
      <c r="C559" s="127"/>
      <c r="D559" s="127"/>
      <c r="E559" s="127"/>
      <c r="F559" s="127"/>
      <c r="G559" s="127"/>
    </row>
    <row r="560" spans="2:7" x14ac:dyDescent="0.2">
      <c r="B560" s="127"/>
      <c r="C560" s="127"/>
      <c r="D560" s="127"/>
      <c r="E560" s="127"/>
      <c r="F560" s="127"/>
      <c r="G560" s="127"/>
    </row>
    <row r="561" spans="2:7" x14ac:dyDescent="0.2">
      <c r="B561" s="127"/>
      <c r="C561" s="127"/>
      <c r="D561" s="127"/>
      <c r="E561" s="127"/>
      <c r="F561" s="127"/>
      <c r="G561" s="127"/>
    </row>
    <row r="562" spans="2:7" x14ac:dyDescent="0.2">
      <c r="B562" s="127"/>
      <c r="C562" s="127"/>
      <c r="D562" s="127"/>
      <c r="E562" s="127"/>
      <c r="F562" s="127"/>
      <c r="G562" s="127"/>
    </row>
    <row r="563" spans="2:7" x14ac:dyDescent="0.2">
      <c r="B563" s="127"/>
      <c r="C563" s="127"/>
      <c r="D563" s="127"/>
      <c r="E563" s="127"/>
      <c r="F563" s="127"/>
      <c r="G563" s="127"/>
    </row>
    <row r="564" spans="2:7" x14ac:dyDescent="0.2">
      <c r="B564" s="127"/>
      <c r="C564" s="127"/>
      <c r="D564" s="127"/>
      <c r="E564" s="127"/>
      <c r="F564" s="127"/>
      <c r="G564" s="127"/>
    </row>
    <row r="565" spans="2:7" x14ac:dyDescent="0.2">
      <c r="B565" s="127"/>
      <c r="C565" s="127"/>
      <c r="D565" s="127"/>
      <c r="E565" s="127"/>
      <c r="F565" s="127"/>
      <c r="G565" s="127"/>
    </row>
    <row r="566" spans="2:7" x14ac:dyDescent="0.2">
      <c r="B566" s="127"/>
      <c r="C566" s="127"/>
      <c r="D566" s="127"/>
      <c r="E566" s="127"/>
      <c r="F566" s="127"/>
      <c r="G566" s="127"/>
    </row>
    <row r="567" spans="2:7" x14ac:dyDescent="0.2">
      <c r="B567" s="127"/>
      <c r="C567" s="127"/>
      <c r="D567" s="127"/>
      <c r="E567" s="127"/>
      <c r="F567" s="127"/>
      <c r="G567" s="127"/>
    </row>
    <row r="568" spans="2:7" x14ac:dyDescent="0.2">
      <c r="B568" s="127"/>
      <c r="C568" s="127"/>
      <c r="D568" s="127"/>
      <c r="E568" s="127"/>
      <c r="F568" s="127"/>
      <c r="G568" s="127"/>
    </row>
    <row r="569" spans="2:7" x14ac:dyDescent="0.2">
      <c r="B569" s="127"/>
      <c r="C569" s="127"/>
      <c r="D569" s="127"/>
      <c r="E569" s="127"/>
      <c r="F569" s="127"/>
      <c r="G569" s="127"/>
    </row>
    <row r="570" spans="2:7" x14ac:dyDescent="0.2">
      <c r="B570" s="127"/>
      <c r="C570" s="127"/>
      <c r="D570" s="127"/>
      <c r="E570" s="127"/>
      <c r="F570" s="127"/>
      <c r="G570" s="127"/>
    </row>
    <row r="571" spans="2:7" x14ac:dyDescent="0.2">
      <c r="B571" s="127"/>
      <c r="C571" s="127"/>
      <c r="D571" s="127"/>
      <c r="E571" s="127"/>
      <c r="F571" s="127"/>
      <c r="G571" s="127"/>
    </row>
    <row r="572" spans="2:7" x14ac:dyDescent="0.2">
      <c r="B572" s="127"/>
      <c r="C572" s="127"/>
      <c r="D572" s="127"/>
      <c r="E572" s="127"/>
      <c r="F572" s="127"/>
      <c r="G572" s="127"/>
    </row>
    <row r="573" spans="2:7" x14ac:dyDescent="0.2">
      <c r="B573" s="127"/>
      <c r="C573" s="127"/>
      <c r="D573" s="127"/>
      <c r="E573" s="127"/>
      <c r="F573" s="127"/>
      <c r="G573" s="127"/>
    </row>
    <row r="574" spans="2:7" x14ac:dyDescent="0.2">
      <c r="B574" s="127"/>
      <c r="C574" s="127"/>
      <c r="D574" s="127"/>
      <c r="E574" s="127"/>
      <c r="F574" s="127"/>
      <c r="G574" s="127"/>
    </row>
    <row r="575" spans="2:7" x14ac:dyDescent="0.2">
      <c r="B575" s="127"/>
      <c r="C575" s="127"/>
      <c r="D575" s="127"/>
      <c r="E575" s="127"/>
      <c r="F575" s="127"/>
      <c r="G575" s="127"/>
    </row>
    <row r="576" spans="2:7" x14ac:dyDescent="0.2">
      <c r="B576" s="127"/>
      <c r="C576" s="127"/>
      <c r="D576" s="127"/>
      <c r="E576" s="127"/>
      <c r="F576" s="127"/>
      <c r="G576" s="127"/>
    </row>
    <row r="577" spans="2:7" x14ac:dyDescent="0.2">
      <c r="B577" s="127"/>
      <c r="C577" s="127"/>
      <c r="D577" s="127"/>
      <c r="E577" s="127"/>
      <c r="F577" s="127"/>
      <c r="G577" s="127"/>
    </row>
    <row r="578" spans="2:7" x14ac:dyDescent="0.2">
      <c r="B578" s="127"/>
      <c r="C578" s="127"/>
      <c r="D578" s="127"/>
      <c r="E578" s="127"/>
      <c r="F578" s="127"/>
      <c r="G578" s="127"/>
    </row>
    <row r="579" spans="2:7" x14ac:dyDescent="0.2">
      <c r="B579" s="127"/>
      <c r="C579" s="127"/>
      <c r="D579" s="127"/>
      <c r="E579" s="127"/>
      <c r="F579" s="127"/>
      <c r="G579" s="127"/>
    </row>
    <row r="580" spans="2:7" x14ac:dyDescent="0.2">
      <c r="B580" s="127"/>
      <c r="C580" s="127"/>
      <c r="D580" s="127"/>
      <c r="E580" s="127"/>
      <c r="F580" s="127"/>
      <c r="G580" s="127"/>
    </row>
    <row r="581" spans="2:7" x14ac:dyDescent="0.2">
      <c r="B581" s="127"/>
      <c r="C581" s="127"/>
      <c r="D581" s="127"/>
      <c r="E581" s="127"/>
      <c r="F581" s="127"/>
      <c r="G581" s="127"/>
    </row>
    <row r="582" spans="2:7" x14ac:dyDescent="0.2">
      <c r="B582" s="127"/>
      <c r="C582" s="127"/>
      <c r="D582" s="127"/>
      <c r="E582" s="127"/>
      <c r="F582" s="127"/>
      <c r="G582" s="127"/>
    </row>
    <row r="583" spans="2:7" x14ac:dyDescent="0.2">
      <c r="B583" s="127"/>
      <c r="C583" s="127"/>
      <c r="D583" s="127"/>
      <c r="E583" s="127"/>
      <c r="F583" s="127"/>
      <c r="G583" s="127"/>
    </row>
    <row r="584" spans="2:7" x14ac:dyDescent="0.2">
      <c r="B584" s="127"/>
      <c r="C584" s="127"/>
      <c r="D584" s="127"/>
      <c r="E584" s="127"/>
      <c r="F584" s="127"/>
      <c r="G584" s="127"/>
    </row>
    <row r="585" spans="2:7" x14ac:dyDescent="0.2">
      <c r="B585" s="127"/>
      <c r="C585" s="127"/>
      <c r="D585" s="127"/>
      <c r="E585" s="127"/>
      <c r="F585" s="127"/>
      <c r="G585" s="127"/>
    </row>
    <row r="586" spans="2:7" x14ac:dyDescent="0.2">
      <c r="B586" s="127"/>
      <c r="C586" s="127"/>
      <c r="D586" s="127"/>
      <c r="E586" s="127"/>
      <c r="F586" s="127"/>
      <c r="G586" s="127"/>
    </row>
    <row r="587" spans="2:7" x14ac:dyDescent="0.2">
      <c r="B587" s="127"/>
      <c r="C587" s="127"/>
      <c r="D587" s="127"/>
      <c r="E587" s="127"/>
      <c r="F587" s="127"/>
      <c r="G587" s="127"/>
    </row>
    <row r="588" spans="2:7" x14ac:dyDescent="0.2">
      <c r="B588" s="127"/>
      <c r="C588" s="127"/>
      <c r="D588" s="127"/>
      <c r="E588" s="127"/>
      <c r="F588" s="127"/>
      <c r="G588" s="127"/>
    </row>
    <row r="589" spans="2:7" x14ac:dyDescent="0.2">
      <c r="B589" s="127"/>
      <c r="C589" s="127"/>
      <c r="D589" s="127"/>
      <c r="E589" s="127"/>
      <c r="F589" s="127"/>
      <c r="G589" s="127"/>
    </row>
    <row r="590" spans="2:7" x14ac:dyDescent="0.2">
      <c r="B590" s="127"/>
      <c r="C590" s="127"/>
      <c r="D590" s="127"/>
      <c r="E590" s="127"/>
      <c r="F590" s="127"/>
      <c r="G590" s="127"/>
    </row>
    <row r="591" spans="2:7" x14ac:dyDescent="0.2">
      <c r="B591" s="127"/>
      <c r="C591" s="127"/>
      <c r="D591" s="127"/>
      <c r="E591" s="127"/>
      <c r="F591" s="127"/>
      <c r="G591" s="127"/>
    </row>
    <row r="592" spans="2:7" x14ac:dyDescent="0.2">
      <c r="B592" s="127"/>
      <c r="C592" s="127"/>
      <c r="D592" s="127"/>
      <c r="E592" s="127"/>
      <c r="F592" s="127"/>
      <c r="G592" s="127"/>
    </row>
    <row r="593" spans="2:7" x14ac:dyDescent="0.2">
      <c r="B593" s="127"/>
      <c r="C593" s="127"/>
      <c r="D593" s="127"/>
      <c r="E593" s="127"/>
      <c r="F593" s="127"/>
      <c r="G593" s="127"/>
    </row>
    <row r="594" spans="2:7" x14ac:dyDescent="0.2">
      <c r="B594" s="127"/>
      <c r="C594" s="127"/>
      <c r="D594" s="127"/>
      <c r="E594" s="127"/>
      <c r="F594" s="127"/>
      <c r="G594" s="127"/>
    </row>
    <row r="595" spans="2:7" x14ac:dyDescent="0.2">
      <c r="B595" s="127"/>
      <c r="C595" s="127"/>
      <c r="D595" s="127"/>
      <c r="E595" s="127"/>
      <c r="F595" s="127"/>
      <c r="G595" s="127"/>
    </row>
    <row r="596" spans="2:7" x14ac:dyDescent="0.2">
      <c r="B596" s="127"/>
      <c r="C596" s="127"/>
      <c r="D596" s="127"/>
      <c r="E596" s="127"/>
      <c r="F596" s="127"/>
      <c r="G596" s="127"/>
    </row>
    <row r="597" spans="2:7" x14ac:dyDescent="0.2">
      <c r="B597" s="127"/>
      <c r="C597" s="127"/>
      <c r="D597" s="127"/>
      <c r="E597" s="127"/>
      <c r="F597" s="127"/>
      <c r="G597" s="127"/>
    </row>
    <row r="598" spans="2:7" x14ac:dyDescent="0.2">
      <c r="B598" s="127"/>
      <c r="C598" s="127"/>
      <c r="D598" s="127"/>
      <c r="E598" s="127"/>
      <c r="F598" s="127"/>
      <c r="G598" s="127"/>
    </row>
    <row r="599" spans="2:7" x14ac:dyDescent="0.2">
      <c r="B599" s="127"/>
      <c r="C599" s="127"/>
      <c r="D599" s="127"/>
      <c r="E599" s="127"/>
      <c r="F599" s="127"/>
      <c r="G599" s="127"/>
    </row>
    <row r="600" spans="2:7" x14ac:dyDescent="0.2">
      <c r="B600" s="127"/>
      <c r="C600" s="127"/>
      <c r="D600" s="127"/>
      <c r="E600" s="127"/>
      <c r="F600" s="127"/>
      <c r="G600" s="127"/>
    </row>
    <row r="601" spans="2:7" x14ac:dyDescent="0.2">
      <c r="B601" s="127"/>
      <c r="C601" s="127"/>
      <c r="D601" s="127"/>
      <c r="E601" s="127"/>
      <c r="F601" s="127"/>
      <c r="G601" s="127"/>
    </row>
    <row r="602" spans="2:7" x14ac:dyDescent="0.2">
      <c r="B602" s="127"/>
      <c r="C602" s="127"/>
      <c r="D602" s="127"/>
      <c r="E602" s="127"/>
      <c r="F602" s="127"/>
      <c r="G602" s="127"/>
    </row>
    <row r="603" spans="2:7" x14ac:dyDescent="0.2">
      <c r="B603" s="127"/>
      <c r="C603" s="127"/>
      <c r="D603" s="127"/>
      <c r="E603" s="127"/>
      <c r="F603" s="127"/>
      <c r="G603" s="127"/>
    </row>
    <row r="604" spans="2:7" x14ac:dyDescent="0.2">
      <c r="B604" s="127"/>
      <c r="C604" s="127"/>
      <c r="D604" s="127"/>
      <c r="E604" s="127"/>
      <c r="F604" s="127"/>
      <c r="G604" s="127"/>
    </row>
    <row r="605" spans="2:7" x14ac:dyDescent="0.2">
      <c r="B605" s="127"/>
      <c r="C605" s="127"/>
      <c r="D605" s="127"/>
      <c r="E605" s="127"/>
      <c r="F605" s="127"/>
      <c r="G605" s="127"/>
    </row>
    <row r="606" spans="2:7" x14ac:dyDescent="0.2">
      <c r="B606" s="127"/>
      <c r="C606" s="127"/>
      <c r="D606" s="127"/>
      <c r="E606" s="127"/>
      <c r="F606" s="127"/>
      <c r="G606" s="127"/>
    </row>
    <row r="607" spans="2:7" x14ac:dyDescent="0.2">
      <c r="B607" s="127"/>
      <c r="C607" s="127"/>
      <c r="D607" s="127"/>
      <c r="E607" s="127"/>
      <c r="F607" s="127"/>
      <c r="G607" s="127"/>
    </row>
    <row r="608" spans="2:7" x14ac:dyDescent="0.2">
      <c r="B608" s="127"/>
      <c r="C608" s="127"/>
      <c r="D608" s="127"/>
      <c r="E608" s="127"/>
      <c r="F608" s="127"/>
      <c r="G608" s="127"/>
    </row>
    <row r="609" spans="2:7" x14ac:dyDescent="0.2">
      <c r="B609" s="127"/>
      <c r="C609" s="127"/>
      <c r="D609" s="127"/>
      <c r="E609" s="127"/>
      <c r="F609" s="127"/>
      <c r="G609" s="127"/>
    </row>
    <row r="610" spans="2:7" x14ac:dyDescent="0.2">
      <c r="B610" s="127"/>
      <c r="C610" s="127"/>
      <c r="D610" s="127"/>
      <c r="E610" s="127"/>
      <c r="F610" s="127"/>
      <c r="G610" s="127"/>
    </row>
    <row r="611" spans="2:7" x14ac:dyDescent="0.2">
      <c r="B611" s="127"/>
      <c r="C611" s="127"/>
      <c r="D611" s="127"/>
      <c r="E611" s="127"/>
      <c r="F611" s="127"/>
      <c r="G611" s="127"/>
    </row>
    <row r="612" spans="2:7" x14ac:dyDescent="0.2">
      <c r="B612" s="127"/>
      <c r="C612" s="127"/>
      <c r="D612" s="127"/>
      <c r="E612" s="127"/>
      <c r="F612" s="127"/>
      <c r="G612" s="127"/>
    </row>
    <row r="613" spans="2:7" x14ac:dyDescent="0.2">
      <c r="B613" s="127"/>
      <c r="C613" s="127"/>
      <c r="D613" s="127"/>
      <c r="E613" s="127"/>
      <c r="F613" s="127"/>
      <c r="G613" s="127"/>
    </row>
    <row r="614" spans="2:7" x14ac:dyDescent="0.2">
      <c r="B614" s="127"/>
      <c r="C614" s="127"/>
      <c r="D614" s="127"/>
      <c r="E614" s="127"/>
      <c r="F614" s="127"/>
      <c r="G614" s="127"/>
    </row>
    <row r="615" spans="2:7" x14ac:dyDescent="0.2">
      <c r="B615" s="127"/>
      <c r="C615" s="127"/>
      <c r="D615" s="127"/>
      <c r="E615" s="127"/>
      <c r="F615" s="127"/>
      <c r="G615" s="127"/>
    </row>
    <row r="616" spans="2:7" x14ac:dyDescent="0.2">
      <c r="B616" s="127"/>
      <c r="C616" s="127"/>
      <c r="D616" s="127"/>
      <c r="E616" s="127"/>
      <c r="F616" s="127"/>
      <c r="G616" s="127"/>
    </row>
    <row r="617" spans="2:7" x14ac:dyDescent="0.2">
      <c r="B617" s="127"/>
      <c r="C617" s="127"/>
      <c r="D617" s="127"/>
      <c r="E617" s="127"/>
      <c r="F617" s="127"/>
      <c r="G617" s="127"/>
    </row>
    <row r="618" spans="2:7" x14ac:dyDescent="0.2">
      <c r="B618" s="127"/>
      <c r="C618" s="127"/>
      <c r="D618" s="127"/>
      <c r="E618" s="127"/>
      <c r="F618" s="127"/>
      <c r="G618" s="127"/>
    </row>
    <row r="619" spans="2:7" x14ac:dyDescent="0.2">
      <c r="B619" s="127"/>
      <c r="C619" s="127"/>
      <c r="D619" s="127"/>
      <c r="E619" s="127"/>
      <c r="F619" s="127"/>
      <c r="G619" s="127"/>
    </row>
    <row r="620" spans="2:7" x14ac:dyDescent="0.2">
      <c r="B620" s="127"/>
      <c r="C620" s="127"/>
      <c r="D620" s="127"/>
      <c r="E620" s="127"/>
      <c r="F620" s="127"/>
      <c r="G620" s="127"/>
    </row>
    <row r="621" spans="2:7" x14ac:dyDescent="0.2">
      <c r="B621" s="127"/>
      <c r="C621" s="127"/>
      <c r="D621" s="127"/>
      <c r="E621" s="127"/>
      <c r="F621" s="127"/>
      <c r="G621" s="127"/>
    </row>
    <row r="622" spans="2:7" x14ac:dyDescent="0.2">
      <c r="B622" s="127"/>
      <c r="C622" s="127"/>
      <c r="D622" s="127"/>
      <c r="E622" s="127"/>
      <c r="F622" s="127"/>
      <c r="G622" s="127"/>
    </row>
    <row r="623" spans="2:7" x14ac:dyDescent="0.2">
      <c r="B623" s="127"/>
      <c r="C623" s="127"/>
      <c r="D623" s="127"/>
      <c r="E623" s="127"/>
      <c r="F623" s="127"/>
      <c r="G623" s="127"/>
    </row>
    <row r="624" spans="2:7" x14ac:dyDescent="0.2">
      <c r="B624" s="127"/>
      <c r="C624" s="127"/>
      <c r="D624" s="127"/>
      <c r="E624" s="127"/>
      <c r="F624" s="127"/>
      <c r="G624" s="127"/>
    </row>
    <row r="625" spans="2:7" x14ac:dyDescent="0.2">
      <c r="B625" s="127"/>
      <c r="C625" s="127"/>
      <c r="D625" s="127"/>
      <c r="E625" s="127"/>
      <c r="F625" s="127"/>
      <c r="G625" s="127"/>
    </row>
    <row r="626" spans="2:7" x14ac:dyDescent="0.2">
      <c r="B626" s="127"/>
      <c r="C626" s="127"/>
      <c r="D626" s="127"/>
      <c r="E626" s="127"/>
      <c r="F626" s="127"/>
      <c r="G626" s="127"/>
    </row>
    <row r="627" spans="2:7" x14ac:dyDescent="0.2">
      <c r="B627" s="127"/>
      <c r="C627" s="127"/>
      <c r="D627" s="127"/>
      <c r="E627" s="127"/>
      <c r="F627" s="127"/>
      <c r="G627" s="127"/>
    </row>
    <row r="628" spans="2:7" x14ac:dyDescent="0.2">
      <c r="B628" s="127"/>
      <c r="C628" s="127"/>
      <c r="D628" s="127"/>
      <c r="E628" s="127"/>
      <c r="F628" s="127"/>
      <c r="G628" s="127"/>
    </row>
    <row r="629" spans="2:7" x14ac:dyDescent="0.2">
      <c r="B629" s="127"/>
      <c r="C629" s="127"/>
      <c r="D629" s="127"/>
      <c r="E629" s="127"/>
      <c r="F629" s="127"/>
      <c r="G629" s="127"/>
    </row>
    <row r="630" spans="2:7" x14ac:dyDescent="0.2">
      <c r="B630" s="127"/>
      <c r="C630" s="127"/>
      <c r="D630" s="127"/>
      <c r="E630" s="127"/>
      <c r="F630" s="127"/>
      <c r="G630" s="127"/>
    </row>
    <row r="631" spans="2:7" x14ac:dyDescent="0.2">
      <c r="B631" s="127"/>
      <c r="C631" s="127"/>
      <c r="D631" s="127"/>
      <c r="E631" s="127"/>
      <c r="F631" s="127"/>
      <c r="G631" s="127"/>
    </row>
    <row r="632" spans="2:7" x14ac:dyDescent="0.2">
      <c r="B632" s="127"/>
      <c r="C632" s="127"/>
      <c r="D632" s="127"/>
      <c r="E632" s="127"/>
      <c r="F632" s="127"/>
      <c r="G632" s="127"/>
    </row>
    <row r="633" spans="2:7" x14ac:dyDescent="0.2">
      <c r="B633" s="127"/>
      <c r="C633" s="127"/>
      <c r="D633" s="127"/>
      <c r="E633" s="127"/>
      <c r="F633" s="127"/>
      <c r="G633" s="127"/>
    </row>
    <row r="634" spans="2:7" x14ac:dyDescent="0.2">
      <c r="B634" s="127"/>
      <c r="C634" s="127"/>
      <c r="D634" s="127"/>
      <c r="E634" s="127"/>
      <c r="F634" s="127"/>
      <c r="G634" s="127"/>
    </row>
    <row r="635" spans="2:7" x14ac:dyDescent="0.2">
      <c r="B635" s="127"/>
      <c r="C635" s="127"/>
      <c r="D635" s="127"/>
      <c r="E635" s="127"/>
      <c r="F635" s="127"/>
      <c r="G635" s="127"/>
    </row>
    <row r="636" spans="2:7" x14ac:dyDescent="0.2">
      <c r="B636" s="129"/>
      <c r="C636" s="129"/>
      <c r="D636" s="129"/>
      <c r="E636" s="129"/>
      <c r="F636" s="129"/>
      <c r="G636" s="129"/>
    </row>
    <row r="637" spans="2:7" x14ac:dyDescent="0.2">
      <c r="B637" s="129"/>
      <c r="C637" s="129"/>
      <c r="D637" s="129"/>
      <c r="E637" s="129"/>
      <c r="F637" s="129"/>
      <c r="G637" s="129"/>
    </row>
    <row r="638" spans="2:7" x14ac:dyDescent="0.2">
      <c r="B638" s="129"/>
      <c r="C638" s="129"/>
      <c r="D638" s="129"/>
      <c r="E638" s="129"/>
      <c r="F638" s="129"/>
      <c r="G638" s="129"/>
    </row>
    <row r="639" spans="2:7" x14ac:dyDescent="0.2">
      <c r="B639" s="129"/>
      <c r="C639" s="129"/>
      <c r="D639" s="129"/>
      <c r="E639" s="129"/>
      <c r="F639" s="129"/>
      <c r="G639" s="129"/>
    </row>
    <row r="640" spans="2:7" x14ac:dyDescent="0.2">
      <c r="B640" s="129"/>
      <c r="C640" s="129"/>
      <c r="D640" s="129"/>
      <c r="E640" s="129"/>
      <c r="F640" s="129"/>
      <c r="G640" s="129"/>
    </row>
    <row r="641" spans="2:7" x14ac:dyDescent="0.2">
      <c r="B641" s="129"/>
      <c r="C641" s="129"/>
      <c r="D641" s="129"/>
      <c r="E641" s="129"/>
      <c r="F641" s="129"/>
      <c r="G641" s="129"/>
    </row>
    <row r="642" spans="2:7" x14ac:dyDescent="0.2">
      <c r="B642" s="129"/>
      <c r="C642" s="129"/>
      <c r="D642" s="129"/>
      <c r="E642" s="129"/>
      <c r="F642" s="129"/>
      <c r="G642" s="129"/>
    </row>
    <row r="643" spans="2:7" x14ac:dyDescent="0.2">
      <c r="B643" s="129"/>
      <c r="C643" s="129"/>
      <c r="D643" s="129"/>
      <c r="E643" s="129"/>
      <c r="F643" s="129"/>
      <c r="G643" s="129"/>
    </row>
    <row r="644" spans="2:7" x14ac:dyDescent="0.2">
      <c r="B644" s="129"/>
      <c r="C644" s="129"/>
      <c r="D644" s="129"/>
      <c r="E644" s="129"/>
      <c r="F644" s="129"/>
      <c r="G644" s="129"/>
    </row>
    <row r="645" spans="2:7" x14ac:dyDescent="0.2">
      <c r="B645" s="129"/>
      <c r="C645" s="129"/>
      <c r="D645" s="129"/>
      <c r="E645" s="129"/>
      <c r="F645" s="129"/>
      <c r="G645" s="129"/>
    </row>
    <row r="646" spans="2:7" x14ac:dyDescent="0.2">
      <c r="B646" s="129"/>
      <c r="C646" s="129"/>
      <c r="D646" s="129"/>
      <c r="E646" s="129"/>
      <c r="F646" s="129"/>
      <c r="G646" s="129"/>
    </row>
    <row r="647" spans="2:7" x14ac:dyDescent="0.2">
      <c r="B647" s="129"/>
      <c r="C647" s="129"/>
      <c r="D647" s="129"/>
      <c r="E647" s="129"/>
      <c r="F647" s="129"/>
      <c r="G647" s="129"/>
    </row>
    <row r="648" spans="2:7" x14ac:dyDescent="0.2">
      <c r="B648" s="129"/>
      <c r="C648" s="129"/>
      <c r="D648" s="129"/>
      <c r="E648" s="129"/>
      <c r="F648" s="129"/>
      <c r="G648" s="129"/>
    </row>
    <row r="649" spans="2:7" x14ac:dyDescent="0.2">
      <c r="B649" s="129"/>
      <c r="C649" s="129"/>
      <c r="D649" s="129"/>
      <c r="E649" s="129"/>
      <c r="F649" s="129"/>
      <c r="G649" s="129"/>
    </row>
    <row r="650" spans="2:7" x14ac:dyDescent="0.2">
      <c r="B650" s="129"/>
      <c r="C650" s="129"/>
      <c r="D650" s="129"/>
      <c r="E650" s="129"/>
      <c r="F650" s="129"/>
      <c r="G650" s="129"/>
    </row>
    <row r="651" spans="2:7" x14ac:dyDescent="0.2">
      <c r="B651" s="129"/>
      <c r="C651" s="129"/>
      <c r="D651" s="129"/>
      <c r="E651" s="129"/>
      <c r="F651" s="129"/>
      <c r="G651" s="129"/>
    </row>
    <row r="652" spans="2:7" x14ac:dyDescent="0.2">
      <c r="B652" s="129"/>
      <c r="C652" s="129"/>
      <c r="D652" s="129"/>
      <c r="E652" s="129"/>
      <c r="F652" s="129"/>
      <c r="G652" s="129"/>
    </row>
    <row r="653" spans="2:7" x14ac:dyDescent="0.2">
      <c r="B653" s="129"/>
      <c r="C653" s="129"/>
      <c r="D653" s="129"/>
      <c r="E653" s="129"/>
      <c r="F653" s="129"/>
      <c r="G653" s="129"/>
    </row>
    <row r="654" spans="2:7" x14ac:dyDescent="0.2">
      <c r="B654" s="129"/>
      <c r="C654" s="129"/>
      <c r="D654" s="129"/>
      <c r="E654" s="129"/>
      <c r="F654" s="129"/>
      <c r="G654" s="129"/>
    </row>
    <row r="655" spans="2:7" x14ac:dyDescent="0.2">
      <c r="B655" s="129"/>
      <c r="C655" s="129"/>
      <c r="D655" s="129"/>
      <c r="E655" s="129"/>
      <c r="F655" s="129"/>
      <c r="G655" s="129"/>
    </row>
    <row r="656" spans="2:7" x14ac:dyDescent="0.2">
      <c r="B656" s="129"/>
      <c r="C656" s="129"/>
      <c r="D656" s="129"/>
      <c r="E656" s="129"/>
      <c r="F656" s="129"/>
      <c r="G656" s="129"/>
    </row>
    <row r="657" spans="2:7" x14ac:dyDescent="0.2">
      <c r="B657" s="129"/>
      <c r="C657" s="129"/>
      <c r="D657" s="129"/>
      <c r="E657" s="129"/>
      <c r="F657" s="129"/>
      <c r="G657" s="129"/>
    </row>
    <row r="658" spans="2:7" x14ac:dyDescent="0.2">
      <c r="B658" s="129"/>
      <c r="C658" s="129"/>
      <c r="D658" s="129"/>
      <c r="E658" s="129"/>
      <c r="F658" s="129"/>
      <c r="G658" s="129"/>
    </row>
    <row r="659" spans="2:7" x14ac:dyDescent="0.2">
      <c r="B659" s="129"/>
      <c r="C659" s="129"/>
      <c r="D659" s="129"/>
      <c r="E659" s="129"/>
      <c r="F659" s="129"/>
      <c r="G659" s="129"/>
    </row>
    <row r="660" spans="2:7" x14ac:dyDescent="0.2">
      <c r="B660" s="129"/>
      <c r="C660" s="129"/>
      <c r="D660" s="129"/>
      <c r="E660" s="129"/>
      <c r="F660" s="129"/>
      <c r="G660" s="129"/>
    </row>
    <row r="661" spans="2:7" x14ac:dyDescent="0.2">
      <c r="B661" s="129"/>
      <c r="C661" s="129"/>
      <c r="D661" s="129"/>
      <c r="E661" s="129"/>
      <c r="F661" s="129"/>
      <c r="G661" s="129"/>
    </row>
    <row r="662" spans="2:7" x14ac:dyDescent="0.2">
      <c r="B662" s="129"/>
      <c r="C662" s="129"/>
      <c r="D662" s="129"/>
      <c r="E662" s="129"/>
      <c r="F662" s="129"/>
      <c r="G662" s="129"/>
    </row>
    <row r="663" spans="2:7" x14ac:dyDescent="0.2">
      <c r="B663" s="129"/>
      <c r="C663" s="129"/>
      <c r="D663" s="129"/>
      <c r="E663" s="129"/>
      <c r="F663" s="129"/>
      <c r="G663" s="129"/>
    </row>
    <row r="664" spans="2:7" x14ac:dyDescent="0.2">
      <c r="B664" s="129"/>
      <c r="C664" s="129"/>
      <c r="D664" s="129"/>
      <c r="E664" s="129"/>
      <c r="F664" s="129"/>
      <c r="G664" s="129"/>
    </row>
    <row r="665" spans="2:7" x14ac:dyDescent="0.2">
      <c r="B665" s="129"/>
      <c r="C665" s="129"/>
      <c r="D665" s="129"/>
      <c r="E665" s="129"/>
      <c r="F665" s="129"/>
      <c r="G665" s="129"/>
    </row>
    <row r="666" spans="2:7" x14ac:dyDescent="0.2">
      <c r="B666" s="129"/>
      <c r="C666" s="129"/>
      <c r="D666" s="129"/>
      <c r="E666" s="129"/>
      <c r="F666" s="129"/>
      <c r="G666" s="129"/>
    </row>
    <row r="667" spans="2:7" x14ac:dyDescent="0.2">
      <c r="B667" s="129"/>
      <c r="C667" s="129"/>
      <c r="D667" s="129"/>
      <c r="E667" s="129"/>
      <c r="F667" s="129"/>
      <c r="G667" s="129"/>
    </row>
    <row r="668" spans="2:7" x14ac:dyDescent="0.2">
      <c r="B668" s="129"/>
      <c r="C668" s="129"/>
      <c r="D668" s="129"/>
      <c r="E668" s="129"/>
      <c r="F668" s="129"/>
      <c r="G668" s="129"/>
    </row>
    <row r="669" spans="2:7" x14ac:dyDescent="0.2">
      <c r="B669" s="129"/>
      <c r="C669" s="129"/>
      <c r="D669" s="129"/>
      <c r="E669" s="129"/>
      <c r="F669" s="129"/>
      <c r="G669" s="129"/>
    </row>
    <row r="670" spans="2:7" x14ac:dyDescent="0.2">
      <c r="B670" s="129"/>
      <c r="C670" s="129"/>
      <c r="D670" s="129"/>
      <c r="E670" s="129"/>
      <c r="F670" s="129"/>
      <c r="G670" s="129"/>
    </row>
    <row r="671" spans="2:7" x14ac:dyDescent="0.2">
      <c r="B671" s="129"/>
      <c r="C671" s="129"/>
      <c r="D671" s="129"/>
      <c r="E671" s="129"/>
      <c r="F671" s="129"/>
      <c r="G671" s="129"/>
    </row>
    <row r="672" spans="2:7" x14ac:dyDescent="0.2">
      <c r="B672" s="129"/>
      <c r="C672" s="129"/>
      <c r="D672" s="129"/>
      <c r="E672" s="129"/>
      <c r="F672" s="129"/>
      <c r="G672" s="129"/>
    </row>
    <row r="673" spans="2:7" x14ac:dyDescent="0.2">
      <c r="B673" s="129"/>
      <c r="C673" s="129"/>
      <c r="D673" s="129"/>
      <c r="E673" s="129"/>
      <c r="F673" s="129"/>
      <c r="G673" s="129"/>
    </row>
    <row r="674" spans="2:7" x14ac:dyDescent="0.2">
      <c r="B674" s="129"/>
      <c r="C674" s="129"/>
      <c r="D674" s="129"/>
      <c r="E674" s="129"/>
      <c r="F674" s="129"/>
      <c r="G674" s="129"/>
    </row>
    <row r="675" spans="2:7" x14ac:dyDescent="0.2">
      <c r="B675" s="129"/>
      <c r="C675" s="129"/>
      <c r="D675" s="129"/>
      <c r="E675" s="129"/>
      <c r="F675" s="129"/>
      <c r="G675" s="129"/>
    </row>
    <row r="676" spans="2:7" x14ac:dyDescent="0.2">
      <c r="B676" s="129"/>
      <c r="C676" s="129"/>
      <c r="D676" s="129"/>
      <c r="E676" s="129"/>
      <c r="F676" s="129"/>
      <c r="G676" s="129"/>
    </row>
    <row r="677" spans="2:7" x14ac:dyDescent="0.2">
      <c r="B677" s="129"/>
      <c r="C677" s="129"/>
      <c r="D677" s="129"/>
      <c r="E677" s="129"/>
      <c r="F677" s="129"/>
      <c r="G677" s="129"/>
    </row>
    <row r="678" spans="2:7" x14ac:dyDescent="0.2">
      <c r="B678" s="129"/>
      <c r="C678" s="129"/>
      <c r="D678" s="129"/>
      <c r="E678" s="129"/>
      <c r="F678" s="129"/>
      <c r="G678" s="129"/>
    </row>
    <row r="679" spans="2:7" x14ac:dyDescent="0.2">
      <c r="B679" s="129"/>
      <c r="C679" s="129"/>
      <c r="D679" s="129"/>
      <c r="E679" s="129"/>
      <c r="F679" s="129"/>
      <c r="G679" s="129"/>
    </row>
    <row r="680" spans="2:7" x14ac:dyDescent="0.2">
      <c r="B680" s="129"/>
      <c r="C680" s="129"/>
      <c r="D680" s="129"/>
      <c r="E680" s="129"/>
      <c r="F680" s="129"/>
      <c r="G680" s="129"/>
    </row>
    <row r="681" spans="2:7" x14ac:dyDescent="0.2">
      <c r="B681" s="129"/>
      <c r="C681" s="129"/>
      <c r="D681" s="129"/>
      <c r="E681" s="129"/>
      <c r="F681" s="129"/>
      <c r="G681" s="129"/>
    </row>
    <row r="682" spans="2:7" x14ac:dyDescent="0.2">
      <c r="B682" s="129"/>
      <c r="C682" s="129"/>
      <c r="D682" s="129"/>
      <c r="E682" s="129"/>
      <c r="F682" s="129"/>
      <c r="G682" s="129"/>
    </row>
    <row r="683" spans="2:7" x14ac:dyDescent="0.2">
      <c r="B683" s="129"/>
      <c r="C683" s="129"/>
      <c r="D683" s="129"/>
      <c r="E683" s="129"/>
      <c r="F683" s="129"/>
      <c r="G683" s="129"/>
    </row>
    <row r="684" spans="2:7" x14ac:dyDescent="0.2">
      <c r="B684" s="129"/>
      <c r="C684" s="129"/>
      <c r="D684" s="129"/>
      <c r="E684" s="129"/>
      <c r="F684" s="129"/>
      <c r="G684" s="129"/>
    </row>
    <row r="685" spans="2:7" x14ac:dyDescent="0.2">
      <c r="B685" s="129"/>
      <c r="C685" s="129"/>
      <c r="D685" s="129"/>
      <c r="E685" s="129"/>
      <c r="F685" s="129"/>
      <c r="G685" s="129"/>
    </row>
    <row r="686" spans="2:7" x14ac:dyDescent="0.2">
      <c r="B686" s="129"/>
      <c r="C686" s="129"/>
      <c r="D686" s="129"/>
      <c r="E686" s="129"/>
      <c r="F686" s="129"/>
      <c r="G686" s="129"/>
    </row>
    <row r="687" spans="2:7" x14ac:dyDescent="0.2">
      <c r="B687" s="129"/>
      <c r="C687" s="129"/>
      <c r="D687" s="129"/>
      <c r="E687" s="129"/>
      <c r="F687" s="129"/>
      <c r="G687" s="129"/>
    </row>
    <row r="688" spans="2:7" x14ac:dyDescent="0.2">
      <c r="B688" s="129"/>
      <c r="C688" s="129"/>
      <c r="D688" s="129"/>
      <c r="E688" s="129"/>
      <c r="F688" s="129"/>
      <c r="G688" s="129"/>
    </row>
    <row r="689" spans="2:7" x14ac:dyDescent="0.2">
      <c r="B689" s="129"/>
      <c r="C689" s="129"/>
      <c r="D689" s="129"/>
      <c r="E689" s="129"/>
      <c r="F689" s="129"/>
      <c r="G689" s="129"/>
    </row>
    <row r="690" spans="2:7" x14ac:dyDescent="0.2">
      <c r="B690" s="129"/>
      <c r="C690" s="129"/>
      <c r="D690" s="129"/>
      <c r="E690" s="129"/>
      <c r="F690" s="129"/>
      <c r="G690" s="129"/>
    </row>
    <row r="691" spans="2:7" x14ac:dyDescent="0.2">
      <c r="B691" s="129"/>
      <c r="C691" s="129"/>
      <c r="D691" s="129"/>
      <c r="E691" s="129"/>
      <c r="F691" s="129"/>
      <c r="G691" s="129"/>
    </row>
    <row r="692" spans="2:7" x14ac:dyDescent="0.2">
      <c r="B692" s="129"/>
      <c r="C692" s="129"/>
      <c r="D692" s="129"/>
      <c r="E692" s="129"/>
      <c r="F692" s="129"/>
      <c r="G692" s="129"/>
    </row>
    <row r="693" spans="2:7" x14ac:dyDescent="0.2">
      <c r="B693" s="129"/>
      <c r="C693" s="129"/>
      <c r="D693" s="129"/>
      <c r="E693" s="129"/>
      <c r="F693" s="129"/>
      <c r="G693" s="129"/>
    </row>
    <row r="694" spans="2:7" x14ac:dyDescent="0.2">
      <c r="B694" s="129"/>
      <c r="C694" s="129"/>
      <c r="D694" s="129"/>
      <c r="E694" s="129"/>
      <c r="F694" s="129"/>
      <c r="G694" s="129"/>
    </row>
    <row r="695" spans="2:7" x14ac:dyDescent="0.2">
      <c r="B695" s="129"/>
      <c r="C695" s="129"/>
      <c r="D695" s="129"/>
      <c r="E695" s="129"/>
      <c r="F695" s="129"/>
      <c r="G695" s="129"/>
    </row>
    <row r="696" spans="2:7" x14ac:dyDescent="0.2">
      <c r="B696" s="129"/>
      <c r="C696" s="129"/>
      <c r="D696" s="129"/>
      <c r="E696" s="129"/>
      <c r="F696" s="129"/>
      <c r="G696" s="129"/>
    </row>
    <row r="697" spans="2:7" x14ac:dyDescent="0.2">
      <c r="B697" s="129"/>
      <c r="C697" s="129"/>
      <c r="D697" s="129"/>
      <c r="E697" s="129"/>
      <c r="F697" s="129"/>
      <c r="G697" s="129"/>
    </row>
    <row r="698" spans="2:7" x14ac:dyDescent="0.2">
      <c r="B698" s="129"/>
      <c r="C698" s="129"/>
      <c r="D698" s="129"/>
      <c r="E698" s="129"/>
      <c r="F698" s="129"/>
      <c r="G698" s="129"/>
    </row>
    <row r="699" spans="2:7" x14ac:dyDescent="0.2">
      <c r="B699" s="129"/>
      <c r="C699" s="129"/>
      <c r="D699" s="129"/>
      <c r="E699" s="129"/>
      <c r="F699" s="129"/>
      <c r="G699" s="129"/>
    </row>
    <row r="700" spans="2:7" x14ac:dyDescent="0.2">
      <c r="B700" s="129"/>
      <c r="C700" s="129"/>
      <c r="D700" s="129"/>
      <c r="E700" s="129"/>
      <c r="F700" s="129"/>
      <c r="G700" s="129"/>
    </row>
    <row r="701" spans="2:7" x14ac:dyDescent="0.2">
      <c r="B701" s="129"/>
      <c r="C701" s="129"/>
      <c r="D701" s="129"/>
      <c r="E701" s="129"/>
      <c r="F701" s="129"/>
      <c r="G701" s="129"/>
    </row>
    <row r="702" spans="2:7" x14ac:dyDescent="0.2">
      <c r="B702" s="129"/>
      <c r="C702" s="129"/>
      <c r="D702" s="129"/>
      <c r="E702" s="129"/>
      <c r="F702" s="129"/>
      <c r="G702" s="129"/>
    </row>
    <row r="703" spans="2:7" x14ac:dyDescent="0.2">
      <c r="B703" s="129"/>
      <c r="C703" s="129"/>
      <c r="D703" s="129"/>
      <c r="E703" s="129"/>
      <c r="F703" s="129"/>
      <c r="G703" s="129"/>
    </row>
    <row r="704" spans="2:7" x14ac:dyDescent="0.2">
      <c r="B704" s="129"/>
      <c r="C704" s="129"/>
      <c r="D704" s="129"/>
      <c r="E704" s="129"/>
      <c r="F704" s="129"/>
      <c r="G704" s="129"/>
    </row>
    <row r="705" spans="2:7" x14ac:dyDescent="0.2">
      <c r="B705" s="129"/>
      <c r="C705" s="129"/>
      <c r="D705" s="129"/>
      <c r="E705" s="129"/>
      <c r="F705" s="129"/>
      <c r="G705" s="129"/>
    </row>
    <row r="706" spans="2:7" x14ac:dyDescent="0.2">
      <c r="B706" s="129"/>
      <c r="C706" s="129"/>
      <c r="D706" s="129"/>
      <c r="E706" s="129"/>
      <c r="F706" s="129"/>
      <c r="G706" s="129"/>
    </row>
    <row r="707" spans="2:7" x14ac:dyDescent="0.2">
      <c r="B707" s="129"/>
      <c r="C707" s="129"/>
      <c r="D707" s="129"/>
      <c r="E707" s="129"/>
      <c r="F707" s="129"/>
      <c r="G707" s="129"/>
    </row>
    <row r="708" spans="2:7" x14ac:dyDescent="0.2">
      <c r="B708" s="129"/>
      <c r="C708" s="129"/>
      <c r="D708" s="129"/>
      <c r="E708" s="129"/>
      <c r="F708" s="129"/>
      <c r="G708" s="129"/>
    </row>
    <row r="709" spans="2:7" x14ac:dyDescent="0.2">
      <c r="B709" s="129"/>
      <c r="C709" s="129"/>
      <c r="D709" s="129"/>
      <c r="E709" s="129"/>
      <c r="F709" s="129"/>
      <c r="G709" s="129"/>
    </row>
    <row r="710" spans="2:7" x14ac:dyDescent="0.2">
      <c r="B710" s="129"/>
      <c r="C710" s="129"/>
      <c r="D710" s="129"/>
      <c r="E710" s="129"/>
      <c r="F710" s="129"/>
      <c r="G710" s="129"/>
    </row>
    <row r="711" spans="2:7" x14ac:dyDescent="0.2">
      <c r="B711" s="129"/>
      <c r="C711" s="129"/>
      <c r="D711" s="129"/>
      <c r="E711" s="129"/>
      <c r="F711" s="129"/>
      <c r="G711" s="129"/>
    </row>
    <row r="712" spans="2:7" x14ac:dyDescent="0.2">
      <c r="B712" s="129"/>
      <c r="C712" s="129"/>
      <c r="D712" s="129"/>
      <c r="E712" s="129"/>
      <c r="F712" s="129"/>
      <c r="G712" s="129"/>
    </row>
    <row r="713" spans="2:7" x14ac:dyDescent="0.2">
      <c r="B713" s="129"/>
      <c r="C713" s="129"/>
      <c r="D713" s="129"/>
      <c r="E713" s="129"/>
      <c r="F713" s="129"/>
      <c r="G713" s="129"/>
    </row>
    <row r="714" spans="2:7" x14ac:dyDescent="0.2">
      <c r="B714" s="129"/>
      <c r="C714" s="129"/>
      <c r="D714" s="129"/>
      <c r="E714" s="129"/>
      <c r="F714" s="129"/>
      <c r="G714" s="129"/>
    </row>
    <row r="715" spans="2:7" x14ac:dyDescent="0.2">
      <c r="B715" s="129"/>
      <c r="C715" s="129"/>
      <c r="D715" s="129"/>
      <c r="E715" s="129"/>
      <c r="F715" s="129"/>
      <c r="G715" s="129"/>
    </row>
    <row r="716" spans="2:7" x14ac:dyDescent="0.2">
      <c r="B716" s="129"/>
      <c r="C716" s="129"/>
      <c r="D716" s="129"/>
      <c r="E716" s="129"/>
      <c r="F716" s="129"/>
      <c r="G716" s="129"/>
    </row>
    <row r="717" spans="2:7" x14ac:dyDescent="0.2">
      <c r="B717" s="129"/>
      <c r="C717" s="129"/>
      <c r="D717" s="129"/>
      <c r="E717" s="129"/>
      <c r="F717" s="129"/>
      <c r="G717" s="129"/>
    </row>
    <row r="718" spans="2:7" x14ac:dyDescent="0.2">
      <c r="B718" s="129"/>
      <c r="C718" s="129"/>
      <c r="D718" s="129"/>
      <c r="E718" s="129"/>
      <c r="F718" s="129"/>
      <c r="G718" s="129"/>
    </row>
    <row r="719" spans="2:7" x14ac:dyDescent="0.2">
      <c r="B719" s="129"/>
      <c r="C719" s="129"/>
      <c r="D719" s="129"/>
      <c r="E719" s="129"/>
      <c r="F719" s="129"/>
      <c r="G719" s="129"/>
    </row>
    <row r="720" spans="2:7" x14ac:dyDescent="0.2">
      <c r="B720" s="129"/>
      <c r="C720" s="129"/>
      <c r="D720" s="129"/>
      <c r="E720" s="129"/>
      <c r="F720" s="129"/>
      <c r="G720" s="129"/>
    </row>
    <row r="721" spans="2:7" x14ac:dyDescent="0.2">
      <c r="B721" s="129"/>
      <c r="C721" s="129"/>
      <c r="D721" s="129"/>
      <c r="E721" s="129"/>
      <c r="F721" s="129"/>
      <c r="G721" s="129"/>
    </row>
    <row r="722" spans="2:7" x14ac:dyDescent="0.2">
      <c r="B722" s="129"/>
      <c r="C722" s="129"/>
      <c r="D722" s="129"/>
      <c r="E722" s="129"/>
      <c r="F722" s="129"/>
      <c r="G722" s="129"/>
    </row>
    <row r="723" spans="2:7" x14ac:dyDescent="0.2">
      <c r="B723" s="129"/>
      <c r="C723" s="129"/>
      <c r="D723" s="129"/>
      <c r="E723" s="129"/>
      <c r="F723" s="129"/>
      <c r="G723" s="129"/>
    </row>
    <row r="724" spans="2:7" x14ac:dyDescent="0.2">
      <c r="B724" s="129"/>
      <c r="C724" s="129"/>
      <c r="D724" s="129"/>
      <c r="E724" s="129"/>
      <c r="F724" s="129"/>
      <c r="G724" s="129"/>
    </row>
    <row r="725" spans="2:7" x14ac:dyDescent="0.2">
      <c r="B725" s="129"/>
      <c r="C725" s="129"/>
      <c r="D725" s="129"/>
      <c r="E725" s="129"/>
      <c r="F725" s="129"/>
      <c r="G725" s="129"/>
    </row>
    <row r="726" spans="2:7" x14ac:dyDescent="0.2">
      <c r="B726" s="129"/>
      <c r="C726" s="129"/>
      <c r="D726" s="129"/>
      <c r="E726" s="129"/>
      <c r="F726" s="129"/>
      <c r="G726" s="129"/>
    </row>
    <row r="727" spans="2:7" x14ac:dyDescent="0.2">
      <c r="B727" s="129"/>
      <c r="C727" s="129"/>
      <c r="D727" s="129"/>
      <c r="E727" s="129"/>
      <c r="F727" s="129"/>
      <c r="G727" s="129"/>
    </row>
    <row r="728" spans="2:7" x14ac:dyDescent="0.2">
      <c r="B728" s="129"/>
      <c r="C728" s="129"/>
      <c r="D728" s="129"/>
      <c r="E728" s="129"/>
      <c r="F728" s="129"/>
      <c r="G728" s="129"/>
    </row>
    <row r="729" spans="2:7" x14ac:dyDescent="0.2">
      <c r="B729" s="129"/>
      <c r="C729" s="129"/>
      <c r="D729" s="129"/>
      <c r="E729" s="129"/>
      <c r="F729" s="129"/>
      <c r="G729" s="129"/>
    </row>
    <row r="730" spans="2:7" x14ac:dyDescent="0.2">
      <c r="B730" s="129"/>
      <c r="C730" s="129"/>
      <c r="D730" s="129"/>
      <c r="E730" s="129"/>
      <c r="F730" s="129"/>
      <c r="G730" s="129"/>
    </row>
    <row r="731" spans="2:7" x14ac:dyDescent="0.2">
      <c r="B731" s="129"/>
      <c r="C731" s="129"/>
      <c r="D731" s="129"/>
      <c r="E731" s="129"/>
      <c r="F731" s="129"/>
      <c r="G731" s="129"/>
    </row>
    <row r="732" spans="2:7" x14ac:dyDescent="0.2">
      <c r="B732" s="129"/>
      <c r="C732" s="129"/>
      <c r="D732" s="129"/>
      <c r="E732" s="129"/>
      <c r="F732" s="129"/>
      <c r="G732" s="129"/>
    </row>
    <row r="733" spans="2:7" x14ac:dyDescent="0.2">
      <c r="B733" s="129"/>
      <c r="C733" s="129"/>
      <c r="D733" s="129"/>
      <c r="E733" s="129"/>
      <c r="F733" s="129"/>
      <c r="G733" s="129"/>
    </row>
    <row r="734" spans="2:7" x14ac:dyDescent="0.2">
      <c r="B734" s="129"/>
      <c r="C734" s="129"/>
      <c r="D734" s="129"/>
      <c r="E734" s="129"/>
      <c r="F734" s="129"/>
      <c r="G734" s="129"/>
    </row>
    <row r="735" spans="2:7" x14ac:dyDescent="0.2">
      <c r="B735" s="129"/>
      <c r="C735" s="129"/>
      <c r="D735" s="129"/>
      <c r="E735" s="129"/>
      <c r="F735" s="129"/>
      <c r="G735" s="129"/>
    </row>
    <row r="736" spans="2:7" x14ac:dyDescent="0.2">
      <c r="B736" s="129"/>
      <c r="C736" s="129"/>
      <c r="D736" s="129"/>
      <c r="E736" s="129"/>
      <c r="F736" s="129"/>
      <c r="G736" s="129"/>
    </row>
    <row r="737" spans="2:7" x14ac:dyDescent="0.2">
      <c r="B737" s="129"/>
      <c r="C737" s="129"/>
      <c r="D737" s="129"/>
      <c r="E737" s="129"/>
      <c r="F737" s="129"/>
      <c r="G737" s="129"/>
    </row>
    <row r="738" spans="2:7" x14ac:dyDescent="0.2">
      <c r="B738" s="129"/>
      <c r="C738" s="129"/>
      <c r="D738" s="129"/>
      <c r="E738" s="129"/>
      <c r="F738" s="129"/>
      <c r="G738" s="129"/>
    </row>
    <row r="739" spans="2:7" x14ac:dyDescent="0.2">
      <c r="B739" s="129"/>
      <c r="C739" s="129"/>
      <c r="D739" s="129"/>
      <c r="E739" s="129"/>
      <c r="F739" s="129"/>
      <c r="G739" s="129"/>
    </row>
    <row r="740" spans="2:7" x14ac:dyDescent="0.2">
      <c r="B740" s="129"/>
      <c r="C740" s="129"/>
      <c r="D740" s="129"/>
      <c r="E740" s="129"/>
      <c r="F740" s="129"/>
      <c r="G740" s="129"/>
    </row>
    <row r="741" spans="2:7" x14ac:dyDescent="0.2">
      <c r="B741" s="129"/>
      <c r="C741" s="129"/>
      <c r="D741" s="129"/>
      <c r="E741" s="129"/>
      <c r="F741" s="129"/>
      <c r="G741" s="129"/>
    </row>
    <row r="742" spans="2:7" x14ac:dyDescent="0.2">
      <c r="B742" s="129"/>
      <c r="C742" s="129"/>
      <c r="D742" s="129"/>
      <c r="E742" s="129"/>
      <c r="F742" s="129"/>
      <c r="G742" s="129"/>
    </row>
    <row r="743" spans="2:7" x14ac:dyDescent="0.2">
      <c r="B743" s="129"/>
      <c r="C743" s="129"/>
      <c r="D743" s="129"/>
      <c r="E743" s="129"/>
      <c r="F743" s="129"/>
      <c r="G743" s="129"/>
    </row>
    <row r="744" spans="2:7" x14ac:dyDescent="0.2">
      <c r="B744" s="129"/>
      <c r="C744" s="129"/>
      <c r="D744" s="129"/>
      <c r="E744" s="129"/>
      <c r="F744" s="129"/>
      <c r="G744" s="129"/>
    </row>
    <row r="745" spans="2:7" x14ac:dyDescent="0.2">
      <c r="B745" s="129"/>
      <c r="C745" s="129"/>
      <c r="D745" s="129"/>
      <c r="E745" s="129"/>
      <c r="F745" s="129"/>
      <c r="G745" s="129"/>
    </row>
    <row r="746" spans="2:7" x14ac:dyDescent="0.2">
      <c r="B746" s="129"/>
      <c r="C746" s="129"/>
      <c r="D746" s="129"/>
      <c r="E746" s="129"/>
      <c r="F746" s="129"/>
      <c r="G746" s="129"/>
    </row>
    <row r="747" spans="2:7" x14ac:dyDescent="0.2">
      <c r="B747" s="129"/>
      <c r="C747" s="129"/>
      <c r="D747" s="129"/>
      <c r="E747" s="129"/>
      <c r="F747" s="129"/>
      <c r="G747" s="129"/>
    </row>
    <row r="748" spans="2:7" x14ac:dyDescent="0.2">
      <c r="B748" s="129"/>
      <c r="C748" s="129"/>
      <c r="D748" s="129"/>
      <c r="E748" s="129"/>
      <c r="F748" s="129"/>
      <c r="G748" s="129"/>
    </row>
    <row r="749" spans="2:7" x14ac:dyDescent="0.2">
      <c r="B749" s="129"/>
      <c r="C749" s="129"/>
      <c r="D749" s="129"/>
      <c r="E749" s="129"/>
      <c r="F749" s="129"/>
      <c r="G749" s="129"/>
    </row>
    <row r="750" spans="2:7" x14ac:dyDescent="0.2">
      <c r="B750" s="129"/>
      <c r="C750" s="129"/>
      <c r="D750" s="129"/>
      <c r="E750" s="129"/>
      <c r="F750" s="129"/>
      <c r="G750" s="129"/>
    </row>
    <row r="751" spans="2:7" x14ac:dyDescent="0.2">
      <c r="B751" s="129"/>
      <c r="C751" s="129"/>
      <c r="D751" s="129"/>
      <c r="E751" s="129"/>
      <c r="F751" s="129"/>
      <c r="G751" s="129"/>
    </row>
    <row r="752" spans="2:7" x14ac:dyDescent="0.2">
      <c r="B752" s="129"/>
      <c r="C752" s="129"/>
      <c r="D752" s="129"/>
      <c r="E752" s="129"/>
      <c r="F752" s="129"/>
      <c r="G752" s="129"/>
    </row>
    <row r="753" spans="2:7" x14ac:dyDescent="0.2">
      <c r="B753" s="129"/>
      <c r="C753" s="129"/>
      <c r="D753" s="129"/>
      <c r="E753" s="129"/>
      <c r="F753" s="129"/>
      <c r="G753" s="129"/>
    </row>
    <row r="754" spans="2:7" x14ac:dyDescent="0.2">
      <c r="B754" s="129"/>
      <c r="C754" s="129"/>
      <c r="D754" s="129"/>
      <c r="E754" s="129"/>
      <c r="F754" s="129"/>
      <c r="G754" s="129"/>
    </row>
    <row r="755" spans="2:7" x14ac:dyDescent="0.2">
      <c r="B755" s="129"/>
      <c r="C755" s="129"/>
      <c r="D755" s="129"/>
      <c r="E755" s="129"/>
      <c r="F755" s="129"/>
      <c r="G755" s="129"/>
    </row>
    <row r="756" spans="2:7" x14ac:dyDescent="0.2">
      <c r="B756" s="129"/>
      <c r="C756" s="129"/>
      <c r="D756" s="129"/>
      <c r="E756" s="129"/>
      <c r="F756" s="129"/>
      <c r="G756" s="129"/>
    </row>
    <row r="757" spans="2:7" x14ac:dyDescent="0.2">
      <c r="B757" s="129"/>
      <c r="C757" s="129"/>
      <c r="D757" s="129"/>
      <c r="E757" s="129"/>
      <c r="F757" s="129"/>
      <c r="G757" s="129"/>
    </row>
    <row r="758" spans="2:7" x14ac:dyDescent="0.2">
      <c r="B758" s="129"/>
      <c r="C758" s="129"/>
      <c r="D758" s="129"/>
      <c r="E758" s="129"/>
      <c r="F758" s="129"/>
      <c r="G758" s="129"/>
    </row>
    <row r="759" spans="2:7" x14ac:dyDescent="0.2">
      <c r="B759" s="129"/>
      <c r="C759" s="129"/>
      <c r="D759" s="129"/>
      <c r="E759" s="129"/>
      <c r="F759" s="129"/>
      <c r="G759" s="129"/>
    </row>
    <row r="760" spans="2:7" x14ac:dyDescent="0.2">
      <c r="B760" s="129"/>
      <c r="C760" s="129"/>
      <c r="D760" s="129"/>
      <c r="E760" s="129"/>
      <c r="F760" s="129"/>
      <c r="G760" s="129"/>
    </row>
    <row r="761" spans="2:7" x14ac:dyDescent="0.2">
      <c r="B761" s="129"/>
      <c r="C761" s="129"/>
      <c r="D761" s="129"/>
      <c r="E761" s="129"/>
      <c r="F761" s="129"/>
      <c r="G761" s="129"/>
    </row>
    <row r="762" spans="2:7" x14ac:dyDescent="0.2">
      <c r="B762" s="129"/>
      <c r="C762" s="129"/>
      <c r="D762" s="129"/>
      <c r="E762" s="129"/>
      <c r="F762" s="129"/>
      <c r="G762" s="129"/>
    </row>
    <row r="763" spans="2:7" x14ac:dyDescent="0.2">
      <c r="B763" s="129"/>
      <c r="C763" s="129"/>
      <c r="D763" s="129"/>
      <c r="E763" s="129"/>
      <c r="F763" s="129"/>
      <c r="G763" s="129"/>
    </row>
    <row r="764" spans="2:7" x14ac:dyDescent="0.2">
      <c r="B764" s="129"/>
      <c r="C764" s="129"/>
      <c r="D764" s="129"/>
      <c r="E764" s="129"/>
      <c r="F764" s="129"/>
      <c r="G764" s="129"/>
    </row>
    <row r="765" spans="2:7" x14ac:dyDescent="0.2">
      <c r="B765" s="129"/>
      <c r="C765" s="129"/>
      <c r="D765" s="129"/>
      <c r="E765" s="129"/>
      <c r="F765" s="129"/>
      <c r="G765" s="129"/>
    </row>
    <row r="766" spans="2:7" x14ac:dyDescent="0.2">
      <c r="B766" s="129"/>
      <c r="C766" s="129"/>
      <c r="D766" s="129"/>
      <c r="E766" s="129"/>
      <c r="F766" s="129"/>
      <c r="G766" s="129"/>
    </row>
    <row r="767" spans="2:7" x14ac:dyDescent="0.2">
      <c r="B767" s="129"/>
      <c r="C767" s="129"/>
      <c r="D767" s="129"/>
      <c r="E767" s="129"/>
      <c r="F767" s="129"/>
      <c r="G767" s="129"/>
    </row>
    <row r="768" spans="2:7" x14ac:dyDescent="0.2">
      <c r="B768" s="129"/>
      <c r="C768" s="129"/>
      <c r="D768" s="129"/>
      <c r="E768" s="129"/>
      <c r="F768" s="129"/>
      <c r="G768" s="129"/>
    </row>
    <row r="769" spans="2:7" x14ac:dyDescent="0.2">
      <c r="B769" s="129"/>
      <c r="C769" s="129"/>
      <c r="D769" s="129"/>
      <c r="E769" s="129"/>
      <c r="F769" s="129"/>
      <c r="G769" s="129"/>
    </row>
    <row r="770" spans="2:7" x14ac:dyDescent="0.2">
      <c r="B770" s="129"/>
      <c r="C770" s="129"/>
      <c r="D770" s="129"/>
      <c r="E770" s="129"/>
      <c r="F770" s="129"/>
      <c r="G770" s="129"/>
    </row>
    <row r="771" spans="2:7" x14ac:dyDescent="0.2">
      <c r="B771" s="129"/>
      <c r="C771" s="129"/>
      <c r="D771" s="129"/>
      <c r="E771" s="129"/>
      <c r="F771" s="129"/>
      <c r="G771" s="129"/>
    </row>
    <row r="772" spans="2:7" x14ac:dyDescent="0.2">
      <c r="B772" s="129"/>
      <c r="C772" s="129"/>
      <c r="D772" s="129"/>
      <c r="E772" s="129"/>
      <c r="F772" s="129"/>
      <c r="G772" s="129"/>
    </row>
    <row r="773" spans="2:7" x14ac:dyDescent="0.2">
      <c r="B773" s="129"/>
      <c r="C773" s="129"/>
      <c r="D773" s="129"/>
      <c r="E773" s="129"/>
      <c r="F773" s="129"/>
      <c r="G773" s="129"/>
    </row>
    <row r="774" spans="2:7" x14ac:dyDescent="0.2">
      <c r="B774" s="129"/>
      <c r="C774" s="129"/>
      <c r="D774" s="129"/>
      <c r="E774" s="129"/>
      <c r="F774" s="129"/>
      <c r="G774" s="129"/>
    </row>
    <row r="775" spans="2:7" x14ac:dyDescent="0.2">
      <c r="B775" s="129"/>
      <c r="C775" s="129"/>
      <c r="D775" s="129"/>
      <c r="E775" s="129"/>
      <c r="F775" s="129"/>
      <c r="G775" s="129"/>
    </row>
    <row r="776" spans="2:7" x14ac:dyDescent="0.2">
      <c r="B776" s="129"/>
      <c r="C776" s="129"/>
      <c r="D776" s="129"/>
      <c r="E776" s="129"/>
      <c r="F776" s="129"/>
      <c r="G776" s="129"/>
    </row>
    <row r="777" spans="2:7" x14ac:dyDescent="0.2">
      <c r="B777" s="129"/>
      <c r="C777" s="129"/>
      <c r="D777" s="129"/>
      <c r="E777" s="129"/>
      <c r="F777" s="129"/>
      <c r="G777" s="129"/>
    </row>
    <row r="778" spans="2:7" x14ac:dyDescent="0.2">
      <c r="B778" s="129"/>
      <c r="C778" s="129"/>
      <c r="D778" s="129"/>
      <c r="E778" s="129"/>
      <c r="F778" s="129"/>
      <c r="G778" s="129"/>
    </row>
    <row r="779" spans="2:7" x14ac:dyDescent="0.2">
      <c r="B779" s="129"/>
      <c r="C779" s="129"/>
      <c r="D779" s="129"/>
      <c r="E779" s="129"/>
      <c r="F779" s="129"/>
      <c r="G779" s="129"/>
    </row>
    <row r="780" spans="2:7" x14ac:dyDescent="0.2">
      <c r="B780" s="129"/>
      <c r="C780" s="129"/>
      <c r="D780" s="129"/>
      <c r="E780" s="129"/>
      <c r="F780" s="129"/>
      <c r="G780" s="129"/>
    </row>
    <row r="781" spans="2:7" x14ac:dyDescent="0.2">
      <c r="B781" s="129"/>
      <c r="C781" s="129"/>
      <c r="D781" s="129"/>
      <c r="E781" s="129"/>
      <c r="F781" s="129"/>
      <c r="G781" s="129"/>
    </row>
    <row r="782" spans="2:7" x14ac:dyDescent="0.2">
      <c r="B782" s="129"/>
      <c r="C782" s="129"/>
      <c r="D782" s="129"/>
      <c r="E782" s="129"/>
      <c r="F782" s="129"/>
      <c r="G782" s="129"/>
    </row>
    <row r="783" spans="2:7" x14ac:dyDescent="0.2">
      <c r="B783" s="129"/>
      <c r="C783" s="129"/>
      <c r="D783" s="129"/>
      <c r="E783" s="129"/>
      <c r="F783" s="129"/>
      <c r="G783" s="129"/>
    </row>
    <row r="784" spans="2:7" x14ac:dyDescent="0.2">
      <c r="B784" s="129"/>
      <c r="C784" s="129"/>
      <c r="D784" s="129"/>
      <c r="E784" s="129"/>
      <c r="F784" s="129"/>
      <c r="G784" s="129"/>
    </row>
    <row r="785" spans="2:7" x14ac:dyDescent="0.2">
      <c r="B785" s="129"/>
      <c r="C785" s="129"/>
      <c r="D785" s="129"/>
      <c r="E785" s="129"/>
      <c r="F785" s="129"/>
      <c r="G785" s="129"/>
    </row>
    <row r="786" spans="2:7" x14ac:dyDescent="0.2">
      <c r="B786" s="129"/>
      <c r="C786" s="129"/>
      <c r="D786" s="129"/>
      <c r="E786" s="129"/>
      <c r="F786" s="129"/>
      <c r="G786" s="129"/>
    </row>
    <row r="787" spans="2:7" x14ac:dyDescent="0.2">
      <c r="B787" s="129"/>
      <c r="C787" s="129"/>
      <c r="D787" s="129"/>
      <c r="E787" s="129"/>
      <c r="F787" s="129"/>
      <c r="G787" s="129"/>
    </row>
    <row r="788" spans="2:7" x14ac:dyDescent="0.2">
      <c r="B788" s="129"/>
      <c r="C788" s="129"/>
      <c r="D788" s="129"/>
      <c r="E788" s="129"/>
      <c r="F788" s="129"/>
      <c r="G788" s="129"/>
    </row>
    <row r="789" spans="2:7" x14ac:dyDescent="0.2">
      <c r="B789" s="129"/>
      <c r="C789" s="129"/>
      <c r="D789" s="129"/>
      <c r="E789" s="129"/>
      <c r="F789" s="129"/>
      <c r="G789" s="129"/>
    </row>
    <row r="790" spans="2:7" x14ac:dyDescent="0.2">
      <c r="B790" s="129"/>
      <c r="C790" s="129"/>
      <c r="D790" s="129"/>
      <c r="E790" s="129"/>
      <c r="F790" s="129"/>
      <c r="G790" s="129"/>
    </row>
    <row r="791" spans="2:7" x14ac:dyDescent="0.2">
      <c r="B791" s="129"/>
      <c r="C791" s="129"/>
      <c r="D791" s="129"/>
      <c r="E791" s="129"/>
      <c r="F791" s="129"/>
      <c r="G791" s="129"/>
    </row>
    <row r="792" spans="2:7" x14ac:dyDescent="0.2">
      <c r="B792" s="129"/>
      <c r="C792" s="129"/>
      <c r="D792" s="129"/>
      <c r="E792" s="129"/>
      <c r="F792" s="129"/>
      <c r="G792" s="129"/>
    </row>
    <row r="793" spans="2:7" x14ac:dyDescent="0.2">
      <c r="B793" s="129"/>
      <c r="C793" s="129"/>
      <c r="D793" s="129"/>
      <c r="E793" s="129"/>
      <c r="F793" s="129"/>
      <c r="G793" s="129"/>
    </row>
    <row r="794" spans="2:7" x14ac:dyDescent="0.2">
      <c r="B794" s="129"/>
      <c r="C794" s="129"/>
      <c r="D794" s="129"/>
      <c r="E794" s="129"/>
      <c r="F794" s="129"/>
      <c r="G794" s="129"/>
    </row>
    <row r="795" spans="2:7" x14ac:dyDescent="0.2">
      <c r="B795" s="129"/>
      <c r="C795" s="129"/>
      <c r="D795" s="129"/>
      <c r="E795" s="129"/>
      <c r="F795" s="129"/>
      <c r="G795" s="129"/>
    </row>
    <row r="796" spans="2:7" x14ac:dyDescent="0.2">
      <c r="B796" s="129"/>
      <c r="C796" s="129"/>
      <c r="D796" s="129"/>
      <c r="E796" s="129"/>
      <c r="F796" s="129"/>
      <c r="G796" s="129"/>
    </row>
    <row r="797" spans="2:7" x14ac:dyDescent="0.2">
      <c r="B797" s="129"/>
      <c r="C797" s="129"/>
      <c r="D797" s="129"/>
      <c r="E797" s="129"/>
      <c r="F797" s="129"/>
      <c r="G797" s="129"/>
    </row>
    <row r="798" spans="2:7" x14ac:dyDescent="0.2">
      <c r="B798" s="129"/>
      <c r="C798" s="129"/>
      <c r="D798" s="129"/>
      <c r="E798" s="129"/>
      <c r="F798" s="129"/>
      <c r="G798" s="129"/>
    </row>
    <row r="799" spans="2:7" x14ac:dyDescent="0.2">
      <c r="B799" s="129"/>
      <c r="C799" s="129"/>
      <c r="D799" s="129"/>
      <c r="E799" s="129"/>
      <c r="F799" s="129"/>
      <c r="G799" s="129"/>
    </row>
    <row r="800" spans="2:7" x14ac:dyDescent="0.2">
      <c r="B800" s="129"/>
      <c r="C800" s="129"/>
      <c r="D800" s="129"/>
      <c r="E800" s="129"/>
      <c r="F800" s="129"/>
      <c r="G800" s="129"/>
    </row>
    <row r="801" spans="2:7" x14ac:dyDescent="0.2">
      <c r="B801" s="129"/>
      <c r="C801" s="129"/>
      <c r="D801" s="129"/>
      <c r="E801" s="129"/>
      <c r="F801" s="129"/>
      <c r="G801" s="129"/>
    </row>
    <row r="802" spans="2:7" x14ac:dyDescent="0.2">
      <c r="B802" s="129"/>
      <c r="C802" s="129"/>
      <c r="D802" s="129"/>
      <c r="E802" s="129"/>
      <c r="F802" s="129"/>
      <c r="G802" s="129"/>
    </row>
    <row r="803" spans="2:7" x14ac:dyDescent="0.2">
      <c r="B803" s="129"/>
      <c r="C803" s="129"/>
      <c r="D803" s="129"/>
      <c r="E803" s="129"/>
      <c r="F803" s="129"/>
      <c r="G803" s="129"/>
    </row>
    <row r="804" spans="2:7" x14ac:dyDescent="0.2">
      <c r="B804" s="129"/>
      <c r="C804" s="129"/>
      <c r="D804" s="129"/>
      <c r="E804" s="129"/>
      <c r="F804" s="129"/>
      <c r="G804" s="129"/>
    </row>
    <row r="805" spans="2:7" x14ac:dyDescent="0.2">
      <c r="B805" s="129"/>
      <c r="C805" s="129"/>
      <c r="D805" s="129"/>
      <c r="E805" s="129"/>
      <c r="F805" s="129"/>
      <c r="G805" s="129"/>
    </row>
    <row r="806" spans="2:7" x14ac:dyDescent="0.2">
      <c r="B806" s="129"/>
      <c r="C806" s="129"/>
      <c r="D806" s="129"/>
      <c r="E806" s="129"/>
      <c r="F806" s="129"/>
      <c r="G806" s="129"/>
    </row>
    <row r="807" spans="2:7" x14ac:dyDescent="0.2">
      <c r="B807" s="129"/>
      <c r="C807" s="129"/>
      <c r="D807" s="129"/>
      <c r="E807" s="129"/>
      <c r="F807" s="129"/>
      <c r="G807" s="129"/>
    </row>
    <row r="808" spans="2:7" x14ac:dyDescent="0.2">
      <c r="B808" s="129"/>
      <c r="C808" s="129"/>
      <c r="D808" s="129"/>
      <c r="E808" s="129"/>
      <c r="F808" s="129"/>
      <c r="G808" s="129"/>
    </row>
    <row r="809" spans="2:7" x14ac:dyDescent="0.2">
      <c r="B809" s="129"/>
      <c r="C809" s="129"/>
      <c r="D809" s="129"/>
      <c r="E809" s="129"/>
      <c r="F809" s="129"/>
      <c r="G809" s="129"/>
    </row>
    <row r="810" spans="2:7" x14ac:dyDescent="0.2">
      <c r="B810" s="129"/>
      <c r="C810" s="129"/>
      <c r="D810" s="129"/>
      <c r="E810" s="129"/>
      <c r="F810" s="129"/>
      <c r="G810" s="129"/>
    </row>
    <row r="811" spans="2:7" x14ac:dyDescent="0.2">
      <c r="B811" s="129"/>
      <c r="C811" s="129"/>
      <c r="D811" s="129"/>
      <c r="E811" s="129"/>
      <c r="F811" s="129"/>
      <c r="G811" s="129"/>
    </row>
    <row r="812" spans="2:7" x14ac:dyDescent="0.2">
      <c r="B812" s="129"/>
      <c r="C812" s="129"/>
      <c r="D812" s="129"/>
      <c r="E812" s="129"/>
      <c r="F812" s="129"/>
      <c r="G812" s="129"/>
    </row>
    <row r="813" spans="2:7" x14ac:dyDescent="0.2">
      <c r="B813" s="129"/>
      <c r="C813" s="129"/>
      <c r="D813" s="129"/>
      <c r="E813" s="129"/>
      <c r="F813" s="129"/>
      <c r="G813" s="129"/>
    </row>
    <row r="814" spans="2:7" x14ac:dyDescent="0.2">
      <c r="B814" s="129"/>
      <c r="C814" s="129"/>
      <c r="D814" s="129"/>
      <c r="E814" s="129"/>
      <c r="F814" s="129"/>
      <c r="G814" s="129"/>
    </row>
    <row r="815" spans="2:7" x14ac:dyDescent="0.2">
      <c r="B815" s="129"/>
      <c r="C815" s="129"/>
      <c r="D815" s="129"/>
      <c r="E815" s="129"/>
      <c r="F815" s="129"/>
      <c r="G815" s="129"/>
    </row>
    <row r="816" spans="2:7" x14ac:dyDescent="0.2">
      <c r="B816" s="129"/>
      <c r="C816" s="129"/>
      <c r="D816" s="129"/>
      <c r="E816" s="129"/>
      <c r="F816" s="129"/>
      <c r="G816" s="129"/>
    </row>
    <row r="817" spans="2:7" x14ac:dyDescent="0.2">
      <c r="B817" s="129"/>
      <c r="C817" s="129"/>
      <c r="D817" s="129"/>
      <c r="E817" s="129"/>
      <c r="F817" s="129"/>
      <c r="G817" s="129"/>
    </row>
    <row r="818" spans="2:7" x14ac:dyDescent="0.2">
      <c r="B818" s="129"/>
      <c r="C818" s="129"/>
      <c r="D818" s="129"/>
      <c r="E818" s="129"/>
      <c r="F818" s="129"/>
      <c r="G818" s="129"/>
    </row>
    <row r="819" spans="2:7" x14ac:dyDescent="0.2">
      <c r="B819" s="129"/>
      <c r="C819" s="129"/>
      <c r="D819" s="129"/>
      <c r="E819" s="129"/>
      <c r="F819" s="129"/>
      <c r="G819" s="129"/>
    </row>
    <row r="820" spans="2:7" x14ac:dyDescent="0.2">
      <c r="B820" s="129"/>
      <c r="C820" s="129"/>
      <c r="D820" s="129"/>
      <c r="E820" s="129"/>
      <c r="F820" s="129"/>
      <c r="G820" s="129"/>
    </row>
    <row r="821" spans="2:7" x14ac:dyDescent="0.2">
      <c r="B821" s="129"/>
      <c r="C821" s="129"/>
      <c r="D821" s="129"/>
      <c r="E821" s="129"/>
      <c r="F821" s="129"/>
      <c r="G821" s="129"/>
    </row>
    <row r="822" spans="2:7" x14ac:dyDescent="0.2">
      <c r="B822" s="129"/>
      <c r="C822" s="129"/>
      <c r="D822" s="129"/>
      <c r="E822" s="129"/>
      <c r="F822" s="129"/>
      <c r="G822" s="129"/>
    </row>
    <row r="823" spans="2:7" x14ac:dyDescent="0.2">
      <c r="B823" s="129"/>
      <c r="C823" s="129"/>
      <c r="D823" s="129"/>
      <c r="E823" s="129"/>
      <c r="F823" s="129"/>
      <c r="G823" s="129"/>
    </row>
    <row r="824" spans="2:7" x14ac:dyDescent="0.2">
      <c r="B824" s="129"/>
      <c r="C824" s="129"/>
      <c r="D824" s="129"/>
      <c r="E824" s="129"/>
      <c r="F824" s="129"/>
      <c r="G824" s="129"/>
    </row>
    <row r="825" spans="2:7" x14ac:dyDescent="0.2">
      <c r="B825" s="129"/>
      <c r="C825" s="129"/>
      <c r="D825" s="129"/>
      <c r="E825" s="129"/>
      <c r="F825" s="129"/>
      <c r="G825" s="129"/>
    </row>
    <row r="826" spans="2:7" x14ac:dyDescent="0.2">
      <c r="B826" s="129"/>
      <c r="C826" s="129"/>
      <c r="D826" s="129"/>
      <c r="E826" s="129"/>
      <c r="F826" s="129"/>
      <c r="G826" s="129"/>
    </row>
    <row r="827" spans="2:7" x14ac:dyDescent="0.2">
      <c r="B827" s="129"/>
      <c r="C827" s="129"/>
      <c r="D827" s="129"/>
      <c r="E827" s="129"/>
      <c r="F827" s="129"/>
      <c r="G827" s="129"/>
    </row>
    <row r="828" spans="2:7" x14ac:dyDescent="0.2">
      <c r="B828" s="129"/>
      <c r="C828" s="129"/>
      <c r="D828" s="129"/>
      <c r="E828" s="129"/>
      <c r="F828" s="129"/>
      <c r="G828" s="129"/>
    </row>
    <row r="829" spans="2:7" x14ac:dyDescent="0.2">
      <c r="B829" s="129"/>
      <c r="C829" s="129"/>
      <c r="D829" s="129"/>
      <c r="E829" s="129"/>
      <c r="F829" s="129"/>
      <c r="G829" s="129"/>
    </row>
    <row r="830" spans="2:7" x14ac:dyDescent="0.2">
      <c r="B830" s="129"/>
      <c r="C830" s="129"/>
      <c r="D830" s="129"/>
      <c r="E830" s="129"/>
      <c r="F830" s="129"/>
      <c r="G830" s="129"/>
    </row>
    <row r="831" spans="2:7" x14ac:dyDescent="0.2">
      <c r="B831" s="129"/>
      <c r="C831" s="129"/>
      <c r="D831" s="129"/>
      <c r="E831" s="129"/>
      <c r="F831" s="129"/>
      <c r="G831" s="129"/>
    </row>
    <row r="832" spans="2:7" x14ac:dyDescent="0.2">
      <c r="B832" s="129"/>
      <c r="C832" s="129"/>
      <c r="D832" s="129"/>
      <c r="E832" s="129"/>
      <c r="F832" s="129"/>
      <c r="G832" s="129"/>
    </row>
    <row r="833" spans="2:7" x14ac:dyDescent="0.2">
      <c r="B833" s="129"/>
      <c r="C833" s="129"/>
      <c r="D833" s="129"/>
      <c r="E833" s="129"/>
      <c r="F833" s="129"/>
      <c r="G833" s="129"/>
    </row>
    <row r="834" spans="2:7" x14ac:dyDescent="0.2">
      <c r="B834" s="129"/>
      <c r="C834" s="129"/>
      <c r="D834" s="129"/>
      <c r="E834" s="129"/>
      <c r="F834" s="129"/>
      <c r="G834" s="129"/>
    </row>
    <row r="835" spans="2:7" x14ac:dyDescent="0.2">
      <c r="B835" s="129"/>
      <c r="C835" s="129"/>
      <c r="D835" s="129"/>
      <c r="E835" s="129"/>
      <c r="F835" s="129"/>
      <c r="G835" s="129"/>
    </row>
    <row r="836" spans="2:7" x14ac:dyDescent="0.2">
      <c r="B836" s="129"/>
      <c r="C836" s="129"/>
      <c r="D836" s="129"/>
      <c r="E836" s="129"/>
      <c r="F836" s="129"/>
      <c r="G836" s="129"/>
    </row>
    <row r="837" spans="2:7" x14ac:dyDescent="0.2">
      <c r="B837" s="129"/>
      <c r="C837" s="129"/>
      <c r="D837" s="129"/>
      <c r="E837" s="129"/>
      <c r="F837" s="129"/>
      <c r="G837" s="129"/>
    </row>
    <row r="838" spans="2:7" x14ac:dyDescent="0.2">
      <c r="B838" s="129"/>
      <c r="C838" s="129"/>
      <c r="D838" s="129"/>
      <c r="E838" s="129"/>
      <c r="F838" s="129"/>
      <c r="G838" s="129"/>
    </row>
    <row r="839" spans="2:7" x14ac:dyDescent="0.2">
      <c r="B839" s="129"/>
      <c r="C839" s="129"/>
      <c r="D839" s="129"/>
      <c r="E839" s="129"/>
      <c r="F839" s="129"/>
      <c r="G839" s="129"/>
    </row>
    <row r="840" spans="2:7" x14ac:dyDescent="0.2">
      <c r="B840" s="129"/>
      <c r="C840" s="129"/>
      <c r="D840" s="129"/>
      <c r="E840" s="129"/>
      <c r="F840" s="129"/>
      <c r="G840" s="129"/>
    </row>
    <row r="841" spans="2:7" x14ac:dyDescent="0.2">
      <c r="B841" s="129"/>
      <c r="C841" s="129"/>
      <c r="D841" s="129"/>
      <c r="E841" s="129"/>
      <c r="F841" s="129"/>
      <c r="G841" s="129"/>
    </row>
    <row r="842" spans="2:7" x14ac:dyDescent="0.2">
      <c r="B842" s="129"/>
      <c r="C842" s="129"/>
      <c r="D842" s="129"/>
      <c r="E842" s="129"/>
      <c r="F842" s="129"/>
      <c r="G842" s="129"/>
    </row>
    <row r="843" spans="2:7" x14ac:dyDescent="0.2">
      <c r="B843" s="129"/>
      <c r="C843" s="129"/>
      <c r="D843" s="129"/>
      <c r="E843" s="129"/>
      <c r="F843" s="129"/>
      <c r="G843" s="129"/>
    </row>
    <row r="844" spans="2:7" x14ac:dyDescent="0.2">
      <c r="B844" s="129"/>
      <c r="C844" s="129"/>
      <c r="D844" s="129"/>
      <c r="E844" s="129"/>
      <c r="F844" s="129"/>
      <c r="G844" s="129"/>
    </row>
    <row r="845" spans="2:7" x14ac:dyDescent="0.2">
      <c r="B845" s="129"/>
      <c r="C845" s="129"/>
      <c r="D845" s="129"/>
      <c r="E845" s="129"/>
      <c r="F845" s="129"/>
      <c r="G845" s="129"/>
    </row>
    <row r="846" spans="2:7" x14ac:dyDescent="0.2">
      <c r="B846" s="129"/>
      <c r="C846" s="129"/>
      <c r="D846" s="129"/>
      <c r="E846" s="129"/>
      <c r="F846" s="129"/>
      <c r="G846" s="129"/>
    </row>
    <row r="847" spans="2:7" x14ac:dyDescent="0.2">
      <c r="B847" s="129"/>
      <c r="C847" s="129"/>
      <c r="D847" s="129"/>
      <c r="E847" s="129"/>
      <c r="F847" s="129"/>
      <c r="G847" s="129"/>
    </row>
    <row r="848" spans="2:7" x14ac:dyDescent="0.2">
      <c r="B848" s="129"/>
      <c r="C848" s="129"/>
      <c r="D848" s="129"/>
      <c r="E848" s="129"/>
      <c r="F848" s="129"/>
      <c r="G848" s="129"/>
    </row>
    <row r="849" spans="2:7" x14ac:dyDescent="0.2">
      <c r="B849" s="129"/>
      <c r="C849" s="129"/>
      <c r="D849" s="129"/>
      <c r="E849" s="129"/>
      <c r="F849" s="129"/>
      <c r="G849" s="129"/>
    </row>
    <row r="850" spans="2:7" x14ac:dyDescent="0.2">
      <c r="B850" s="129"/>
      <c r="C850" s="129"/>
      <c r="D850" s="129"/>
      <c r="E850" s="129"/>
      <c r="F850" s="129"/>
      <c r="G850" s="129"/>
    </row>
    <row r="851" spans="2:7" x14ac:dyDescent="0.2">
      <c r="B851" s="129"/>
      <c r="C851" s="129"/>
      <c r="D851" s="129"/>
      <c r="E851" s="129"/>
      <c r="F851" s="129"/>
      <c r="G851" s="129"/>
    </row>
    <row r="852" spans="2:7" x14ac:dyDescent="0.2">
      <c r="B852" s="129"/>
      <c r="C852" s="129"/>
      <c r="D852" s="129"/>
      <c r="E852" s="129"/>
      <c r="F852" s="129"/>
      <c r="G852" s="129"/>
    </row>
    <row r="853" spans="2:7" x14ac:dyDescent="0.2">
      <c r="B853" s="129"/>
      <c r="C853" s="129"/>
      <c r="D853" s="129"/>
      <c r="E853" s="129"/>
      <c r="F853" s="129"/>
      <c r="G853" s="129"/>
    </row>
    <row r="854" spans="2:7" x14ac:dyDescent="0.2">
      <c r="B854" s="129"/>
      <c r="C854" s="129"/>
      <c r="D854" s="129"/>
      <c r="E854" s="129"/>
      <c r="F854" s="129"/>
      <c r="G854" s="129"/>
    </row>
    <row r="855" spans="2:7" x14ac:dyDescent="0.2">
      <c r="B855" s="129"/>
      <c r="C855" s="129"/>
      <c r="D855" s="129"/>
      <c r="E855" s="129"/>
      <c r="F855" s="129"/>
      <c r="G855" s="129"/>
    </row>
    <row r="856" spans="2:7" x14ac:dyDescent="0.2">
      <c r="B856" s="129"/>
      <c r="C856" s="129"/>
      <c r="D856" s="129"/>
      <c r="E856" s="129"/>
      <c r="F856" s="129"/>
      <c r="G856" s="129"/>
    </row>
    <row r="857" spans="2:7" x14ac:dyDescent="0.2">
      <c r="B857" s="129"/>
      <c r="C857" s="129"/>
      <c r="D857" s="129"/>
      <c r="E857" s="129"/>
      <c r="F857" s="129"/>
      <c r="G857" s="129"/>
    </row>
    <row r="858" spans="2:7" x14ac:dyDescent="0.2">
      <c r="B858" s="129"/>
      <c r="C858" s="129"/>
      <c r="D858" s="129"/>
      <c r="E858" s="129"/>
      <c r="F858" s="129"/>
      <c r="G858" s="129"/>
    </row>
    <row r="859" spans="2:7" x14ac:dyDescent="0.2">
      <c r="B859" s="129"/>
      <c r="C859" s="129"/>
      <c r="D859" s="129"/>
      <c r="E859" s="129"/>
      <c r="F859" s="129"/>
      <c r="G859" s="129"/>
    </row>
    <row r="860" spans="2:7" x14ac:dyDescent="0.2">
      <c r="B860" s="129"/>
      <c r="C860" s="129"/>
      <c r="D860" s="129"/>
      <c r="E860" s="129"/>
      <c r="F860" s="129"/>
      <c r="G860" s="129"/>
    </row>
    <row r="861" spans="2:7" x14ac:dyDescent="0.2">
      <c r="B861" s="129"/>
      <c r="C861" s="129"/>
      <c r="D861" s="129"/>
      <c r="E861" s="129"/>
      <c r="F861" s="129"/>
      <c r="G861" s="129"/>
    </row>
    <row r="862" spans="2:7" x14ac:dyDescent="0.2">
      <c r="B862" s="129"/>
      <c r="C862" s="129"/>
      <c r="D862" s="129"/>
      <c r="E862" s="129"/>
      <c r="F862" s="129"/>
      <c r="G862" s="129"/>
    </row>
    <row r="863" spans="2:7" x14ac:dyDescent="0.2">
      <c r="B863" s="129"/>
      <c r="C863" s="129"/>
      <c r="D863" s="129"/>
      <c r="E863" s="129"/>
      <c r="F863" s="129"/>
      <c r="G863" s="129"/>
    </row>
    <row r="864" spans="2:7" x14ac:dyDescent="0.2">
      <c r="B864" s="129"/>
      <c r="C864" s="129"/>
      <c r="D864" s="129"/>
      <c r="E864" s="129"/>
      <c r="F864" s="129"/>
      <c r="G864" s="129"/>
    </row>
    <row r="865" spans="2:7" x14ac:dyDescent="0.2">
      <c r="B865" s="129"/>
      <c r="C865" s="129"/>
      <c r="D865" s="129"/>
      <c r="E865" s="129"/>
      <c r="F865" s="129"/>
      <c r="G865" s="129"/>
    </row>
    <row r="866" spans="2:7" x14ac:dyDescent="0.2">
      <c r="B866" s="129"/>
      <c r="C866" s="129"/>
      <c r="D866" s="129"/>
      <c r="E866" s="129"/>
      <c r="F866" s="129"/>
      <c r="G866" s="129"/>
    </row>
    <row r="867" spans="2:7" x14ac:dyDescent="0.2">
      <c r="B867" s="129"/>
      <c r="C867" s="129"/>
      <c r="D867" s="129"/>
      <c r="E867" s="129"/>
      <c r="F867" s="129"/>
      <c r="G867" s="129"/>
    </row>
    <row r="868" spans="2:7" x14ac:dyDescent="0.2">
      <c r="B868" s="129"/>
      <c r="C868" s="129"/>
      <c r="D868" s="129"/>
      <c r="E868" s="129"/>
      <c r="F868" s="129"/>
      <c r="G868" s="129"/>
    </row>
    <row r="869" spans="2:7" x14ac:dyDescent="0.2">
      <c r="B869" s="129"/>
      <c r="C869" s="129"/>
      <c r="D869" s="129"/>
      <c r="E869" s="129"/>
      <c r="F869" s="129"/>
      <c r="G869" s="129"/>
    </row>
    <row r="870" spans="2:7" x14ac:dyDescent="0.2">
      <c r="B870" s="129"/>
      <c r="C870" s="129"/>
      <c r="D870" s="129"/>
      <c r="E870" s="129"/>
      <c r="F870" s="129"/>
      <c r="G870" s="129"/>
    </row>
    <row r="871" spans="2:7" x14ac:dyDescent="0.2">
      <c r="B871" s="129"/>
      <c r="C871" s="129"/>
      <c r="D871" s="129"/>
      <c r="E871" s="129"/>
      <c r="F871" s="129"/>
      <c r="G871" s="129"/>
    </row>
    <row r="872" spans="2:7" x14ac:dyDescent="0.2">
      <c r="B872" s="129"/>
      <c r="C872" s="129"/>
      <c r="D872" s="129"/>
      <c r="E872" s="129"/>
      <c r="F872" s="129"/>
      <c r="G872" s="129"/>
    </row>
    <row r="873" spans="2:7" x14ac:dyDescent="0.2">
      <c r="B873" s="129"/>
      <c r="C873" s="129"/>
      <c r="D873" s="129"/>
      <c r="E873" s="129"/>
      <c r="F873" s="129"/>
      <c r="G873" s="129"/>
    </row>
    <row r="874" spans="2:7" x14ac:dyDescent="0.2">
      <c r="B874" s="129"/>
      <c r="C874" s="129"/>
      <c r="D874" s="129"/>
      <c r="E874" s="129"/>
      <c r="F874" s="129"/>
      <c r="G874" s="129"/>
    </row>
    <row r="875" spans="2:7" x14ac:dyDescent="0.2">
      <c r="B875" s="129"/>
      <c r="C875" s="129"/>
      <c r="D875" s="129"/>
      <c r="E875" s="129"/>
      <c r="F875" s="129"/>
      <c r="G875" s="129"/>
    </row>
    <row r="876" spans="2:7" x14ac:dyDescent="0.2">
      <c r="B876" s="129"/>
      <c r="C876" s="129"/>
      <c r="D876" s="129"/>
      <c r="E876" s="129"/>
      <c r="F876" s="129"/>
      <c r="G876" s="129"/>
    </row>
    <row r="877" spans="2:7" x14ac:dyDescent="0.2">
      <c r="B877" s="129"/>
      <c r="C877" s="129"/>
      <c r="D877" s="129"/>
      <c r="E877" s="129"/>
      <c r="F877" s="129"/>
      <c r="G877" s="129"/>
    </row>
    <row r="878" spans="2:7" x14ac:dyDescent="0.2">
      <c r="B878" s="129"/>
      <c r="C878" s="129"/>
      <c r="D878" s="129"/>
      <c r="E878" s="129"/>
      <c r="F878" s="129"/>
      <c r="G878" s="129"/>
    </row>
    <row r="879" spans="2:7" x14ac:dyDescent="0.2">
      <c r="B879" s="129"/>
      <c r="C879" s="129"/>
      <c r="D879" s="129"/>
      <c r="E879" s="129"/>
      <c r="F879" s="129"/>
      <c r="G879" s="129"/>
    </row>
    <row r="880" spans="2:7" x14ac:dyDescent="0.2">
      <c r="B880" s="129"/>
      <c r="C880" s="129"/>
      <c r="D880" s="129"/>
      <c r="E880" s="129"/>
      <c r="F880" s="129"/>
      <c r="G880" s="129"/>
    </row>
    <row r="881" spans="2:7" x14ac:dyDescent="0.2">
      <c r="B881" s="129"/>
      <c r="C881" s="129"/>
      <c r="D881" s="129"/>
      <c r="E881" s="129"/>
      <c r="F881" s="129"/>
      <c r="G881" s="129"/>
    </row>
    <row r="882" spans="2:7" x14ac:dyDescent="0.2">
      <c r="B882" s="129"/>
      <c r="C882" s="129"/>
      <c r="D882" s="129"/>
      <c r="E882" s="129"/>
      <c r="F882" s="129"/>
      <c r="G882" s="129"/>
    </row>
    <row r="883" spans="2:7" x14ac:dyDescent="0.2">
      <c r="B883" s="129"/>
      <c r="C883" s="129"/>
      <c r="D883" s="129"/>
      <c r="E883" s="129"/>
      <c r="F883" s="129"/>
      <c r="G883" s="129"/>
    </row>
    <row r="884" spans="2:7" x14ac:dyDescent="0.2">
      <c r="B884" s="129"/>
      <c r="C884" s="129"/>
      <c r="D884" s="129"/>
      <c r="E884" s="129"/>
      <c r="F884" s="129"/>
      <c r="G884" s="129"/>
    </row>
    <row r="885" spans="2:7" x14ac:dyDescent="0.2">
      <c r="B885" s="129"/>
      <c r="C885" s="129"/>
      <c r="D885" s="129"/>
      <c r="E885" s="129"/>
      <c r="F885" s="129"/>
      <c r="G885" s="129"/>
    </row>
    <row r="886" spans="2:7" x14ac:dyDescent="0.2">
      <c r="B886" s="129"/>
      <c r="C886" s="129"/>
      <c r="D886" s="129"/>
      <c r="E886" s="129"/>
      <c r="F886" s="129"/>
      <c r="G886" s="129"/>
    </row>
    <row r="887" spans="2:7" x14ac:dyDescent="0.2">
      <c r="B887" s="129"/>
      <c r="C887" s="129"/>
      <c r="D887" s="129"/>
      <c r="E887" s="129"/>
      <c r="F887" s="129"/>
      <c r="G887" s="129"/>
    </row>
    <row r="888" spans="2:7" x14ac:dyDescent="0.2">
      <c r="B888" s="129"/>
      <c r="C888" s="129"/>
      <c r="D888" s="129"/>
      <c r="E888" s="129"/>
      <c r="F888" s="129"/>
      <c r="G888" s="129"/>
    </row>
    <row r="889" spans="2:7" x14ac:dyDescent="0.2">
      <c r="B889" s="129"/>
      <c r="C889" s="129"/>
      <c r="D889" s="129"/>
      <c r="E889" s="129"/>
      <c r="F889" s="129"/>
      <c r="G889" s="129"/>
    </row>
    <row r="890" spans="2:7" x14ac:dyDescent="0.2">
      <c r="B890" s="129"/>
      <c r="C890" s="129"/>
      <c r="D890" s="129"/>
      <c r="E890" s="129"/>
      <c r="F890" s="129"/>
      <c r="G890" s="129"/>
    </row>
    <row r="891" spans="2:7" x14ac:dyDescent="0.2">
      <c r="B891" s="129"/>
      <c r="C891" s="129"/>
      <c r="D891" s="129"/>
      <c r="E891" s="129"/>
      <c r="F891" s="129"/>
      <c r="G891" s="129"/>
    </row>
    <row r="892" spans="2:7" x14ac:dyDescent="0.2">
      <c r="B892" s="129"/>
      <c r="C892" s="129"/>
      <c r="D892" s="129"/>
      <c r="E892" s="129"/>
      <c r="F892" s="129"/>
      <c r="G892" s="129"/>
    </row>
    <row r="893" spans="2:7" x14ac:dyDescent="0.2">
      <c r="B893" s="129"/>
      <c r="C893" s="129"/>
      <c r="D893" s="129"/>
      <c r="E893" s="129"/>
      <c r="F893" s="129"/>
      <c r="G893" s="129"/>
    </row>
    <row r="894" spans="2:7" x14ac:dyDescent="0.2">
      <c r="B894" s="129"/>
      <c r="C894" s="129"/>
      <c r="D894" s="129"/>
      <c r="E894" s="129"/>
      <c r="F894" s="129"/>
      <c r="G894" s="129"/>
    </row>
    <row r="895" spans="2:7" x14ac:dyDescent="0.2">
      <c r="B895" s="129"/>
      <c r="C895" s="129"/>
      <c r="D895" s="129"/>
      <c r="E895" s="129"/>
      <c r="F895" s="129"/>
      <c r="G895" s="129"/>
    </row>
    <row r="896" spans="2:7" x14ac:dyDescent="0.2">
      <c r="B896" s="129"/>
      <c r="C896" s="129"/>
      <c r="D896" s="129"/>
      <c r="E896" s="129"/>
      <c r="F896" s="129"/>
      <c r="G896" s="129"/>
    </row>
    <row r="897" spans="2:7" x14ac:dyDescent="0.2">
      <c r="B897" s="129"/>
      <c r="C897" s="129"/>
      <c r="D897" s="129"/>
      <c r="E897" s="129"/>
      <c r="F897" s="129"/>
      <c r="G897" s="129"/>
    </row>
    <row r="898" spans="2:7" x14ac:dyDescent="0.2">
      <c r="B898" s="129"/>
      <c r="C898" s="129"/>
      <c r="D898" s="129"/>
      <c r="E898" s="129"/>
      <c r="F898" s="129"/>
      <c r="G898" s="129"/>
    </row>
    <row r="899" spans="2:7" x14ac:dyDescent="0.2">
      <c r="B899" s="129"/>
      <c r="C899" s="129"/>
      <c r="D899" s="129"/>
      <c r="E899" s="129"/>
      <c r="F899" s="129"/>
      <c r="G899" s="129"/>
    </row>
    <row r="900" spans="2:7" x14ac:dyDescent="0.2">
      <c r="B900" s="129"/>
      <c r="C900" s="129"/>
      <c r="D900" s="129"/>
      <c r="E900" s="129"/>
      <c r="F900" s="129"/>
      <c r="G900" s="129"/>
    </row>
    <row r="901" spans="2:7" x14ac:dyDescent="0.2">
      <c r="B901" s="129"/>
      <c r="C901" s="129"/>
      <c r="D901" s="129"/>
      <c r="E901" s="129"/>
      <c r="F901" s="129"/>
      <c r="G901" s="129"/>
    </row>
    <row r="902" spans="2:7" x14ac:dyDescent="0.2">
      <c r="B902" s="129"/>
      <c r="C902" s="129"/>
      <c r="D902" s="129"/>
      <c r="E902" s="129"/>
      <c r="F902" s="129"/>
      <c r="G902" s="129"/>
    </row>
    <row r="903" spans="2:7" x14ac:dyDescent="0.2">
      <c r="B903" s="129"/>
      <c r="C903" s="129"/>
      <c r="D903" s="129"/>
      <c r="E903" s="129"/>
      <c r="F903" s="129"/>
      <c r="G903" s="129"/>
    </row>
    <row r="904" spans="2:7" x14ac:dyDescent="0.2">
      <c r="B904" s="129"/>
      <c r="C904" s="129"/>
      <c r="D904" s="129"/>
      <c r="E904" s="129"/>
      <c r="F904" s="129"/>
      <c r="G904" s="129"/>
    </row>
    <row r="905" spans="2:7" x14ac:dyDescent="0.2">
      <c r="B905" s="129"/>
      <c r="C905" s="129"/>
      <c r="D905" s="129"/>
      <c r="E905" s="129"/>
      <c r="F905" s="129"/>
      <c r="G905" s="129"/>
    </row>
    <row r="906" spans="2:7" x14ac:dyDescent="0.2">
      <c r="B906" s="129"/>
      <c r="C906" s="129"/>
      <c r="D906" s="129"/>
      <c r="E906" s="129"/>
      <c r="F906" s="129"/>
      <c r="G906" s="129"/>
    </row>
    <row r="907" spans="2:7" x14ac:dyDescent="0.2">
      <c r="B907" s="129"/>
      <c r="C907" s="129"/>
      <c r="D907" s="129"/>
      <c r="E907" s="129"/>
      <c r="F907" s="129"/>
      <c r="G907" s="129"/>
    </row>
    <row r="908" spans="2:7" x14ac:dyDescent="0.2">
      <c r="B908" s="129"/>
      <c r="C908" s="129"/>
      <c r="D908" s="129"/>
      <c r="E908" s="129"/>
      <c r="F908" s="129"/>
      <c r="G908" s="129"/>
    </row>
    <row r="909" spans="2:7" x14ac:dyDescent="0.2">
      <c r="B909" s="129"/>
      <c r="C909" s="129"/>
      <c r="D909" s="129"/>
      <c r="E909" s="129"/>
      <c r="F909" s="129"/>
      <c r="G909" s="129"/>
    </row>
    <row r="910" spans="2:7" x14ac:dyDescent="0.2">
      <c r="B910" s="129"/>
      <c r="C910" s="129"/>
      <c r="D910" s="129"/>
      <c r="E910" s="129"/>
      <c r="F910" s="129"/>
      <c r="G910" s="129"/>
    </row>
    <row r="911" spans="2:7" x14ac:dyDescent="0.2">
      <c r="B911" s="129"/>
      <c r="C911" s="129"/>
      <c r="D911" s="129"/>
      <c r="E911" s="129"/>
      <c r="F911" s="129"/>
      <c r="G911" s="129"/>
    </row>
    <row r="912" spans="2:7" x14ac:dyDescent="0.2">
      <c r="B912" s="129"/>
      <c r="C912" s="129"/>
      <c r="D912" s="129"/>
      <c r="E912" s="129"/>
      <c r="F912" s="129"/>
      <c r="G912" s="129"/>
    </row>
    <row r="913" spans="2:7" x14ac:dyDescent="0.2">
      <c r="B913" s="129"/>
      <c r="C913" s="129"/>
      <c r="D913" s="129"/>
      <c r="E913" s="129"/>
      <c r="F913" s="129"/>
      <c r="G913" s="129"/>
    </row>
    <row r="914" spans="2:7" x14ac:dyDescent="0.2">
      <c r="B914" s="129"/>
      <c r="C914" s="129"/>
      <c r="D914" s="129"/>
      <c r="E914" s="129"/>
      <c r="F914" s="129"/>
      <c r="G914" s="129"/>
    </row>
    <row r="915" spans="2:7" x14ac:dyDescent="0.2">
      <c r="B915" s="129"/>
      <c r="C915" s="129"/>
      <c r="D915" s="129"/>
      <c r="E915" s="129"/>
      <c r="F915" s="129"/>
      <c r="G915" s="129"/>
    </row>
    <row r="916" spans="2:7" x14ac:dyDescent="0.2">
      <c r="B916" s="129"/>
      <c r="C916" s="129"/>
      <c r="D916" s="129"/>
      <c r="E916" s="129"/>
      <c r="F916" s="129"/>
      <c r="G916" s="129"/>
    </row>
    <row r="917" spans="2:7" x14ac:dyDescent="0.2">
      <c r="B917" s="129"/>
      <c r="C917" s="129"/>
      <c r="D917" s="129"/>
      <c r="E917" s="129"/>
      <c r="F917" s="129"/>
      <c r="G917" s="129"/>
    </row>
    <row r="918" spans="2:7" x14ac:dyDescent="0.2">
      <c r="B918" s="129"/>
      <c r="C918" s="129"/>
      <c r="D918" s="129"/>
      <c r="E918" s="129"/>
      <c r="F918" s="129"/>
      <c r="G918" s="129"/>
    </row>
    <row r="919" spans="2:7" x14ac:dyDescent="0.2">
      <c r="B919" s="129"/>
      <c r="C919" s="129"/>
      <c r="D919" s="129"/>
      <c r="E919" s="129"/>
      <c r="F919" s="129"/>
      <c r="G919" s="129"/>
    </row>
    <row r="920" spans="2:7" x14ac:dyDescent="0.2">
      <c r="B920" s="129"/>
      <c r="C920" s="129"/>
      <c r="D920" s="129"/>
      <c r="E920" s="129"/>
      <c r="F920" s="129"/>
      <c r="G920" s="129"/>
    </row>
    <row r="921" spans="2:7" x14ac:dyDescent="0.2">
      <c r="B921" s="129"/>
      <c r="C921" s="129"/>
      <c r="D921" s="129"/>
      <c r="E921" s="129"/>
      <c r="F921" s="129"/>
      <c r="G921" s="129"/>
    </row>
    <row r="922" spans="2:7" x14ac:dyDescent="0.2">
      <c r="B922" s="129"/>
      <c r="C922" s="129"/>
      <c r="D922" s="129"/>
      <c r="E922" s="129"/>
      <c r="F922" s="129"/>
      <c r="G922" s="129"/>
    </row>
    <row r="923" spans="2:7" x14ac:dyDescent="0.2">
      <c r="B923" s="129"/>
      <c r="C923" s="129"/>
      <c r="D923" s="129"/>
      <c r="E923" s="129"/>
      <c r="F923" s="129"/>
      <c r="G923" s="129"/>
    </row>
    <row r="924" spans="2:7" x14ac:dyDescent="0.2">
      <c r="B924" s="129"/>
      <c r="C924" s="129"/>
      <c r="D924" s="129"/>
      <c r="E924" s="129"/>
      <c r="F924" s="129"/>
      <c r="G924" s="129"/>
    </row>
    <row r="925" spans="2:7" x14ac:dyDescent="0.2">
      <c r="B925" s="129"/>
      <c r="C925" s="129"/>
      <c r="D925" s="129"/>
      <c r="E925" s="129"/>
      <c r="F925" s="129"/>
      <c r="G925" s="129"/>
    </row>
    <row r="926" spans="2:7" x14ac:dyDescent="0.2">
      <c r="B926" s="129"/>
      <c r="C926" s="129"/>
      <c r="D926" s="129"/>
      <c r="E926" s="129"/>
      <c r="F926" s="129"/>
      <c r="G926" s="129"/>
    </row>
    <row r="927" spans="2:7" x14ac:dyDescent="0.2">
      <c r="B927" s="129"/>
      <c r="C927" s="129"/>
      <c r="D927" s="129"/>
      <c r="E927" s="129"/>
      <c r="F927" s="129"/>
      <c r="G927" s="129"/>
    </row>
    <row r="928" spans="2:7" x14ac:dyDescent="0.2">
      <c r="B928" s="129"/>
      <c r="C928" s="129"/>
      <c r="D928" s="129"/>
      <c r="E928" s="129"/>
      <c r="F928" s="129"/>
      <c r="G928" s="129"/>
    </row>
    <row r="929" spans="2:7" x14ac:dyDescent="0.2">
      <c r="B929" s="129"/>
      <c r="C929" s="129"/>
      <c r="D929" s="129"/>
      <c r="E929" s="129"/>
      <c r="F929" s="129"/>
      <c r="G929" s="129"/>
    </row>
    <row r="930" spans="2:7" x14ac:dyDescent="0.2">
      <c r="B930" s="129"/>
      <c r="C930" s="129"/>
      <c r="D930" s="129"/>
      <c r="E930" s="129"/>
      <c r="F930" s="129"/>
      <c r="G930" s="129"/>
    </row>
    <row r="931" spans="2:7" x14ac:dyDescent="0.2">
      <c r="B931" s="129"/>
      <c r="C931" s="129"/>
      <c r="D931" s="129"/>
      <c r="E931" s="129"/>
      <c r="F931" s="129"/>
      <c r="G931" s="129"/>
    </row>
    <row r="932" spans="2:7" x14ac:dyDescent="0.2">
      <c r="B932" s="129"/>
      <c r="C932" s="129"/>
      <c r="D932" s="129"/>
      <c r="E932" s="129"/>
      <c r="F932" s="129"/>
      <c r="G932" s="129"/>
    </row>
    <row r="933" spans="2:7" x14ac:dyDescent="0.2">
      <c r="B933" s="129"/>
      <c r="C933" s="129"/>
      <c r="D933" s="129"/>
      <c r="E933" s="129"/>
      <c r="F933" s="129"/>
      <c r="G933" s="129"/>
    </row>
    <row r="934" spans="2:7" x14ac:dyDescent="0.2">
      <c r="B934" s="129"/>
      <c r="C934" s="129"/>
      <c r="D934" s="129"/>
      <c r="E934" s="129"/>
      <c r="F934" s="129"/>
      <c r="G934" s="129"/>
    </row>
    <row r="935" spans="2:7" x14ac:dyDescent="0.2">
      <c r="B935" s="129"/>
      <c r="C935" s="129"/>
      <c r="D935" s="129"/>
      <c r="E935" s="129"/>
      <c r="F935" s="129"/>
      <c r="G935" s="129"/>
    </row>
    <row r="936" spans="2:7" x14ac:dyDescent="0.2">
      <c r="B936" s="129"/>
      <c r="C936" s="129"/>
      <c r="D936" s="129"/>
      <c r="E936" s="129"/>
      <c r="F936" s="129"/>
      <c r="G936" s="129"/>
    </row>
    <row r="937" spans="2:7" x14ac:dyDescent="0.2">
      <c r="B937" s="129"/>
      <c r="C937" s="129"/>
      <c r="D937" s="129"/>
      <c r="E937" s="129"/>
      <c r="F937" s="129"/>
      <c r="G937" s="129"/>
    </row>
    <row r="938" spans="2:7" x14ac:dyDescent="0.2">
      <c r="B938" s="129"/>
      <c r="C938" s="129"/>
      <c r="D938" s="129"/>
      <c r="E938" s="129"/>
      <c r="F938" s="129"/>
      <c r="G938" s="129"/>
    </row>
    <row r="939" spans="2:7" x14ac:dyDescent="0.2">
      <c r="B939" s="129"/>
      <c r="C939" s="129"/>
      <c r="D939" s="129"/>
      <c r="E939" s="129"/>
      <c r="F939" s="129"/>
      <c r="G939" s="129"/>
    </row>
    <row r="940" spans="2:7" x14ac:dyDescent="0.2">
      <c r="B940" s="129"/>
      <c r="C940" s="129"/>
      <c r="D940" s="129"/>
      <c r="E940" s="129"/>
      <c r="F940" s="129"/>
      <c r="G940" s="129"/>
    </row>
    <row r="941" spans="2:7" x14ac:dyDescent="0.2">
      <c r="B941" s="129"/>
      <c r="C941" s="129"/>
      <c r="D941" s="129"/>
      <c r="E941" s="129"/>
      <c r="F941" s="129"/>
      <c r="G941" s="129"/>
    </row>
    <row r="942" spans="2:7" x14ac:dyDescent="0.2">
      <c r="B942" s="129"/>
      <c r="C942" s="129"/>
      <c r="D942" s="129"/>
      <c r="E942" s="129"/>
      <c r="F942" s="129"/>
      <c r="G942" s="129"/>
    </row>
    <row r="943" spans="2:7" x14ac:dyDescent="0.2">
      <c r="B943" s="129"/>
      <c r="C943" s="129"/>
      <c r="D943" s="129"/>
      <c r="E943" s="129"/>
      <c r="F943" s="129"/>
      <c r="G943" s="129"/>
    </row>
    <row r="944" spans="2:7" x14ac:dyDescent="0.2">
      <c r="B944" s="129"/>
      <c r="C944" s="129"/>
      <c r="D944" s="129"/>
      <c r="E944" s="129"/>
      <c r="F944" s="129"/>
      <c r="G944" s="129"/>
    </row>
    <row r="945" spans="2:7" x14ac:dyDescent="0.2">
      <c r="B945" s="129"/>
      <c r="C945" s="129"/>
      <c r="D945" s="129"/>
      <c r="E945" s="129"/>
      <c r="F945" s="129"/>
      <c r="G945" s="129"/>
    </row>
    <row r="946" spans="2:7" x14ac:dyDescent="0.2">
      <c r="B946" s="129"/>
      <c r="C946" s="129"/>
      <c r="D946" s="129"/>
      <c r="E946" s="129"/>
      <c r="F946" s="129"/>
      <c r="G946" s="129"/>
    </row>
    <row r="947" spans="2:7" x14ac:dyDescent="0.2">
      <c r="B947" s="129"/>
      <c r="C947" s="129"/>
      <c r="D947" s="129"/>
      <c r="E947" s="129"/>
      <c r="F947" s="129"/>
      <c r="G947" s="129"/>
    </row>
    <row r="948" spans="2:7" x14ac:dyDescent="0.2">
      <c r="B948" s="129"/>
      <c r="C948" s="129"/>
      <c r="D948" s="129"/>
      <c r="E948" s="129"/>
      <c r="F948" s="129"/>
      <c r="G948" s="129"/>
    </row>
    <row r="949" spans="2:7" x14ac:dyDescent="0.2">
      <c r="B949" s="129"/>
      <c r="C949" s="129"/>
      <c r="D949" s="129"/>
      <c r="E949" s="129"/>
      <c r="F949" s="129"/>
      <c r="G949" s="129"/>
    </row>
    <row r="950" spans="2:7" x14ac:dyDescent="0.2">
      <c r="B950" s="129"/>
      <c r="C950" s="129"/>
      <c r="D950" s="129"/>
      <c r="E950" s="129"/>
      <c r="F950" s="129"/>
      <c r="G950" s="129"/>
    </row>
    <row r="951" spans="2:7" x14ac:dyDescent="0.2">
      <c r="B951" s="129"/>
      <c r="C951" s="129"/>
      <c r="D951" s="129"/>
      <c r="E951" s="129"/>
      <c r="F951" s="129"/>
      <c r="G951" s="129"/>
    </row>
    <row r="952" spans="2:7" x14ac:dyDescent="0.2">
      <c r="B952" s="129"/>
      <c r="C952" s="129"/>
      <c r="D952" s="129"/>
      <c r="E952" s="129"/>
      <c r="F952" s="129"/>
      <c r="G952" s="129"/>
    </row>
    <row r="953" spans="2:7" x14ac:dyDescent="0.2">
      <c r="B953" s="129"/>
      <c r="C953" s="129"/>
      <c r="D953" s="129"/>
      <c r="E953" s="129"/>
      <c r="F953" s="129"/>
      <c r="G953" s="129"/>
    </row>
    <row r="954" spans="2:7" x14ac:dyDescent="0.2">
      <c r="B954" s="129"/>
      <c r="C954" s="129"/>
      <c r="D954" s="129"/>
      <c r="E954" s="129"/>
      <c r="F954" s="129"/>
      <c r="G954" s="129"/>
    </row>
    <row r="955" spans="2:7" x14ac:dyDescent="0.2">
      <c r="B955" s="129"/>
      <c r="C955" s="129"/>
      <c r="D955" s="129"/>
      <c r="E955" s="129"/>
      <c r="F955" s="129"/>
      <c r="G955" s="129"/>
    </row>
    <row r="956" spans="2:7" x14ac:dyDescent="0.2">
      <c r="B956" s="129"/>
      <c r="C956" s="129"/>
      <c r="D956" s="129"/>
      <c r="E956" s="129"/>
      <c r="F956" s="129"/>
      <c r="G956" s="129"/>
    </row>
    <row r="957" spans="2:7" x14ac:dyDescent="0.2">
      <c r="B957" s="129"/>
      <c r="C957" s="129"/>
      <c r="D957" s="129"/>
      <c r="E957" s="129"/>
      <c r="F957" s="129"/>
      <c r="G957" s="129"/>
    </row>
    <row r="958" spans="2:7" x14ac:dyDescent="0.2">
      <c r="B958" s="129"/>
      <c r="C958" s="129"/>
      <c r="D958" s="129"/>
      <c r="E958" s="129"/>
      <c r="F958" s="129"/>
      <c r="G958" s="129"/>
    </row>
    <row r="959" spans="2:7" x14ac:dyDescent="0.2">
      <c r="B959" s="129"/>
      <c r="C959" s="129"/>
      <c r="D959" s="129"/>
      <c r="E959" s="129"/>
      <c r="F959" s="129"/>
      <c r="G959" s="129"/>
    </row>
    <row r="960" spans="2:7" x14ac:dyDescent="0.2">
      <c r="B960" s="129"/>
      <c r="C960" s="129"/>
      <c r="D960" s="129"/>
      <c r="E960" s="129"/>
      <c r="F960" s="129"/>
      <c r="G960" s="129"/>
    </row>
    <row r="961" spans="2:7" x14ac:dyDescent="0.2">
      <c r="B961" s="129"/>
      <c r="C961" s="129"/>
      <c r="D961" s="129"/>
      <c r="E961" s="129"/>
      <c r="F961" s="129"/>
      <c r="G961" s="129"/>
    </row>
    <row r="962" spans="2:7" x14ac:dyDescent="0.2">
      <c r="B962" s="129"/>
      <c r="C962" s="129"/>
      <c r="D962" s="129"/>
      <c r="E962" s="129"/>
      <c r="F962" s="129"/>
      <c r="G962" s="129"/>
    </row>
    <row r="963" spans="2:7" x14ac:dyDescent="0.2">
      <c r="B963" s="129"/>
      <c r="C963" s="129"/>
      <c r="D963" s="129"/>
      <c r="E963" s="129"/>
      <c r="F963" s="129"/>
      <c r="G963" s="129"/>
    </row>
    <row r="964" spans="2:7" x14ac:dyDescent="0.2">
      <c r="B964" s="129"/>
      <c r="C964" s="129"/>
      <c r="D964" s="129"/>
      <c r="E964" s="129"/>
      <c r="F964" s="129"/>
      <c r="G964" s="129"/>
    </row>
    <row r="965" spans="2:7" x14ac:dyDescent="0.2">
      <c r="B965" s="129"/>
      <c r="C965" s="129"/>
      <c r="D965" s="129"/>
      <c r="E965" s="129"/>
      <c r="F965" s="129"/>
      <c r="G965" s="129"/>
    </row>
    <row r="966" spans="2:7" x14ac:dyDescent="0.2">
      <c r="B966" s="129"/>
      <c r="C966" s="129"/>
      <c r="D966" s="129"/>
      <c r="E966" s="129"/>
      <c r="F966" s="129"/>
      <c r="G966" s="129"/>
    </row>
    <row r="967" spans="2:7" x14ac:dyDescent="0.2">
      <c r="B967" s="129"/>
      <c r="C967" s="129"/>
      <c r="D967" s="129"/>
      <c r="E967" s="129"/>
      <c r="F967" s="129"/>
      <c r="G967" s="129"/>
    </row>
    <row r="968" spans="2:7" x14ac:dyDescent="0.2">
      <c r="B968" s="129"/>
      <c r="C968" s="129"/>
      <c r="D968" s="129"/>
      <c r="E968" s="129"/>
      <c r="F968" s="129"/>
      <c r="G968" s="129"/>
    </row>
    <row r="969" spans="2:7" x14ac:dyDescent="0.2">
      <c r="B969" s="129"/>
      <c r="C969" s="129"/>
      <c r="D969" s="129"/>
      <c r="E969" s="129"/>
      <c r="F969" s="129"/>
      <c r="G969" s="129"/>
    </row>
    <row r="970" spans="2:7" x14ac:dyDescent="0.2">
      <c r="B970" s="129"/>
      <c r="C970" s="129"/>
      <c r="D970" s="129"/>
      <c r="E970" s="129"/>
      <c r="F970" s="129"/>
      <c r="G970" s="129"/>
    </row>
    <row r="971" spans="2:7" x14ac:dyDescent="0.2">
      <c r="B971" s="129"/>
      <c r="C971" s="129"/>
      <c r="D971" s="129"/>
      <c r="E971" s="129"/>
      <c r="F971" s="129"/>
      <c r="G971" s="129"/>
    </row>
    <row r="972" spans="2:7" x14ac:dyDescent="0.2">
      <c r="B972" s="129"/>
      <c r="C972" s="129"/>
      <c r="D972" s="129"/>
      <c r="E972" s="129"/>
      <c r="F972" s="129"/>
      <c r="G972" s="129"/>
    </row>
    <row r="973" spans="2:7" x14ac:dyDescent="0.2">
      <c r="B973" s="129"/>
      <c r="C973" s="129"/>
      <c r="D973" s="129"/>
      <c r="E973" s="129"/>
      <c r="F973" s="129"/>
      <c r="G973" s="129"/>
    </row>
    <row r="974" spans="2:7" x14ac:dyDescent="0.2">
      <c r="B974" s="129"/>
      <c r="C974" s="129"/>
      <c r="D974" s="129"/>
      <c r="E974" s="129"/>
      <c r="F974" s="129"/>
      <c r="G974" s="129"/>
    </row>
    <row r="975" spans="2:7" x14ac:dyDescent="0.2">
      <c r="B975" s="129"/>
      <c r="C975" s="129"/>
      <c r="D975" s="129"/>
      <c r="E975" s="129"/>
      <c r="F975" s="129"/>
      <c r="G975" s="129"/>
    </row>
    <row r="976" spans="2:7" x14ac:dyDescent="0.2">
      <c r="B976" s="129"/>
      <c r="C976" s="129"/>
      <c r="D976" s="129"/>
      <c r="E976" s="129"/>
      <c r="F976" s="129"/>
      <c r="G976" s="129"/>
    </row>
    <row r="977" spans="2:7" x14ac:dyDescent="0.2">
      <c r="B977" s="129"/>
      <c r="C977" s="129"/>
      <c r="D977" s="129"/>
      <c r="E977" s="129"/>
      <c r="F977" s="129"/>
      <c r="G977" s="129"/>
    </row>
    <row r="978" spans="2:7" x14ac:dyDescent="0.2">
      <c r="B978" s="129"/>
      <c r="C978" s="129"/>
      <c r="D978" s="129"/>
      <c r="E978" s="129"/>
      <c r="F978" s="129"/>
      <c r="G978" s="129"/>
    </row>
    <row r="979" spans="2:7" x14ac:dyDescent="0.2">
      <c r="B979" s="129"/>
      <c r="C979" s="129"/>
      <c r="D979" s="129"/>
      <c r="E979" s="129"/>
      <c r="F979" s="129"/>
      <c r="G979" s="129"/>
    </row>
    <row r="980" spans="2:7" x14ac:dyDescent="0.2">
      <c r="B980" s="129"/>
      <c r="C980" s="129"/>
      <c r="D980" s="129"/>
      <c r="E980" s="129"/>
      <c r="F980" s="129"/>
      <c r="G980" s="129"/>
    </row>
    <row r="981" spans="2:7" x14ac:dyDescent="0.2">
      <c r="B981" s="129"/>
      <c r="C981" s="129"/>
      <c r="D981" s="129"/>
      <c r="E981" s="129"/>
      <c r="F981" s="129"/>
      <c r="G981" s="129"/>
    </row>
    <row r="982" spans="2:7" x14ac:dyDescent="0.2">
      <c r="B982" s="129"/>
      <c r="C982" s="129"/>
      <c r="D982" s="129"/>
      <c r="E982" s="129"/>
      <c r="F982" s="129"/>
      <c r="G982" s="129"/>
    </row>
    <row r="983" spans="2:7" x14ac:dyDescent="0.2">
      <c r="B983" s="129"/>
      <c r="C983" s="129"/>
      <c r="D983" s="129"/>
      <c r="E983" s="129"/>
      <c r="F983" s="129"/>
      <c r="G983" s="129"/>
    </row>
    <row r="984" spans="2:7" x14ac:dyDescent="0.2">
      <c r="B984" s="129"/>
      <c r="C984" s="129"/>
      <c r="D984" s="129"/>
      <c r="E984" s="129"/>
      <c r="F984" s="129"/>
      <c r="G984" s="129"/>
    </row>
    <row r="985" spans="2:7" x14ac:dyDescent="0.2">
      <c r="B985" s="129"/>
      <c r="C985" s="129"/>
      <c r="D985" s="129"/>
      <c r="E985" s="129"/>
      <c r="F985" s="129"/>
      <c r="G985" s="129"/>
    </row>
    <row r="986" spans="2:7" x14ac:dyDescent="0.2">
      <c r="B986" s="129"/>
      <c r="C986" s="129"/>
      <c r="D986" s="129"/>
      <c r="E986" s="129"/>
      <c r="F986" s="129"/>
      <c r="G986" s="129"/>
    </row>
    <row r="987" spans="2:7" x14ac:dyDescent="0.2">
      <c r="B987" s="129"/>
      <c r="C987" s="129"/>
      <c r="D987" s="129"/>
      <c r="E987" s="129"/>
      <c r="F987" s="129"/>
      <c r="G987" s="129"/>
    </row>
    <row r="988" spans="2:7" x14ac:dyDescent="0.2">
      <c r="B988" s="129"/>
      <c r="C988" s="129"/>
      <c r="D988" s="129"/>
      <c r="E988" s="129"/>
      <c r="F988" s="129"/>
      <c r="G988" s="129"/>
    </row>
    <row r="989" spans="2:7" x14ac:dyDescent="0.2">
      <c r="B989" s="129"/>
      <c r="C989" s="129"/>
      <c r="D989" s="129"/>
      <c r="E989" s="129"/>
      <c r="F989" s="129"/>
      <c r="G989" s="129"/>
    </row>
    <row r="990" spans="2:7" x14ac:dyDescent="0.2">
      <c r="B990" s="129"/>
      <c r="C990" s="129"/>
      <c r="D990" s="129"/>
      <c r="E990" s="129"/>
      <c r="F990" s="129"/>
      <c r="G990" s="129"/>
    </row>
    <row r="991" spans="2:7" x14ac:dyDescent="0.2">
      <c r="B991" s="129"/>
      <c r="C991" s="129"/>
      <c r="D991" s="129"/>
      <c r="E991" s="129"/>
      <c r="F991" s="129"/>
      <c r="G991" s="129"/>
    </row>
    <row r="992" spans="2:7" x14ac:dyDescent="0.2">
      <c r="B992" s="129"/>
      <c r="C992" s="129"/>
      <c r="D992" s="129"/>
      <c r="E992" s="129"/>
      <c r="F992" s="129"/>
      <c r="G992" s="129"/>
    </row>
    <row r="993" spans="2:7" x14ac:dyDescent="0.2">
      <c r="B993" s="129"/>
      <c r="C993" s="129"/>
      <c r="D993" s="129"/>
      <c r="E993" s="129"/>
      <c r="F993" s="129"/>
      <c r="G993" s="129"/>
    </row>
    <row r="994" spans="2:7" x14ac:dyDescent="0.2">
      <c r="B994" s="129"/>
      <c r="C994" s="129"/>
      <c r="D994" s="129"/>
      <c r="E994" s="129"/>
      <c r="F994" s="129"/>
      <c r="G994" s="129"/>
    </row>
    <row r="995" spans="2:7" x14ac:dyDescent="0.2">
      <c r="B995" s="129"/>
      <c r="C995" s="129"/>
      <c r="D995" s="129"/>
      <c r="E995" s="129"/>
      <c r="F995" s="129"/>
      <c r="G995" s="129"/>
    </row>
    <row r="996" spans="2:7" x14ac:dyDescent="0.2">
      <c r="B996" s="129"/>
      <c r="C996" s="129"/>
      <c r="D996" s="129"/>
      <c r="E996" s="129"/>
      <c r="F996" s="129"/>
      <c r="G996" s="129"/>
    </row>
    <row r="997" spans="2:7" x14ac:dyDescent="0.2">
      <c r="B997" s="129"/>
      <c r="C997" s="129"/>
      <c r="D997" s="129"/>
      <c r="E997" s="129"/>
      <c r="F997" s="129"/>
      <c r="G997" s="129"/>
    </row>
    <row r="998" spans="2:7" x14ac:dyDescent="0.2">
      <c r="B998" s="129"/>
      <c r="C998" s="129"/>
      <c r="D998" s="129"/>
      <c r="E998" s="129"/>
      <c r="F998" s="129"/>
      <c r="G998" s="129"/>
    </row>
    <row r="999" spans="2:7" x14ac:dyDescent="0.2">
      <c r="B999" s="129"/>
      <c r="C999" s="129"/>
      <c r="D999" s="129"/>
      <c r="E999" s="129"/>
      <c r="F999" s="129"/>
      <c r="G999" s="129"/>
    </row>
    <row r="1000" spans="2:7" x14ac:dyDescent="0.2">
      <c r="B1000" s="129"/>
      <c r="C1000" s="129"/>
      <c r="D1000" s="129"/>
      <c r="E1000" s="129"/>
      <c r="F1000" s="129"/>
      <c r="G1000" s="129"/>
    </row>
    <row r="1001" spans="2:7" x14ac:dyDescent="0.2">
      <c r="B1001" s="129"/>
      <c r="C1001" s="129"/>
      <c r="D1001" s="129"/>
      <c r="E1001" s="129"/>
      <c r="F1001" s="129"/>
      <c r="G1001" s="129"/>
    </row>
    <row r="1002" spans="2:7" x14ac:dyDescent="0.2">
      <c r="B1002" s="129"/>
      <c r="C1002" s="129"/>
      <c r="D1002" s="129"/>
      <c r="E1002" s="129"/>
      <c r="F1002" s="129"/>
      <c r="G1002" s="129"/>
    </row>
    <row r="1003" spans="2:7" x14ac:dyDescent="0.2">
      <c r="B1003" s="129"/>
      <c r="C1003" s="129"/>
      <c r="D1003" s="129"/>
      <c r="E1003" s="129"/>
      <c r="F1003" s="129"/>
      <c r="G1003" s="129"/>
    </row>
    <row r="1004" spans="2:7" x14ac:dyDescent="0.2">
      <c r="B1004" s="129"/>
      <c r="C1004" s="129"/>
      <c r="D1004" s="129"/>
      <c r="E1004" s="129"/>
      <c r="F1004" s="129"/>
      <c r="G1004" s="129"/>
    </row>
    <row r="1005" spans="2:7" x14ac:dyDescent="0.2">
      <c r="B1005" s="129"/>
      <c r="C1005" s="129"/>
      <c r="D1005" s="129"/>
      <c r="E1005" s="129"/>
      <c r="F1005" s="129"/>
      <c r="G1005" s="129"/>
    </row>
    <row r="1006" spans="2:7" x14ac:dyDescent="0.2">
      <c r="B1006" s="129"/>
      <c r="C1006" s="129"/>
      <c r="D1006" s="129"/>
      <c r="E1006" s="129"/>
      <c r="F1006" s="129"/>
      <c r="G1006" s="129"/>
    </row>
    <row r="1007" spans="2:7" x14ac:dyDescent="0.2">
      <c r="B1007" s="129"/>
      <c r="C1007" s="129"/>
      <c r="D1007" s="129"/>
      <c r="E1007" s="129"/>
      <c r="F1007" s="129"/>
      <c r="G1007" s="129"/>
    </row>
    <row r="1008" spans="2:7" x14ac:dyDescent="0.2">
      <c r="B1008" s="129"/>
      <c r="C1008" s="129"/>
      <c r="D1008" s="129"/>
      <c r="E1008" s="129"/>
      <c r="F1008" s="129"/>
      <c r="G1008" s="129"/>
    </row>
    <row r="1009" spans="2:7" x14ac:dyDescent="0.2">
      <c r="B1009" s="129"/>
      <c r="C1009" s="129"/>
      <c r="D1009" s="129"/>
      <c r="E1009" s="129"/>
      <c r="F1009" s="129"/>
      <c r="G1009" s="129"/>
    </row>
    <row r="1010" spans="2:7" x14ac:dyDescent="0.2">
      <c r="B1010" s="129"/>
      <c r="C1010" s="129"/>
      <c r="D1010" s="129"/>
      <c r="E1010" s="129"/>
      <c r="F1010" s="129"/>
      <c r="G1010" s="129"/>
    </row>
    <row r="1011" spans="2:7" x14ac:dyDescent="0.2">
      <c r="B1011" s="129"/>
      <c r="C1011" s="129"/>
      <c r="D1011" s="129"/>
      <c r="E1011" s="129"/>
      <c r="F1011" s="129"/>
      <c r="G1011" s="129"/>
    </row>
    <row r="1012" spans="2:7" x14ac:dyDescent="0.2">
      <c r="B1012" s="129"/>
      <c r="C1012" s="129"/>
      <c r="D1012" s="129"/>
      <c r="E1012" s="129"/>
      <c r="F1012" s="129"/>
      <c r="G1012" s="129"/>
    </row>
    <row r="1013" spans="2:7" x14ac:dyDescent="0.2">
      <c r="B1013" s="129"/>
      <c r="C1013" s="129"/>
      <c r="D1013" s="129"/>
      <c r="E1013" s="129"/>
      <c r="F1013" s="129"/>
      <c r="G1013" s="129"/>
    </row>
    <row r="1014" spans="2:7" x14ac:dyDescent="0.2">
      <c r="B1014" s="129"/>
      <c r="C1014" s="129"/>
      <c r="D1014" s="129"/>
      <c r="E1014" s="129"/>
      <c r="F1014" s="129"/>
      <c r="G1014" s="129"/>
    </row>
    <row r="1015" spans="2:7" x14ac:dyDescent="0.2">
      <c r="B1015" s="129"/>
      <c r="C1015" s="129"/>
      <c r="D1015" s="129"/>
      <c r="E1015" s="129"/>
      <c r="F1015" s="129"/>
      <c r="G1015" s="129"/>
    </row>
    <row r="1016" spans="2:7" x14ac:dyDescent="0.2">
      <c r="B1016" s="129"/>
      <c r="C1016" s="129"/>
      <c r="D1016" s="129"/>
      <c r="E1016" s="129"/>
      <c r="F1016" s="129"/>
      <c r="G1016" s="129"/>
    </row>
    <row r="1017" spans="2:7" x14ac:dyDescent="0.2">
      <c r="B1017" s="129"/>
      <c r="C1017" s="129"/>
      <c r="D1017" s="129"/>
      <c r="E1017" s="129"/>
      <c r="F1017" s="129"/>
      <c r="G1017" s="129"/>
    </row>
    <row r="1018" spans="2:7" x14ac:dyDescent="0.2">
      <c r="B1018" s="129"/>
      <c r="C1018" s="129"/>
      <c r="D1018" s="129"/>
      <c r="E1018" s="129"/>
      <c r="F1018" s="129"/>
      <c r="G1018" s="129"/>
    </row>
    <row r="1019" spans="2:7" x14ac:dyDescent="0.2">
      <c r="B1019" s="129"/>
      <c r="C1019" s="129"/>
      <c r="D1019" s="129"/>
      <c r="E1019" s="129"/>
      <c r="F1019" s="129"/>
      <c r="G1019" s="129"/>
    </row>
    <row r="1020" spans="2:7" x14ac:dyDescent="0.2">
      <c r="B1020" s="129"/>
      <c r="C1020" s="129"/>
      <c r="D1020" s="129"/>
      <c r="E1020" s="129"/>
      <c r="F1020" s="129"/>
      <c r="G1020" s="129"/>
    </row>
    <row r="1021" spans="2:7" x14ac:dyDescent="0.2">
      <c r="B1021" s="129"/>
      <c r="C1021" s="129"/>
      <c r="D1021" s="129"/>
      <c r="E1021" s="129"/>
      <c r="F1021" s="129"/>
      <c r="G1021" s="129"/>
    </row>
    <row r="1022" spans="2:7" x14ac:dyDescent="0.2">
      <c r="B1022" s="129"/>
      <c r="C1022" s="129"/>
      <c r="D1022" s="129"/>
      <c r="E1022" s="129"/>
      <c r="F1022" s="129"/>
      <c r="G1022" s="129"/>
    </row>
    <row r="1023" spans="2:7" x14ac:dyDescent="0.2">
      <c r="B1023" s="129"/>
      <c r="C1023" s="129"/>
      <c r="D1023" s="129"/>
      <c r="E1023" s="129"/>
      <c r="F1023" s="129"/>
      <c r="G1023" s="129"/>
    </row>
    <row r="1024" spans="2:7" x14ac:dyDescent="0.2">
      <c r="B1024" s="129"/>
      <c r="C1024" s="129"/>
      <c r="D1024" s="129"/>
      <c r="E1024" s="129"/>
      <c r="F1024" s="129"/>
      <c r="G1024" s="129"/>
    </row>
    <row r="1025" spans="2:7" x14ac:dyDescent="0.2">
      <c r="B1025" s="129"/>
      <c r="C1025" s="129"/>
      <c r="D1025" s="129"/>
      <c r="E1025" s="129"/>
      <c r="F1025" s="129"/>
      <c r="G1025" s="129"/>
    </row>
    <row r="1026" spans="2:7" x14ac:dyDescent="0.2">
      <c r="B1026" s="129"/>
      <c r="C1026" s="129"/>
      <c r="D1026" s="129"/>
      <c r="E1026" s="129"/>
      <c r="F1026" s="129"/>
      <c r="G1026" s="129"/>
    </row>
    <row r="1027" spans="2:7" x14ac:dyDescent="0.2">
      <c r="B1027" s="129"/>
      <c r="C1027" s="129"/>
      <c r="D1027" s="129"/>
      <c r="E1027" s="129"/>
      <c r="F1027" s="129"/>
      <c r="G1027" s="129"/>
    </row>
    <row r="1028" spans="2:7" x14ac:dyDescent="0.2">
      <c r="B1028" s="129"/>
      <c r="C1028" s="129"/>
      <c r="D1028" s="129"/>
      <c r="E1028" s="129"/>
      <c r="F1028" s="129"/>
      <c r="G1028" s="129"/>
    </row>
    <row r="1029" spans="2:7" x14ac:dyDescent="0.2">
      <c r="B1029" s="129"/>
      <c r="C1029" s="129"/>
      <c r="D1029" s="129"/>
      <c r="E1029" s="129"/>
      <c r="F1029" s="129"/>
      <c r="G1029" s="129"/>
    </row>
    <row r="1030" spans="2:7" x14ac:dyDescent="0.2">
      <c r="B1030" s="129"/>
      <c r="C1030" s="129"/>
      <c r="D1030" s="129"/>
      <c r="E1030" s="129"/>
      <c r="F1030" s="129"/>
      <c r="G1030" s="129"/>
    </row>
    <row r="1031" spans="2:7" x14ac:dyDescent="0.2">
      <c r="B1031" s="129"/>
      <c r="C1031" s="129"/>
      <c r="D1031" s="129"/>
      <c r="E1031" s="129"/>
      <c r="F1031" s="129"/>
      <c r="G1031" s="129"/>
    </row>
    <row r="1032" spans="2:7" x14ac:dyDescent="0.2">
      <c r="B1032" s="129"/>
      <c r="C1032" s="129"/>
      <c r="D1032" s="129"/>
      <c r="E1032" s="129"/>
      <c r="F1032" s="129"/>
      <c r="G1032" s="129"/>
    </row>
    <row r="1033" spans="2:7" x14ac:dyDescent="0.2">
      <c r="B1033" s="129"/>
      <c r="C1033" s="129"/>
      <c r="D1033" s="129"/>
      <c r="E1033" s="129"/>
      <c r="F1033" s="129"/>
      <c r="G1033" s="129"/>
    </row>
    <row r="1034" spans="2:7" x14ac:dyDescent="0.2">
      <c r="B1034" s="129"/>
      <c r="C1034" s="129"/>
      <c r="D1034" s="129"/>
      <c r="E1034" s="129"/>
      <c r="F1034" s="129"/>
      <c r="G1034" s="129"/>
    </row>
    <row r="1035" spans="2:7" x14ac:dyDescent="0.2">
      <c r="B1035" s="129"/>
      <c r="C1035" s="129"/>
      <c r="D1035" s="129"/>
      <c r="E1035" s="129"/>
      <c r="F1035" s="129"/>
      <c r="G1035" s="129"/>
    </row>
    <row r="1036" spans="2:7" x14ac:dyDescent="0.2">
      <c r="B1036" s="129"/>
      <c r="C1036" s="129"/>
      <c r="D1036" s="129"/>
      <c r="E1036" s="129"/>
      <c r="F1036" s="129"/>
      <c r="G1036" s="129"/>
    </row>
    <row r="1037" spans="2:7" x14ac:dyDescent="0.2">
      <c r="B1037" s="129"/>
      <c r="C1037" s="129"/>
      <c r="D1037" s="129"/>
      <c r="E1037" s="129"/>
      <c r="F1037" s="129"/>
      <c r="G1037" s="129"/>
    </row>
    <row r="1038" spans="2:7" x14ac:dyDescent="0.2">
      <c r="B1038" s="129"/>
      <c r="C1038" s="129"/>
      <c r="D1038" s="129"/>
      <c r="E1038" s="129"/>
      <c r="F1038" s="129"/>
      <c r="G1038" s="129"/>
    </row>
    <row r="1039" spans="2:7" x14ac:dyDescent="0.2">
      <c r="B1039" s="129"/>
      <c r="C1039" s="129"/>
      <c r="D1039" s="129"/>
      <c r="E1039" s="129"/>
      <c r="F1039" s="129"/>
      <c r="G1039" s="129"/>
    </row>
    <row r="1040" spans="2:7" x14ac:dyDescent="0.2">
      <c r="B1040" s="129"/>
      <c r="C1040" s="129"/>
      <c r="D1040" s="129"/>
      <c r="E1040" s="129"/>
      <c r="F1040" s="129"/>
      <c r="G1040" s="129"/>
    </row>
    <row r="1041" spans="2:7" x14ac:dyDescent="0.2">
      <c r="B1041" s="129"/>
      <c r="C1041" s="129"/>
      <c r="D1041" s="129"/>
      <c r="E1041" s="129"/>
      <c r="F1041" s="129"/>
      <c r="G1041" s="129"/>
    </row>
    <row r="1042" spans="2:7" x14ac:dyDescent="0.2">
      <c r="B1042" s="129"/>
      <c r="C1042" s="129"/>
      <c r="D1042" s="129"/>
      <c r="E1042" s="129"/>
      <c r="F1042" s="129"/>
      <c r="G1042" s="129"/>
    </row>
    <row r="1043" spans="2:7" x14ac:dyDescent="0.2">
      <c r="B1043" s="129"/>
      <c r="C1043" s="129"/>
      <c r="D1043" s="129"/>
      <c r="E1043" s="129"/>
      <c r="F1043" s="129"/>
      <c r="G1043" s="129"/>
    </row>
    <row r="1044" spans="2:7" x14ac:dyDescent="0.2">
      <c r="B1044" s="129"/>
      <c r="C1044" s="129"/>
      <c r="D1044" s="129"/>
      <c r="E1044" s="129"/>
      <c r="F1044" s="129"/>
      <c r="G1044" s="129"/>
    </row>
    <row r="1045" spans="2:7" x14ac:dyDescent="0.2">
      <c r="B1045" s="129"/>
      <c r="C1045" s="129"/>
      <c r="D1045" s="129"/>
      <c r="E1045" s="129"/>
      <c r="F1045" s="129"/>
      <c r="G1045" s="129"/>
    </row>
    <row r="1046" spans="2:7" x14ac:dyDescent="0.2">
      <c r="B1046" s="129"/>
      <c r="C1046" s="129"/>
      <c r="D1046" s="129"/>
      <c r="E1046" s="129"/>
      <c r="F1046" s="129"/>
      <c r="G1046" s="129"/>
    </row>
    <row r="1047" spans="2:7" x14ac:dyDescent="0.2">
      <c r="B1047" s="129"/>
      <c r="C1047" s="129"/>
      <c r="D1047" s="129"/>
      <c r="E1047" s="129"/>
      <c r="F1047" s="129"/>
      <c r="G1047" s="129"/>
    </row>
    <row r="1048" spans="2:7" x14ac:dyDescent="0.2">
      <c r="B1048" s="129"/>
      <c r="C1048" s="129"/>
      <c r="D1048" s="129"/>
      <c r="E1048" s="129"/>
      <c r="F1048" s="129"/>
      <c r="G1048" s="129"/>
    </row>
    <row r="1049" spans="2:7" x14ac:dyDescent="0.2">
      <c r="B1049" s="129"/>
      <c r="C1049" s="129"/>
      <c r="D1049" s="129"/>
      <c r="E1049" s="129"/>
      <c r="F1049" s="129"/>
      <c r="G1049" s="129"/>
    </row>
    <row r="1050" spans="2:7" x14ac:dyDescent="0.2">
      <c r="B1050" s="129"/>
      <c r="C1050" s="129"/>
      <c r="D1050" s="129"/>
      <c r="E1050" s="129"/>
      <c r="F1050" s="129"/>
      <c r="G1050" s="129"/>
    </row>
    <row r="1051" spans="2:7" x14ac:dyDescent="0.2">
      <c r="B1051" s="129"/>
      <c r="C1051" s="129"/>
      <c r="D1051" s="129"/>
      <c r="E1051" s="129"/>
      <c r="F1051" s="129"/>
      <c r="G1051" s="129"/>
    </row>
    <row r="1052" spans="2:7" x14ac:dyDescent="0.2">
      <c r="B1052" s="129"/>
      <c r="C1052" s="129"/>
      <c r="D1052" s="129"/>
      <c r="E1052" s="129"/>
      <c r="F1052" s="129"/>
      <c r="G1052" s="129"/>
    </row>
    <row r="1053" spans="2:7" x14ac:dyDescent="0.2">
      <c r="B1053" s="129"/>
      <c r="C1053" s="129"/>
      <c r="D1053" s="129"/>
      <c r="E1053" s="129"/>
      <c r="F1053" s="129"/>
      <c r="G1053" s="129"/>
    </row>
    <row r="1054" spans="2:7" x14ac:dyDescent="0.2">
      <c r="B1054" s="129"/>
      <c r="C1054" s="129"/>
      <c r="D1054" s="129"/>
      <c r="E1054" s="129"/>
      <c r="F1054" s="129"/>
      <c r="G1054" s="129"/>
    </row>
    <row r="1055" spans="2:7" x14ac:dyDescent="0.2">
      <c r="B1055" s="129"/>
      <c r="C1055" s="129"/>
      <c r="D1055" s="129"/>
      <c r="E1055" s="129"/>
      <c r="F1055" s="129"/>
      <c r="G1055" s="129"/>
    </row>
    <row r="1056" spans="2:7" x14ac:dyDescent="0.2">
      <c r="B1056" s="129"/>
      <c r="C1056" s="129"/>
      <c r="D1056" s="129"/>
      <c r="E1056" s="129"/>
      <c r="F1056" s="129"/>
      <c r="G1056" s="129"/>
    </row>
    <row r="1057" spans="2:7" x14ac:dyDescent="0.2">
      <c r="B1057" s="129"/>
      <c r="C1057" s="129"/>
      <c r="D1057" s="129"/>
      <c r="E1057" s="129"/>
      <c r="F1057" s="129"/>
      <c r="G1057" s="129"/>
    </row>
    <row r="1058" spans="2:7" x14ac:dyDescent="0.2">
      <c r="B1058" s="129"/>
      <c r="C1058" s="129"/>
      <c r="D1058" s="129"/>
      <c r="E1058" s="129"/>
      <c r="F1058" s="129"/>
      <c r="G1058" s="129"/>
    </row>
    <row r="1059" spans="2:7" x14ac:dyDescent="0.2">
      <c r="B1059" s="129"/>
      <c r="C1059" s="129"/>
      <c r="D1059" s="129"/>
      <c r="E1059" s="129"/>
      <c r="F1059" s="129"/>
      <c r="G1059" s="129"/>
    </row>
    <row r="1060" spans="2:7" x14ac:dyDescent="0.2">
      <c r="B1060" s="129"/>
      <c r="C1060" s="129"/>
      <c r="D1060" s="129"/>
      <c r="E1060" s="129"/>
      <c r="F1060" s="129"/>
      <c r="G1060" s="129"/>
    </row>
    <row r="1061" spans="2:7" x14ac:dyDescent="0.2">
      <c r="B1061" s="129"/>
      <c r="C1061" s="129"/>
      <c r="D1061" s="129"/>
      <c r="E1061" s="129"/>
      <c r="F1061" s="129"/>
      <c r="G1061" s="129"/>
    </row>
    <row r="1062" spans="2:7" x14ac:dyDescent="0.2">
      <c r="B1062" s="129"/>
      <c r="C1062" s="129"/>
      <c r="D1062" s="129"/>
      <c r="E1062" s="129"/>
      <c r="F1062" s="129"/>
      <c r="G1062" s="129"/>
    </row>
    <row r="1063" spans="2:7" x14ac:dyDescent="0.2">
      <c r="B1063" s="129"/>
      <c r="C1063" s="129"/>
      <c r="D1063" s="129"/>
      <c r="E1063" s="129"/>
      <c r="F1063" s="129"/>
      <c r="G1063" s="129"/>
    </row>
    <row r="1064" spans="2:7" x14ac:dyDescent="0.2">
      <c r="B1064" s="129"/>
      <c r="C1064" s="129"/>
      <c r="D1064" s="129"/>
      <c r="E1064" s="129"/>
      <c r="F1064" s="129"/>
      <c r="G1064" s="129"/>
    </row>
    <row r="1065" spans="2:7" x14ac:dyDescent="0.2">
      <c r="B1065" s="129"/>
      <c r="C1065" s="129"/>
      <c r="D1065" s="129"/>
      <c r="E1065" s="129"/>
      <c r="F1065" s="129"/>
      <c r="G1065" s="129"/>
    </row>
    <row r="1066" spans="2:7" x14ac:dyDescent="0.2">
      <c r="B1066" s="129"/>
      <c r="C1066" s="129"/>
      <c r="D1066" s="129"/>
      <c r="E1066" s="129"/>
      <c r="F1066" s="129"/>
      <c r="G1066" s="129"/>
    </row>
    <row r="1067" spans="2:7" x14ac:dyDescent="0.2">
      <c r="B1067" s="129"/>
      <c r="C1067" s="129"/>
      <c r="D1067" s="129"/>
      <c r="E1067" s="129"/>
      <c r="F1067" s="129"/>
      <c r="G1067" s="129"/>
    </row>
    <row r="1068" spans="2:7" x14ac:dyDescent="0.2">
      <c r="B1068" s="129"/>
      <c r="C1068" s="129"/>
      <c r="D1068" s="129"/>
      <c r="E1068" s="129"/>
      <c r="F1068" s="129"/>
      <c r="G1068" s="129"/>
    </row>
    <row r="1069" spans="2:7" x14ac:dyDescent="0.2">
      <c r="B1069" s="129"/>
      <c r="C1069" s="129"/>
      <c r="D1069" s="129"/>
      <c r="E1069" s="129"/>
      <c r="F1069" s="129"/>
      <c r="G1069" s="129"/>
    </row>
    <row r="1070" spans="2:7" x14ac:dyDescent="0.2">
      <c r="B1070" s="129"/>
      <c r="C1070" s="129"/>
      <c r="D1070" s="129"/>
      <c r="E1070" s="129"/>
      <c r="F1070" s="129"/>
      <c r="G1070" s="129"/>
    </row>
    <row r="1071" spans="2:7" x14ac:dyDescent="0.2">
      <c r="B1071" s="129"/>
      <c r="C1071" s="129"/>
      <c r="D1071" s="129"/>
      <c r="E1071" s="129"/>
      <c r="F1071" s="129"/>
      <c r="G1071" s="129"/>
    </row>
    <row r="1072" spans="2:7" x14ac:dyDescent="0.2">
      <c r="B1072" s="129"/>
      <c r="C1072" s="129"/>
      <c r="D1072" s="129"/>
      <c r="E1072" s="129"/>
      <c r="F1072" s="129"/>
      <c r="G1072" s="129"/>
    </row>
    <row r="1073" spans="2:7" x14ac:dyDescent="0.2">
      <c r="B1073" s="129"/>
      <c r="C1073" s="129"/>
      <c r="D1073" s="129"/>
      <c r="E1073" s="129"/>
      <c r="F1073" s="129"/>
      <c r="G1073" s="129"/>
    </row>
    <row r="1074" spans="2:7" x14ac:dyDescent="0.2">
      <c r="B1074" s="129"/>
      <c r="C1074" s="129"/>
      <c r="D1074" s="129"/>
      <c r="E1074" s="129"/>
      <c r="F1074" s="129"/>
      <c r="G1074" s="129"/>
    </row>
    <row r="1075" spans="2:7" x14ac:dyDescent="0.2">
      <c r="B1075" s="129"/>
      <c r="C1075" s="129"/>
      <c r="D1075" s="129"/>
      <c r="E1075" s="129"/>
      <c r="F1075" s="129"/>
      <c r="G1075" s="129"/>
    </row>
    <row r="1076" spans="2:7" x14ac:dyDescent="0.2">
      <c r="B1076" s="129"/>
      <c r="C1076" s="129"/>
      <c r="D1076" s="129"/>
      <c r="E1076" s="129"/>
      <c r="F1076" s="129"/>
      <c r="G1076" s="129"/>
    </row>
    <row r="1077" spans="2:7" x14ac:dyDescent="0.2">
      <c r="B1077" s="129"/>
      <c r="C1077" s="129"/>
      <c r="D1077" s="129"/>
      <c r="E1077" s="129"/>
      <c r="F1077" s="129"/>
      <c r="G1077" s="129"/>
    </row>
    <row r="1078" spans="2:7" x14ac:dyDescent="0.2">
      <c r="B1078" s="129"/>
      <c r="C1078" s="129"/>
      <c r="D1078" s="129"/>
      <c r="E1078" s="129"/>
      <c r="F1078" s="129"/>
      <c r="G1078" s="129"/>
    </row>
    <row r="1079" spans="2:7" x14ac:dyDescent="0.2">
      <c r="B1079" s="129"/>
      <c r="C1079" s="129"/>
      <c r="D1079" s="129"/>
      <c r="E1079" s="129"/>
      <c r="F1079" s="129"/>
      <c r="G1079" s="129"/>
    </row>
    <row r="1080" spans="2:7" x14ac:dyDescent="0.2">
      <c r="B1080" s="129"/>
      <c r="C1080" s="129"/>
      <c r="D1080" s="129"/>
      <c r="E1080" s="129"/>
      <c r="F1080" s="129"/>
      <c r="G1080" s="129"/>
    </row>
    <row r="1081" spans="2:7" x14ac:dyDescent="0.2">
      <c r="B1081" s="129"/>
      <c r="C1081" s="129"/>
      <c r="D1081" s="129"/>
      <c r="E1081" s="129"/>
      <c r="F1081" s="129"/>
      <c r="G1081" s="129"/>
    </row>
    <row r="1082" spans="2:7" x14ac:dyDescent="0.2">
      <c r="B1082" s="129"/>
      <c r="C1082" s="129"/>
      <c r="D1082" s="129"/>
      <c r="E1082" s="129"/>
      <c r="F1082" s="129"/>
      <c r="G1082" s="129"/>
    </row>
    <row r="1083" spans="2:7" x14ac:dyDescent="0.2">
      <c r="B1083" s="129"/>
      <c r="C1083" s="129"/>
      <c r="D1083" s="129"/>
      <c r="E1083" s="129"/>
      <c r="F1083" s="129"/>
      <c r="G1083" s="129"/>
    </row>
    <row r="1084" spans="2:7" x14ac:dyDescent="0.2">
      <c r="B1084" s="129"/>
      <c r="C1084" s="129"/>
      <c r="D1084" s="129"/>
      <c r="E1084" s="129"/>
      <c r="F1084" s="129"/>
      <c r="G1084" s="129"/>
    </row>
    <row r="1085" spans="2:7" x14ac:dyDescent="0.2">
      <c r="B1085" s="129"/>
      <c r="C1085" s="129"/>
      <c r="D1085" s="129"/>
      <c r="E1085" s="129"/>
      <c r="F1085" s="129"/>
      <c r="G1085" s="129"/>
    </row>
    <row r="1086" spans="2:7" x14ac:dyDescent="0.2">
      <c r="B1086" s="129"/>
      <c r="C1086" s="129"/>
      <c r="D1086" s="129"/>
      <c r="E1086" s="129"/>
      <c r="F1086" s="129"/>
      <c r="G1086" s="129"/>
    </row>
    <row r="1087" spans="2:7" x14ac:dyDescent="0.2">
      <c r="B1087" s="129"/>
      <c r="C1087" s="129"/>
      <c r="D1087" s="129"/>
      <c r="E1087" s="129"/>
      <c r="F1087" s="129"/>
      <c r="G1087" s="129"/>
    </row>
    <row r="1088" spans="2:7" x14ac:dyDescent="0.2">
      <c r="B1088" s="129"/>
      <c r="C1088" s="129"/>
      <c r="D1088" s="129"/>
      <c r="E1088" s="129"/>
      <c r="F1088" s="129"/>
      <c r="G1088" s="129"/>
    </row>
    <row r="1089" spans="2:7" x14ac:dyDescent="0.2">
      <c r="B1089" s="129"/>
      <c r="C1089" s="129"/>
      <c r="D1089" s="129"/>
      <c r="E1089" s="129"/>
      <c r="F1089" s="129"/>
      <c r="G1089" s="129"/>
    </row>
    <row r="1090" spans="2:7" x14ac:dyDescent="0.2">
      <c r="B1090" s="129"/>
      <c r="C1090" s="129"/>
      <c r="D1090" s="129"/>
      <c r="E1090" s="129"/>
      <c r="F1090" s="129"/>
      <c r="G1090" s="129"/>
    </row>
    <row r="1091" spans="2:7" x14ac:dyDescent="0.2">
      <c r="B1091" s="129"/>
      <c r="C1091" s="129"/>
      <c r="D1091" s="129"/>
      <c r="E1091" s="129"/>
      <c r="F1091" s="129"/>
      <c r="G1091" s="129"/>
    </row>
    <row r="1092" spans="2:7" x14ac:dyDescent="0.2">
      <c r="B1092" s="129"/>
      <c r="C1092" s="129"/>
      <c r="D1092" s="129"/>
      <c r="E1092" s="129"/>
      <c r="F1092" s="129"/>
      <c r="G1092" s="129"/>
    </row>
    <row r="1093" spans="2:7" x14ac:dyDescent="0.2">
      <c r="B1093" s="129"/>
      <c r="C1093" s="129"/>
      <c r="D1093" s="129"/>
      <c r="E1093" s="129"/>
      <c r="F1093" s="129"/>
      <c r="G1093" s="129"/>
    </row>
    <row r="1094" spans="2:7" x14ac:dyDescent="0.2">
      <c r="B1094" s="129"/>
      <c r="C1094" s="129"/>
      <c r="D1094" s="129"/>
      <c r="E1094" s="129"/>
      <c r="F1094" s="129"/>
      <c r="G1094" s="129"/>
    </row>
    <row r="1095" spans="2:7" x14ac:dyDescent="0.2">
      <c r="B1095" s="129"/>
      <c r="C1095" s="129"/>
      <c r="D1095" s="129"/>
      <c r="E1095" s="129"/>
      <c r="F1095" s="129"/>
      <c r="G1095" s="129"/>
    </row>
    <row r="1096" spans="2:7" x14ac:dyDescent="0.2">
      <c r="B1096" s="129"/>
      <c r="C1096" s="129"/>
      <c r="D1096" s="129"/>
      <c r="E1096" s="129"/>
      <c r="F1096" s="129"/>
      <c r="G1096" s="129"/>
    </row>
    <row r="1097" spans="2:7" x14ac:dyDescent="0.2">
      <c r="B1097" s="129"/>
      <c r="C1097" s="129"/>
      <c r="D1097" s="129"/>
      <c r="E1097" s="129"/>
      <c r="F1097" s="129"/>
      <c r="G1097" s="129"/>
    </row>
    <row r="1098" spans="2:7" x14ac:dyDescent="0.2">
      <c r="B1098" s="129"/>
      <c r="C1098" s="129"/>
      <c r="D1098" s="129"/>
      <c r="E1098" s="129"/>
      <c r="F1098" s="129"/>
      <c r="G1098" s="129"/>
    </row>
    <row r="1099" spans="2:7" x14ac:dyDescent="0.2">
      <c r="B1099" s="129"/>
      <c r="C1099" s="129"/>
      <c r="D1099" s="129"/>
      <c r="E1099" s="129"/>
      <c r="F1099" s="129"/>
      <c r="G1099" s="129"/>
    </row>
    <row r="1100" spans="2:7" x14ac:dyDescent="0.2">
      <c r="B1100" s="129"/>
      <c r="C1100" s="129"/>
      <c r="D1100" s="129"/>
      <c r="E1100" s="129"/>
      <c r="F1100" s="129"/>
      <c r="G1100" s="129"/>
    </row>
    <row r="1101" spans="2:7" x14ac:dyDescent="0.2">
      <c r="B1101" s="129"/>
      <c r="C1101" s="129"/>
      <c r="D1101" s="129"/>
      <c r="E1101" s="129"/>
      <c r="F1101" s="129"/>
      <c r="G1101" s="129"/>
    </row>
    <row r="1102" spans="2:7" x14ac:dyDescent="0.2">
      <c r="B1102" s="129"/>
      <c r="C1102" s="129"/>
      <c r="D1102" s="129"/>
      <c r="E1102" s="129"/>
      <c r="F1102" s="129"/>
      <c r="G1102" s="129"/>
    </row>
    <row r="1103" spans="2:7" x14ac:dyDescent="0.2">
      <c r="B1103" s="129"/>
      <c r="C1103" s="129"/>
      <c r="D1103" s="129"/>
      <c r="E1103" s="129"/>
      <c r="F1103" s="129"/>
      <c r="G1103" s="129"/>
    </row>
    <row r="1104" spans="2:7" x14ac:dyDescent="0.2">
      <c r="B1104" s="129"/>
      <c r="C1104" s="129"/>
      <c r="D1104" s="129"/>
      <c r="E1104" s="129"/>
      <c r="F1104" s="129"/>
      <c r="G1104" s="129"/>
    </row>
    <row r="1105" spans="2:7" x14ac:dyDescent="0.2">
      <c r="B1105" s="129"/>
      <c r="C1105" s="129"/>
      <c r="D1105" s="129"/>
      <c r="E1105" s="129"/>
      <c r="F1105" s="129"/>
      <c r="G1105" s="129"/>
    </row>
    <row r="1106" spans="2:7" x14ac:dyDescent="0.2">
      <c r="B1106" s="129"/>
      <c r="C1106" s="129"/>
      <c r="D1106" s="129"/>
      <c r="E1106" s="129"/>
      <c r="F1106" s="129"/>
      <c r="G1106" s="129"/>
    </row>
    <row r="1107" spans="2:7" x14ac:dyDescent="0.2">
      <c r="B1107" s="129"/>
      <c r="C1107" s="129"/>
      <c r="D1107" s="129"/>
      <c r="E1107" s="129"/>
      <c r="F1107" s="129"/>
      <c r="G1107" s="129"/>
    </row>
    <row r="1108" spans="2:7" x14ac:dyDescent="0.2">
      <c r="B1108" s="129"/>
      <c r="C1108" s="129"/>
      <c r="D1108" s="129"/>
      <c r="E1108" s="129"/>
      <c r="F1108" s="129"/>
      <c r="G1108" s="129"/>
    </row>
    <row r="1109" spans="2:7" x14ac:dyDescent="0.2">
      <c r="B1109" s="129"/>
      <c r="C1109" s="129"/>
      <c r="D1109" s="129"/>
      <c r="E1109" s="129"/>
      <c r="F1109" s="129"/>
      <c r="G1109" s="129"/>
    </row>
    <row r="1110" spans="2:7" x14ac:dyDescent="0.2">
      <c r="B1110" s="129"/>
      <c r="C1110" s="129"/>
      <c r="D1110" s="129"/>
      <c r="E1110" s="129"/>
      <c r="F1110" s="129"/>
      <c r="G1110" s="129"/>
    </row>
    <row r="1111" spans="2:7" x14ac:dyDescent="0.2">
      <c r="B1111" s="129"/>
      <c r="C1111" s="129"/>
      <c r="D1111" s="129"/>
      <c r="E1111" s="129"/>
      <c r="F1111" s="129"/>
      <c r="G1111" s="129"/>
    </row>
    <row r="1112" spans="2:7" x14ac:dyDescent="0.2">
      <c r="B1112" s="129"/>
      <c r="C1112" s="129"/>
      <c r="D1112" s="129"/>
      <c r="E1112" s="129"/>
      <c r="F1112" s="129"/>
      <c r="G1112" s="129"/>
    </row>
    <row r="1113" spans="2:7" x14ac:dyDescent="0.2">
      <c r="B1113" s="129"/>
      <c r="C1113" s="129"/>
      <c r="D1113" s="129"/>
      <c r="E1113" s="129"/>
      <c r="F1113" s="129"/>
      <c r="G1113" s="129"/>
    </row>
    <row r="1114" spans="2:7" x14ac:dyDescent="0.2">
      <c r="B1114" s="129"/>
      <c r="C1114" s="129"/>
      <c r="D1114" s="129"/>
      <c r="E1114" s="129"/>
      <c r="F1114" s="129"/>
      <c r="G1114" s="129"/>
    </row>
    <row r="1115" spans="2:7" x14ac:dyDescent="0.2">
      <c r="B1115" s="129"/>
      <c r="C1115" s="129"/>
      <c r="D1115" s="129"/>
      <c r="E1115" s="129"/>
      <c r="F1115" s="129"/>
      <c r="G1115" s="129"/>
    </row>
    <row r="1116" spans="2:7" x14ac:dyDescent="0.2">
      <c r="B1116" s="129"/>
      <c r="C1116" s="129"/>
      <c r="D1116" s="129"/>
      <c r="E1116" s="129"/>
      <c r="F1116" s="129"/>
      <c r="G1116" s="129"/>
    </row>
    <row r="1117" spans="2:7" x14ac:dyDescent="0.2">
      <c r="B1117" s="129"/>
      <c r="C1117" s="129"/>
      <c r="D1117" s="129"/>
      <c r="E1117" s="129"/>
      <c r="F1117" s="129"/>
      <c r="G1117" s="129"/>
    </row>
    <row r="1118" spans="2:7" x14ac:dyDescent="0.2">
      <c r="B1118" s="129"/>
      <c r="C1118" s="129"/>
      <c r="D1118" s="129"/>
      <c r="E1118" s="129"/>
      <c r="F1118" s="129"/>
      <c r="G1118" s="129"/>
    </row>
    <row r="1119" spans="2:7" x14ac:dyDescent="0.2">
      <c r="B1119" s="129"/>
      <c r="C1119" s="129"/>
      <c r="D1119" s="129"/>
      <c r="E1119" s="129"/>
      <c r="F1119" s="129"/>
      <c r="G1119" s="129"/>
    </row>
    <row r="1120" spans="2:7" x14ac:dyDescent="0.2">
      <c r="B1120" s="129"/>
      <c r="C1120" s="129"/>
      <c r="D1120" s="129"/>
      <c r="E1120" s="129"/>
      <c r="F1120" s="129"/>
      <c r="G1120" s="129"/>
    </row>
    <row r="1121" spans="2:7" x14ac:dyDescent="0.2">
      <c r="B1121" s="129"/>
      <c r="C1121" s="129"/>
      <c r="D1121" s="129"/>
      <c r="E1121" s="129"/>
      <c r="F1121" s="129"/>
      <c r="G1121" s="129"/>
    </row>
    <row r="1122" spans="2:7" x14ac:dyDescent="0.2">
      <c r="B1122" s="129"/>
      <c r="C1122" s="129"/>
      <c r="D1122" s="129"/>
      <c r="E1122" s="129"/>
      <c r="F1122" s="129"/>
      <c r="G1122" s="129"/>
    </row>
    <row r="1123" spans="2:7" x14ac:dyDescent="0.2">
      <c r="B1123" s="129"/>
      <c r="C1123" s="129"/>
      <c r="D1123" s="129"/>
      <c r="E1123" s="129"/>
      <c r="F1123" s="129"/>
      <c r="G1123" s="129"/>
    </row>
    <row r="1124" spans="2:7" x14ac:dyDescent="0.2">
      <c r="B1124" s="129"/>
      <c r="C1124" s="129"/>
      <c r="D1124" s="129"/>
      <c r="E1124" s="129"/>
      <c r="F1124" s="129"/>
      <c r="G1124" s="129"/>
    </row>
    <row r="1125" spans="2:7" x14ac:dyDescent="0.2">
      <c r="B1125" s="129"/>
      <c r="C1125" s="129"/>
      <c r="D1125" s="129"/>
      <c r="E1125" s="129"/>
      <c r="F1125" s="129"/>
      <c r="G1125" s="129"/>
    </row>
    <row r="1126" spans="2:7" x14ac:dyDescent="0.2">
      <c r="B1126" s="129"/>
      <c r="C1126" s="129"/>
      <c r="D1126" s="129"/>
      <c r="E1126" s="129"/>
      <c r="F1126" s="129"/>
      <c r="G1126" s="129"/>
    </row>
    <row r="1127" spans="2:7" x14ac:dyDescent="0.2">
      <c r="B1127" s="129"/>
      <c r="C1127" s="129"/>
      <c r="D1127" s="129"/>
      <c r="E1127" s="129"/>
      <c r="F1127" s="129"/>
      <c r="G1127" s="129"/>
    </row>
    <row r="1128" spans="2:7" x14ac:dyDescent="0.2">
      <c r="B1128" s="129"/>
      <c r="C1128" s="129"/>
      <c r="D1128" s="129"/>
      <c r="E1128" s="129"/>
      <c r="F1128" s="129"/>
      <c r="G1128" s="129"/>
    </row>
    <row r="1129" spans="2:7" x14ac:dyDescent="0.2">
      <c r="B1129" s="129"/>
      <c r="C1129" s="129"/>
      <c r="D1129" s="129"/>
      <c r="E1129" s="129"/>
      <c r="F1129" s="129"/>
      <c r="G1129" s="129"/>
    </row>
    <row r="1130" spans="2:7" x14ac:dyDescent="0.2">
      <c r="B1130" s="129"/>
      <c r="C1130" s="129"/>
      <c r="D1130" s="129"/>
      <c r="E1130" s="129"/>
      <c r="F1130" s="129"/>
      <c r="G1130" s="129"/>
    </row>
    <row r="1131" spans="2:7" x14ac:dyDescent="0.2">
      <c r="B1131" s="129"/>
      <c r="C1131" s="129"/>
      <c r="D1131" s="129"/>
      <c r="E1131" s="129"/>
      <c r="F1131" s="129"/>
      <c r="G1131" s="129"/>
    </row>
    <row r="1132" spans="2:7" x14ac:dyDescent="0.2">
      <c r="B1132" s="129"/>
      <c r="C1132" s="129"/>
      <c r="D1132" s="129"/>
      <c r="E1132" s="129"/>
      <c r="F1132" s="129"/>
      <c r="G1132" s="129"/>
    </row>
    <row r="1133" spans="2:7" x14ac:dyDescent="0.2">
      <c r="B1133" s="129"/>
      <c r="C1133" s="129"/>
      <c r="D1133" s="129"/>
      <c r="E1133" s="129"/>
      <c r="F1133" s="129"/>
      <c r="G1133" s="129"/>
    </row>
    <row r="1134" spans="2:7" x14ac:dyDescent="0.2">
      <c r="B1134" s="129"/>
      <c r="C1134" s="129"/>
      <c r="D1134" s="129"/>
      <c r="E1134" s="129"/>
      <c r="F1134" s="129"/>
      <c r="G1134" s="129"/>
    </row>
    <row r="1135" spans="2:7" x14ac:dyDescent="0.2">
      <c r="B1135" s="129"/>
      <c r="C1135" s="129"/>
      <c r="D1135" s="129"/>
      <c r="E1135" s="129"/>
      <c r="F1135" s="129"/>
      <c r="G1135" s="129"/>
    </row>
    <row r="1136" spans="2:7" x14ac:dyDescent="0.2">
      <c r="B1136" s="129"/>
      <c r="C1136" s="129"/>
      <c r="D1136" s="129"/>
      <c r="E1136" s="129"/>
      <c r="F1136" s="129"/>
      <c r="G1136" s="129"/>
    </row>
    <row r="1137" spans="2:7" x14ac:dyDescent="0.2">
      <c r="B1137" s="129"/>
      <c r="C1137" s="129"/>
      <c r="D1137" s="129"/>
      <c r="E1137" s="129"/>
      <c r="F1137" s="129"/>
      <c r="G1137" s="129"/>
    </row>
    <row r="1138" spans="2:7" x14ac:dyDescent="0.2">
      <c r="B1138" s="129"/>
      <c r="C1138" s="129"/>
      <c r="D1138" s="129"/>
      <c r="E1138" s="129"/>
      <c r="F1138" s="129"/>
      <c r="G1138" s="129"/>
    </row>
    <row r="1139" spans="2:7" x14ac:dyDescent="0.2">
      <c r="B1139" s="129"/>
      <c r="C1139" s="129"/>
      <c r="D1139" s="129"/>
      <c r="E1139" s="129"/>
      <c r="F1139" s="129"/>
      <c r="G1139" s="129"/>
    </row>
    <row r="1140" spans="2:7" x14ac:dyDescent="0.2">
      <c r="B1140" s="129"/>
      <c r="C1140" s="129"/>
      <c r="D1140" s="129"/>
      <c r="E1140" s="129"/>
      <c r="F1140" s="129"/>
      <c r="G1140" s="129"/>
    </row>
    <row r="1141" spans="2:7" x14ac:dyDescent="0.2">
      <c r="B1141" s="129"/>
      <c r="C1141" s="129"/>
      <c r="D1141" s="129"/>
      <c r="E1141" s="129"/>
      <c r="F1141" s="129"/>
      <c r="G1141" s="129"/>
    </row>
    <row r="1142" spans="2:7" x14ac:dyDescent="0.2">
      <c r="B1142" s="129"/>
      <c r="C1142" s="129"/>
      <c r="D1142" s="129"/>
      <c r="E1142" s="129"/>
      <c r="F1142" s="129"/>
      <c r="G1142" s="129"/>
    </row>
    <row r="1143" spans="2:7" x14ac:dyDescent="0.2">
      <c r="B1143" s="129"/>
      <c r="C1143" s="129"/>
      <c r="D1143" s="129"/>
      <c r="E1143" s="129"/>
      <c r="F1143" s="129"/>
      <c r="G1143" s="129"/>
    </row>
    <row r="1144" spans="2:7" x14ac:dyDescent="0.2">
      <c r="B1144" s="129"/>
      <c r="C1144" s="129"/>
      <c r="D1144" s="129"/>
      <c r="E1144" s="129"/>
      <c r="F1144" s="129"/>
      <c r="G1144" s="129"/>
    </row>
    <row r="1145" spans="2:7" x14ac:dyDescent="0.2">
      <c r="B1145" s="129"/>
      <c r="C1145" s="129"/>
      <c r="D1145" s="129"/>
      <c r="E1145" s="129"/>
      <c r="F1145" s="129"/>
      <c r="G1145" s="129"/>
    </row>
    <row r="1146" spans="2:7" x14ac:dyDescent="0.2">
      <c r="B1146" s="129"/>
      <c r="C1146" s="129"/>
      <c r="D1146" s="129"/>
      <c r="E1146" s="129"/>
      <c r="F1146" s="129"/>
      <c r="G1146" s="129"/>
    </row>
    <row r="1147" spans="2:7" x14ac:dyDescent="0.2">
      <c r="B1147" s="129"/>
      <c r="C1147" s="129"/>
      <c r="D1147" s="129"/>
      <c r="E1147" s="129"/>
      <c r="F1147" s="129"/>
      <c r="G1147" s="129"/>
    </row>
    <row r="1148" spans="2:7" x14ac:dyDescent="0.2">
      <c r="B1148" s="129"/>
      <c r="C1148" s="129"/>
      <c r="D1148" s="129"/>
      <c r="E1148" s="129"/>
      <c r="F1148" s="129"/>
      <c r="G1148" s="129"/>
    </row>
    <row r="1149" spans="2:7" x14ac:dyDescent="0.2">
      <c r="B1149" s="129"/>
      <c r="C1149" s="129"/>
      <c r="D1149" s="129"/>
      <c r="E1149" s="129"/>
      <c r="F1149" s="129"/>
      <c r="G1149" s="129"/>
    </row>
    <row r="1150" spans="2:7" x14ac:dyDescent="0.2">
      <c r="B1150" s="129"/>
      <c r="C1150" s="129"/>
      <c r="D1150" s="129"/>
      <c r="E1150" s="129"/>
      <c r="F1150" s="129"/>
      <c r="G1150" s="129"/>
    </row>
    <row r="1151" spans="2:7" x14ac:dyDescent="0.2">
      <c r="B1151" s="129"/>
      <c r="C1151" s="129"/>
      <c r="D1151" s="129"/>
      <c r="E1151" s="129"/>
      <c r="F1151" s="129"/>
      <c r="G1151" s="129"/>
    </row>
    <row r="1152" spans="2:7" x14ac:dyDescent="0.2">
      <c r="B1152" s="129"/>
      <c r="C1152" s="129"/>
      <c r="D1152" s="129"/>
      <c r="E1152" s="129"/>
      <c r="F1152" s="129"/>
      <c r="G1152" s="129"/>
    </row>
    <row r="1153" spans="2:7" x14ac:dyDescent="0.2">
      <c r="B1153" s="129"/>
      <c r="C1153" s="129"/>
      <c r="D1153" s="129"/>
      <c r="E1153" s="129"/>
      <c r="F1153" s="129"/>
      <c r="G1153" s="129"/>
    </row>
    <row r="1154" spans="2:7" x14ac:dyDescent="0.2">
      <c r="B1154" s="129"/>
      <c r="C1154" s="129"/>
      <c r="D1154" s="129"/>
      <c r="E1154" s="129"/>
      <c r="F1154" s="129"/>
      <c r="G1154" s="129"/>
    </row>
    <row r="1155" spans="2:7" x14ac:dyDescent="0.2">
      <c r="B1155" s="129"/>
      <c r="C1155" s="129"/>
      <c r="D1155" s="129"/>
      <c r="E1155" s="129"/>
      <c r="F1155" s="129"/>
      <c r="G1155" s="129"/>
    </row>
    <row r="1156" spans="2:7" x14ac:dyDescent="0.2">
      <c r="B1156" s="129"/>
      <c r="C1156" s="129"/>
      <c r="D1156" s="129"/>
      <c r="E1156" s="129"/>
      <c r="F1156" s="129"/>
      <c r="G1156" s="129"/>
    </row>
    <row r="1157" spans="2:7" x14ac:dyDescent="0.2">
      <c r="B1157" s="129"/>
      <c r="C1157" s="129"/>
      <c r="D1157" s="129"/>
      <c r="E1157" s="129"/>
      <c r="F1157" s="129"/>
      <c r="G1157" s="129"/>
    </row>
    <row r="1158" spans="2:7" x14ac:dyDescent="0.2">
      <c r="B1158" s="129"/>
      <c r="C1158" s="129"/>
      <c r="D1158" s="129"/>
      <c r="E1158" s="129"/>
      <c r="F1158" s="129"/>
      <c r="G1158" s="129"/>
    </row>
    <row r="1159" spans="2:7" x14ac:dyDescent="0.2">
      <c r="B1159" s="129"/>
      <c r="C1159" s="129"/>
      <c r="D1159" s="129"/>
      <c r="E1159" s="129"/>
      <c r="F1159" s="129"/>
      <c r="G1159" s="129"/>
    </row>
    <row r="1160" spans="2:7" x14ac:dyDescent="0.2">
      <c r="B1160" s="129"/>
      <c r="C1160" s="129"/>
      <c r="D1160" s="129"/>
      <c r="E1160" s="129"/>
      <c r="F1160" s="129"/>
      <c r="G1160" s="129"/>
    </row>
    <row r="1161" spans="2:7" x14ac:dyDescent="0.2">
      <c r="B1161" s="129"/>
      <c r="C1161" s="129"/>
      <c r="D1161" s="129"/>
      <c r="E1161" s="129"/>
      <c r="F1161" s="129"/>
      <c r="G1161" s="129"/>
    </row>
    <row r="1162" spans="2:7" x14ac:dyDescent="0.2">
      <c r="B1162" s="129"/>
      <c r="C1162" s="129"/>
      <c r="D1162" s="129"/>
      <c r="E1162" s="129"/>
      <c r="F1162" s="129"/>
      <c r="G1162" s="129"/>
    </row>
    <row r="1163" spans="2:7" x14ac:dyDescent="0.2">
      <c r="B1163" s="129"/>
      <c r="C1163" s="129"/>
      <c r="D1163" s="129"/>
      <c r="E1163" s="129"/>
      <c r="F1163" s="129"/>
      <c r="G1163" s="129"/>
    </row>
    <row r="1164" spans="2:7" x14ac:dyDescent="0.2">
      <c r="B1164" s="129"/>
      <c r="C1164" s="129"/>
      <c r="D1164" s="129"/>
      <c r="E1164" s="129"/>
      <c r="F1164" s="129"/>
      <c r="G1164" s="129"/>
    </row>
    <row r="1165" spans="2:7" x14ac:dyDescent="0.2">
      <c r="B1165" s="129"/>
      <c r="C1165" s="129"/>
      <c r="D1165" s="129"/>
      <c r="E1165" s="129"/>
      <c r="F1165" s="129"/>
      <c r="G1165" s="129"/>
    </row>
    <row r="1166" spans="2:7" x14ac:dyDescent="0.2">
      <c r="B1166" s="129"/>
      <c r="C1166" s="129"/>
      <c r="D1166" s="129"/>
      <c r="E1166" s="129"/>
      <c r="F1166" s="129"/>
      <c r="G1166" s="129"/>
    </row>
    <row r="1167" spans="2:7" x14ac:dyDescent="0.2">
      <c r="B1167" s="129"/>
      <c r="C1167" s="129"/>
      <c r="D1167" s="129"/>
      <c r="E1167" s="129"/>
      <c r="F1167" s="129"/>
      <c r="G1167" s="129"/>
    </row>
    <row r="1168" spans="2:7" x14ac:dyDescent="0.2">
      <c r="B1168" s="129"/>
      <c r="C1168" s="129"/>
      <c r="D1168" s="129"/>
      <c r="E1168" s="129"/>
      <c r="F1168" s="129"/>
      <c r="G1168" s="129"/>
    </row>
    <row r="1169" spans="2:7" x14ac:dyDescent="0.2">
      <c r="B1169" s="129"/>
      <c r="C1169" s="129"/>
      <c r="D1169" s="129"/>
      <c r="E1169" s="129"/>
      <c r="F1169" s="129"/>
      <c r="G1169" s="129"/>
    </row>
    <row r="1170" spans="2:7" x14ac:dyDescent="0.2">
      <c r="B1170" s="129"/>
      <c r="C1170" s="129"/>
      <c r="D1170" s="129"/>
      <c r="E1170" s="129"/>
      <c r="F1170" s="129"/>
      <c r="G1170" s="129"/>
    </row>
    <row r="1171" spans="2:7" x14ac:dyDescent="0.2">
      <c r="B1171" s="129"/>
      <c r="C1171" s="129"/>
      <c r="D1171" s="129"/>
      <c r="E1171" s="129"/>
      <c r="F1171" s="129"/>
      <c r="G1171" s="129"/>
    </row>
    <row r="1172" spans="2:7" x14ac:dyDescent="0.2">
      <c r="B1172" s="129"/>
      <c r="C1172" s="129"/>
      <c r="D1172" s="129"/>
      <c r="E1172" s="129"/>
      <c r="F1172" s="129"/>
      <c r="G1172" s="129"/>
    </row>
    <row r="1173" spans="2:7" x14ac:dyDescent="0.2">
      <c r="B1173" s="129"/>
      <c r="C1173" s="129"/>
      <c r="D1173" s="129"/>
      <c r="E1173" s="129"/>
      <c r="F1173" s="129"/>
      <c r="G1173" s="129"/>
    </row>
    <row r="1174" spans="2:7" x14ac:dyDescent="0.2">
      <c r="B1174" s="129"/>
      <c r="C1174" s="129"/>
      <c r="D1174" s="129"/>
      <c r="E1174" s="129"/>
      <c r="F1174" s="129"/>
      <c r="G1174" s="129"/>
    </row>
    <row r="1175" spans="2:7" x14ac:dyDescent="0.2">
      <c r="B1175" s="129"/>
      <c r="C1175" s="129"/>
      <c r="D1175" s="129"/>
      <c r="E1175" s="129"/>
      <c r="F1175" s="129"/>
      <c r="G1175" s="129"/>
    </row>
    <row r="1176" spans="2:7" x14ac:dyDescent="0.2">
      <c r="B1176" s="129"/>
      <c r="C1176" s="129"/>
      <c r="D1176" s="129"/>
      <c r="E1176" s="129"/>
      <c r="F1176" s="129"/>
      <c r="G1176" s="129"/>
    </row>
    <row r="1177" spans="2:7" x14ac:dyDescent="0.2">
      <c r="B1177" s="129"/>
      <c r="C1177" s="129"/>
      <c r="D1177" s="129"/>
      <c r="E1177" s="129"/>
      <c r="F1177" s="129"/>
      <c r="G1177" s="129"/>
    </row>
    <row r="1178" spans="2:7" x14ac:dyDescent="0.2">
      <c r="B1178" s="129"/>
      <c r="C1178" s="129"/>
      <c r="D1178" s="129"/>
      <c r="E1178" s="129"/>
      <c r="F1178" s="129"/>
      <c r="G1178" s="129"/>
    </row>
    <row r="1179" spans="2:7" x14ac:dyDescent="0.2">
      <c r="B1179" s="129"/>
      <c r="C1179" s="129"/>
      <c r="D1179" s="129"/>
      <c r="E1179" s="129"/>
      <c r="F1179" s="129"/>
      <c r="G1179" s="129"/>
    </row>
    <row r="1180" spans="2:7" x14ac:dyDescent="0.2">
      <c r="B1180" s="129"/>
      <c r="C1180" s="129"/>
      <c r="D1180" s="129"/>
      <c r="E1180" s="129"/>
      <c r="F1180" s="129"/>
      <c r="G1180" s="129"/>
    </row>
    <row r="1181" spans="2:7" x14ac:dyDescent="0.2">
      <c r="B1181" s="129"/>
      <c r="C1181" s="129"/>
      <c r="D1181" s="129"/>
      <c r="E1181" s="129"/>
      <c r="F1181" s="129"/>
      <c r="G1181" s="129"/>
    </row>
    <row r="1182" spans="2:7" x14ac:dyDescent="0.2">
      <c r="B1182" s="129"/>
      <c r="C1182" s="129"/>
      <c r="D1182" s="129"/>
      <c r="E1182" s="129"/>
      <c r="F1182" s="129"/>
      <c r="G1182" s="129"/>
    </row>
    <row r="1183" spans="2:7" x14ac:dyDescent="0.2">
      <c r="B1183" s="129"/>
      <c r="C1183" s="129"/>
      <c r="D1183" s="129"/>
      <c r="E1183" s="129"/>
      <c r="F1183" s="129"/>
      <c r="G1183" s="129"/>
    </row>
    <row r="1184" spans="2:7" x14ac:dyDescent="0.2">
      <c r="B1184" s="129"/>
      <c r="C1184" s="129"/>
      <c r="D1184" s="129"/>
      <c r="E1184" s="129"/>
      <c r="F1184" s="129"/>
      <c r="G1184" s="129"/>
    </row>
    <row r="1185" spans="2:7" x14ac:dyDescent="0.2">
      <c r="B1185" s="129"/>
      <c r="C1185" s="129"/>
      <c r="D1185" s="129"/>
      <c r="E1185" s="129"/>
      <c r="F1185" s="129"/>
      <c r="G1185" s="129"/>
    </row>
    <row r="1186" spans="2:7" x14ac:dyDescent="0.2">
      <c r="B1186" s="129"/>
      <c r="C1186" s="129"/>
      <c r="D1186" s="129"/>
      <c r="E1186" s="129"/>
      <c r="F1186" s="129"/>
      <c r="G1186" s="129"/>
    </row>
    <row r="1187" spans="2:7" x14ac:dyDescent="0.2">
      <c r="B1187" s="129"/>
      <c r="C1187" s="129"/>
      <c r="D1187" s="129"/>
      <c r="E1187" s="129"/>
      <c r="F1187" s="129"/>
      <c r="G1187" s="129"/>
    </row>
    <row r="1188" spans="2:7" x14ac:dyDescent="0.2">
      <c r="B1188" s="129"/>
      <c r="C1188" s="129"/>
      <c r="D1188" s="129"/>
      <c r="E1188" s="129"/>
      <c r="F1188" s="129"/>
      <c r="G1188" s="129"/>
    </row>
    <row r="1189" spans="2:7" x14ac:dyDescent="0.2">
      <c r="B1189" s="129"/>
      <c r="C1189" s="129"/>
      <c r="D1189" s="129"/>
      <c r="E1189" s="129"/>
      <c r="F1189" s="129"/>
      <c r="G1189" s="129"/>
    </row>
    <row r="1190" spans="2:7" x14ac:dyDescent="0.2">
      <c r="B1190" s="129"/>
      <c r="C1190" s="129"/>
      <c r="D1190" s="129"/>
      <c r="E1190" s="129"/>
      <c r="F1190" s="129"/>
      <c r="G1190" s="129"/>
    </row>
    <row r="1191" spans="2:7" x14ac:dyDescent="0.2">
      <c r="B1191" s="129"/>
      <c r="C1191" s="129"/>
      <c r="D1191" s="129"/>
      <c r="E1191" s="129"/>
      <c r="F1191" s="129"/>
      <c r="G1191" s="129"/>
    </row>
    <row r="1192" spans="2:7" x14ac:dyDescent="0.2">
      <c r="B1192" s="129"/>
      <c r="C1192" s="129"/>
      <c r="D1192" s="129"/>
      <c r="E1192" s="129"/>
      <c r="F1192" s="129"/>
      <c r="G1192" s="129"/>
    </row>
    <row r="1193" spans="2:7" x14ac:dyDescent="0.2">
      <c r="B1193" s="129"/>
      <c r="C1193" s="129"/>
      <c r="D1193" s="129"/>
      <c r="E1193" s="129"/>
      <c r="F1193" s="129"/>
      <c r="G1193" s="129"/>
    </row>
    <row r="1194" spans="2:7" x14ac:dyDescent="0.2">
      <c r="B1194" s="129"/>
      <c r="C1194" s="129"/>
      <c r="D1194" s="129"/>
      <c r="E1194" s="129"/>
      <c r="F1194" s="129"/>
      <c r="G1194" s="129"/>
    </row>
    <row r="1195" spans="2:7" x14ac:dyDescent="0.2">
      <c r="B1195" s="129"/>
      <c r="C1195" s="129"/>
      <c r="D1195" s="129"/>
      <c r="E1195" s="129"/>
      <c r="F1195" s="129"/>
      <c r="G1195" s="129"/>
    </row>
    <row r="1196" spans="2:7" x14ac:dyDescent="0.2">
      <c r="B1196" s="129"/>
      <c r="C1196" s="129"/>
      <c r="D1196" s="129"/>
      <c r="E1196" s="129"/>
      <c r="F1196" s="129"/>
      <c r="G1196" s="129"/>
    </row>
    <row r="1197" spans="2:7" x14ac:dyDescent="0.2">
      <c r="B1197" s="129"/>
      <c r="C1197" s="129"/>
      <c r="D1197" s="129"/>
      <c r="E1197" s="129"/>
      <c r="F1197" s="129"/>
      <c r="G1197" s="129"/>
    </row>
    <row r="1198" spans="2:7" x14ac:dyDescent="0.2">
      <c r="B1198" s="129"/>
      <c r="C1198" s="129"/>
      <c r="D1198" s="129"/>
      <c r="E1198" s="129"/>
      <c r="F1198" s="129"/>
      <c r="G1198" s="129"/>
    </row>
    <row r="1199" spans="2:7" x14ac:dyDescent="0.2">
      <c r="B1199" s="129"/>
      <c r="C1199" s="129"/>
      <c r="D1199" s="129"/>
      <c r="E1199" s="129"/>
      <c r="F1199" s="129"/>
      <c r="G1199" s="129"/>
    </row>
    <row r="1200" spans="2:7" x14ac:dyDescent="0.2">
      <c r="B1200" s="129"/>
      <c r="C1200" s="129"/>
      <c r="D1200" s="129"/>
      <c r="E1200" s="129"/>
      <c r="F1200" s="129"/>
      <c r="G1200" s="129"/>
    </row>
    <row r="1201" spans="2:7" x14ac:dyDescent="0.2">
      <c r="B1201" s="129"/>
      <c r="C1201" s="129"/>
      <c r="D1201" s="129"/>
      <c r="E1201" s="129"/>
      <c r="F1201" s="129"/>
      <c r="G1201" s="129"/>
    </row>
    <row r="1202" spans="2:7" x14ac:dyDescent="0.2">
      <c r="B1202" s="129"/>
      <c r="C1202" s="129"/>
      <c r="D1202" s="129"/>
      <c r="E1202" s="129"/>
      <c r="F1202" s="129"/>
      <c r="G1202" s="129"/>
    </row>
    <row r="1203" spans="2:7" x14ac:dyDescent="0.2">
      <c r="B1203" s="129"/>
      <c r="C1203" s="129"/>
      <c r="D1203" s="129"/>
      <c r="E1203" s="129"/>
      <c r="F1203" s="129"/>
      <c r="G1203" s="129"/>
    </row>
    <row r="1204" spans="2:7" x14ac:dyDescent="0.2">
      <c r="B1204" s="129"/>
      <c r="C1204" s="129"/>
      <c r="D1204" s="129"/>
      <c r="E1204" s="129"/>
      <c r="F1204" s="129"/>
      <c r="G1204" s="129"/>
    </row>
    <row r="1205" spans="2:7" x14ac:dyDescent="0.2">
      <c r="B1205" s="129"/>
      <c r="C1205" s="129"/>
      <c r="D1205" s="129"/>
      <c r="E1205" s="129"/>
      <c r="F1205" s="129"/>
      <c r="G1205" s="129"/>
    </row>
    <row r="1206" spans="2:7" x14ac:dyDescent="0.2">
      <c r="B1206" s="129"/>
      <c r="C1206" s="129"/>
      <c r="D1206" s="129"/>
      <c r="E1206" s="129"/>
      <c r="F1206" s="129"/>
      <c r="G1206" s="129"/>
    </row>
    <row r="1207" spans="2:7" x14ac:dyDescent="0.2">
      <c r="B1207" s="129"/>
      <c r="C1207" s="129"/>
      <c r="D1207" s="129"/>
      <c r="E1207" s="129"/>
      <c r="F1207" s="129"/>
      <c r="G1207" s="129"/>
    </row>
    <row r="1208" spans="2:7" x14ac:dyDescent="0.2">
      <c r="B1208" s="129"/>
      <c r="C1208" s="129"/>
      <c r="D1208" s="129"/>
      <c r="E1208" s="129"/>
      <c r="F1208" s="129"/>
      <c r="G1208" s="129"/>
    </row>
    <row r="1209" spans="2:7" x14ac:dyDescent="0.2">
      <c r="B1209" s="129"/>
      <c r="C1209" s="129"/>
      <c r="D1209" s="129"/>
      <c r="E1209" s="129"/>
      <c r="F1209" s="129"/>
      <c r="G1209" s="129"/>
    </row>
    <row r="1210" spans="2:7" x14ac:dyDescent="0.2">
      <c r="B1210" s="129"/>
      <c r="C1210" s="129"/>
      <c r="D1210" s="129"/>
      <c r="E1210" s="129"/>
      <c r="F1210" s="129"/>
      <c r="G1210" s="129"/>
    </row>
    <row r="1211" spans="2:7" x14ac:dyDescent="0.2">
      <c r="B1211" s="129"/>
      <c r="C1211" s="129"/>
      <c r="D1211" s="129"/>
      <c r="E1211" s="129"/>
      <c r="F1211" s="129"/>
      <c r="G1211" s="129"/>
    </row>
    <row r="1212" spans="2:7" x14ac:dyDescent="0.2">
      <c r="B1212" s="129"/>
      <c r="C1212" s="129"/>
      <c r="D1212" s="129"/>
      <c r="E1212" s="129"/>
      <c r="F1212" s="129"/>
      <c r="G1212" s="129"/>
    </row>
    <row r="1213" spans="2:7" x14ac:dyDescent="0.2">
      <c r="B1213" s="129"/>
      <c r="C1213" s="129"/>
      <c r="D1213" s="129"/>
      <c r="E1213" s="129"/>
      <c r="F1213" s="129"/>
      <c r="G1213" s="129"/>
    </row>
    <row r="1214" spans="2:7" x14ac:dyDescent="0.2">
      <c r="B1214" s="129"/>
      <c r="C1214" s="129"/>
      <c r="D1214" s="129"/>
      <c r="E1214" s="129"/>
      <c r="F1214" s="129"/>
      <c r="G1214" s="129"/>
    </row>
    <row r="1215" spans="2:7" x14ac:dyDescent="0.2">
      <c r="B1215" s="129"/>
      <c r="C1215" s="129"/>
      <c r="D1215" s="129"/>
      <c r="E1215" s="129"/>
      <c r="F1215" s="129"/>
      <c r="G1215" s="129"/>
    </row>
    <row r="1216" spans="2:7" x14ac:dyDescent="0.2">
      <c r="B1216" s="129"/>
      <c r="C1216" s="129"/>
      <c r="D1216" s="129"/>
      <c r="E1216" s="129"/>
      <c r="F1216" s="129"/>
      <c r="G1216" s="129"/>
    </row>
    <row r="1217" spans="2:7" x14ac:dyDescent="0.2">
      <c r="B1217" s="129"/>
      <c r="C1217" s="129"/>
      <c r="D1217" s="129"/>
      <c r="E1217" s="129"/>
      <c r="F1217" s="129"/>
      <c r="G1217" s="129"/>
    </row>
    <row r="1218" spans="2:7" x14ac:dyDescent="0.2">
      <c r="B1218" s="129"/>
      <c r="C1218" s="129"/>
      <c r="D1218" s="129"/>
      <c r="E1218" s="129"/>
      <c r="F1218" s="129"/>
      <c r="G1218" s="129"/>
    </row>
    <row r="1219" spans="2:7" x14ac:dyDescent="0.2">
      <c r="B1219" s="129"/>
      <c r="C1219" s="129"/>
      <c r="D1219" s="129"/>
      <c r="E1219" s="129"/>
      <c r="F1219" s="129"/>
      <c r="G1219" s="129"/>
    </row>
    <row r="1220" spans="2:7" x14ac:dyDescent="0.2">
      <c r="B1220" s="129"/>
      <c r="C1220" s="129"/>
      <c r="D1220" s="129"/>
      <c r="E1220" s="129"/>
      <c r="F1220" s="129"/>
      <c r="G1220" s="129"/>
    </row>
    <row r="1221" spans="2:7" x14ac:dyDescent="0.2">
      <c r="B1221" s="129"/>
      <c r="C1221" s="129"/>
      <c r="D1221" s="129"/>
      <c r="E1221" s="129"/>
      <c r="F1221" s="129"/>
      <c r="G1221" s="129"/>
    </row>
    <row r="1222" spans="2:7" x14ac:dyDescent="0.2">
      <c r="B1222" s="129"/>
      <c r="C1222" s="129"/>
      <c r="D1222" s="129"/>
      <c r="E1222" s="129"/>
      <c r="F1222" s="129"/>
      <c r="G1222" s="129"/>
    </row>
    <row r="1223" spans="2:7" x14ac:dyDescent="0.2">
      <c r="B1223" s="129"/>
      <c r="C1223" s="129"/>
      <c r="D1223" s="129"/>
      <c r="E1223" s="129"/>
      <c r="F1223" s="129"/>
      <c r="G1223" s="129"/>
    </row>
    <row r="1224" spans="2:7" x14ac:dyDescent="0.2">
      <c r="B1224" s="129"/>
      <c r="C1224" s="129"/>
      <c r="D1224" s="129"/>
      <c r="E1224" s="129"/>
      <c r="F1224" s="129"/>
      <c r="G1224" s="129"/>
    </row>
    <row r="1225" spans="2:7" x14ac:dyDescent="0.2">
      <c r="B1225" s="129"/>
      <c r="C1225" s="129"/>
      <c r="D1225" s="129"/>
      <c r="E1225" s="129"/>
      <c r="F1225" s="129"/>
      <c r="G1225" s="129"/>
    </row>
    <row r="1226" spans="2:7" x14ac:dyDescent="0.2">
      <c r="B1226" s="129"/>
      <c r="C1226" s="129"/>
      <c r="D1226" s="129"/>
      <c r="E1226" s="129"/>
      <c r="F1226" s="129"/>
      <c r="G1226" s="129"/>
    </row>
    <row r="1227" spans="2:7" x14ac:dyDescent="0.2">
      <c r="B1227" s="129"/>
      <c r="C1227" s="129"/>
      <c r="D1227" s="129"/>
      <c r="E1227" s="129"/>
      <c r="F1227" s="129"/>
      <c r="G1227" s="129"/>
    </row>
    <row r="1228" spans="2:7" x14ac:dyDescent="0.2">
      <c r="B1228" s="129"/>
      <c r="C1228" s="129"/>
      <c r="D1228" s="129"/>
      <c r="E1228" s="129"/>
      <c r="F1228" s="129"/>
      <c r="G1228" s="129"/>
    </row>
    <row r="1229" spans="2:7" x14ac:dyDescent="0.2">
      <c r="B1229" s="129"/>
      <c r="C1229" s="129"/>
      <c r="D1229" s="129"/>
      <c r="E1229" s="129"/>
      <c r="F1229" s="129"/>
      <c r="G1229" s="129"/>
    </row>
    <row r="1230" spans="2:7" x14ac:dyDescent="0.2">
      <c r="B1230" s="129"/>
      <c r="C1230" s="129"/>
      <c r="D1230" s="129"/>
      <c r="E1230" s="129"/>
      <c r="F1230" s="129"/>
      <c r="G1230" s="129"/>
    </row>
    <row r="1231" spans="2:7" x14ac:dyDescent="0.2">
      <c r="B1231" s="129"/>
      <c r="C1231" s="129"/>
      <c r="D1231" s="129"/>
      <c r="E1231" s="129"/>
      <c r="F1231" s="129"/>
      <c r="G1231" s="129"/>
    </row>
    <row r="1232" spans="2:7" x14ac:dyDescent="0.2">
      <c r="B1232" s="129"/>
      <c r="C1232" s="129"/>
      <c r="D1232" s="129"/>
      <c r="E1232" s="129"/>
      <c r="F1232" s="129"/>
      <c r="G1232" s="129"/>
    </row>
    <row r="1233" spans="2:7" x14ac:dyDescent="0.2">
      <c r="B1233" s="129"/>
      <c r="C1233" s="129"/>
      <c r="D1233" s="129"/>
      <c r="E1233" s="129"/>
      <c r="F1233" s="129"/>
      <c r="G1233" s="129"/>
    </row>
    <row r="1234" spans="2:7" x14ac:dyDescent="0.2">
      <c r="B1234" s="129"/>
      <c r="C1234" s="129"/>
      <c r="D1234" s="129"/>
      <c r="E1234" s="129"/>
      <c r="F1234" s="129"/>
      <c r="G1234" s="129"/>
    </row>
    <row r="1235" spans="2:7" x14ac:dyDescent="0.2">
      <c r="B1235" s="129"/>
      <c r="C1235" s="129"/>
      <c r="D1235" s="129"/>
      <c r="E1235" s="129"/>
      <c r="F1235" s="129"/>
      <c r="G1235" s="129"/>
    </row>
    <row r="1236" spans="2:7" x14ac:dyDescent="0.2">
      <c r="B1236" s="129"/>
      <c r="C1236" s="129"/>
      <c r="D1236" s="129"/>
      <c r="E1236" s="129"/>
      <c r="F1236" s="129"/>
      <c r="G1236" s="129"/>
    </row>
    <row r="1237" spans="2:7" x14ac:dyDescent="0.2">
      <c r="B1237" s="129"/>
      <c r="C1237" s="129"/>
      <c r="D1237" s="129"/>
      <c r="E1237" s="129"/>
      <c r="F1237" s="129"/>
      <c r="G1237" s="129"/>
    </row>
    <row r="1238" spans="2:7" x14ac:dyDescent="0.2">
      <c r="B1238" s="129"/>
      <c r="C1238" s="129"/>
      <c r="D1238" s="129"/>
      <c r="E1238" s="129"/>
      <c r="F1238" s="129"/>
      <c r="G1238" s="129"/>
    </row>
    <row r="1239" spans="2:7" x14ac:dyDescent="0.2">
      <c r="B1239" s="129"/>
      <c r="C1239" s="129"/>
      <c r="D1239" s="129"/>
      <c r="E1239" s="129"/>
      <c r="F1239" s="129"/>
      <c r="G1239" s="129"/>
    </row>
    <row r="1240" spans="2:7" x14ac:dyDescent="0.2">
      <c r="B1240" s="129"/>
      <c r="C1240" s="129"/>
      <c r="D1240" s="129"/>
      <c r="E1240" s="129"/>
      <c r="F1240" s="129"/>
      <c r="G1240" s="129"/>
    </row>
    <row r="1241" spans="2:7" x14ac:dyDescent="0.2">
      <c r="B1241" s="129"/>
      <c r="C1241" s="129"/>
      <c r="D1241" s="129"/>
      <c r="E1241" s="129"/>
      <c r="F1241" s="129"/>
      <c r="G1241" s="129"/>
    </row>
    <row r="1242" spans="2:7" x14ac:dyDescent="0.2">
      <c r="B1242" s="129"/>
      <c r="C1242" s="129"/>
      <c r="D1242" s="129"/>
      <c r="E1242" s="129"/>
      <c r="F1242" s="129"/>
      <c r="G1242" s="129"/>
    </row>
    <row r="1243" spans="2:7" x14ac:dyDescent="0.2">
      <c r="B1243" s="129"/>
      <c r="C1243" s="129"/>
      <c r="D1243" s="129"/>
      <c r="E1243" s="129"/>
      <c r="F1243" s="129"/>
      <c r="G1243" s="129"/>
    </row>
    <row r="1244" spans="2:7" x14ac:dyDescent="0.2">
      <c r="B1244" s="129"/>
      <c r="C1244" s="129"/>
      <c r="D1244" s="129"/>
      <c r="E1244" s="129"/>
      <c r="F1244" s="129"/>
      <c r="G1244" s="129"/>
    </row>
    <row r="1245" spans="2:7" x14ac:dyDescent="0.2">
      <c r="B1245" s="129"/>
      <c r="C1245" s="129"/>
      <c r="D1245" s="129"/>
      <c r="E1245" s="129"/>
      <c r="F1245" s="129"/>
      <c r="G1245" s="129"/>
    </row>
    <row r="1246" spans="2:7" x14ac:dyDescent="0.2">
      <c r="B1246" s="129"/>
      <c r="C1246" s="129"/>
      <c r="D1246" s="129"/>
      <c r="E1246" s="129"/>
      <c r="F1246" s="129"/>
      <c r="G1246" s="129"/>
    </row>
    <row r="1247" spans="2:7" x14ac:dyDescent="0.2">
      <c r="B1247" s="129"/>
      <c r="C1247" s="129"/>
      <c r="D1247" s="129"/>
      <c r="E1247" s="129"/>
      <c r="F1247" s="129"/>
      <c r="G1247" s="129"/>
    </row>
    <row r="1248" spans="2:7" x14ac:dyDescent="0.2">
      <c r="B1248" s="129"/>
      <c r="C1248" s="129"/>
      <c r="D1248" s="129"/>
      <c r="E1248" s="129"/>
      <c r="F1248" s="129"/>
      <c r="G1248" s="129"/>
    </row>
    <row r="1249" spans="2:7" x14ac:dyDescent="0.2">
      <c r="B1249" s="129"/>
      <c r="C1249" s="129"/>
      <c r="D1249" s="129"/>
      <c r="E1249" s="129"/>
      <c r="F1249" s="129"/>
      <c r="G1249" s="129"/>
    </row>
    <row r="1250" spans="2:7" x14ac:dyDescent="0.2">
      <c r="B1250" s="129"/>
      <c r="C1250" s="129"/>
      <c r="D1250" s="129"/>
      <c r="E1250" s="129"/>
      <c r="F1250" s="129"/>
      <c r="G1250" s="129"/>
    </row>
    <row r="1251" spans="2:7" x14ac:dyDescent="0.2">
      <c r="B1251" s="129"/>
      <c r="C1251" s="129"/>
      <c r="D1251" s="129"/>
      <c r="E1251" s="129"/>
      <c r="F1251" s="129"/>
      <c r="G1251" s="129"/>
    </row>
    <row r="1252" spans="2:7" x14ac:dyDescent="0.2">
      <c r="B1252" s="129"/>
      <c r="C1252" s="129"/>
      <c r="D1252" s="129"/>
      <c r="E1252" s="129"/>
      <c r="F1252" s="129"/>
      <c r="G1252" s="129"/>
    </row>
    <row r="1253" spans="2:7" x14ac:dyDescent="0.2">
      <c r="B1253" s="129"/>
      <c r="C1253" s="129"/>
      <c r="D1253" s="129"/>
      <c r="E1253" s="129"/>
      <c r="F1253" s="129"/>
      <c r="G1253" s="129"/>
    </row>
    <row r="1254" spans="2:7" x14ac:dyDescent="0.2">
      <c r="B1254" s="129"/>
      <c r="C1254" s="129"/>
      <c r="D1254" s="129"/>
      <c r="E1254" s="129"/>
      <c r="F1254" s="129"/>
      <c r="G1254" s="129"/>
    </row>
    <row r="1255" spans="2:7" x14ac:dyDescent="0.2">
      <c r="B1255" s="129"/>
      <c r="C1255" s="129"/>
      <c r="D1255" s="129"/>
      <c r="E1255" s="129"/>
      <c r="F1255" s="129"/>
      <c r="G1255" s="129"/>
    </row>
    <row r="1256" spans="2:7" x14ac:dyDescent="0.2">
      <c r="B1256" s="129"/>
      <c r="C1256" s="129"/>
      <c r="D1256" s="129"/>
      <c r="E1256" s="129"/>
      <c r="F1256" s="129"/>
      <c r="G1256" s="129"/>
    </row>
    <row r="1257" spans="2:7" x14ac:dyDescent="0.2">
      <c r="B1257" s="129"/>
      <c r="C1257" s="129"/>
      <c r="D1257" s="129"/>
      <c r="E1257" s="129"/>
      <c r="F1257" s="129"/>
      <c r="G1257" s="129"/>
    </row>
    <row r="1258" spans="2:7" x14ac:dyDescent="0.2">
      <c r="B1258" s="129"/>
      <c r="C1258" s="129"/>
      <c r="D1258" s="129"/>
      <c r="E1258" s="129"/>
      <c r="F1258" s="129"/>
      <c r="G1258" s="129"/>
    </row>
    <row r="1259" spans="2:7" x14ac:dyDescent="0.2">
      <c r="B1259" s="129"/>
      <c r="C1259" s="129"/>
      <c r="D1259" s="129"/>
      <c r="E1259" s="129"/>
      <c r="F1259" s="129"/>
      <c r="G1259" s="129"/>
    </row>
    <row r="1260" spans="2:7" x14ac:dyDescent="0.2">
      <c r="B1260" s="129"/>
      <c r="C1260" s="129"/>
      <c r="D1260" s="129"/>
      <c r="E1260" s="129"/>
      <c r="F1260" s="129"/>
      <c r="G1260" s="129"/>
    </row>
    <row r="1261" spans="2:7" x14ac:dyDescent="0.2">
      <c r="B1261" s="129"/>
      <c r="C1261" s="129"/>
      <c r="D1261" s="129"/>
      <c r="E1261" s="129"/>
      <c r="F1261" s="129"/>
      <c r="G1261" s="129"/>
    </row>
    <row r="1262" spans="2:7" x14ac:dyDescent="0.2">
      <c r="B1262" s="129"/>
      <c r="C1262" s="129"/>
      <c r="D1262" s="129"/>
      <c r="E1262" s="129"/>
      <c r="F1262" s="129"/>
      <c r="G1262" s="129"/>
    </row>
    <row r="1263" spans="2:7" x14ac:dyDescent="0.2">
      <c r="B1263" s="129"/>
      <c r="C1263" s="129"/>
      <c r="D1263" s="129"/>
      <c r="E1263" s="129"/>
      <c r="F1263" s="129"/>
      <c r="G1263" s="129"/>
    </row>
    <row r="1264" spans="2:7" x14ac:dyDescent="0.2">
      <c r="B1264" s="129"/>
      <c r="C1264" s="129"/>
      <c r="D1264" s="129"/>
      <c r="E1264" s="129"/>
      <c r="F1264" s="129"/>
      <c r="G1264" s="129"/>
    </row>
    <row r="1265" spans="2:7" x14ac:dyDescent="0.2">
      <c r="B1265" s="129"/>
      <c r="C1265" s="129"/>
      <c r="D1265" s="129"/>
      <c r="E1265" s="129"/>
      <c r="F1265" s="129"/>
      <c r="G1265" s="129"/>
    </row>
    <row r="1266" spans="2:7" x14ac:dyDescent="0.2">
      <c r="B1266" s="129"/>
      <c r="C1266" s="129"/>
      <c r="D1266" s="129"/>
      <c r="E1266" s="129"/>
      <c r="F1266" s="129"/>
      <c r="G1266" s="129"/>
    </row>
    <row r="1267" spans="2:7" x14ac:dyDescent="0.2">
      <c r="B1267" s="129"/>
      <c r="C1267" s="129"/>
      <c r="D1267" s="129"/>
      <c r="E1267" s="129"/>
      <c r="F1267" s="129"/>
      <c r="G1267" s="129"/>
    </row>
    <row r="1268" spans="2:7" x14ac:dyDescent="0.2">
      <c r="B1268" s="129"/>
      <c r="C1268" s="129"/>
      <c r="D1268" s="129"/>
      <c r="E1268" s="129"/>
      <c r="F1268" s="129"/>
      <c r="G1268" s="129"/>
    </row>
    <row r="1269" spans="2:7" x14ac:dyDescent="0.2">
      <c r="B1269" s="129"/>
      <c r="C1269" s="129"/>
      <c r="D1269" s="129"/>
      <c r="E1269" s="129"/>
      <c r="F1269" s="129"/>
      <c r="G1269" s="129"/>
    </row>
    <row r="1270" spans="2:7" x14ac:dyDescent="0.2">
      <c r="B1270" s="129"/>
      <c r="C1270" s="129"/>
      <c r="D1270" s="129"/>
      <c r="E1270" s="129"/>
      <c r="F1270" s="129"/>
      <c r="G1270" s="129"/>
    </row>
    <row r="1271" spans="2:7" x14ac:dyDescent="0.2">
      <c r="B1271" s="129"/>
      <c r="C1271" s="129"/>
      <c r="D1271" s="129"/>
      <c r="E1271" s="129"/>
      <c r="F1271" s="129"/>
      <c r="G1271" s="129"/>
    </row>
    <row r="1272" spans="2:7" x14ac:dyDescent="0.2">
      <c r="B1272" s="129"/>
      <c r="C1272" s="129"/>
      <c r="D1272" s="129"/>
      <c r="E1272" s="129"/>
      <c r="F1272" s="129"/>
      <c r="G1272" s="129"/>
    </row>
    <row r="1273" spans="2:7" x14ac:dyDescent="0.2">
      <c r="B1273" s="129"/>
      <c r="C1273" s="129"/>
      <c r="D1273" s="129"/>
      <c r="E1273" s="129"/>
      <c r="F1273" s="129"/>
      <c r="G1273" s="129"/>
    </row>
    <row r="1274" spans="2:7" x14ac:dyDescent="0.2">
      <c r="B1274" s="129"/>
      <c r="C1274" s="129"/>
      <c r="D1274" s="129"/>
      <c r="E1274" s="129"/>
      <c r="F1274" s="129"/>
      <c r="G1274" s="129"/>
    </row>
    <row r="1275" spans="2:7" x14ac:dyDescent="0.2">
      <c r="B1275" s="129"/>
      <c r="C1275" s="129"/>
      <c r="D1275" s="129"/>
      <c r="E1275" s="129"/>
      <c r="F1275" s="129"/>
      <c r="G1275" s="129"/>
    </row>
    <row r="1276" spans="2:7" x14ac:dyDescent="0.2">
      <c r="B1276" s="129"/>
      <c r="C1276" s="129"/>
      <c r="D1276" s="129"/>
      <c r="E1276" s="129"/>
      <c r="F1276" s="129"/>
      <c r="G1276" s="129"/>
    </row>
    <row r="1277" spans="2:7" x14ac:dyDescent="0.2">
      <c r="B1277" s="129"/>
      <c r="C1277" s="129"/>
      <c r="D1277" s="129"/>
      <c r="E1277" s="129"/>
      <c r="F1277" s="129"/>
      <c r="G1277" s="129"/>
    </row>
    <row r="1278" spans="2:7" x14ac:dyDescent="0.2">
      <c r="B1278" s="129"/>
      <c r="C1278" s="129"/>
      <c r="D1278" s="129"/>
      <c r="E1278" s="129"/>
      <c r="F1278" s="129"/>
      <c r="G1278" s="129"/>
    </row>
    <row r="1279" spans="2:7" x14ac:dyDescent="0.2">
      <c r="B1279" s="129"/>
      <c r="C1279" s="129"/>
      <c r="D1279" s="129"/>
      <c r="E1279" s="129"/>
      <c r="F1279" s="129"/>
      <c r="G1279" s="129"/>
    </row>
    <row r="1280" spans="2:7" x14ac:dyDescent="0.2">
      <c r="B1280" s="129"/>
      <c r="C1280" s="129"/>
      <c r="D1280" s="129"/>
      <c r="E1280" s="129"/>
      <c r="F1280" s="129"/>
      <c r="G1280" s="129"/>
    </row>
    <row r="1281" spans="2:7" x14ac:dyDescent="0.2">
      <c r="B1281" s="129"/>
      <c r="C1281" s="129"/>
      <c r="D1281" s="129"/>
      <c r="E1281" s="129"/>
      <c r="F1281" s="129"/>
      <c r="G1281" s="129"/>
    </row>
    <row r="1282" spans="2:7" x14ac:dyDescent="0.2">
      <c r="B1282" s="129"/>
      <c r="C1282" s="129"/>
      <c r="D1282" s="129"/>
      <c r="E1282" s="129"/>
      <c r="F1282" s="129"/>
      <c r="G1282" s="129"/>
    </row>
    <row r="1283" spans="2:7" x14ac:dyDescent="0.2">
      <c r="B1283" s="129"/>
      <c r="C1283" s="129"/>
      <c r="D1283" s="129"/>
      <c r="E1283" s="129"/>
      <c r="F1283" s="129"/>
      <c r="G1283" s="129"/>
    </row>
    <row r="1284" spans="2:7" x14ac:dyDescent="0.2">
      <c r="B1284" s="129"/>
      <c r="C1284" s="129"/>
      <c r="D1284" s="129"/>
      <c r="E1284" s="129"/>
      <c r="F1284" s="129"/>
      <c r="G1284" s="129"/>
    </row>
    <row r="1285" spans="2:7" x14ac:dyDescent="0.2">
      <c r="B1285" s="129"/>
      <c r="C1285" s="129"/>
      <c r="D1285" s="129"/>
      <c r="E1285" s="129"/>
      <c r="F1285" s="129"/>
      <c r="G1285" s="129"/>
    </row>
    <row r="1286" spans="2:7" x14ac:dyDescent="0.2">
      <c r="B1286" s="129"/>
      <c r="C1286" s="129"/>
      <c r="D1286" s="129"/>
      <c r="E1286" s="129"/>
      <c r="F1286" s="129"/>
      <c r="G1286" s="129"/>
    </row>
    <row r="1287" spans="2:7" x14ac:dyDescent="0.2">
      <c r="B1287" s="129"/>
      <c r="C1287" s="129"/>
      <c r="D1287" s="129"/>
      <c r="E1287" s="129"/>
      <c r="F1287" s="129"/>
      <c r="G1287" s="129"/>
    </row>
    <row r="1288" spans="2:7" x14ac:dyDescent="0.2">
      <c r="B1288" s="129"/>
      <c r="C1288" s="129"/>
      <c r="D1288" s="129"/>
      <c r="E1288" s="129"/>
      <c r="F1288" s="129"/>
      <c r="G1288" s="129"/>
    </row>
    <row r="1289" spans="2:7" x14ac:dyDescent="0.2">
      <c r="B1289" s="129"/>
      <c r="C1289" s="129"/>
      <c r="D1289" s="129"/>
      <c r="E1289" s="129"/>
      <c r="F1289" s="129"/>
      <c r="G1289" s="129"/>
    </row>
    <row r="1290" spans="2:7" x14ac:dyDescent="0.2">
      <c r="B1290" s="129"/>
      <c r="C1290" s="129"/>
      <c r="D1290" s="129"/>
      <c r="E1290" s="129"/>
      <c r="F1290" s="129"/>
      <c r="G1290" s="129"/>
    </row>
    <row r="1291" spans="2:7" x14ac:dyDescent="0.2">
      <c r="B1291" s="129"/>
      <c r="C1291" s="129"/>
      <c r="D1291" s="129"/>
      <c r="E1291" s="129"/>
      <c r="F1291" s="129"/>
      <c r="G1291" s="129"/>
    </row>
    <row r="1292" spans="2:7" x14ac:dyDescent="0.2">
      <c r="B1292" s="129"/>
      <c r="C1292" s="129"/>
      <c r="D1292" s="129"/>
      <c r="E1292" s="129"/>
      <c r="F1292" s="129"/>
      <c r="G1292" s="129"/>
    </row>
    <row r="1293" spans="2:7" x14ac:dyDescent="0.2">
      <c r="B1293" s="129"/>
      <c r="C1293" s="129"/>
      <c r="D1293" s="129"/>
      <c r="E1293" s="129"/>
      <c r="F1293" s="129"/>
      <c r="G1293" s="129"/>
    </row>
    <row r="1294" spans="2:7" x14ac:dyDescent="0.2">
      <c r="B1294" s="129"/>
      <c r="C1294" s="129"/>
      <c r="D1294" s="129"/>
      <c r="E1294" s="129"/>
      <c r="F1294" s="129"/>
      <c r="G1294" s="129"/>
    </row>
    <row r="1295" spans="2:7" x14ac:dyDescent="0.2">
      <c r="B1295" s="129"/>
      <c r="C1295" s="129"/>
      <c r="D1295" s="129"/>
      <c r="E1295" s="129"/>
      <c r="F1295" s="129"/>
      <c r="G1295" s="129"/>
    </row>
    <row r="1296" spans="2:7" x14ac:dyDescent="0.2">
      <c r="B1296" s="129"/>
      <c r="C1296" s="129"/>
      <c r="D1296" s="129"/>
      <c r="E1296" s="129"/>
      <c r="F1296" s="129"/>
      <c r="G1296" s="129"/>
    </row>
    <row r="1297" spans="2:7" x14ac:dyDescent="0.2">
      <c r="B1297" s="129"/>
      <c r="C1297" s="129"/>
      <c r="D1297" s="129"/>
      <c r="E1297" s="129"/>
      <c r="F1297" s="129"/>
      <c r="G1297" s="129"/>
    </row>
    <row r="1298" spans="2:7" x14ac:dyDescent="0.2">
      <c r="B1298" s="129"/>
      <c r="C1298" s="129"/>
      <c r="D1298" s="129"/>
      <c r="E1298" s="129"/>
      <c r="F1298" s="129"/>
      <c r="G1298" s="129"/>
    </row>
    <row r="1299" spans="2:7" x14ac:dyDescent="0.2">
      <c r="B1299" s="129"/>
      <c r="C1299" s="129"/>
      <c r="D1299" s="129"/>
      <c r="E1299" s="129"/>
      <c r="F1299" s="129"/>
      <c r="G1299" s="129"/>
    </row>
    <row r="1300" spans="2:7" x14ac:dyDescent="0.2">
      <c r="B1300" s="129"/>
      <c r="C1300" s="129"/>
      <c r="D1300" s="129"/>
      <c r="E1300" s="129"/>
      <c r="F1300" s="129"/>
      <c r="G1300" s="129"/>
    </row>
    <row r="1301" spans="2:7" x14ac:dyDescent="0.2">
      <c r="B1301" s="129"/>
      <c r="C1301" s="129"/>
      <c r="D1301" s="129"/>
      <c r="E1301" s="129"/>
      <c r="F1301" s="129"/>
      <c r="G1301" s="129"/>
    </row>
    <row r="1302" spans="2:7" x14ac:dyDescent="0.2">
      <c r="B1302" s="129"/>
      <c r="C1302" s="129"/>
      <c r="D1302" s="129"/>
      <c r="E1302" s="129"/>
      <c r="F1302" s="129"/>
      <c r="G1302" s="129"/>
    </row>
    <row r="1303" spans="2:7" x14ac:dyDescent="0.2">
      <c r="B1303" s="129"/>
      <c r="C1303" s="129"/>
      <c r="D1303" s="129"/>
      <c r="E1303" s="129"/>
      <c r="F1303" s="129"/>
      <c r="G1303" s="129"/>
    </row>
    <row r="1304" spans="2:7" x14ac:dyDescent="0.2">
      <c r="B1304" s="129"/>
      <c r="C1304" s="129"/>
      <c r="D1304" s="129"/>
      <c r="E1304" s="129"/>
      <c r="F1304" s="129"/>
      <c r="G1304" s="129"/>
    </row>
    <row r="1305" spans="2:7" x14ac:dyDescent="0.2">
      <c r="B1305" s="129"/>
      <c r="C1305" s="129"/>
      <c r="D1305" s="129"/>
      <c r="E1305" s="129"/>
      <c r="F1305" s="129"/>
      <c r="G1305" s="129"/>
    </row>
    <row r="1306" spans="2:7" x14ac:dyDescent="0.2">
      <c r="B1306" s="129"/>
      <c r="C1306" s="129"/>
      <c r="D1306" s="129"/>
      <c r="E1306" s="129"/>
      <c r="F1306" s="129"/>
      <c r="G1306" s="129"/>
    </row>
    <row r="1307" spans="2:7" x14ac:dyDescent="0.2">
      <c r="B1307" s="129"/>
      <c r="C1307" s="129"/>
      <c r="D1307" s="129"/>
      <c r="E1307" s="129"/>
      <c r="F1307" s="129"/>
      <c r="G1307" s="129"/>
    </row>
    <row r="1308" spans="2:7" x14ac:dyDescent="0.2">
      <c r="B1308" s="129"/>
      <c r="C1308" s="129"/>
      <c r="D1308" s="129"/>
      <c r="E1308" s="129"/>
      <c r="F1308" s="129"/>
      <c r="G1308" s="129"/>
    </row>
    <row r="1309" spans="2:7" x14ac:dyDescent="0.2">
      <c r="B1309" s="129"/>
      <c r="C1309" s="129"/>
      <c r="D1309" s="129"/>
      <c r="E1309" s="129"/>
      <c r="F1309" s="129"/>
      <c r="G1309" s="129"/>
    </row>
    <row r="1310" spans="2:7" x14ac:dyDescent="0.2">
      <c r="B1310" s="129"/>
      <c r="C1310" s="129"/>
      <c r="D1310" s="129"/>
      <c r="E1310" s="129"/>
      <c r="F1310" s="129"/>
      <c r="G1310" s="129"/>
    </row>
    <row r="1311" spans="2:7" x14ac:dyDescent="0.2">
      <c r="B1311" s="129"/>
      <c r="C1311" s="129"/>
      <c r="D1311" s="129"/>
      <c r="E1311" s="129"/>
      <c r="F1311" s="129"/>
      <c r="G1311" s="129"/>
    </row>
    <row r="1312" spans="2:7" x14ac:dyDescent="0.2">
      <c r="B1312" s="129"/>
      <c r="C1312" s="129"/>
      <c r="D1312" s="129"/>
      <c r="E1312" s="129"/>
      <c r="F1312" s="129"/>
      <c r="G1312" s="129"/>
    </row>
    <row r="1313" spans="2:7" x14ac:dyDescent="0.2">
      <c r="B1313" s="129"/>
      <c r="C1313" s="129"/>
      <c r="D1313" s="129"/>
      <c r="E1313" s="129"/>
      <c r="F1313" s="129"/>
      <c r="G1313" s="129"/>
    </row>
    <row r="1314" spans="2:7" x14ac:dyDescent="0.2">
      <c r="B1314" s="129"/>
      <c r="C1314" s="129"/>
      <c r="D1314" s="129"/>
      <c r="E1314" s="129"/>
      <c r="F1314" s="129"/>
      <c r="G1314" s="129"/>
    </row>
    <row r="1315" spans="2:7" x14ac:dyDescent="0.2">
      <c r="B1315" s="129"/>
      <c r="C1315" s="129"/>
      <c r="D1315" s="129"/>
      <c r="E1315" s="129"/>
      <c r="F1315" s="129"/>
      <c r="G1315" s="129"/>
    </row>
    <row r="1316" spans="2:7" x14ac:dyDescent="0.2">
      <c r="B1316" s="129"/>
      <c r="C1316" s="129"/>
      <c r="D1316" s="129"/>
      <c r="E1316" s="129"/>
      <c r="F1316" s="129"/>
      <c r="G1316" s="129"/>
    </row>
    <row r="1317" spans="2:7" x14ac:dyDescent="0.2">
      <c r="B1317" s="129"/>
      <c r="C1317" s="129"/>
      <c r="D1317" s="129"/>
      <c r="E1317" s="129"/>
      <c r="F1317" s="129"/>
      <c r="G1317" s="129"/>
    </row>
    <row r="1318" spans="2:7" x14ac:dyDescent="0.2">
      <c r="B1318" s="129"/>
      <c r="C1318" s="129"/>
      <c r="D1318" s="129"/>
      <c r="E1318" s="129"/>
      <c r="F1318" s="129"/>
      <c r="G1318" s="129"/>
    </row>
    <row r="1319" spans="2:7" x14ac:dyDescent="0.2">
      <c r="B1319" s="129"/>
      <c r="C1319" s="129"/>
      <c r="D1319" s="129"/>
      <c r="E1319" s="129"/>
      <c r="F1319" s="129"/>
      <c r="G1319" s="129"/>
    </row>
    <row r="1320" spans="2:7" x14ac:dyDescent="0.2">
      <c r="B1320" s="129"/>
      <c r="C1320" s="129"/>
      <c r="D1320" s="129"/>
      <c r="E1320" s="129"/>
      <c r="F1320" s="129"/>
      <c r="G1320" s="129"/>
    </row>
    <row r="1321" spans="2:7" x14ac:dyDescent="0.2">
      <c r="B1321" s="129"/>
      <c r="C1321" s="129"/>
      <c r="D1321" s="129"/>
      <c r="E1321" s="129"/>
      <c r="F1321" s="129"/>
      <c r="G1321" s="129"/>
    </row>
    <row r="1322" spans="2:7" x14ac:dyDescent="0.2">
      <c r="B1322" s="129"/>
      <c r="C1322" s="129"/>
      <c r="D1322" s="129"/>
      <c r="E1322" s="129"/>
      <c r="F1322" s="129"/>
      <c r="G1322" s="129"/>
    </row>
    <row r="1323" spans="2:7" x14ac:dyDescent="0.2">
      <c r="B1323" s="129"/>
      <c r="C1323" s="129"/>
      <c r="D1323" s="129"/>
      <c r="E1323" s="129"/>
      <c r="F1323" s="129"/>
      <c r="G1323" s="129"/>
    </row>
    <row r="1324" spans="2:7" x14ac:dyDescent="0.2">
      <c r="B1324" s="129"/>
      <c r="C1324" s="129"/>
      <c r="D1324" s="129"/>
      <c r="E1324" s="129"/>
      <c r="F1324" s="129"/>
      <c r="G1324" s="129"/>
    </row>
    <row r="1325" spans="2:7" x14ac:dyDescent="0.2">
      <c r="B1325" s="129"/>
      <c r="C1325" s="129"/>
      <c r="D1325" s="129"/>
      <c r="E1325" s="129"/>
      <c r="F1325" s="129"/>
      <c r="G1325" s="129"/>
    </row>
    <row r="1326" spans="2:7" x14ac:dyDescent="0.2">
      <c r="B1326" s="129"/>
      <c r="C1326" s="129"/>
      <c r="D1326" s="129"/>
      <c r="E1326" s="129"/>
      <c r="F1326" s="129"/>
      <c r="G1326" s="129"/>
    </row>
    <row r="1327" spans="2:7" x14ac:dyDescent="0.2">
      <c r="B1327" s="129"/>
      <c r="C1327" s="129"/>
      <c r="D1327" s="129"/>
      <c r="E1327" s="129"/>
      <c r="F1327" s="129"/>
      <c r="G1327" s="129"/>
    </row>
    <row r="1328" spans="2:7" x14ac:dyDescent="0.2">
      <c r="B1328" s="129"/>
      <c r="C1328" s="129"/>
      <c r="D1328" s="129"/>
      <c r="E1328" s="129"/>
      <c r="F1328" s="129"/>
      <c r="G1328" s="129"/>
    </row>
    <row r="1329" spans="2:7" x14ac:dyDescent="0.2">
      <c r="B1329" s="129"/>
      <c r="C1329" s="129"/>
      <c r="D1329" s="129"/>
      <c r="E1329" s="129"/>
      <c r="F1329" s="129"/>
      <c r="G1329" s="129"/>
    </row>
    <row r="1330" spans="2:7" x14ac:dyDescent="0.2">
      <c r="B1330" s="129"/>
      <c r="C1330" s="129"/>
      <c r="D1330" s="129"/>
      <c r="E1330" s="129"/>
      <c r="F1330" s="129"/>
      <c r="G1330" s="129"/>
    </row>
    <row r="1331" spans="2:7" x14ac:dyDescent="0.2">
      <c r="B1331" s="129"/>
      <c r="C1331" s="129"/>
      <c r="D1331" s="129"/>
      <c r="E1331" s="129"/>
      <c r="F1331" s="129"/>
      <c r="G1331" s="129"/>
    </row>
    <row r="1332" spans="2:7" x14ac:dyDescent="0.2">
      <c r="B1332" s="129"/>
      <c r="C1332" s="129"/>
      <c r="D1332" s="129"/>
      <c r="E1332" s="129"/>
      <c r="F1332" s="129"/>
      <c r="G1332" s="129"/>
    </row>
    <row r="1333" spans="2:7" x14ac:dyDescent="0.2">
      <c r="B1333" s="129"/>
      <c r="C1333" s="129"/>
      <c r="D1333" s="129"/>
      <c r="E1333" s="129"/>
      <c r="F1333" s="129"/>
      <c r="G1333" s="129"/>
    </row>
    <row r="1334" spans="2:7" x14ac:dyDescent="0.2">
      <c r="B1334" s="129"/>
      <c r="C1334" s="129"/>
      <c r="D1334" s="129"/>
      <c r="E1334" s="129"/>
      <c r="F1334" s="129"/>
      <c r="G1334" s="129"/>
    </row>
    <row r="1335" spans="2:7" x14ac:dyDescent="0.2">
      <c r="B1335" s="129"/>
      <c r="C1335" s="129"/>
      <c r="D1335" s="129"/>
      <c r="E1335" s="129"/>
      <c r="F1335" s="129"/>
      <c r="G1335" s="129"/>
    </row>
    <row r="1336" spans="2:7" x14ac:dyDescent="0.2">
      <c r="B1336" s="129"/>
      <c r="C1336" s="129"/>
      <c r="D1336" s="129"/>
      <c r="E1336" s="129"/>
      <c r="F1336" s="129"/>
      <c r="G1336" s="129"/>
    </row>
    <row r="1337" spans="2:7" x14ac:dyDescent="0.2">
      <c r="B1337" s="129"/>
      <c r="C1337" s="129"/>
      <c r="D1337" s="129"/>
      <c r="E1337" s="129"/>
      <c r="F1337" s="129"/>
      <c r="G1337" s="129"/>
    </row>
    <row r="1338" spans="2:7" x14ac:dyDescent="0.2">
      <c r="B1338" s="129"/>
      <c r="C1338" s="129"/>
      <c r="D1338" s="129"/>
      <c r="E1338" s="129"/>
      <c r="F1338" s="129"/>
      <c r="G1338" s="129"/>
    </row>
    <row r="1339" spans="2:7" x14ac:dyDescent="0.2">
      <c r="B1339" s="129"/>
      <c r="C1339" s="129"/>
      <c r="D1339" s="129"/>
      <c r="E1339" s="129"/>
      <c r="F1339" s="129"/>
      <c r="G1339" s="129"/>
    </row>
    <row r="1340" spans="2:7" x14ac:dyDescent="0.2">
      <c r="B1340" s="129"/>
      <c r="C1340" s="129"/>
      <c r="D1340" s="129"/>
      <c r="E1340" s="129"/>
      <c r="F1340" s="129"/>
      <c r="G1340" s="129"/>
    </row>
    <row r="1341" spans="2:7" x14ac:dyDescent="0.2">
      <c r="B1341" s="129"/>
      <c r="C1341" s="129"/>
      <c r="D1341" s="129"/>
      <c r="E1341" s="129"/>
      <c r="F1341" s="129"/>
      <c r="G1341" s="129"/>
    </row>
    <row r="1342" spans="2:7" x14ac:dyDescent="0.2">
      <c r="B1342" s="129"/>
      <c r="C1342" s="129"/>
      <c r="D1342" s="129"/>
      <c r="E1342" s="129"/>
      <c r="F1342" s="129"/>
      <c r="G1342" s="129"/>
    </row>
    <row r="1343" spans="2:7" x14ac:dyDescent="0.2">
      <c r="B1343" s="129"/>
      <c r="C1343" s="129"/>
      <c r="D1343" s="129"/>
      <c r="E1343" s="129"/>
      <c r="F1343" s="129"/>
      <c r="G1343" s="129"/>
    </row>
    <row r="1344" spans="2:7" x14ac:dyDescent="0.2">
      <c r="B1344" s="129"/>
      <c r="C1344" s="129"/>
      <c r="D1344" s="129"/>
      <c r="E1344" s="129"/>
      <c r="F1344" s="129"/>
      <c r="G1344" s="129"/>
    </row>
    <row r="1345" spans="2:7" x14ac:dyDescent="0.2">
      <c r="B1345" s="129"/>
      <c r="C1345" s="129"/>
      <c r="D1345" s="129"/>
      <c r="E1345" s="129"/>
      <c r="F1345" s="129"/>
      <c r="G1345" s="129"/>
    </row>
    <row r="1346" spans="2:7" x14ac:dyDescent="0.2">
      <c r="B1346" s="129"/>
      <c r="C1346" s="129"/>
      <c r="D1346" s="129"/>
      <c r="E1346" s="129"/>
      <c r="F1346" s="129"/>
      <c r="G1346" s="129"/>
    </row>
    <row r="1347" spans="2:7" x14ac:dyDescent="0.2">
      <c r="B1347" s="129"/>
      <c r="C1347" s="129"/>
      <c r="D1347" s="129"/>
      <c r="E1347" s="129"/>
      <c r="F1347" s="129"/>
      <c r="G1347" s="129"/>
    </row>
    <row r="1348" spans="2:7" x14ac:dyDescent="0.2">
      <c r="B1348" s="129"/>
      <c r="C1348" s="129"/>
      <c r="D1348" s="129"/>
      <c r="E1348" s="129"/>
      <c r="F1348" s="129"/>
      <c r="G1348" s="129"/>
    </row>
    <row r="1349" spans="2:7" x14ac:dyDescent="0.2">
      <c r="B1349" s="129"/>
      <c r="C1349" s="129"/>
      <c r="D1349" s="129"/>
      <c r="E1349" s="129"/>
      <c r="F1349" s="129"/>
      <c r="G1349" s="129"/>
    </row>
    <row r="1350" spans="2:7" x14ac:dyDescent="0.2">
      <c r="B1350" s="129"/>
      <c r="C1350" s="129"/>
      <c r="D1350" s="129"/>
      <c r="E1350" s="129"/>
      <c r="F1350" s="129"/>
      <c r="G1350" s="129"/>
    </row>
    <row r="1351" spans="2:7" x14ac:dyDescent="0.2">
      <c r="B1351" s="129"/>
      <c r="C1351" s="129"/>
      <c r="D1351" s="129"/>
      <c r="E1351" s="129"/>
      <c r="F1351" s="129"/>
      <c r="G1351" s="129"/>
    </row>
    <row r="1352" spans="2:7" x14ac:dyDescent="0.2">
      <c r="B1352" s="129"/>
      <c r="C1352" s="129"/>
      <c r="D1352" s="129"/>
      <c r="E1352" s="129"/>
      <c r="F1352" s="129"/>
      <c r="G1352" s="129"/>
    </row>
    <row r="1353" spans="2:7" x14ac:dyDescent="0.2">
      <c r="B1353" s="129"/>
      <c r="C1353" s="129"/>
      <c r="D1353" s="129"/>
      <c r="E1353" s="129"/>
      <c r="F1353" s="129"/>
      <c r="G1353" s="129"/>
    </row>
    <row r="1354" spans="2:7" x14ac:dyDescent="0.2">
      <c r="B1354" s="129"/>
      <c r="C1354" s="129"/>
      <c r="D1354" s="129"/>
      <c r="E1354" s="129"/>
      <c r="F1354" s="129"/>
      <c r="G1354" s="129"/>
    </row>
    <row r="1355" spans="2:7" x14ac:dyDescent="0.2">
      <c r="B1355" s="129"/>
      <c r="C1355" s="129"/>
      <c r="D1355" s="129"/>
      <c r="E1355" s="129"/>
      <c r="F1355" s="129"/>
      <c r="G1355" s="129"/>
    </row>
    <row r="1356" spans="2:7" x14ac:dyDescent="0.2">
      <c r="B1356" s="129"/>
      <c r="C1356" s="129"/>
      <c r="D1356" s="129"/>
      <c r="E1356" s="129"/>
      <c r="F1356" s="129"/>
      <c r="G1356" s="129"/>
    </row>
    <row r="1357" spans="2:7" x14ac:dyDescent="0.2">
      <c r="B1357" s="129"/>
      <c r="C1357" s="129"/>
      <c r="D1357" s="129"/>
      <c r="E1357" s="129"/>
      <c r="F1357" s="129"/>
      <c r="G1357" s="129"/>
    </row>
    <row r="1358" spans="2:7" x14ac:dyDescent="0.2">
      <c r="B1358" s="129"/>
      <c r="C1358" s="129"/>
      <c r="D1358" s="129"/>
      <c r="E1358" s="129"/>
      <c r="F1358" s="129"/>
      <c r="G1358" s="129"/>
    </row>
    <row r="1359" spans="2:7" x14ac:dyDescent="0.2">
      <c r="B1359" s="129"/>
      <c r="C1359" s="129"/>
      <c r="D1359" s="129"/>
      <c r="E1359" s="129"/>
      <c r="F1359" s="129"/>
      <c r="G1359" s="129"/>
    </row>
    <row r="1360" spans="2:7" x14ac:dyDescent="0.2">
      <c r="B1360" s="129"/>
      <c r="C1360" s="129"/>
      <c r="D1360" s="129"/>
      <c r="E1360" s="129"/>
      <c r="F1360" s="129"/>
      <c r="G1360" s="129"/>
    </row>
    <row r="1361" spans="2:7" x14ac:dyDescent="0.2">
      <c r="B1361" s="129"/>
      <c r="C1361" s="129"/>
      <c r="D1361" s="129"/>
      <c r="E1361" s="129"/>
      <c r="F1361" s="129"/>
      <c r="G1361" s="129"/>
    </row>
    <row r="1362" spans="2:7" x14ac:dyDescent="0.2">
      <c r="B1362" s="129"/>
      <c r="C1362" s="129"/>
      <c r="D1362" s="129"/>
      <c r="E1362" s="129"/>
      <c r="F1362" s="129"/>
      <c r="G1362" s="129"/>
    </row>
    <row r="1363" spans="2:7" x14ac:dyDescent="0.2">
      <c r="B1363" s="129"/>
      <c r="C1363" s="129"/>
      <c r="D1363" s="129"/>
      <c r="E1363" s="129"/>
      <c r="F1363" s="129"/>
      <c r="G1363" s="129"/>
    </row>
    <row r="1364" spans="2:7" x14ac:dyDescent="0.2">
      <c r="B1364" s="129"/>
      <c r="C1364" s="129"/>
      <c r="D1364" s="129"/>
      <c r="E1364" s="129"/>
      <c r="F1364" s="129"/>
      <c r="G1364" s="129"/>
    </row>
    <row r="1365" spans="2:7" x14ac:dyDescent="0.2">
      <c r="B1365" s="129"/>
      <c r="C1365" s="129"/>
      <c r="D1365" s="129"/>
      <c r="E1365" s="129"/>
      <c r="F1365" s="129"/>
      <c r="G1365" s="129"/>
    </row>
    <row r="1366" spans="2:7" x14ac:dyDescent="0.2">
      <c r="B1366" s="129"/>
      <c r="C1366" s="129"/>
      <c r="D1366" s="129"/>
      <c r="E1366" s="129"/>
      <c r="F1366" s="129"/>
      <c r="G1366" s="129"/>
    </row>
    <row r="1367" spans="2:7" x14ac:dyDescent="0.2">
      <c r="B1367" s="129"/>
      <c r="C1367" s="129"/>
      <c r="D1367" s="129"/>
      <c r="E1367" s="129"/>
      <c r="F1367" s="129"/>
      <c r="G1367" s="129"/>
    </row>
    <row r="1368" spans="2:7" x14ac:dyDescent="0.2">
      <c r="B1368" s="129"/>
      <c r="C1368" s="129"/>
      <c r="D1368" s="129"/>
      <c r="E1368" s="129"/>
      <c r="F1368" s="129"/>
      <c r="G1368" s="129"/>
    </row>
    <row r="1369" spans="2:7" x14ac:dyDescent="0.2">
      <c r="B1369" s="129"/>
      <c r="C1369" s="129"/>
      <c r="D1369" s="129"/>
      <c r="E1369" s="129"/>
      <c r="F1369" s="129"/>
      <c r="G1369" s="129"/>
    </row>
    <row r="1370" spans="2:7" x14ac:dyDescent="0.2">
      <c r="B1370" s="129"/>
      <c r="C1370" s="129"/>
      <c r="D1370" s="129"/>
      <c r="E1370" s="129"/>
      <c r="F1370" s="129"/>
      <c r="G1370" s="129"/>
    </row>
    <row r="1371" spans="2:7" x14ac:dyDescent="0.2">
      <c r="B1371" s="129"/>
      <c r="C1371" s="129"/>
      <c r="D1371" s="129"/>
      <c r="E1371" s="129"/>
      <c r="F1371" s="129"/>
      <c r="G1371" s="129"/>
    </row>
    <row r="1372" spans="2:7" x14ac:dyDescent="0.2">
      <c r="B1372" s="129"/>
      <c r="C1372" s="129"/>
      <c r="D1372" s="129"/>
      <c r="E1372" s="129"/>
      <c r="F1372" s="129"/>
      <c r="G1372" s="129"/>
    </row>
    <row r="1373" spans="2:7" x14ac:dyDescent="0.2">
      <c r="B1373" s="129"/>
      <c r="C1373" s="129"/>
      <c r="D1373" s="129"/>
      <c r="E1373" s="129"/>
      <c r="F1373" s="129"/>
      <c r="G1373" s="129"/>
    </row>
    <row r="1374" spans="2:7" x14ac:dyDescent="0.2">
      <c r="B1374" s="129"/>
      <c r="C1374" s="129"/>
      <c r="D1374" s="129"/>
      <c r="E1374" s="129"/>
      <c r="F1374" s="129"/>
      <c r="G1374" s="129"/>
    </row>
    <row r="1375" spans="2:7" x14ac:dyDescent="0.2">
      <c r="B1375" s="129"/>
      <c r="C1375" s="129"/>
      <c r="D1375" s="129"/>
      <c r="E1375" s="129"/>
      <c r="F1375" s="129"/>
      <c r="G1375" s="129"/>
    </row>
    <row r="1376" spans="2:7" x14ac:dyDescent="0.2">
      <c r="B1376" s="129"/>
      <c r="C1376" s="129"/>
      <c r="D1376" s="129"/>
      <c r="E1376" s="129"/>
      <c r="F1376" s="129"/>
      <c r="G1376" s="129"/>
    </row>
    <row r="1377" spans="2:7" x14ac:dyDescent="0.2">
      <c r="B1377" s="129"/>
      <c r="C1377" s="129"/>
      <c r="D1377" s="129"/>
      <c r="E1377" s="129"/>
      <c r="F1377" s="129"/>
      <c r="G1377" s="129"/>
    </row>
    <row r="1378" spans="2:7" x14ac:dyDescent="0.2">
      <c r="B1378" s="129"/>
      <c r="C1378" s="129"/>
      <c r="D1378" s="129"/>
      <c r="E1378" s="129"/>
      <c r="F1378" s="129"/>
      <c r="G1378" s="129"/>
    </row>
    <row r="1379" spans="2:7" x14ac:dyDescent="0.2">
      <c r="B1379" s="129"/>
      <c r="C1379" s="129"/>
      <c r="D1379" s="129"/>
      <c r="E1379" s="129"/>
      <c r="F1379" s="129"/>
      <c r="G1379" s="129"/>
    </row>
    <row r="1380" spans="2:7" x14ac:dyDescent="0.2">
      <c r="B1380" s="129"/>
      <c r="C1380" s="129"/>
      <c r="D1380" s="129"/>
      <c r="E1380" s="129"/>
      <c r="F1380" s="129"/>
      <c r="G1380" s="129"/>
    </row>
    <row r="1381" spans="2:7" x14ac:dyDescent="0.2">
      <c r="B1381" s="129"/>
      <c r="C1381" s="129"/>
      <c r="D1381" s="129"/>
      <c r="E1381" s="129"/>
      <c r="F1381" s="129"/>
      <c r="G1381" s="129"/>
    </row>
    <row r="1382" spans="2:7" x14ac:dyDescent="0.2">
      <c r="B1382" s="129"/>
      <c r="C1382" s="129"/>
      <c r="D1382" s="129"/>
      <c r="E1382" s="129"/>
      <c r="F1382" s="129"/>
      <c r="G1382" s="129"/>
    </row>
    <row r="1383" spans="2:7" x14ac:dyDescent="0.2">
      <c r="B1383" s="129"/>
      <c r="C1383" s="129"/>
      <c r="D1383" s="129"/>
      <c r="E1383" s="129"/>
      <c r="F1383" s="129"/>
      <c r="G1383" s="129"/>
    </row>
    <row r="1384" spans="2:7" x14ac:dyDescent="0.2">
      <c r="B1384" s="129"/>
      <c r="C1384" s="129"/>
      <c r="D1384" s="129"/>
      <c r="E1384" s="129"/>
      <c r="F1384" s="129"/>
      <c r="G1384" s="129"/>
    </row>
    <row r="1385" spans="2:7" x14ac:dyDescent="0.2">
      <c r="B1385" s="129"/>
      <c r="C1385" s="129"/>
      <c r="D1385" s="129"/>
      <c r="E1385" s="129"/>
      <c r="F1385" s="129"/>
      <c r="G1385" s="129"/>
    </row>
    <row r="1386" spans="2:7" x14ac:dyDescent="0.2">
      <c r="B1386" s="129"/>
      <c r="C1386" s="129"/>
      <c r="D1386" s="129"/>
      <c r="E1386" s="129"/>
      <c r="F1386" s="129"/>
      <c r="G1386" s="129"/>
    </row>
    <row r="1387" spans="2:7" x14ac:dyDescent="0.2">
      <c r="B1387" s="129"/>
      <c r="C1387" s="129"/>
      <c r="D1387" s="129"/>
      <c r="E1387" s="129"/>
      <c r="F1387" s="129"/>
      <c r="G1387" s="129"/>
    </row>
    <row r="1388" spans="2:7" x14ac:dyDescent="0.2">
      <c r="B1388" s="129"/>
      <c r="C1388" s="129"/>
      <c r="D1388" s="129"/>
      <c r="E1388" s="129"/>
      <c r="F1388" s="129"/>
      <c r="G1388" s="129"/>
    </row>
    <row r="1389" spans="2:7" x14ac:dyDescent="0.2">
      <c r="B1389" s="129"/>
      <c r="C1389" s="129"/>
      <c r="D1389" s="129"/>
      <c r="E1389" s="129"/>
      <c r="F1389" s="129"/>
      <c r="G1389" s="129"/>
    </row>
    <row r="1390" spans="2:7" x14ac:dyDescent="0.2">
      <c r="B1390" s="129"/>
      <c r="C1390" s="129"/>
      <c r="D1390" s="129"/>
      <c r="E1390" s="129"/>
      <c r="F1390" s="129"/>
      <c r="G1390" s="129"/>
    </row>
    <row r="1391" spans="2:7" x14ac:dyDescent="0.2">
      <c r="B1391" s="129"/>
      <c r="C1391" s="129"/>
      <c r="D1391" s="129"/>
      <c r="E1391" s="129"/>
      <c r="F1391" s="129"/>
      <c r="G1391" s="129"/>
    </row>
    <row r="1392" spans="2:7" x14ac:dyDescent="0.2">
      <c r="B1392" s="129"/>
      <c r="C1392" s="129"/>
      <c r="D1392" s="129"/>
      <c r="E1392" s="129"/>
      <c r="F1392" s="129"/>
      <c r="G1392" s="129"/>
    </row>
    <row r="1393" spans="2:7" x14ac:dyDescent="0.2">
      <c r="B1393" s="129"/>
      <c r="C1393" s="129"/>
      <c r="D1393" s="129"/>
      <c r="E1393" s="129"/>
      <c r="F1393" s="129"/>
      <c r="G1393" s="129"/>
    </row>
    <row r="1394" spans="2:7" x14ac:dyDescent="0.2">
      <c r="B1394" s="129"/>
      <c r="C1394" s="129"/>
      <c r="D1394" s="129"/>
      <c r="E1394" s="129"/>
      <c r="F1394" s="129"/>
      <c r="G1394" s="129"/>
    </row>
    <row r="1395" spans="2:7" x14ac:dyDescent="0.2">
      <c r="B1395" s="129"/>
      <c r="C1395" s="129"/>
      <c r="D1395" s="129"/>
      <c r="E1395" s="129"/>
      <c r="F1395" s="129"/>
      <c r="G1395" s="129"/>
    </row>
    <row r="1396" spans="2:7" x14ac:dyDescent="0.2">
      <c r="B1396" s="129"/>
      <c r="C1396" s="129"/>
      <c r="D1396" s="129"/>
      <c r="E1396" s="129"/>
      <c r="F1396" s="129"/>
      <c r="G1396" s="129"/>
    </row>
    <row r="1397" spans="2:7" x14ac:dyDescent="0.2">
      <c r="B1397" s="129"/>
      <c r="C1397" s="129"/>
      <c r="D1397" s="129"/>
      <c r="E1397" s="129"/>
      <c r="F1397" s="129"/>
      <c r="G1397" s="129"/>
    </row>
    <row r="1398" spans="2:7" x14ac:dyDescent="0.2">
      <c r="B1398" s="129"/>
      <c r="C1398" s="129"/>
      <c r="D1398" s="129"/>
      <c r="E1398" s="129"/>
      <c r="F1398" s="129"/>
      <c r="G1398" s="129"/>
    </row>
    <row r="1399" spans="2:7" x14ac:dyDescent="0.2">
      <c r="B1399" s="129"/>
      <c r="C1399" s="129"/>
      <c r="D1399" s="129"/>
      <c r="E1399" s="129"/>
      <c r="F1399" s="129"/>
      <c r="G1399" s="129"/>
    </row>
    <row r="1400" spans="2:7" x14ac:dyDescent="0.2">
      <c r="B1400" s="129"/>
      <c r="C1400" s="129"/>
      <c r="D1400" s="129"/>
      <c r="E1400" s="129"/>
      <c r="F1400" s="129"/>
      <c r="G1400" s="129"/>
    </row>
    <row r="1401" spans="2:7" x14ac:dyDescent="0.2">
      <c r="B1401" s="129"/>
      <c r="C1401" s="129"/>
      <c r="D1401" s="129"/>
      <c r="E1401" s="129"/>
      <c r="F1401" s="129"/>
      <c r="G1401" s="129"/>
    </row>
    <row r="1402" spans="2:7" x14ac:dyDescent="0.2">
      <c r="B1402" s="129"/>
      <c r="C1402" s="129"/>
      <c r="D1402" s="129"/>
      <c r="E1402" s="129"/>
      <c r="F1402" s="129"/>
      <c r="G1402" s="129"/>
    </row>
    <row r="1403" spans="2:7" x14ac:dyDescent="0.2">
      <c r="B1403" s="129"/>
      <c r="C1403" s="129"/>
      <c r="D1403" s="129"/>
      <c r="E1403" s="129"/>
      <c r="F1403" s="129"/>
      <c r="G1403" s="129"/>
    </row>
    <row r="1404" spans="2:7" x14ac:dyDescent="0.2">
      <c r="B1404" s="129"/>
      <c r="C1404" s="129"/>
      <c r="D1404" s="129"/>
      <c r="E1404" s="129"/>
      <c r="F1404" s="129"/>
      <c r="G1404" s="129"/>
    </row>
    <row r="1405" spans="2:7" x14ac:dyDescent="0.2">
      <c r="B1405" s="129"/>
      <c r="C1405" s="129"/>
      <c r="D1405" s="129"/>
      <c r="E1405" s="129"/>
      <c r="F1405" s="129"/>
      <c r="G1405" s="129"/>
    </row>
    <row r="1406" spans="2:7" x14ac:dyDescent="0.2">
      <c r="B1406" s="129"/>
      <c r="C1406" s="129"/>
      <c r="D1406" s="129"/>
      <c r="E1406" s="129"/>
      <c r="F1406" s="129"/>
      <c r="G1406" s="129"/>
    </row>
    <row r="1407" spans="2:7" x14ac:dyDescent="0.2">
      <c r="B1407" s="129"/>
      <c r="C1407" s="129"/>
      <c r="D1407" s="129"/>
      <c r="E1407" s="129"/>
      <c r="F1407" s="129"/>
      <c r="G1407" s="129"/>
    </row>
    <row r="1408" spans="2:7" x14ac:dyDescent="0.2">
      <c r="B1408" s="129"/>
      <c r="C1408" s="129"/>
      <c r="D1408" s="129"/>
      <c r="E1408" s="129"/>
      <c r="F1408" s="129"/>
      <c r="G1408" s="129"/>
    </row>
    <row r="1409" spans="2:7" x14ac:dyDescent="0.2">
      <c r="B1409" s="129"/>
      <c r="C1409" s="129"/>
      <c r="D1409" s="129"/>
      <c r="E1409" s="129"/>
      <c r="F1409" s="129"/>
      <c r="G1409" s="129"/>
    </row>
    <row r="1410" spans="2:7" x14ac:dyDescent="0.2">
      <c r="B1410" s="129"/>
      <c r="C1410" s="129"/>
      <c r="D1410" s="129"/>
      <c r="E1410" s="129"/>
      <c r="F1410" s="129"/>
      <c r="G1410" s="129"/>
    </row>
    <row r="1411" spans="2:7" x14ac:dyDescent="0.2">
      <c r="B1411" s="129"/>
      <c r="C1411" s="129"/>
      <c r="D1411" s="129"/>
      <c r="E1411" s="129"/>
      <c r="F1411" s="129"/>
      <c r="G1411" s="129"/>
    </row>
    <row r="1412" spans="2:7" x14ac:dyDescent="0.2">
      <c r="B1412" s="129"/>
      <c r="C1412" s="129"/>
      <c r="D1412" s="129"/>
      <c r="E1412" s="129"/>
      <c r="F1412" s="129"/>
      <c r="G1412" s="129"/>
    </row>
    <row r="1413" spans="2:7" x14ac:dyDescent="0.2">
      <c r="B1413" s="129"/>
      <c r="C1413" s="129"/>
      <c r="D1413" s="129"/>
      <c r="E1413" s="129"/>
      <c r="F1413" s="129"/>
      <c r="G1413" s="129"/>
    </row>
    <row r="1414" spans="2:7" x14ac:dyDescent="0.2">
      <c r="B1414" s="129"/>
      <c r="C1414" s="129"/>
      <c r="D1414" s="129"/>
      <c r="E1414" s="129"/>
      <c r="F1414" s="129"/>
      <c r="G1414" s="129"/>
    </row>
    <row r="1415" spans="2:7" x14ac:dyDescent="0.2">
      <c r="B1415" s="129"/>
      <c r="C1415" s="129"/>
      <c r="D1415" s="129"/>
      <c r="E1415" s="129"/>
      <c r="F1415" s="129"/>
      <c r="G1415" s="129"/>
    </row>
    <row r="1416" spans="2:7" x14ac:dyDescent="0.2">
      <c r="B1416" s="129"/>
      <c r="C1416" s="129"/>
      <c r="D1416" s="129"/>
      <c r="E1416" s="129"/>
      <c r="F1416" s="129"/>
      <c r="G1416" s="129"/>
    </row>
    <row r="1417" spans="2:7" x14ac:dyDescent="0.2">
      <c r="B1417" s="129"/>
      <c r="C1417" s="129"/>
      <c r="D1417" s="129"/>
      <c r="E1417" s="129"/>
      <c r="F1417" s="129"/>
      <c r="G1417" s="129"/>
    </row>
    <row r="1418" spans="2:7" x14ac:dyDescent="0.2">
      <c r="B1418" s="129"/>
      <c r="C1418" s="129"/>
      <c r="D1418" s="129"/>
      <c r="E1418" s="129"/>
      <c r="F1418" s="129"/>
      <c r="G1418" s="129"/>
    </row>
    <row r="1419" spans="2:7" x14ac:dyDescent="0.2">
      <c r="B1419" s="129"/>
      <c r="C1419" s="129"/>
      <c r="D1419" s="129"/>
      <c r="E1419" s="129"/>
      <c r="F1419" s="129"/>
      <c r="G1419" s="129"/>
    </row>
    <row r="1420" spans="2:7" x14ac:dyDescent="0.2">
      <c r="B1420" s="129"/>
      <c r="C1420" s="129"/>
      <c r="D1420" s="129"/>
      <c r="E1420" s="129"/>
      <c r="F1420" s="129"/>
      <c r="G1420" s="129"/>
    </row>
    <row r="1421" spans="2:7" x14ac:dyDescent="0.2">
      <c r="B1421" s="129"/>
      <c r="C1421" s="129"/>
      <c r="D1421" s="129"/>
      <c r="E1421" s="129"/>
      <c r="F1421" s="129"/>
      <c r="G1421" s="129"/>
    </row>
    <row r="1422" spans="2:7" x14ac:dyDescent="0.2">
      <c r="B1422" s="129"/>
      <c r="C1422" s="129"/>
      <c r="D1422" s="129"/>
      <c r="E1422" s="129"/>
      <c r="F1422" s="129"/>
      <c r="G1422" s="129"/>
    </row>
    <row r="1423" spans="2:7" x14ac:dyDescent="0.2">
      <c r="B1423" s="129"/>
      <c r="C1423" s="129"/>
      <c r="D1423" s="129"/>
      <c r="E1423" s="129"/>
      <c r="F1423" s="129"/>
      <c r="G1423" s="129"/>
    </row>
    <row r="1424" spans="2:7" x14ac:dyDescent="0.2">
      <c r="B1424" s="129"/>
      <c r="C1424" s="129"/>
      <c r="D1424" s="129"/>
      <c r="E1424" s="129"/>
      <c r="F1424" s="129"/>
      <c r="G1424" s="129"/>
    </row>
    <row r="1425" spans="2:7" x14ac:dyDescent="0.2">
      <c r="B1425" s="129"/>
      <c r="C1425" s="129"/>
      <c r="D1425" s="129"/>
      <c r="E1425" s="129"/>
      <c r="F1425" s="129"/>
      <c r="G1425" s="129"/>
    </row>
    <row r="1426" spans="2:7" x14ac:dyDescent="0.2">
      <c r="B1426" s="129"/>
      <c r="C1426" s="129"/>
      <c r="D1426" s="129"/>
      <c r="E1426" s="129"/>
      <c r="F1426" s="129"/>
      <c r="G1426" s="129"/>
    </row>
    <row r="1427" spans="2:7" x14ac:dyDescent="0.2">
      <c r="B1427" s="129"/>
      <c r="C1427" s="129"/>
      <c r="D1427" s="129"/>
      <c r="E1427" s="129"/>
      <c r="F1427" s="129"/>
      <c r="G1427" s="129"/>
    </row>
    <row r="1428" spans="2:7" x14ac:dyDescent="0.2">
      <c r="B1428" s="129"/>
      <c r="C1428" s="129"/>
      <c r="D1428" s="129"/>
      <c r="E1428" s="129"/>
      <c r="F1428" s="129"/>
      <c r="G1428" s="129"/>
    </row>
    <row r="1429" spans="2:7" x14ac:dyDescent="0.2">
      <c r="B1429" s="129"/>
      <c r="C1429" s="129"/>
      <c r="D1429" s="129"/>
      <c r="E1429" s="129"/>
      <c r="F1429" s="129"/>
      <c r="G1429" s="129"/>
    </row>
    <row r="1430" spans="2:7" x14ac:dyDescent="0.2">
      <c r="B1430" s="129"/>
      <c r="C1430" s="129"/>
      <c r="D1430" s="129"/>
      <c r="E1430" s="129"/>
      <c r="F1430" s="129"/>
      <c r="G1430" s="129"/>
    </row>
    <row r="1431" spans="2:7" x14ac:dyDescent="0.2">
      <c r="B1431" s="129"/>
      <c r="C1431" s="129"/>
      <c r="D1431" s="129"/>
      <c r="E1431" s="129"/>
      <c r="F1431" s="129"/>
      <c r="G1431" s="129"/>
    </row>
    <row r="1432" spans="2:7" x14ac:dyDescent="0.2">
      <c r="B1432" s="129"/>
      <c r="C1432" s="129"/>
      <c r="D1432" s="129"/>
      <c r="E1432" s="129"/>
      <c r="F1432" s="129"/>
      <c r="G1432" s="129"/>
    </row>
    <row r="1433" spans="2:7" x14ac:dyDescent="0.2">
      <c r="B1433" s="129"/>
      <c r="C1433" s="129"/>
      <c r="D1433" s="129"/>
      <c r="E1433" s="129"/>
      <c r="F1433" s="129"/>
      <c r="G1433" s="129"/>
    </row>
    <row r="1434" spans="2:7" x14ac:dyDescent="0.2">
      <c r="B1434" s="129"/>
      <c r="C1434" s="129"/>
      <c r="D1434" s="129"/>
      <c r="E1434" s="129"/>
      <c r="F1434" s="129"/>
      <c r="G1434" s="129"/>
    </row>
    <row r="1435" spans="2:7" x14ac:dyDescent="0.2">
      <c r="B1435" s="129"/>
      <c r="C1435" s="129"/>
      <c r="D1435" s="129"/>
      <c r="E1435" s="129"/>
      <c r="F1435" s="129"/>
      <c r="G1435" s="129"/>
    </row>
    <row r="1436" spans="2:7" x14ac:dyDescent="0.2">
      <c r="B1436" s="129"/>
      <c r="C1436" s="129"/>
      <c r="D1436" s="129"/>
      <c r="E1436" s="129"/>
      <c r="F1436" s="129"/>
      <c r="G1436" s="129"/>
    </row>
    <row r="1437" spans="2:7" x14ac:dyDescent="0.2">
      <c r="B1437" s="129"/>
      <c r="C1437" s="129"/>
      <c r="D1437" s="129"/>
      <c r="E1437" s="129"/>
      <c r="F1437" s="129"/>
      <c r="G1437" s="129"/>
    </row>
    <row r="1438" spans="2:7" x14ac:dyDescent="0.2">
      <c r="B1438" s="129"/>
      <c r="C1438" s="129"/>
      <c r="D1438" s="129"/>
      <c r="E1438" s="129"/>
      <c r="F1438" s="129"/>
      <c r="G1438" s="129"/>
    </row>
    <row r="1439" spans="2:7" x14ac:dyDescent="0.2">
      <c r="B1439" s="129"/>
      <c r="C1439" s="129"/>
      <c r="D1439" s="129"/>
      <c r="E1439" s="129"/>
      <c r="F1439" s="129"/>
      <c r="G1439" s="129"/>
    </row>
    <row r="1440" spans="2:7" x14ac:dyDescent="0.2">
      <c r="B1440" s="129"/>
      <c r="C1440" s="129"/>
      <c r="D1440" s="129"/>
      <c r="E1440" s="129"/>
      <c r="F1440" s="129"/>
      <c r="G1440" s="129"/>
    </row>
    <row r="1441" spans="2:7" x14ac:dyDescent="0.2">
      <c r="B1441" s="129"/>
      <c r="C1441" s="129"/>
      <c r="D1441" s="129"/>
      <c r="E1441" s="129"/>
      <c r="F1441" s="129"/>
      <c r="G1441" s="129"/>
    </row>
    <row r="1442" spans="2:7" x14ac:dyDescent="0.2">
      <c r="B1442" s="129"/>
      <c r="C1442" s="129"/>
      <c r="D1442" s="129"/>
      <c r="E1442" s="129"/>
      <c r="F1442" s="129"/>
      <c r="G1442" s="129"/>
    </row>
    <row r="1443" spans="2:7" x14ac:dyDescent="0.2">
      <c r="B1443" s="129"/>
      <c r="C1443" s="129"/>
      <c r="D1443" s="129"/>
      <c r="E1443" s="129"/>
      <c r="F1443" s="129"/>
      <c r="G1443" s="129"/>
    </row>
    <row r="1444" spans="2:7" x14ac:dyDescent="0.2">
      <c r="B1444" s="129"/>
      <c r="C1444" s="129"/>
      <c r="D1444" s="129"/>
      <c r="E1444" s="129"/>
      <c r="F1444" s="129"/>
      <c r="G1444" s="129"/>
    </row>
    <row r="1445" spans="2:7" x14ac:dyDescent="0.2">
      <c r="B1445" s="129"/>
      <c r="C1445" s="129"/>
      <c r="D1445" s="129"/>
      <c r="E1445" s="129"/>
      <c r="F1445" s="129"/>
      <c r="G1445" s="129"/>
    </row>
    <row r="1446" spans="2:7" x14ac:dyDescent="0.2">
      <c r="B1446" s="129"/>
      <c r="C1446" s="129"/>
      <c r="D1446" s="129"/>
      <c r="E1446" s="129"/>
      <c r="F1446" s="129"/>
      <c r="G1446" s="129"/>
    </row>
    <row r="1447" spans="2:7" x14ac:dyDescent="0.2">
      <c r="B1447" s="129"/>
      <c r="C1447" s="129"/>
      <c r="D1447" s="129"/>
      <c r="E1447" s="129"/>
      <c r="F1447" s="129"/>
      <c r="G1447" s="129"/>
    </row>
    <row r="1448" spans="2:7" x14ac:dyDescent="0.2">
      <c r="B1448" s="129"/>
      <c r="C1448" s="129"/>
      <c r="D1448" s="129"/>
      <c r="E1448" s="129"/>
      <c r="F1448" s="129"/>
      <c r="G1448" s="129"/>
    </row>
    <row r="1449" spans="2:7" x14ac:dyDescent="0.2">
      <c r="B1449" s="129"/>
      <c r="C1449" s="129"/>
      <c r="D1449" s="129"/>
      <c r="E1449" s="129"/>
      <c r="F1449" s="129"/>
      <c r="G1449" s="129"/>
    </row>
    <row r="1450" spans="2:7" x14ac:dyDescent="0.2">
      <c r="B1450" s="129"/>
      <c r="C1450" s="129"/>
      <c r="D1450" s="129"/>
      <c r="E1450" s="129"/>
      <c r="F1450" s="129"/>
      <c r="G1450" s="129"/>
    </row>
    <row r="1451" spans="2:7" x14ac:dyDescent="0.2">
      <c r="B1451" s="129"/>
      <c r="C1451" s="129"/>
      <c r="D1451" s="129"/>
      <c r="E1451" s="129"/>
      <c r="F1451" s="129"/>
      <c r="G1451" s="129"/>
    </row>
    <row r="1452" spans="2:7" x14ac:dyDescent="0.2">
      <c r="B1452" s="129"/>
      <c r="C1452" s="129"/>
      <c r="D1452" s="129"/>
      <c r="E1452" s="129"/>
      <c r="F1452" s="129"/>
      <c r="G1452" s="129"/>
    </row>
    <row r="1453" spans="2:7" x14ac:dyDescent="0.2">
      <c r="B1453" s="129"/>
      <c r="C1453" s="129"/>
      <c r="D1453" s="129"/>
      <c r="E1453" s="129"/>
      <c r="F1453" s="129"/>
      <c r="G1453" s="129"/>
    </row>
    <row r="1454" spans="2:7" x14ac:dyDescent="0.2">
      <c r="B1454" s="129"/>
      <c r="C1454" s="129"/>
      <c r="D1454" s="129"/>
      <c r="E1454" s="129"/>
      <c r="F1454" s="129"/>
      <c r="G1454" s="129"/>
    </row>
    <row r="1455" spans="2:7" x14ac:dyDescent="0.2">
      <c r="B1455" s="129"/>
      <c r="C1455" s="129"/>
      <c r="D1455" s="129"/>
      <c r="E1455" s="129"/>
      <c r="F1455" s="129"/>
      <c r="G1455" s="129"/>
    </row>
    <row r="1456" spans="2:7" x14ac:dyDescent="0.2">
      <c r="B1456" s="129"/>
      <c r="C1456" s="129"/>
      <c r="D1456" s="129"/>
      <c r="E1456" s="129"/>
      <c r="F1456" s="129"/>
      <c r="G1456" s="129"/>
    </row>
    <row r="1457" spans="2:7" x14ac:dyDescent="0.2">
      <c r="B1457" s="129"/>
      <c r="C1457" s="129"/>
      <c r="D1457" s="129"/>
      <c r="E1457" s="129"/>
      <c r="F1457" s="129"/>
      <c r="G1457" s="129"/>
    </row>
    <row r="1458" spans="2:7" x14ac:dyDescent="0.2">
      <c r="B1458" s="129"/>
      <c r="C1458" s="129"/>
      <c r="D1458" s="129"/>
      <c r="E1458" s="129"/>
      <c r="F1458" s="129"/>
      <c r="G1458" s="129"/>
    </row>
    <row r="1459" spans="2:7" x14ac:dyDescent="0.2">
      <c r="B1459" s="129"/>
      <c r="C1459" s="129"/>
      <c r="D1459" s="129"/>
      <c r="E1459" s="129"/>
      <c r="F1459" s="129"/>
      <c r="G1459" s="129"/>
    </row>
    <row r="1460" spans="2:7" x14ac:dyDescent="0.2">
      <c r="B1460" s="129"/>
      <c r="C1460" s="129"/>
      <c r="D1460" s="129"/>
      <c r="E1460" s="129"/>
      <c r="F1460" s="129"/>
      <c r="G1460" s="129"/>
    </row>
    <row r="1461" spans="2:7" x14ac:dyDescent="0.2">
      <c r="B1461" s="129"/>
      <c r="C1461" s="129"/>
      <c r="D1461" s="129"/>
      <c r="E1461" s="129"/>
      <c r="F1461" s="129"/>
      <c r="G1461" s="129"/>
    </row>
    <row r="1462" spans="2:7" x14ac:dyDescent="0.2">
      <c r="B1462" s="129"/>
      <c r="C1462" s="129"/>
      <c r="D1462" s="129"/>
      <c r="E1462" s="129"/>
      <c r="F1462" s="129"/>
      <c r="G1462" s="129"/>
    </row>
    <row r="1463" spans="2:7" x14ac:dyDescent="0.2">
      <c r="B1463" s="129"/>
      <c r="C1463" s="129"/>
      <c r="D1463" s="129"/>
      <c r="E1463" s="129"/>
      <c r="F1463" s="129"/>
      <c r="G1463" s="129"/>
    </row>
    <row r="1464" spans="2:7" x14ac:dyDescent="0.2">
      <c r="B1464" s="129"/>
      <c r="C1464" s="129"/>
      <c r="D1464" s="129"/>
      <c r="E1464" s="129"/>
      <c r="F1464" s="129"/>
      <c r="G1464" s="129"/>
    </row>
    <row r="1465" spans="2:7" x14ac:dyDescent="0.2">
      <c r="B1465" s="129"/>
      <c r="C1465" s="129"/>
      <c r="D1465" s="129"/>
      <c r="E1465" s="129"/>
      <c r="F1465" s="129"/>
      <c r="G1465" s="129"/>
    </row>
    <row r="1466" spans="2:7" x14ac:dyDescent="0.2">
      <c r="B1466" s="129"/>
      <c r="C1466" s="129"/>
      <c r="D1466" s="129"/>
      <c r="E1466" s="129"/>
      <c r="F1466" s="129"/>
      <c r="G1466" s="129"/>
    </row>
    <row r="1467" spans="2:7" x14ac:dyDescent="0.2">
      <c r="B1467" s="129"/>
      <c r="C1467" s="129"/>
      <c r="D1467" s="129"/>
      <c r="E1467" s="129"/>
      <c r="F1467" s="129"/>
      <c r="G1467" s="129"/>
    </row>
    <row r="1468" spans="2:7" x14ac:dyDescent="0.2">
      <c r="B1468" s="129"/>
      <c r="C1468" s="129"/>
      <c r="D1468" s="129"/>
      <c r="E1468" s="129"/>
      <c r="F1468" s="129"/>
      <c r="G1468" s="129"/>
    </row>
    <row r="1469" spans="2:7" x14ac:dyDescent="0.2">
      <c r="B1469" s="129"/>
      <c r="C1469" s="129"/>
      <c r="D1469" s="129"/>
      <c r="E1469" s="129"/>
      <c r="F1469" s="129"/>
      <c r="G1469" s="129"/>
    </row>
    <row r="1470" spans="2:7" x14ac:dyDescent="0.2">
      <c r="B1470" s="129"/>
      <c r="C1470" s="129"/>
      <c r="D1470" s="129"/>
      <c r="E1470" s="129"/>
      <c r="F1470" s="129"/>
      <c r="G1470" s="129"/>
    </row>
    <row r="1471" spans="2:7" x14ac:dyDescent="0.2">
      <c r="B1471" s="129"/>
      <c r="C1471" s="129"/>
      <c r="D1471" s="129"/>
      <c r="E1471" s="129"/>
      <c r="F1471" s="129"/>
      <c r="G1471" s="129"/>
    </row>
    <row r="1472" spans="2:7" x14ac:dyDescent="0.2">
      <c r="B1472" s="129"/>
      <c r="C1472" s="129"/>
      <c r="D1472" s="129"/>
      <c r="E1472" s="129"/>
      <c r="F1472" s="129"/>
      <c r="G1472" s="129"/>
    </row>
    <row r="1473" spans="2:7" x14ac:dyDescent="0.2">
      <c r="B1473" s="129"/>
      <c r="C1473" s="129"/>
      <c r="D1473" s="129"/>
      <c r="E1473" s="129"/>
      <c r="F1473" s="129"/>
      <c r="G1473" s="129"/>
    </row>
    <row r="1474" spans="2:7" x14ac:dyDescent="0.2">
      <c r="B1474" s="129"/>
      <c r="C1474" s="129"/>
      <c r="D1474" s="129"/>
      <c r="E1474" s="129"/>
      <c r="F1474" s="129"/>
      <c r="G1474" s="129"/>
    </row>
    <row r="1475" spans="2:7" x14ac:dyDescent="0.2">
      <c r="B1475" s="129"/>
      <c r="C1475" s="129"/>
      <c r="D1475" s="129"/>
      <c r="E1475" s="129"/>
      <c r="F1475" s="129"/>
      <c r="G1475" s="129"/>
    </row>
    <row r="1476" spans="2:7" x14ac:dyDescent="0.2">
      <c r="B1476" s="129"/>
      <c r="C1476" s="129"/>
      <c r="D1476" s="129"/>
      <c r="E1476" s="129"/>
      <c r="F1476" s="129"/>
      <c r="G1476" s="129"/>
    </row>
    <row r="1477" spans="2:7" x14ac:dyDescent="0.2">
      <c r="B1477" s="129"/>
      <c r="C1477" s="129"/>
      <c r="D1477" s="129"/>
      <c r="E1477" s="129"/>
      <c r="F1477" s="129"/>
      <c r="G1477" s="129"/>
    </row>
    <row r="1478" spans="2:7" x14ac:dyDescent="0.2">
      <c r="B1478" s="129"/>
      <c r="C1478" s="129"/>
      <c r="D1478" s="129"/>
      <c r="E1478" s="129"/>
      <c r="F1478" s="129"/>
      <c r="G1478" s="129"/>
    </row>
    <row r="1479" spans="2:7" x14ac:dyDescent="0.2">
      <c r="B1479" s="129"/>
      <c r="C1479" s="129"/>
      <c r="D1479" s="129"/>
      <c r="E1479" s="129"/>
      <c r="F1479" s="129"/>
      <c r="G1479" s="129"/>
    </row>
    <row r="1480" spans="2:7" x14ac:dyDescent="0.2">
      <c r="B1480" s="129"/>
      <c r="C1480" s="129"/>
      <c r="D1480" s="129"/>
      <c r="E1480" s="129"/>
      <c r="F1480" s="129"/>
      <c r="G1480" s="129"/>
    </row>
    <row r="1481" spans="2:7" x14ac:dyDescent="0.2">
      <c r="B1481" s="129"/>
      <c r="C1481" s="129"/>
      <c r="D1481" s="129"/>
      <c r="E1481" s="129"/>
      <c r="F1481" s="129"/>
      <c r="G1481" s="129"/>
    </row>
    <row r="1482" spans="2:7" x14ac:dyDescent="0.2">
      <c r="B1482" s="129"/>
      <c r="C1482" s="129"/>
      <c r="D1482" s="129"/>
      <c r="E1482" s="129"/>
      <c r="F1482" s="129"/>
      <c r="G1482" s="129"/>
    </row>
    <row r="1483" spans="2:7" x14ac:dyDescent="0.2">
      <c r="B1483" s="129"/>
      <c r="C1483" s="129"/>
      <c r="D1483" s="129"/>
      <c r="E1483" s="129"/>
      <c r="F1483" s="129"/>
      <c r="G1483" s="129"/>
    </row>
    <row r="1484" spans="2:7" x14ac:dyDescent="0.2">
      <c r="B1484" s="129"/>
      <c r="C1484" s="129"/>
      <c r="D1484" s="129"/>
      <c r="E1484" s="129"/>
      <c r="F1484" s="129"/>
      <c r="G1484" s="129"/>
    </row>
    <row r="1485" spans="2:7" x14ac:dyDescent="0.2">
      <c r="B1485" s="129"/>
      <c r="C1485" s="129"/>
      <c r="D1485" s="129"/>
      <c r="E1485" s="129"/>
      <c r="F1485" s="129"/>
      <c r="G1485" s="129"/>
    </row>
    <row r="1486" spans="2:7" x14ac:dyDescent="0.2">
      <c r="B1486" s="129"/>
      <c r="C1486" s="129"/>
      <c r="D1486" s="129"/>
      <c r="E1486" s="129"/>
      <c r="F1486" s="129"/>
      <c r="G1486" s="129"/>
    </row>
    <row r="1487" spans="2:7" x14ac:dyDescent="0.2">
      <c r="B1487" s="129"/>
      <c r="C1487" s="129"/>
      <c r="D1487" s="129"/>
      <c r="E1487" s="129"/>
      <c r="F1487" s="129"/>
      <c r="G1487" s="129"/>
    </row>
    <row r="1488" spans="2:7" x14ac:dyDescent="0.2">
      <c r="B1488" s="129"/>
      <c r="C1488" s="129"/>
      <c r="D1488" s="129"/>
      <c r="E1488" s="129"/>
      <c r="F1488" s="129"/>
      <c r="G1488" s="129"/>
    </row>
    <row r="1489" spans="2:7" x14ac:dyDescent="0.2">
      <c r="B1489" s="129"/>
      <c r="C1489" s="129"/>
      <c r="D1489" s="129"/>
      <c r="E1489" s="129"/>
      <c r="F1489" s="129"/>
      <c r="G1489" s="129"/>
    </row>
    <row r="1490" spans="2:7" x14ac:dyDescent="0.2">
      <c r="B1490" s="129"/>
      <c r="C1490" s="129"/>
      <c r="D1490" s="129"/>
      <c r="E1490" s="129"/>
      <c r="F1490" s="129"/>
      <c r="G1490" s="129"/>
    </row>
    <row r="1491" spans="2:7" x14ac:dyDescent="0.2">
      <c r="B1491" s="129"/>
      <c r="C1491" s="129"/>
      <c r="D1491" s="129"/>
      <c r="E1491" s="129"/>
      <c r="F1491" s="129"/>
      <c r="G1491" s="129"/>
    </row>
    <row r="1492" spans="2:7" x14ac:dyDescent="0.2">
      <c r="B1492" s="129"/>
      <c r="C1492" s="129"/>
      <c r="D1492" s="129"/>
      <c r="E1492" s="129"/>
      <c r="F1492" s="129"/>
      <c r="G1492" s="129"/>
    </row>
    <row r="1493" spans="2:7" x14ac:dyDescent="0.2">
      <c r="B1493" s="129"/>
      <c r="C1493" s="129"/>
      <c r="D1493" s="129"/>
      <c r="E1493" s="129"/>
      <c r="F1493" s="129"/>
      <c r="G1493" s="129"/>
    </row>
    <row r="1494" spans="2:7" x14ac:dyDescent="0.2">
      <c r="B1494" s="129"/>
      <c r="C1494" s="129"/>
      <c r="D1494" s="129"/>
      <c r="E1494" s="129"/>
      <c r="F1494" s="129"/>
      <c r="G1494" s="129"/>
    </row>
    <row r="1495" spans="2:7" x14ac:dyDescent="0.2">
      <c r="B1495" s="129"/>
      <c r="C1495" s="129"/>
      <c r="D1495" s="129"/>
      <c r="E1495" s="129"/>
      <c r="F1495" s="129"/>
      <c r="G1495" s="129"/>
    </row>
    <row r="1496" spans="2:7" x14ac:dyDescent="0.2">
      <c r="B1496" s="129"/>
      <c r="C1496" s="129"/>
      <c r="D1496" s="129"/>
      <c r="E1496" s="129"/>
      <c r="F1496" s="129"/>
      <c r="G1496" s="129"/>
    </row>
    <row r="1497" spans="2:7" x14ac:dyDescent="0.2">
      <c r="B1497" s="129"/>
      <c r="C1497" s="129"/>
      <c r="D1497" s="129"/>
      <c r="E1497" s="129"/>
      <c r="F1497" s="129"/>
      <c r="G1497" s="129"/>
    </row>
    <row r="1498" spans="2:7" x14ac:dyDescent="0.2">
      <c r="B1498" s="129"/>
      <c r="C1498" s="129"/>
      <c r="D1498" s="129"/>
      <c r="E1498" s="129"/>
      <c r="F1498" s="129"/>
      <c r="G1498" s="129"/>
    </row>
    <row r="1499" spans="2:7" x14ac:dyDescent="0.2">
      <c r="B1499" s="129"/>
      <c r="C1499" s="129"/>
      <c r="D1499" s="129"/>
      <c r="E1499" s="129"/>
      <c r="F1499" s="129"/>
      <c r="G1499" s="129"/>
    </row>
    <row r="1500" spans="2:7" x14ac:dyDescent="0.2">
      <c r="B1500" s="129"/>
      <c r="C1500" s="129"/>
      <c r="D1500" s="129"/>
      <c r="E1500" s="129"/>
      <c r="F1500" s="129"/>
      <c r="G1500" s="129"/>
    </row>
    <row r="1501" spans="2:7" x14ac:dyDescent="0.2">
      <c r="B1501" s="129"/>
      <c r="C1501" s="129"/>
      <c r="D1501" s="129"/>
      <c r="E1501" s="129"/>
      <c r="F1501" s="129"/>
      <c r="G1501" s="129"/>
    </row>
    <row r="1502" spans="2:7" x14ac:dyDescent="0.2">
      <c r="B1502" s="129"/>
      <c r="C1502" s="129"/>
      <c r="D1502" s="129"/>
      <c r="E1502" s="129"/>
      <c r="F1502" s="129"/>
      <c r="G1502" s="129"/>
    </row>
    <row r="1503" spans="2:7" x14ac:dyDescent="0.2">
      <c r="B1503" s="129"/>
      <c r="C1503" s="129"/>
      <c r="D1503" s="129"/>
      <c r="E1503" s="129"/>
      <c r="F1503" s="129"/>
      <c r="G1503" s="129"/>
    </row>
    <row r="1504" spans="2:7" x14ac:dyDescent="0.2">
      <c r="B1504" s="129"/>
      <c r="C1504" s="129"/>
      <c r="D1504" s="129"/>
      <c r="E1504" s="129"/>
      <c r="F1504" s="129"/>
      <c r="G1504" s="129"/>
    </row>
    <row r="1505" spans="2:7" x14ac:dyDescent="0.2">
      <c r="B1505" s="129"/>
      <c r="C1505" s="129"/>
      <c r="D1505" s="129"/>
      <c r="E1505" s="129"/>
      <c r="F1505" s="129"/>
      <c r="G1505" s="129"/>
    </row>
    <row r="1506" spans="2:7" x14ac:dyDescent="0.2">
      <c r="B1506" s="129"/>
      <c r="C1506" s="129"/>
      <c r="D1506" s="129"/>
      <c r="E1506" s="129"/>
      <c r="F1506" s="129"/>
      <c r="G1506" s="129"/>
    </row>
    <row r="1507" spans="2:7" x14ac:dyDescent="0.2">
      <c r="B1507" s="129"/>
      <c r="C1507" s="129"/>
      <c r="D1507" s="129"/>
      <c r="E1507" s="129"/>
      <c r="F1507" s="129"/>
      <c r="G1507" s="129"/>
    </row>
    <row r="1508" spans="2:7" x14ac:dyDescent="0.2">
      <c r="B1508" s="129"/>
      <c r="C1508" s="129"/>
      <c r="D1508" s="129"/>
      <c r="E1508" s="129"/>
      <c r="F1508" s="129"/>
      <c r="G1508" s="129"/>
    </row>
    <row r="1509" spans="2:7" x14ac:dyDescent="0.2">
      <c r="B1509" s="129"/>
      <c r="C1509" s="129"/>
      <c r="D1509" s="129"/>
      <c r="E1509" s="129"/>
      <c r="F1509" s="129"/>
      <c r="G1509" s="129"/>
    </row>
    <row r="1510" spans="2:7" x14ac:dyDescent="0.2">
      <c r="B1510" s="129"/>
      <c r="C1510" s="129"/>
      <c r="D1510" s="129"/>
      <c r="E1510" s="129"/>
      <c r="F1510" s="129"/>
      <c r="G1510" s="129"/>
    </row>
    <row r="1511" spans="2:7" x14ac:dyDescent="0.2">
      <c r="B1511" s="129"/>
      <c r="C1511" s="129"/>
      <c r="D1511" s="129"/>
      <c r="E1511" s="129"/>
      <c r="F1511" s="129"/>
      <c r="G1511" s="129"/>
    </row>
    <row r="1512" spans="2:7" x14ac:dyDescent="0.2">
      <c r="B1512" s="129"/>
      <c r="C1512" s="129"/>
      <c r="D1512" s="129"/>
      <c r="E1512" s="129"/>
      <c r="F1512" s="129"/>
      <c r="G1512" s="129"/>
    </row>
    <row r="1513" spans="2:7" x14ac:dyDescent="0.2">
      <c r="B1513" s="129"/>
      <c r="C1513" s="129"/>
      <c r="D1513" s="129"/>
      <c r="E1513" s="129"/>
      <c r="F1513" s="129"/>
      <c r="G1513" s="129"/>
    </row>
    <row r="1514" spans="2:7" x14ac:dyDescent="0.2">
      <c r="B1514" s="129"/>
      <c r="C1514" s="129"/>
      <c r="D1514" s="129"/>
      <c r="E1514" s="129"/>
      <c r="F1514" s="129"/>
      <c r="G1514" s="129"/>
    </row>
    <row r="1515" spans="2:7" x14ac:dyDescent="0.2">
      <c r="B1515" s="129"/>
      <c r="C1515" s="129"/>
      <c r="D1515" s="129"/>
      <c r="E1515" s="129"/>
      <c r="F1515" s="129"/>
      <c r="G1515" s="129"/>
    </row>
    <row r="1516" spans="2:7" x14ac:dyDescent="0.2">
      <c r="B1516" s="129"/>
      <c r="C1516" s="129"/>
      <c r="D1516" s="129"/>
      <c r="E1516" s="129"/>
      <c r="F1516" s="129"/>
      <c r="G1516" s="129"/>
    </row>
    <row r="1517" spans="2:7" x14ac:dyDescent="0.2">
      <c r="B1517" s="129"/>
      <c r="C1517" s="129"/>
      <c r="D1517" s="129"/>
      <c r="E1517" s="129"/>
      <c r="F1517" s="129"/>
      <c r="G1517" s="129"/>
    </row>
    <row r="1518" spans="2:7" x14ac:dyDescent="0.2">
      <c r="B1518" s="129"/>
      <c r="C1518" s="129"/>
      <c r="D1518" s="129"/>
      <c r="E1518" s="129"/>
      <c r="F1518" s="129"/>
      <c r="G1518" s="129"/>
    </row>
    <row r="1519" spans="2:7" x14ac:dyDescent="0.2">
      <c r="B1519" s="129"/>
      <c r="C1519" s="129"/>
      <c r="D1519" s="129"/>
      <c r="E1519" s="129"/>
      <c r="F1519" s="129"/>
      <c r="G1519" s="129"/>
    </row>
    <row r="1520" spans="2:7" x14ac:dyDescent="0.2">
      <c r="B1520" s="129"/>
      <c r="C1520" s="129"/>
      <c r="D1520" s="129"/>
      <c r="E1520" s="129"/>
      <c r="F1520" s="129"/>
      <c r="G1520" s="129"/>
    </row>
    <row r="1521" spans="2:7" x14ac:dyDescent="0.2">
      <c r="B1521" s="129"/>
      <c r="C1521" s="129"/>
      <c r="D1521" s="129"/>
      <c r="E1521" s="129"/>
      <c r="F1521" s="129"/>
      <c r="G1521" s="129"/>
    </row>
    <row r="1522" spans="2:7" x14ac:dyDescent="0.2">
      <c r="B1522" s="129"/>
      <c r="C1522" s="129"/>
      <c r="D1522" s="129"/>
      <c r="E1522" s="129"/>
      <c r="F1522" s="129"/>
      <c r="G1522" s="129"/>
    </row>
    <row r="1523" spans="2:7" x14ac:dyDescent="0.2">
      <c r="B1523" s="129"/>
      <c r="C1523" s="129"/>
      <c r="D1523" s="129"/>
      <c r="E1523" s="129"/>
      <c r="F1523" s="129"/>
      <c r="G1523" s="129"/>
    </row>
    <row r="1524" spans="2:7" x14ac:dyDescent="0.2">
      <c r="B1524" s="129"/>
      <c r="C1524" s="129"/>
      <c r="D1524" s="129"/>
      <c r="E1524" s="129"/>
      <c r="F1524" s="129"/>
      <c r="G1524" s="129"/>
    </row>
    <row r="1525" spans="2:7" x14ac:dyDescent="0.2">
      <c r="B1525" s="129"/>
      <c r="C1525" s="129"/>
      <c r="D1525" s="129"/>
      <c r="E1525" s="129"/>
      <c r="F1525" s="129"/>
      <c r="G1525" s="129"/>
    </row>
    <row r="1526" spans="2:7" x14ac:dyDescent="0.2">
      <c r="B1526" s="129"/>
      <c r="C1526" s="129"/>
      <c r="D1526" s="129"/>
      <c r="E1526" s="129"/>
      <c r="F1526" s="129"/>
      <c r="G1526" s="129"/>
    </row>
    <row r="1527" spans="2:7" x14ac:dyDescent="0.2">
      <c r="B1527" s="129"/>
      <c r="C1527" s="129"/>
      <c r="D1527" s="129"/>
      <c r="E1527" s="129"/>
      <c r="F1527" s="129"/>
      <c r="G1527" s="129"/>
    </row>
    <row r="1528" spans="2:7" x14ac:dyDescent="0.2">
      <c r="B1528" s="129"/>
      <c r="C1528" s="129"/>
      <c r="D1528" s="129"/>
      <c r="E1528" s="129"/>
      <c r="F1528" s="129"/>
      <c r="G1528" s="129"/>
    </row>
    <row r="1529" spans="2:7" x14ac:dyDescent="0.2">
      <c r="B1529" s="129"/>
      <c r="C1529" s="129"/>
      <c r="D1529" s="129"/>
      <c r="E1529" s="129"/>
      <c r="F1529" s="129"/>
      <c r="G1529" s="129"/>
    </row>
    <row r="1530" spans="2:7" x14ac:dyDescent="0.2">
      <c r="B1530" s="129"/>
      <c r="C1530" s="129"/>
      <c r="D1530" s="129"/>
      <c r="E1530" s="129"/>
      <c r="F1530" s="129"/>
      <c r="G1530" s="129"/>
    </row>
    <row r="1531" spans="2:7" x14ac:dyDescent="0.2">
      <c r="B1531" s="129"/>
      <c r="C1531" s="129"/>
      <c r="D1531" s="129"/>
      <c r="E1531" s="129"/>
      <c r="F1531" s="129"/>
      <c r="G1531" s="129"/>
    </row>
    <row r="1532" spans="2:7" x14ac:dyDescent="0.2">
      <c r="B1532" s="129"/>
      <c r="C1532" s="129"/>
      <c r="D1532" s="129"/>
      <c r="E1532" s="129"/>
      <c r="F1532" s="129"/>
      <c r="G1532" s="129"/>
    </row>
    <row r="1533" spans="2:7" x14ac:dyDescent="0.2">
      <c r="B1533" s="129"/>
      <c r="C1533" s="129"/>
      <c r="D1533" s="129"/>
      <c r="E1533" s="129"/>
      <c r="F1533" s="129"/>
      <c r="G1533" s="129"/>
    </row>
    <row r="1534" spans="2:7" x14ac:dyDescent="0.2">
      <c r="B1534" s="129"/>
      <c r="C1534" s="129"/>
      <c r="D1534" s="129"/>
      <c r="E1534" s="129"/>
      <c r="F1534" s="129"/>
      <c r="G1534" s="129"/>
    </row>
    <row r="1535" spans="2:7" x14ac:dyDescent="0.2">
      <c r="B1535" s="129"/>
      <c r="C1535" s="129"/>
      <c r="D1535" s="129"/>
      <c r="E1535" s="129"/>
      <c r="F1535" s="129"/>
      <c r="G1535" s="129"/>
    </row>
    <row r="1536" spans="2:7" x14ac:dyDescent="0.2">
      <c r="B1536" s="129"/>
      <c r="C1536" s="129"/>
      <c r="D1536" s="129"/>
      <c r="E1536" s="129"/>
      <c r="F1536" s="129"/>
      <c r="G1536" s="129"/>
    </row>
    <row r="1537" spans="2:7" x14ac:dyDescent="0.2">
      <c r="B1537" s="129"/>
      <c r="C1537" s="129"/>
      <c r="D1537" s="129"/>
      <c r="E1537" s="129"/>
      <c r="F1537" s="129"/>
      <c r="G1537" s="129"/>
    </row>
    <row r="1538" spans="2:7" x14ac:dyDescent="0.2">
      <c r="B1538" s="129"/>
      <c r="C1538" s="129"/>
      <c r="D1538" s="129"/>
      <c r="E1538" s="129"/>
      <c r="F1538" s="129"/>
      <c r="G1538" s="129"/>
    </row>
    <row r="1539" spans="2:7" x14ac:dyDescent="0.2">
      <c r="B1539" s="129"/>
      <c r="C1539" s="129"/>
      <c r="D1539" s="129"/>
      <c r="E1539" s="129"/>
      <c r="F1539" s="129"/>
      <c r="G1539" s="129"/>
    </row>
    <row r="1540" spans="2:7" x14ac:dyDescent="0.2">
      <c r="B1540" s="129"/>
      <c r="C1540" s="129"/>
      <c r="D1540" s="129"/>
      <c r="E1540" s="129"/>
      <c r="F1540" s="129"/>
      <c r="G1540" s="129"/>
    </row>
    <row r="1541" spans="2:7" x14ac:dyDescent="0.2">
      <c r="B1541" s="129"/>
      <c r="C1541" s="129"/>
      <c r="D1541" s="129"/>
      <c r="E1541" s="129"/>
      <c r="F1541" s="129"/>
      <c r="G1541" s="129"/>
    </row>
    <row r="1542" spans="2:7" x14ac:dyDescent="0.2">
      <c r="B1542" s="129"/>
      <c r="C1542" s="129"/>
      <c r="D1542" s="129"/>
      <c r="E1542" s="129"/>
      <c r="F1542" s="129"/>
      <c r="G1542" s="129"/>
    </row>
    <row r="1543" spans="2:7" x14ac:dyDescent="0.2">
      <c r="B1543" s="129"/>
      <c r="C1543" s="129"/>
      <c r="D1543" s="129"/>
      <c r="E1543" s="129"/>
      <c r="F1543" s="129"/>
      <c r="G1543" s="129"/>
    </row>
    <row r="1544" spans="2:7" x14ac:dyDescent="0.2">
      <c r="B1544" s="129"/>
      <c r="C1544" s="129"/>
      <c r="D1544" s="129"/>
      <c r="E1544" s="129"/>
      <c r="F1544" s="129"/>
      <c r="G1544" s="129"/>
    </row>
    <row r="1545" spans="2:7" x14ac:dyDescent="0.2">
      <c r="B1545" s="129"/>
      <c r="C1545" s="129"/>
      <c r="D1545" s="129"/>
      <c r="E1545" s="129"/>
      <c r="F1545" s="129"/>
      <c r="G1545" s="129"/>
    </row>
    <row r="1546" spans="2:7" x14ac:dyDescent="0.2">
      <c r="B1546" s="129"/>
      <c r="C1546" s="129"/>
      <c r="D1546" s="129"/>
      <c r="E1546" s="129"/>
      <c r="F1546" s="129"/>
      <c r="G1546" s="129"/>
    </row>
    <row r="1547" spans="2:7" x14ac:dyDescent="0.2">
      <c r="B1547" s="129"/>
      <c r="C1547" s="129"/>
      <c r="D1547" s="129"/>
      <c r="E1547" s="129"/>
      <c r="F1547" s="129"/>
      <c r="G1547" s="129"/>
    </row>
    <row r="1548" spans="2:7" x14ac:dyDescent="0.2">
      <c r="B1548" s="129"/>
      <c r="C1548" s="129"/>
      <c r="D1548" s="129"/>
      <c r="E1548" s="129"/>
      <c r="F1548" s="129"/>
      <c r="G1548" s="129"/>
    </row>
    <row r="1549" spans="2:7" x14ac:dyDescent="0.2">
      <c r="B1549" s="129"/>
      <c r="C1549" s="129"/>
      <c r="D1549" s="129"/>
      <c r="E1549" s="129"/>
      <c r="F1549" s="129"/>
      <c r="G1549" s="129"/>
    </row>
    <row r="1550" spans="2:7" x14ac:dyDescent="0.2">
      <c r="B1550" s="129"/>
      <c r="C1550" s="129"/>
      <c r="D1550" s="129"/>
      <c r="E1550" s="129"/>
      <c r="F1550" s="129"/>
      <c r="G1550" s="129"/>
    </row>
    <row r="1551" spans="2:7" x14ac:dyDescent="0.2">
      <c r="B1551" s="129"/>
      <c r="C1551" s="129"/>
      <c r="D1551" s="129"/>
      <c r="E1551" s="129"/>
      <c r="F1551" s="129"/>
      <c r="G1551" s="129"/>
    </row>
    <row r="1552" spans="2:7" x14ac:dyDescent="0.2">
      <c r="B1552" s="129"/>
      <c r="C1552" s="129"/>
      <c r="D1552" s="129"/>
      <c r="E1552" s="129"/>
      <c r="F1552" s="129"/>
      <c r="G1552" s="129"/>
    </row>
    <row r="1553" spans="2:7" x14ac:dyDescent="0.2">
      <c r="B1553" s="129"/>
      <c r="C1553" s="129"/>
      <c r="D1553" s="129"/>
      <c r="E1553" s="129"/>
      <c r="F1553" s="129"/>
      <c r="G1553" s="129"/>
    </row>
    <row r="1554" spans="2:7" x14ac:dyDescent="0.2">
      <c r="B1554" s="129"/>
      <c r="C1554" s="129"/>
      <c r="D1554" s="129"/>
      <c r="E1554" s="129"/>
      <c r="F1554" s="129"/>
      <c r="G1554" s="129"/>
    </row>
    <row r="1555" spans="2:7" x14ac:dyDescent="0.2">
      <c r="B1555" s="129"/>
      <c r="C1555" s="129"/>
      <c r="D1555" s="129"/>
      <c r="E1555" s="129"/>
      <c r="F1555" s="129"/>
      <c r="G1555" s="129"/>
    </row>
    <row r="1556" spans="2:7" x14ac:dyDescent="0.2">
      <c r="B1556" s="129"/>
      <c r="C1556" s="129"/>
      <c r="D1556" s="129"/>
      <c r="E1556" s="129"/>
      <c r="F1556" s="129"/>
      <c r="G1556" s="129"/>
    </row>
    <row r="1557" spans="2:7" x14ac:dyDescent="0.2">
      <c r="B1557" s="129"/>
      <c r="C1557" s="129"/>
      <c r="D1557" s="129"/>
      <c r="E1557" s="129"/>
      <c r="F1557" s="129"/>
      <c r="G1557" s="129"/>
    </row>
    <row r="1558" spans="2:7" x14ac:dyDescent="0.2">
      <c r="B1558" s="129"/>
      <c r="C1558" s="129"/>
      <c r="D1558" s="129"/>
      <c r="E1558" s="129"/>
      <c r="F1558" s="129"/>
      <c r="G1558" s="129"/>
    </row>
    <row r="1559" spans="2:7" x14ac:dyDescent="0.2">
      <c r="B1559" s="129"/>
      <c r="C1559" s="129"/>
      <c r="D1559" s="129"/>
      <c r="E1559" s="129"/>
      <c r="F1559" s="129"/>
      <c r="G1559" s="129"/>
    </row>
    <row r="1560" spans="2:7" x14ac:dyDescent="0.2">
      <c r="B1560" s="129"/>
      <c r="C1560" s="129"/>
      <c r="D1560" s="129"/>
      <c r="E1560" s="129"/>
      <c r="F1560" s="129"/>
      <c r="G1560" s="129"/>
    </row>
    <row r="1561" spans="2:7" x14ac:dyDescent="0.2">
      <c r="B1561" s="129"/>
      <c r="C1561" s="129"/>
      <c r="D1561" s="129"/>
      <c r="E1561" s="129"/>
      <c r="F1561" s="129"/>
      <c r="G1561" s="129"/>
    </row>
    <row r="1562" spans="2:7" x14ac:dyDescent="0.2">
      <c r="B1562" s="129"/>
      <c r="C1562" s="129"/>
      <c r="D1562" s="129"/>
      <c r="E1562" s="129"/>
      <c r="F1562" s="129"/>
      <c r="G1562" s="129"/>
    </row>
    <row r="1563" spans="2:7" x14ac:dyDescent="0.2">
      <c r="B1563" s="129"/>
      <c r="C1563" s="129"/>
      <c r="D1563" s="129"/>
      <c r="E1563" s="129"/>
      <c r="F1563" s="129"/>
      <c r="G1563" s="129"/>
    </row>
    <row r="1564" spans="2:7" x14ac:dyDescent="0.2">
      <c r="B1564" s="129"/>
      <c r="C1564" s="129"/>
      <c r="D1564" s="129"/>
      <c r="E1564" s="129"/>
      <c r="F1564" s="129"/>
      <c r="G1564" s="129"/>
    </row>
    <row r="1565" spans="2:7" x14ac:dyDescent="0.2">
      <c r="B1565" s="129"/>
      <c r="C1565" s="129"/>
      <c r="D1565" s="129"/>
      <c r="E1565" s="129"/>
      <c r="F1565" s="129"/>
      <c r="G1565" s="129"/>
    </row>
    <row r="1566" spans="2:7" x14ac:dyDescent="0.2">
      <c r="B1566" s="129"/>
      <c r="C1566" s="129"/>
      <c r="D1566" s="129"/>
      <c r="E1566" s="129"/>
      <c r="F1566" s="129"/>
      <c r="G1566" s="129"/>
    </row>
    <row r="1567" spans="2:7" x14ac:dyDescent="0.2">
      <c r="B1567" s="129"/>
      <c r="C1567" s="129"/>
      <c r="D1567" s="129"/>
      <c r="E1567" s="129"/>
      <c r="F1567" s="129"/>
      <c r="G1567" s="129"/>
    </row>
    <row r="1568" spans="2:7" x14ac:dyDescent="0.2">
      <c r="B1568" s="129"/>
      <c r="C1568" s="129"/>
      <c r="D1568" s="129"/>
      <c r="E1568" s="129"/>
      <c r="F1568" s="129"/>
      <c r="G1568" s="129"/>
    </row>
    <row r="1569" spans="2:7" x14ac:dyDescent="0.2">
      <c r="B1569" s="129"/>
      <c r="C1569" s="129"/>
      <c r="D1569" s="129"/>
      <c r="E1569" s="129"/>
      <c r="F1569" s="129"/>
      <c r="G1569" s="129"/>
    </row>
    <row r="1570" spans="2:7" x14ac:dyDescent="0.2">
      <c r="B1570" s="129"/>
      <c r="C1570" s="129"/>
      <c r="D1570" s="129"/>
      <c r="E1570" s="129"/>
      <c r="F1570" s="129"/>
      <c r="G1570" s="129"/>
    </row>
    <row r="1571" spans="2:7" x14ac:dyDescent="0.2">
      <c r="B1571" s="129"/>
      <c r="C1571" s="129"/>
      <c r="D1571" s="129"/>
      <c r="E1571" s="129"/>
      <c r="F1571" s="129"/>
      <c r="G1571" s="129"/>
    </row>
    <row r="1572" spans="2:7" x14ac:dyDescent="0.2">
      <c r="B1572" s="129"/>
      <c r="C1572" s="129"/>
      <c r="D1572" s="129"/>
      <c r="E1572" s="129"/>
      <c r="F1572" s="129"/>
      <c r="G1572" s="129"/>
    </row>
    <row r="1573" spans="2:7" x14ac:dyDescent="0.2">
      <c r="B1573" s="129"/>
      <c r="C1573" s="129"/>
      <c r="D1573" s="129"/>
      <c r="E1573" s="129"/>
      <c r="F1573" s="129"/>
      <c r="G1573" s="129"/>
    </row>
    <row r="1574" spans="2:7" x14ac:dyDescent="0.2">
      <c r="B1574" s="129"/>
      <c r="C1574" s="129"/>
      <c r="D1574" s="129"/>
      <c r="E1574" s="129"/>
      <c r="F1574" s="129"/>
      <c r="G1574" s="129"/>
    </row>
    <row r="1575" spans="2:7" x14ac:dyDescent="0.2">
      <c r="B1575" s="129"/>
      <c r="C1575" s="129"/>
      <c r="D1575" s="129"/>
      <c r="E1575" s="129"/>
      <c r="F1575" s="129"/>
      <c r="G1575" s="129"/>
    </row>
    <row r="1576" spans="2:7" x14ac:dyDescent="0.2">
      <c r="B1576" s="129"/>
      <c r="C1576" s="129"/>
      <c r="D1576" s="129"/>
      <c r="E1576" s="129"/>
      <c r="F1576" s="129"/>
      <c r="G1576" s="129"/>
    </row>
    <row r="1577" spans="2:7" x14ac:dyDescent="0.2">
      <c r="B1577" s="129"/>
      <c r="C1577" s="129"/>
      <c r="D1577" s="129"/>
      <c r="E1577" s="129"/>
      <c r="F1577" s="129"/>
      <c r="G1577" s="129"/>
    </row>
    <row r="1578" spans="2:7" x14ac:dyDescent="0.2">
      <c r="B1578" s="129"/>
      <c r="C1578" s="129"/>
      <c r="D1578" s="129"/>
      <c r="E1578" s="129"/>
      <c r="F1578" s="129"/>
      <c r="G1578" s="129"/>
    </row>
    <row r="1579" spans="2:7" x14ac:dyDescent="0.2">
      <c r="B1579" s="129"/>
      <c r="C1579" s="129"/>
      <c r="D1579" s="129"/>
      <c r="E1579" s="129"/>
      <c r="F1579" s="129"/>
      <c r="G1579" s="129"/>
    </row>
    <row r="1580" spans="2:7" x14ac:dyDescent="0.2">
      <c r="B1580" s="129"/>
      <c r="C1580" s="129"/>
      <c r="D1580" s="129"/>
      <c r="E1580" s="129"/>
      <c r="F1580" s="129"/>
      <c r="G1580" s="129"/>
    </row>
    <row r="1581" spans="2:7" x14ac:dyDescent="0.2">
      <c r="B1581" s="129"/>
      <c r="C1581" s="129"/>
      <c r="D1581" s="129"/>
      <c r="E1581" s="129"/>
      <c r="F1581" s="129"/>
      <c r="G1581" s="129"/>
    </row>
    <row r="1582" spans="2:7" x14ac:dyDescent="0.2">
      <c r="B1582" s="129"/>
      <c r="C1582" s="129"/>
      <c r="D1582" s="129"/>
      <c r="E1582" s="129"/>
      <c r="F1582" s="129"/>
      <c r="G1582" s="129"/>
    </row>
    <row r="1583" spans="2:7" x14ac:dyDescent="0.2">
      <c r="B1583" s="129"/>
      <c r="C1583" s="129"/>
      <c r="D1583" s="129"/>
      <c r="E1583" s="129"/>
      <c r="F1583" s="129"/>
      <c r="G1583" s="129"/>
    </row>
    <row r="1584" spans="2:7" x14ac:dyDescent="0.2">
      <c r="B1584" s="129"/>
      <c r="C1584" s="129"/>
      <c r="D1584" s="129"/>
      <c r="E1584" s="129"/>
      <c r="F1584" s="129"/>
      <c r="G1584" s="129"/>
    </row>
    <row r="1585" spans="2:7" x14ac:dyDescent="0.2">
      <c r="B1585" s="129"/>
      <c r="C1585" s="129"/>
      <c r="D1585" s="129"/>
      <c r="E1585" s="129"/>
      <c r="F1585" s="129"/>
      <c r="G1585" s="129"/>
    </row>
    <row r="1586" spans="2:7" x14ac:dyDescent="0.2">
      <c r="B1586" s="129"/>
      <c r="C1586" s="129"/>
      <c r="D1586" s="129"/>
      <c r="E1586" s="129"/>
      <c r="F1586" s="129"/>
      <c r="G1586" s="129"/>
    </row>
    <row r="1587" spans="2:7" x14ac:dyDescent="0.2">
      <c r="B1587" s="129"/>
      <c r="C1587" s="129"/>
      <c r="D1587" s="129"/>
      <c r="E1587" s="129"/>
      <c r="F1587" s="129"/>
      <c r="G1587" s="129"/>
    </row>
    <row r="1588" spans="2:7" x14ac:dyDescent="0.2">
      <c r="B1588" s="129"/>
      <c r="C1588" s="129"/>
      <c r="D1588" s="129"/>
      <c r="E1588" s="129"/>
      <c r="F1588" s="129"/>
      <c r="G1588" s="129"/>
    </row>
    <row r="1589" spans="2:7" x14ac:dyDescent="0.2">
      <c r="B1589" s="129"/>
      <c r="C1589" s="129"/>
      <c r="D1589" s="129"/>
      <c r="E1589" s="129"/>
      <c r="F1589" s="129"/>
      <c r="G1589" s="129"/>
    </row>
    <row r="1590" spans="2:7" x14ac:dyDescent="0.2">
      <c r="B1590" s="129"/>
      <c r="C1590" s="129"/>
      <c r="D1590" s="129"/>
      <c r="E1590" s="129"/>
      <c r="F1590" s="129"/>
      <c r="G1590" s="129"/>
    </row>
    <row r="1591" spans="2:7" x14ac:dyDescent="0.2">
      <c r="B1591" s="129"/>
      <c r="C1591" s="129"/>
      <c r="D1591" s="129"/>
      <c r="E1591" s="129"/>
      <c r="F1591" s="129"/>
      <c r="G1591" s="129"/>
    </row>
    <row r="1592" spans="2:7" x14ac:dyDescent="0.2">
      <c r="B1592" s="129"/>
      <c r="C1592" s="129"/>
      <c r="D1592" s="129"/>
      <c r="E1592" s="129"/>
      <c r="F1592" s="129"/>
      <c r="G1592" s="129"/>
    </row>
    <row r="1593" spans="2:7" x14ac:dyDescent="0.2">
      <c r="B1593" s="129"/>
      <c r="C1593" s="129"/>
      <c r="D1593" s="129"/>
      <c r="E1593" s="129"/>
      <c r="F1593" s="129"/>
      <c r="G1593" s="129"/>
    </row>
    <row r="1594" spans="2:7" x14ac:dyDescent="0.2">
      <c r="B1594" s="129"/>
      <c r="C1594" s="129"/>
      <c r="D1594" s="129"/>
      <c r="E1594" s="129"/>
      <c r="F1594" s="129"/>
      <c r="G1594" s="129"/>
    </row>
    <row r="1595" spans="2:7" x14ac:dyDescent="0.2">
      <c r="B1595" s="129"/>
      <c r="C1595" s="129"/>
      <c r="D1595" s="129"/>
      <c r="E1595" s="129"/>
      <c r="F1595" s="129"/>
      <c r="G1595" s="129"/>
    </row>
    <row r="1596" spans="2:7" x14ac:dyDescent="0.2">
      <c r="B1596" s="129"/>
      <c r="C1596" s="129"/>
      <c r="D1596" s="129"/>
      <c r="E1596" s="129"/>
      <c r="F1596" s="129"/>
      <c r="G1596" s="129"/>
    </row>
    <row r="1597" spans="2:7" x14ac:dyDescent="0.2">
      <c r="B1597" s="129"/>
      <c r="C1597" s="129"/>
      <c r="D1597" s="129"/>
      <c r="E1597" s="129"/>
      <c r="F1597" s="129"/>
      <c r="G1597" s="129"/>
    </row>
    <row r="1598" spans="2:7" x14ac:dyDescent="0.2">
      <c r="B1598" s="129"/>
      <c r="C1598" s="129"/>
      <c r="D1598" s="129"/>
      <c r="E1598" s="129"/>
      <c r="F1598" s="129"/>
      <c r="G1598" s="129"/>
    </row>
    <row r="1599" spans="2:7" x14ac:dyDescent="0.2">
      <c r="B1599" s="129"/>
      <c r="C1599" s="129"/>
      <c r="D1599" s="129"/>
      <c r="E1599" s="129"/>
      <c r="F1599" s="129"/>
      <c r="G1599" s="129"/>
    </row>
    <row r="1600" spans="2:7" x14ac:dyDescent="0.2">
      <c r="B1600" s="129"/>
      <c r="C1600" s="129"/>
      <c r="D1600" s="129"/>
      <c r="E1600" s="129"/>
      <c r="F1600" s="129"/>
      <c r="G1600" s="129"/>
    </row>
    <row r="1601" spans="2:7" x14ac:dyDescent="0.2">
      <c r="B1601" s="129"/>
      <c r="C1601" s="129"/>
      <c r="D1601" s="129"/>
      <c r="E1601" s="129"/>
      <c r="F1601" s="129"/>
      <c r="G1601" s="129"/>
    </row>
    <row r="1602" spans="2:7" x14ac:dyDescent="0.2">
      <c r="B1602" s="129"/>
      <c r="C1602" s="129"/>
      <c r="D1602" s="129"/>
      <c r="E1602" s="129"/>
      <c r="F1602" s="129"/>
      <c r="G1602" s="129"/>
    </row>
    <row r="1603" spans="2:7" x14ac:dyDescent="0.2">
      <c r="B1603" s="129"/>
      <c r="C1603" s="129"/>
      <c r="D1603" s="129"/>
      <c r="E1603" s="129"/>
      <c r="F1603" s="129"/>
      <c r="G1603" s="129"/>
    </row>
    <row r="1604" spans="2:7" x14ac:dyDescent="0.2">
      <c r="B1604" s="129"/>
      <c r="C1604" s="129"/>
      <c r="D1604" s="129"/>
      <c r="E1604" s="129"/>
      <c r="F1604" s="129"/>
      <c r="G1604" s="129"/>
    </row>
    <row r="1605" spans="2:7" x14ac:dyDescent="0.2">
      <c r="B1605" s="129"/>
      <c r="C1605" s="129"/>
      <c r="D1605" s="129"/>
      <c r="E1605" s="129"/>
      <c r="F1605" s="129"/>
      <c r="G1605" s="129"/>
    </row>
    <row r="1606" spans="2:7" x14ac:dyDescent="0.2">
      <c r="B1606" s="129"/>
      <c r="C1606" s="129"/>
      <c r="D1606" s="129"/>
      <c r="E1606" s="129"/>
      <c r="F1606" s="129"/>
      <c r="G1606" s="129"/>
    </row>
    <row r="1607" spans="2:7" x14ac:dyDescent="0.2">
      <c r="B1607" s="129"/>
      <c r="C1607" s="129"/>
      <c r="D1607" s="129"/>
      <c r="E1607" s="129"/>
      <c r="F1607" s="129"/>
      <c r="G1607" s="129"/>
    </row>
    <row r="1608" spans="2:7" x14ac:dyDescent="0.2">
      <c r="B1608" s="129"/>
      <c r="C1608" s="129"/>
      <c r="D1608" s="129"/>
      <c r="E1608" s="129"/>
      <c r="F1608" s="129"/>
      <c r="G1608" s="129"/>
    </row>
    <row r="1609" spans="2:7" x14ac:dyDescent="0.2">
      <c r="B1609" s="129"/>
      <c r="C1609" s="129"/>
      <c r="D1609" s="129"/>
      <c r="E1609" s="129"/>
      <c r="F1609" s="129"/>
      <c r="G1609" s="129"/>
    </row>
    <row r="1610" spans="2:7" x14ac:dyDescent="0.2">
      <c r="B1610" s="129"/>
      <c r="C1610" s="129"/>
      <c r="D1610" s="129"/>
      <c r="E1610" s="129"/>
      <c r="F1610" s="129"/>
      <c r="G1610" s="129"/>
    </row>
    <row r="1611" spans="2:7" x14ac:dyDescent="0.2">
      <c r="B1611" s="129"/>
      <c r="C1611" s="129"/>
      <c r="D1611" s="129"/>
      <c r="E1611" s="129"/>
      <c r="F1611" s="129"/>
      <c r="G1611" s="129"/>
    </row>
    <row r="1612" spans="2:7" x14ac:dyDescent="0.2">
      <c r="B1612" s="129"/>
      <c r="C1612" s="129"/>
      <c r="D1612" s="129"/>
      <c r="E1612" s="129"/>
      <c r="F1612" s="129"/>
      <c r="G1612" s="129"/>
    </row>
    <row r="1613" spans="2:7" x14ac:dyDescent="0.2">
      <c r="B1613" s="129"/>
      <c r="C1613" s="129"/>
      <c r="D1613" s="129"/>
      <c r="E1613" s="129"/>
      <c r="F1613" s="129"/>
      <c r="G1613" s="129"/>
    </row>
    <row r="1614" spans="2:7" x14ac:dyDescent="0.2">
      <c r="B1614" s="129"/>
      <c r="C1614" s="129"/>
      <c r="D1614" s="129"/>
      <c r="E1614" s="129"/>
      <c r="F1614" s="129"/>
      <c r="G1614" s="129"/>
    </row>
    <row r="1615" spans="2:7" x14ac:dyDescent="0.2">
      <c r="B1615" s="129"/>
      <c r="C1615" s="129"/>
      <c r="D1615" s="129"/>
      <c r="E1615" s="129"/>
      <c r="F1615" s="129"/>
      <c r="G1615" s="129"/>
    </row>
    <row r="1616" spans="2:7" x14ac:dyDescent="0.2">
      <c r="B1616" s="129"/>
      <c r="C1616" s="129"/>
      <c r="D1616" s="129"/>
      <c r="E1616" s="129"/>
      <c r="F1616" s="129"/>
      <c r="G1616" s="129"/>
    </row>
    <row r="1617" spans="2:7" x14ac:dyDescent="0.2">
      <c r="B1617" s="129"/>
      <c r="C1617" s="129"/>
      <c r="D1617" s="129"/>
      <c r="E1617" s="129"/>
      <c r="F1617" s="129"/>
      <c r="G1617" s="129"/>
    </row>
    <row r="1618" spans="2:7" x14ac:dyDescent="0.2">
      <c r="B1618" s="129"/>
      <c r="C1618" s="129"/>
      <c r="D1618" s="129"/>
      <c r="E1618" s="129"/>
      <c r="F1618" s="129"/>
      <c r="G1618" s="129"/>
    </row>
    <row r="1619" spans="2:7" x14ac:dyDescent="0.2">
      <c r="B1619" s="129"/>
      <c r="C1619" s="129"/>
      <c r="D1619" s="129"/>
      <c r="E1619" s="129"/>
      <c r="F1619" s="129"/>
      <c r="G1619" s="129"/>
    </row>
    <row r="1620" spans="2:7" x14ac:dyDescent="0.2">
      <c r="B1620" s="129"/>
      <c r="C1620" s="129"/>
      <c r="D1620" s="129"/>
      <c r="E1620" s="129"/>
      <c r="F1620" s="129"/>
      <c r="G1620" s="129"/>
    </row>
    <row r="1621" spans="2:7" x14ac:dyDescent="0.2">
      <c r="B1621" s="129"/>
      <c r="C1621" s="129"/>
      <c r="D1621" s="129"/>
      <c r="E1621" s="129"/>
      <c r="F1621" s="129"/>
      <c r="G1621" s="129"/>
    </row>
    <row r="1622" spans="2:7" x14ac:dyDescent="0.2">
      <c r="B1622" s="129"/>
      <c r="C1622" s="129"/>
      <c r="D1622" s="129"/>
      <c r="E1622" s="129"/>
      <c r="F1622" s="129"/>
      <c r="G1622" s="129"/>
    </row>
    <row r="1623" spans="2:7" x14ac:dyDescent="0.2">
      <c r="B1623" s="129"/>
      <c r="C1623" s="129"/>
      <c r="D1623" s="129"/>
      <c r="E1623" s="129"/>
      <c r="F1623" s="129"/>
      <c r="G1623" s="129"/>
    </row>
    <row r="1624" spans="2:7" x14ac:dyDescent="0.2">
      <c r="B1624" s="129"/>
      <c r="C1624" s="129"/>
      <c r="D1624" s="129"/>
      <c r="E1624" s="129"/>
      <c r="F1624" s="129"/>
      <c r="G1624" s="129"/>
    </row>
    <row r="1625" spans="2:7" x14ac:dyDescent="0.2">
      <c r="B1625" s="129"/>
      <c r="C1625" s="129"/>
      <c r="D1625" s="129"/>
      <c r="E1625" s="129"/>
      <c r="F1625" s="129"/>
      <c r="G1625" s="129"/>
    </row>
    <row r="1626" spans="2:7" x14ac:dyDescent="0.2">
      <c r="B1626" s="129"/>
      <c r="C1626" s="129"/>
      <c r="D1626" s="129"/>
      <c r="E1626" s="129"/>
      <c r="F1626" s="129"/>
      <c r="G1626" s="129"/>
    </row>
    <row r="1627" spans="2:7" x14ac:dyDescent="0.2">
      <c r="B1627" s="129"/>
      <c r="C1627" s="129"/>
      <c r="D1627" s="129"/>
      <c r="E1627" s="129"/>
      <c r="F1627" s="129"/>
      <c r="G1627" s="129"/>
    </row>
    <row r="1628" spans="2:7" x14ac:dyDescent="0.2">
      <c r="B1628" s="129"/>
      <c r="C1628" s="129"/>
      <c r="D1628" s="129"/>
      <c r="E1628" s="129"/>
      <c r="F1628" s="129"/>
      <c r="G1628" s="129"/>
    </row>
    <row r="1629" spans="2:7" x14ac:dyDescent="0.2">
      <c r="B1629" s="129"/>
      <c r="C1629" s="129"/>
      <c r="D1629" s="129"/>
      <c r="E1629" s="129"/>
      <c r="F1629" s="129"/>
      <c r="G1629" s="129"/>
    </row>
    <row r="1630" spans="2:7" x14ac:dyDescent="0.2">
      <c r="B1630" s="129"/>
      <c r="C1630" s="129"/>
      <c r="D1630" s="129"/>
      <c r="E1630" s="129"/>
      <c r="F1630" s="129"/>
      <c r="G1630" s="129"/>
    </row>
    <row r="1631" spans="2:7" x14ac:dyDescent="0.2">
      <c r="B1631" s="129"/>
      <c r="C1631" s="129"/>
      <c r="D1631" s="129"/>
      <c r="E1631" s="129"/>
      <c r="F1631" s="129"/>
      <c r="G1631" s="129"/>
    </row>
    <row r="1632" spans="2:7" x14ac:dyDescent="0.2">
      <c r="B1632" s="129"/>
      <c r="C1632" s="129"/>
      <c r="D1632" s="129"/>
      <c r="E1632" s="129"/>
      <c r="F1632" s="129"/>
      <c r="G1632" s="129"/>
    </row>
    <row r="1633" spans="2:7" x14ac:dyDescent="0.2">
      <c r="B1633" s="129"/>
      <c r="C1633" s="129"/>
      <c r="D1633" s="129"/>
      <c r="E1633" s="129"/>
      <c r="F1633" s="129"/>
      <c r="G1633" s="129"/>
    </row>
    <row r="1634" spans="2:7" x14ac:dyDescent="0.2">
      <c r="B1634" s="129"/>
      <c r="C1634" s="129"/>
      <c r="D1634" s="129"/>
      <c r="E1634" s="129"/>
      <c r="F1634" s="129"/>
      <c r="G1634" s="129"/>
    </row>
    <row r="1635" spans="2:7" x14ac:dyDescent="0.2">
      <c r="B1635" s="129"/>
      <c r="C1635" s="129"/>
      <c r="D1635" s="129"/>
      <c r="E1635" s="129"/>
      <c r="F1635" s="129"/>
      <c r="G1635" s="129"/>
    </row>
    <row r="1636" spans="2:7" x14ac:dyDescent="0.2">
      <c r="B1636" s="129"/>
      <c r="C1636" s="129"/>
      <c r="D1636" s="129"/>
      <c r="E1636" s="129"/>
      <c r="F1636" s="129"/>
      <c r="G1636" s="129"/>
    </row>
    <row r="1637" spans="2:7" x14ac:dyDescent="0.2">
      <c r="B1637" s="129"/>
      <c r="C1637" s="129"/>
      <c r="D1637" s="129"/>
      <c r="E1637" s="129"/>
      <c r="F1637" s="129"/>
      <c r="G1637" s="129"/>
    </row>
    <row r="1638" spans="2:7" x14ac:dyDescent="0.2">
      <c r="B1638" s="129"/>
      <c r="C1638" s="129"/>
      <c r="D1638" s="129"/>
      <c r="E1638" s="129"/>
      <c r="F1638" s="129"/>
      <c r="G1638" s="129"/>
    </row>
    <row r="1639" spans="2:7" x14ac:dyDescent="0.2">
      <c r="B1639" s="129"/>
      <c r="C1639" s="129"/>
      <c r="D1639" s="129"/>
      <c r="E1639" s="129"/>
      <c r="F1639" s="129"/>
      <c r="G1639" s="129"/>
    </row>
    <row r="1640" spans="2:7" x14ac:dyDescent="0.2">
      <c r="B1640" s="129"/>
      <c r="C1640" s="129"/>
      <c r="D1640" s="129"/>
      <c r="E1640" s="129"/>
      <c r="F1640" s="129"/>
      <c r="G1640" s="129"/>
    </row>
    <row r="1641" spans="2:7" x14ac:dyDescent="0.2">
      <c r="B1641" s="129"/>
      <c r="C1641" s="129"/>
      <c r="D1641" s="129"/>
      <c r="E1641" s="129"/>
      <c r="F1641" s="129"/>
      <c r="G1641" s="129"/>
    </row>
    <row r="1642" spans="2:7" x14ac:dyDescent="0.2">
      <c r="B1642" s="129"/>
      <c r="C1642" s="129"/>
      <c r="D1642" s="129"/>
      <c r="E1642" s="129"/>
      <c r="F1642" s="129"/>
      <c r="G1642" s="129"/>
    </row>
    <row r="1643" spans="2:7" x14ac:dyDescent="0.2">
      <c r="B1643" s="129"/>
      <c r="C1643" s="129"/>
      <c r="D1643" s="129"/>
      <c r="E1643" s="129"/>
      <c r="F1643" s="129"/>
      <c r="G1643" s="129"/>
    </row>
    <row r="1644" spans="2:7" x14ac:dyDescent="0.2">
      <c r="B1644" s="129"/>
      <c r="C1644" s="129"/>
      <c r="D1644" s="129"/>
      <c r="E1644" s="129"/>
      <c r="F1644" s="129"/>
      <c r="G1644" s="129"/>
    </row>
    <row r="1645" spans="2:7" x14ac:dyDescent="0.2">
      <c r="B1645" s="129"/>
      <c r="C1645" s="129"/>
      <c r="D1645" s="129"/>
      <c r="E1645" s="129"/>
      <c r="F1645" s="129"/>
      <c r="G1645" s="129"/>
    </row>
    <row r="1646" spans="2:7" x14ac:dyDescent="0.2">
      <c r="B1646" s="129"/>
      <c r="C1646" s="129"/>
      <c r="D1646" s="129"/>
      <c r="E1646" s="129"/>
      <c r="F1646" s="129"/>
      <c r="G1646" s="129"/>
    </row>
    <row r="1647" spans="2:7" x14ac:dyDescent="0.2">
      <c r="B1647" s="129"/>
      <c r="C1647" s="129"/>
      <c r="D1647" s="129"/>
      <c r="E1647" s="129"/>
      <c r="F1647" s="129"/>
      <c r="G1647" s="129"/>
    </row>
    <row r="1648" spans="2:7" x14ac:dyDescent="0.2">
      <c r="B1648" s="129"/>
      <c r="C1648" s="129"/>
      <c r="D1648" s="129"/>
      <c r="E1648" s="129"/>
      <c r="F1648" s="129"/>
      <c r="G1648" s="129"/>
    </row>
    <row r="1649" spans="2:7" x14ac:dyDescent="0.2">
      <c r="B1649" s="129"/>
      <c r="C1649" s="129"/>
      <c r="D1649" s="129"/>
      <c r="E1649" s="129"/>
      <c r="F1649" s="129"/>
      <c r="G1649" s="129"/>
    </row>
    <row r="1650" spans="2:7" x14ac:dyDescent="0.2">
      <c r="B1650" s="129"/>
      <c r="C1650" s="129"/>
      <c r="D1650" s="129"/>
      <c r="E1650" s="129"/>
      <c r="F1650" s="129"/>
      <c r="G1650" s="129"/>
    </row>
    <row r="1651" spans="2:7" x14ac:dyDescent="0.2">
      <c r="B1651" s="129"/>
      <c r="C1651" s="129"/>
      <c r="D1651" s="129"/>
      <c r="E1651" s="129"/>
      <c r="F1651" s="129"/>
      <c r="G1651" s="129"/>
    </row>
    <row r="1652" spans="2:7" x14ac:dyDescent="0.2">
      <c r="B1652" s="129"/>
      <c r="C1652" s="129"/>
      <c r="D1652" s="129"/>
      <c r="E1652" s="129"/>
      <c r="F1652" s="129"/>
      <c r="G1652" s="129"/>
    </row>
    <row r="1653" spans="2:7" x14ac:dyDescent="0.2">
      <c r="B1653" s="129"/>
      <c r="C1653" s="129"/>
      <c r="D1653" s="129"/>
      <c r="E1653" s="129"/>
      <c r="F1653" s="129"/>
      <c r="G1653" s="129"/>
    </row>
    <row r="1654" spans="2:7" x14ac:dyDescent="0.2">
      <c r="B1654" s="129"/>
      <c r="C1654" s="129"/>
      <c r="D1654" s="129"/>
      <c r="E1654" s="129"/>
      <c r="F1654" s="129"/>
      <c r="G1654" s="129"/>
    </row>
    <row r="1655" spans="2:7" x14ac:dyDescent="0.2">
      <c r="B1655" s="129"/>
      <c r="C1655" s="129"/>
      <c r="D1655" s="129"/>
      <c r="E1655" s="129"/>
      <c r="F1655" s="129"/>
      <c r="G1655" s="129"/>
    </row>
    <row r="1656" spans="2:7" x14ac:dyDescent="0.2">
      <c r="B1656" s="129"/>
      <c r="C1656" s="129"/>
      <c r="D1656" s="129"/>
      <c r="E1656" s="129"/>
      <c r="F1656" s="129"/>
      <c r="G1656" s="129"/>
    </row>
    <row r="1657" spans="2:7" x14ac:dyDescent="0.2">
      <c r="B1657" s="129"/>
      <c r="C1657" s="129"/>
      <c r="D1657" s="129"/>
      <c r="E1657" s="129"/>
      <c r="F1657" s="129"/>
      <c r="G1657" s="129"/>
    </row>
    <row r="1658" spans="2:7" x14ac:dyDescent="0.2">
      <c r="B1658" s="129"/>
      <c r="C1658" s="129"/>
      <c r="D1658" s="129"/>
      <c r="E1658" s="129"/>
      <c r="F1658" s="129"/>
      <c r="G1658" s="129"/>
    </row>
    <row r="1659" spans="2:7" x14ac:dyDescent="0.2">
      <c r="B1659" s="129"/>
      <c r="C1659" s="129"/>
      <c r="D1659" s="129"/>
      <c r="E1659" s="129"/>
      <c r="F1659" s="129"/>
      <c r="G1659" s="129"/>
    </row>
    <row r="1660" spans="2:7" x14ac:dyDescent="0.2">
      <c r="B1660" s="129"/>
      <c r="C1660" s="129"/>
      <c r="D1660" s="129"/>
      <c r="E1660" s="129"/>
      <c r="F1660" s="129"/>
      <c r="G1660" s="129"/>
    </row>
    <row r="1661" spans="2:7" x14ac:dyDescent="0.2">
      <c r="B1661" s="129"/>
      <c r="C1661" s="129"/>
      <c r="D1661" s="129"/>
      <c r="E1661" s="129"/>
      <c r="F1661" s="129"/>
      <c r="G1661" s="129"/>
    </row>
    <row r="1662" spans="2:7" x14ac:dyDescent="0.2">
      <c r="B1662" s="129"/>
      <c r="C1662" s="129"/>
      <c r="D1662" s="129"/>
      <c r="E1662" s="129"/>
      <c r="F1662" s="129"/>
      <c r="G1662" s="129"/>
    </row>
    <row r="1663" spans="2:7" x14ac:dyDescent="0.2">
      <c r="B1663" s="129"/>
      <c r="C1663" s="129"/>
      <c r="D1663" s="129"/>
      <c r="E1663" s="129"/>
      <c r="F1663" s="129"/>
      <c r="G1663" s="129"/>
    </row>
    <row r="1664" spans="2:7" x14ac:dyDescent="0.2">
      <c r="B1664" s="129"/>
      <c r="C1664" s="129"/>
      <c r="D1664" s="129"/>
      <c r="E1664" s="129"/>
      <c r="F1664" s="129"/>
      <c r="G1664" s="129"/>
    </row>
    <row r="1665" spans="2:7" x14ac:dyDescent="0.2">
      <c r="B1665" s="129"/>
      <c r="C1665" s="129"/>
      <c r="D1665" s="129"/>
      <c r="E1665" s="129"/>
      <c r="F1665" s="129"/>
      <c r="G1665" s="129"/>
    </row>
    <row r="1666" spans="2:7" x14ac:dyDescent="0.2">
      <c r="B1666" s="129"/>
      <c r="C1666" s="129"/>
      <c r="D1666" s="129"/>
      <c r="E1666" s="129"/>
      <c r="F1666" s="129"/>
      <c r="G1666" s="129"/>
    </row>
    <row r="1667" spans="2:7" x14ac:dyDescent="0.2">
      <c r="B1667" s="129"/>
      <c r="C1667" s="129"/>
      <c r="D1667" s="129"/>
      <c r="E1667" s="129"/>
      <c r="F1667" s="129"/>
      <c r="G1667" s="129"/>
    </row>
    <row r="1668" spans="2:7" x14ac:dyDescent="0.2">
      <c r="B1668" s="129"/>
      <c r="C1668" s="129"/>
      <c r="D1668" s="129"/>
      <c r="E1668" s="129"/>
      <c r="F1668" s="129"/>
      <c r="G1668" s="129"/>
    </row>
    <row r="1669" spans="2:7" x14ac:dyDescent="0.2">
      <c r="B1669" s="129"/>
      <c r="C1669" s="129"/>
      <c r="D1669" s="129"/>
      <c r="E1669" s="129"/>
      <c r="F1669" s="129"/>
      <c r="G1669" s="129"/>
    </row>
    <row r="1670" spans="2:7" x14ac:dyDescent="0.2">
      <c r="B1670" s="129"/>
      <c r="C1670" s="129"/>
      <c r="D1670" s="129"/>
      <c r="E1670" s="129"/>
      <c r="F1670" s="129"/>
      <c r="G1670" s="129"/>
    </row>
    <row r="1671" spans="2:7" x14ac:dyDescent="0.2">
      <c r="B1671" s="129"/>
      <c r="C1671" s="129"/>
      <c r="D1671" s="129"/>
      <c r="E1671" s="129"/>
      <c r="F1671" s="129"/>
      <c r="G1671" s="129"/>
    </row>
    <row r="1672" spans="2:7" x14ac:dyDescent="0.2">
      <c r="B1672" s="129"/>
      <c r="C1672" s="129"/>
      <c r="D1672" s="129"/>
      <c r="E1672" s="129"/>
      <c r="F1672" s="129"/>
      <c r="G1672" s="129"/>
    </row>
    <row r="1673" spans="2:7" x14ac:dyDescent="0.2">
      <c r="B1673" s="129"/>
      <c r="C1673" s="129"/>
      <c r="D1673" s="129"/>
      <c r="E1673" s="129"/>
      <c r="F1673" s="129"/>
      <c r="G1673" s="129"/>
    </row>
    <row r="1674" spans="2:7" x14ac:dyDescent="0.2">
      <c r="B1674" s="129"/>
      <c r="C1674" s="129"/>
      <c r="D1674" s="129"/>
      <c r="E1674" s="129"/>
      <c r="F1674" s="129"/>
      <c r="G1674" s="129"/>
    </row>
    <row r="1675" spans="2:7" x14ac:dyDescent="0.2">
      <c r="B1675" s="129"/>
      <c r="C1675" s="129"/>
      <c r="D1675" s="129"/>
      <c r="E1675" s="129"/>
      <c r="F1675" s="129"/>
      <c r="G1675" s="129"/>
    </row>
    <row r="1676" spans="2:7" x14ac:dyDescent="0.2">
      <c r="B1676" s="129"/>
      <c r="C1676" s="129"/>
      <c r="D1676" s="129"/>
      <c r="E1676" s="129"/>
      <c r="F1676" s="129"/>
      <c r="G1676" s="129"/>
    </row>
    <row r="1677" spans="2:7" x14ac:dyDescent="0.2">
      <c r="B1677" s="129"/>
      <c r="C1677" s="129"/>
      <c r="D1677" s="129"/>
      <c r="E1677" s="129"/>
      <c r="F1677" s="129"/>
      <c r="G1677" s="129"/>
    </row>
    <row r="1678" spans="2:7" x14ac:dyDescent="0.2">
      <c r="B1678" s="129"/>
      <c r="C1678" s="129"/>
      <c r="D1678" s="129"/>
      <c r="E1678" s="129"/>
      <c r="F1678" s="129"/>
      <c r="G1678" s="129"/>
    </row>
    <row r="1679" spans="2:7" x14ac:dyDescent="0.2">
      <c r="B1679" s="129"/>
      <c r="C1679" s="129"/>
      <c r="D1679" s="129"/>
      <c r="E1679" s="129"/>
      <c r="F1679" s="129"/>
      <c r="G1679" s="129"/>
    </row>
    <row r="1680" spans="2:7" x14ac:dyDescent="0.2">
      <c r="B1680" s="129"/>
      <c r="C1680" s="129"/>
      <c r="D1680" s="129"/>
      <c r="E1680" s="129"/>
      <c r="F1680" s="129"/>
      <c r="G1680" s="129"/>
    </row>
    <row r="1681" spans="2:7" x14ac:dyDescent="0.2">
      <c r="B1681" s="129"/>
      <c r="C1681" s="129"/>
      <c r="D1681" s="129"/>
      <c r="E1681" s="129"/>
      <c r="F1681" s="129"/>
      <c r="G1681" s="129"/>
    </row>
    <row r="1682" spans="2:7" x14ac:dyDescent="0.2">
      <c r="B1682" s="129"/>
      <c r="C1682" s="129"/>
      <c r="D1682" s="129"/>
      <c r="E1682" s="129"/>
      <c r="F1682" s="129"/>
      <c r="G1682" s="129"/>
    </row>
    <row r="1683" spans="2:7" x14ac:dyDescent="0.2">
      <c r="B1683" s="129"/>
      <c r="C1683" s="129"/>
      <c r="D1683" s="129"/>
      <c r="E1683" s="129"/>
      <c r="F1683" s="129"/>
      <c r="G1683" s="129"/>
    </row>
    <row r="1684" spans="2:7" x14ac:dyDescent="0.2">
      <c r="B1684" s="129"/>
      <c r="C1684" s="129"/>
      <c r="D1684" s="129"/>
      <c r="E1684" s="129"/>
      <c r="F1684" s="129"/>
      <c r="G1684" s="129"/>
    </row>
    <row r="1685" spans="2:7" x14ac:dyDescent="0.2">
      <c r="B1685" s="129"/>
      <c r="C1685" s="129"/>
      <c r="D1685" s="129"/>
      <c r="E1685" s="129"/>
      <c r="F1685" s="129"/>
      <c r="G1685" s="129"/>
    </row>
    <row r="1686" spans="2:7" x14ac:dyDescent="0.2">
      <c r="B1686" s="129"/>
      <c r="C1686" s="129"/>
      <c r="D1686" s="129"/>
      <c r="E1686" s="129"/>
      <c r="F1686" s="129"/>
      <c r="G1686" s="129"/>
    </row>
    <row r="1687" spans="2:7" x14ac:dyDescent="0.2">
      <c r="B1687" s="129"/>
      <c r="C1687" s="129"/>
      <c r="D1687" s="129"/>
      <c r="E1687" s="129"/>
      <c r="F1687" s="129"/>
      <c r="G1687" s="129"/>
    </row>
    <row r="1688" spans="2:7" x14ac:dyDescent="0.2">
      <c r="B1688" s="129"/>
      <c r="C1688" s="129"/>
      <c r="D1688" s="129"/>
      <c r="E1688" s="129"/>
      <c r="F1688" s="129"/>
      <c r="G1688" s="129"/>
    </row>
    <row r="1689" spans="2:7" x14ac:dyDescent="0.2">
      <c r="B1689" s="129"/>
      <c r="C1689" s="129"/>
      <c r="D1689" s="129"/>
      <c r="E1689" s="129"/>
      <c r="F1689" s="129"/>
      <c r="G1689" s="129"/>
    </row>
    <row r="1690" spans="2:7" x14ac:dyDescent="0.2">
      <c r="B1690" s="129"/>
      <c r="C1690" s="129"/>
      <c r="D1690" s="129"/>
      <c r="E1690" s="129"/>
      <c r="F1690" s="129"/>
      <c r="G1690" s="129"/>
    </row>
    <row r="1691" spans="2:7" x14ac:dyDescent="0.2">
      <c r="B1691" s="129"/>
      <c r="C1691" s="129"/>
      <c r="D1691" s="129"/>
      <c r="E1691" s="129"/>
      <c r="F1691" s="129"/>
      <c r="G1691" s="129"/>
    </row>
    <row r="1692" spans="2:7" x14ac:dyDescent="0.2">
      <c r="B1692" s="129"/>
      <c r="C1692" s="129"/>
      <c r="D1692" s="129"/>
      <c r="E1692" s="129"/>
      <c r="F1692" s="129"/>
      <c r="G1692" s="129"/>
    </row>
    <row r="1693" spans="2:7" x14ac:dyDescent="0.2">
      <c r="B1693" s="129"/>
      <c r="C1693" s="129"/>
      <c r="D1693" s="129"/>
      <c r="E1693" s="129"/>
      <c r="F1693" s="129"/>
      <c r="G1693" s="129"/>
    </row>
    <row r="1694" spans="2:7" x14ac:dyDescent="0.2">
      <c r="B1694" s="129"/>
      <c r="C1694" s="129"/>
      <c r="D1694" s="129"/>
      <c r="E1694" s="129"/>
      <c r="F1694" s="129"/>
      <c r="G1694" s="129"/>
    </row>
    <row r="1695" spans="2:7" x14ac:dyDescent="0.2">
      <c r="B1695" s="129"/>
      <c r="C1695" s="129"/>
      <c r="D1695" s="129"/>
      <c r="E1695" s="129"/>
      <c r="F1695" s="129"/>
      <c r="G1695" s="129"/>
    </row>
    <row r="1696" spans="2:7" x14ac:dyDescent="0.2">
      <c r="B1696" s="129"/>
      <c r="C1696" s="129"/>
      <c r="D1696" s="129"/>
      <c r="E1696" s="129"/>
      <c r="F1696" s="129"/>
      <c r="G1696" s="129"/>
    </row>
    <row r="1697" spans="2:7" x14ac:dyDescent="0.2">
      <c r="B1697" s="129"/>
      <c r="C1697" s="129"/>
      <c r="D1697" s="129"/>
      <c r="E1697" s="129"/>
      <c r="F1697" s="129"/>
      <c r="G1697" s="129"/>
    </row>
    <row r="1698" spans="2:7" x14ac:dyDescent="0.2">
      <c r="B1698" s="129"/>
      <c r="C1698" s="129"/>
      <c r="D1698" s="129"/>
      <c r="E1698" s="129"/>
      <c r="F1698" s="129"/>
      <c r="G1698" s="129"/>
    </row>
    <row r="1699" spans="2:7" x14ac:dyDescent="0.2">
      <c r="B1699" s="129"/>
      <c r="C1699" s="129"/>
      <c r="D1699" s="129"/>
      <c r="E1699" s="129"/>
      <c r="F1699" s="129"/>
      <c r="G1699" s="129"/>
    </row>
    <row r="1700" spans="2:7" x14ac:dyDescent="0.2">
      <c r="B1700" s="129"/>
      <c r="C1700" s="129"/>
      <c r="D1700" s="129"/>
      <c r="E1700" s="129"/>
      <c r="F1700" s="129"/>
      <c r="G1700" s="129"/>
    </row>
    <row r="1701" spans="2:7" x14ac:dyDescent="0.2">
      <c r="B1701" s="129"/>
      <c r="C1701" s="129"/>
      <c r="D1701" s="129"/>
      <c r="E1701" s="129"/>
      <c r="F1701" s="129"/>
      <c r="G1701" s="129"/>
    </row>
    <row r="1702" spans="2:7" x14ac:dyDescent="0.2">
      <c r="B1702" s="129"/>
      <c r="C1702" s="129"/>
      <c r="D1702" s="129"/>
      <c r="E1702" s="129"/>
      <c r="F1702" s="129"/>
      <c r="G1702" s="129"/>
    </row>
    <row r="1703" spans="2:7" x14ac:dyDescent="0.2">
      <c r="B1703" s="129"/>
      <c r="C1703" s="129"/>
      <c r="D1703" s="129"/>
      <c r="E1703" s="129"/>
      <c r="F1703" s="129"/>
      <c r="G1703" s="129"/>
    </row>
    <row r="1704" spans="2:7" x14ac:dyDescent="0.2">
      <c r="B1704" s="129"/>
      <c r="C1704" s="129"/>
      <c r="D1704" s="129"/>
      <c r="E1704" s="129"/>
      <c r="F1704" s="129"/>
      <c r="G1704" s="129"/>
    </row>
    <row r="1705" spans="2:7" x14ac:dyDescent="0.2">
      <c r="B1705" s="129"/>
      <c r="C1705" s="129"/>
      <c r="D1705" s="129"/>
      <c r="E1705" s="129"/>
      <c r="F1705" s="129"/>
      <c r="G1705" s="129"/>
    </row>
    <row r="1706" spans="2:7" x14ac:dyDescent="0.2">
      <c r="B1706" s="129"/>
      <c r="C1706" s="129"/>
      <c r="D1706" s="129"/>
      <c r="E1706" s="129"/>
      <c r="F1706" s="129"/>
      <c r="G1706" s="129"/>
    </row>
    <row r="1707" spans="2:7" x14ac:dyDescent="0.2">
      <c r="B1707" s="129"/>
      <c r="C1707" s="129"/>
      <c r="D1707" s="129"/>
      <c r="E1707" s="129"/>
      <c r="F1707" s="129"/>
      <c r="G1707" s="129"/>
    </row>
    <row r="1708" spans="2:7" x14ac:dyDescent="0.2">
      <c r="B1708" s="129"/>
      <c r="C1708" s="129"/>
      <c r="D1708" s="129"/>
      <c r="E1708" s="129"/>
      <c r="F1708" s="129"/>
      <c r="G1708" s="129"/>
    </row>
    <row r="1709" spans="2:7" x14ac:dyDescent="0.2">
      <c r="B1709" s="129"/>
      <c r="C1709" s="129"/>
      <c r="D1709" s="129"/>
      <c r="E1709" s="129"/>
      <c r="F1709" s="129"/>
      <c r="G1709" s="129"/>
    </row>
    <row r="1710" spans="2:7" x14ac:dyDescent="0.2">
      <c r="B1710" s="129"/>
      <c r="C1710" s="129"/>
      <c r="D1710" s="129"/>
      <c r="E1710" s="129"/>
      <c r="F1710" s="129"/>
      <c r="G1710" s="129"/>
    </row>
    <row r="1711" spans="2:7" x14ac:dyDescent="0.2">
      <c r="B1711" s="129"/>
      <c r="C1711" s="129"/>
      <c r="D1711" s="129"/>
      <c r="E1711" s="129"/>
      <c r="F1711" s="129"/>
      <c r="G1711" s="129"/>
    </row>
    <row r="1712" spans="2:7" x14ac:dyDescent="0.2">
      <c r="B1712" s="129"/>
      <c r="C1712" s="129"/>
      <c r="D1712" s="129"/>
      <c r="E1712" s="129"/>
      <c r="F1712" s="129"/>
      <c r="G1712" s="129"/>
    </row>
    <row r="1713" spans="2:7" x14ac:dyDescent="0.2">
      <c r="B1713" s="129"/>
      <c r="C1713" s="129"/>
      <c r="D1713" s="129"/>
      <c r="E1713" s="129"/>
      <c r="F1713" s="129"/>
      <c r="G1713" s="129"/>
    </row>
    <row r="1714" spans="2:7" x14ac:dyDescent="0.2">
      <c r="B1714" s="129"/>
      <c r="C1714" s="129"/>
      <c r="D1714" s="129"/>
      <c r="E1714" s="129"/>
      <c r="F1714" s="129"/>
      <c r="G1714" s="129"/>
    </row>
    <row r="1715" spans="2:7" x14ac:dyDescent="0.2">
      <c r="B1715" s="129"/>
      <c r="C1715" s="129"/>
      <c r="D1715" s="129"/>
      <c r="E1715" s="129"/>
      <c r="F1715" s="129"/>
      <c r="G1715" s="129"/>
    </row>
    <row r="1716" spans="2:7" x14ac:dyDescent="0.2">
      <c r="B1716" s="129"/>
      <c r="C1716" s="129"/>
      <c r="D1716" s="129"/>
      <c r="E1716" s="129"/>
      <c r="F1716" s="129"/>
      <c r="G1716" s="129"/>
    </row>
    <row r="1717" spans="2:7" x14ac:dyDescent="0.2">
      <c r="B1717" s="129"/>
      <c r="C1717" s="129"/>
      <c r="D1717" s="129"/>
      <c r="E1717" s="129"/>
      <c r="F1717" s="129"/>
      <c r="G1717" s="129"/>
    </row>
    <row r="1718" spans="2:7" x14ac:dyDescent="0.2">
      <c r="B1718" s="129"/>
      <c r="C1718" s="129"/>
      <c r="D1718" s="129"/>
      <c r="E1718" s="129"/>
      <c r="F1718" s="129"/>
      <c r="G1718" s="129"/>
    </row>
    <row r="1719" spans="2:7" x14ac:dyDescent="0.2">
      <c r="B1719" s="129"/>
      <c r="C1719" s="129"/>
      <c r="D1719" s="129"/>
      <c r="E1719" s="129"/>
      <c r="F1719" s="129"/>
      <c r="G1719" s="129"/>
    </row>
    <row r="1720" spans="2:7" x14ac:dyDescent="0.2">
      <c r="B1720" s="129"/>
      <c r="C1720" s="129"/>
      <c r="D1720" s="129"/>
      <c r="E1720" s="129"/>
      <c r="F1720" s="129"/>
      <c r="G1720" s="129"/>
    </row>
    <row r="1721" spans="2:7" x14ac:dyDescent="0.2">
      <c r="B1721" s="129"/>
      <c r="C1721" s="129"/>
      <c r="D1721" s="129"/>
      <c r="E1721" s="129"/>
      <c r="F1721" s="129"/>
      <c r="G1721" s="129"/>
    </row>
    <row r="1722" spans="2:7" x14ac:dyDescent="0.2">
      <c r="B1722" s="129"/>
      <c r="C1722" s="129"/>
      <c r="D1722" s="129"/>
      <c r="E1722" s="129"/>
      <c r="F1722" s="129"/>
      <c r="G1722" s="129"/>
    </row>
    <row r="1723" spans="2:7" x14ac:dyDescent="0.2">
      <c r="B1723" s="129"/>
      <c r="C1723" s="129"/>
      <c r="D1723" s="129"/>
      <c r="E1723" s="129"/>
      <c r="F1723" s="129"/>
      <c r="G1723" s="129"/>
    </row>
    <row r="1724" spans="2:7" x14ac:dyDescent="0.2">
      <c r="B1724" s="129"/>
      <c r="C1724" s="129"/>
      <c r="D1724" s="129"/>
      <c r="E1724" s="129"/>
      <c r="F1724" s="129"/>
      <c r="G1724" s="129"/>
    </row>
    <row r="1725" spans="2:7" x14ac:dyDescent="0.2">
      <c r="B1725" s="129"/>
      <c r="C1725" s="129"/>
      <c r="D1725" s="129"/>
      <c r="E1725" s="129"/>
      <c r="F1725" s="129"/>
      <c r="G1725" s="129"/>
    </row>
    <row r="1726" spans="2:7" x14ac:dyDescent="0.2">
      <c r="B1726" s="129"/>
      <c r="C1726" s="129"/>
      <c r="D1726" s="129"/>
      <c r="E1726" s="129"/>
      <c r="F1726" s="129"/>
      <c r="G1726" s="129"/>
    </row>
    <row r="1727" spans="2:7" x14ac:dyDescent="0.2">
      <c r="B1727" s="129"/>
      <c r="C1727" s="129"/>
      <c r="D1727" s="129"/>
      <c r="E1727" s="129"/>
      <c r="F1727" s="129"/>
      <c r="G1727" s="129"/>
    </row>
    <row r="1728" spans="2:7" x14ac:dyDescent="0.2">
      <c r="B1728" s="129"/>
      <c r="C1728" s="129"/>
      <c r="D1728" s="129"/>
      <c r="E1728" s="129"/>
      <c r="F1728" s="129"/>
      <c r="G1728" s="129"/>
    </row>
    <row r="1729" spans="2:7" x14ac:dyDescent="0.2">
      <c r="B1729" s="129"/>
      <c r="C1729" s="129"/>
      <c r="D1729" s="129"/>
      <c r="E1729" s="129"/>
      <c r="F1729" s="129"/>
      <c r="G1729" s="129"/>
    </row>
    <row r="1730" spans="2:7" x14ac:dyDescent="0.2">
      <c r="B1730" s="129"/>
      <c r="C1730" s="129"/>
      <c r="D1730" s="129"/>
      <c r="E1730" s="129"/>
      <c r="F1730" s="129"/>
      <c r="G1730" s="129"/>
    </row>
    <row r="1731" spans="2:7" x14ac:dyDescent="0.2">
      <c r="B1731" s="129"/>
      <c r="C1731" s="129"/>
      <c r="D1731" s="129"/>
      <c r="E1731" s="129"/>
      <c r="F1731" s="129"/>
      <c r="G1731" s="129"/>
    </row>
    <row r="1732" spans="2:7" x14ac:dyDescent="0.2">
      <c r="B1732" s="129"/>
      <c r="C1732" s="129"/>
      <c r="D1732" s="129"/>
      <c r="E1732" s="129"/>
      <c r="F1732" s="129"/>
      <c r="G1732" s="129"/>
    </row>
    <row r="1733" spans="2:7" x14ac:dyDescent="0.2">
      <c r="B1733" s="129"/>
      <c r="C1733" s="129"/>
      <c r="D1733" s="129"/>
      <c r="E1733" s="129"/>
      <c r="F1733" s="129"/>
      <c r="G1733" s="129"/>
    </row>
    <row r="1734" spans="2:7" x14ac:dyDescent="0.2">
      <c r="B1734" s="129"/>
      <c r="C1734" s="129"/>
      <c r="D1734" s="129"/>
      <c r="E1734" s="129"/>
      <c r="F1734" s="129"/>
      <c r="G1734" s="129"/>
    </row>
    <row r="1735" spans="2:7" x14ac:dyDescent="0.2">
      <c r="B1735" s="129"/>
      <c r="C1735" s="129"/>
      <c r="D1735" s="129"/>
      <c r="E1735" s="129"/>
      <c r="F1735" s="129"/>
      <c r="G1735" s="129"/>
    </row>
    <row r="1736" spans="2:7" x14ac:dyDescent="0.2">
      <c r="B1736" s="129"/>
      <c r="C1736" s="129"/>
      <c r="D1736" s="129"/>
      <c r="E1736" s="129"/>
      <c r="F1736" s="129"/>
      <c r="G1736" s="129"/>
    </row>
    <row r="1737" spans="2:7" x14ac:dyDescent="0.2">
      <c r="B1737" s="129"/>
      <c r="C1737" s="129"/>
      <c r="D1737" s="129"/>
      <c r="E1737" s="129"/>
      <c r="F1737" s="129"/>
      <c r="G1737" s="129"/>
    </row>
    <row r="1738" spans="2:7" x14ac:dyDescent="0.2">
      <c r="B1738" s="129"/>
      <c r="C1738" s="129"/>
      <c r="D1738" s="129"/>
      <c r="E1738" s="129"/>
      <c r="F1738" s="129"/>
      <c r="G1738" s="129"/>
    </row>
    <row r="1739" spans="2:7" x14ac:dyDescent="0.2">
      <c r="B1739" s="129"/>
      <c r="C1739" s="129"/>
      <c r="D1739" s="129"/>
      <c r="E1739" s="129"/>
      <c r="F1739" s="129"/>
      <c r="G1739" s="129"/>
    </row>
    <row r="1740" spans="2:7" x14ac:dyDescent="0.2">
      <c r="B1740" s="129"/>
      <c r="C1740" s="129"/>
      <c r="D1740" s="129"/>
      <c r="E1740" s="129"/>
      <c r="F1740" s="129"/>
      <c r="G1740" s="129"/>
    </row>
    <row r="1741" spans="2:7" x14ac:dyDescent="0.2">
      <c r="B1741" s="129"/>
      <c r="C1741" s="129"/>
      <c r="D1741" s="129"/>
      <c r="E1741" s="129"/>
      <c r="F1741" s="129"/>
      <c r="G1741" s="129"/>
    </row>
    <row r="1742" spans="2:7" x14ac:dyDescent="0.2">
      <c r="B1742" s="129"/>
      <c r="C1742" s="129"/>
      <c r="D1742" s="129"/>
      <c r="E1742" s="129"/>
      <c r="F1742" s="129"/>
      <c r="G1742" s="129"/>
    </row>
    <row r="1743" spans="2:7" x14ac:dyDescent="0.2">
      <c r="B1743" s="129"/>
      <c r="C1743" s="129"/>
      <c r="D1743" s="129"/>
      <c r="E1743" s="129"/>
      <c r="F1743" s="129"/>
      <c r="G1743" s="129"/>
    </row>
    <row r="1744" spans="2:7" x14ac:dyDescent="0.2">
      <c r="B1744" s="129"/>
      <c r="C1744" s="129"/>
      <c r="D1744" s="129"/>
      <c r="E1744" s="129"/>
      <c r="F1744" s="129"/>
      <c r="G1744" s="129"/>
    </row>
    <row r="1745" spans="2:7" x14ac:dyDescent="0.2">
      <c r="B1745" s="129"/>
      <c r="C1745" s="129"/>
      <c r="D1745" s="129"/>
      <c r="E1745" s="129"/>
      <c r="F1745" s="129"/>
      <c r="G1745" s="129"/>
    </row>
    <row r="1746" spans="2:7" x14ac:dyDescent="0.2">
      <c r="B1746" s="129"/>
      <c r="C1746" s="129"/>
      <c r="D1746" s="129"/>
      <c r="E1746" s="129"/>
      <c r="F1746" s="129"/>
      <c r="G1746" s="129"/>
    </row>
    <row r="1747" spans="2:7" x14ac:dyDescent="0.2">
      <c r="B1747" s="129"/>
      <c r="C1747" s="129"/>
      <c r="D1747" s="129"/>
      <c r="E1747" s="129"/>
      <c r="F1747" s="129"/>
      <c r="G1747" s="129"/>
    </row>
    <row r="1748" spans="2:7" x14ac:dyDescent="0.2">
      <c r="B1748" s="129"/>
      <c r="C1748" s="129"/>
      <c r="D1748" s="129"/>
      <c r="E1748" s="129"/>
      <c r="F1748" s="129"/>
      <c r="G1748" s="129"/>
    </row>
    <row r="1749" spans="2:7" x14ac:dyDescent="0.2">
      <c r="B1749" s="129"/>
      <c r="C1749" s="129"/>
      <c r="D1749" s="129"/>
      <c r="E1749" s="129"/>
      <c r="F1749" s="129"/>
      <c r="G1749" s="129"/>
    </row>
    <row r="1750" spans="2:7" x14ac:dyDescent="0.2">
      <c r="B1750" s="129"/>
      <c r="C1750" s="129"/>
      <c r="D1750" s="129"/>
      <c r="E1750" s="129"/>
      <c r="F1750" s="129"/>
      <c r="G1750" s="129"/>
    </row>
    <row r="1751" spans="2:7" x14ac:dyDescent="0.2">
      <c r="B1751" s="129"/>
      <c r="C1751" s="129"/>
      <c r="D1751" s="129"/>
      <c r="E1751" s="129"/>
      <c r="F1751" s="129"/>
      <c r="G1751" s="129"/>
    </row>
    <row r="1752" spans="2:7" x14ac:dyDescent="0.2">
      <c r="B1752" s="129"/>
      <c r="C1752" s="129"/>
      <c r="D1752" s="129"/>
      <c r="E1752" s="129"/>
      <c r="F1752" s="129"/>
      <c r="G1752" s="129"/>
    </row>
    <row r="1753" spans="2:7" x14ac:dyDescent="0.2">
      <c r="B1753" s="129"/>
      <c r="C1753" s="129"/>
      <c r="D1753" s="129"/>
      <c r="E1753" s="129"/>
      <c r="F1753" s="129"/>
      <c r="G1753" s="129"/>
    </row>
    <row r="1754" spans="2:7" x14ac:dyDescent="0.2">
      <c r="B1754" s="129"/>
      <c r="C1754" s="129"/>
      <c r="D1754" s="129"/>
      <c r="E1754" s="129"/>
      <c r="F1754" s="129"/>
      <c r="G1754" s="129"/>
    </row>
    <row r="1755" spans="2:7" x14ac:dyDescent="0.2">
      <c r="B1755" s="129"/>
      <c r="C1755" s="129"/>
      <c r="D1755" s="129"/>
      <c r="E1755" s="129"/>
      <c r="F1755" s="129"/>
      <c r="G1755" s="129"/>
    </row>
    <row r="1756" spans="2:7" x14ac:dyDescent="0.2">
      <c r="B1756" s="129"/>
      <c r="C1756" s="129"/>
      <c r="D1756" s="129"/>
      <c r="E1756" s="129"/>
      <c r="F1756" s="129"/>
      <c r="G1756" s="129"/>
    </row>
    <row r="1757" spans="2:7" x14ac:dyDescent="0.2">
      <c r="B1757" s="129"/>
      <c r="C1757" s="129"/>
      <c r="D1757" s="129"/>
      <c r="E1757" s="129"/>
      <c r="F1757" s="129"/>
      <c r="G1757" s="129"/>
    </row>
    <row r="1758" spans="2:7" x14ac:dyDescent="0.2">
      <c r="B1758" s="129"/>
      <c r="C1758" s="129"/>
      <c r="D1758" s="129"/>
      <c r="E1758" s="129"/>
      <c r="F1758" s="129"/>
      <c r="G1758" s="129"/>
    </row>
    <row r="1759" spans="2:7" x14ac:dyDescent="0.2">
      <c r="B1759" s="129"/>
      <c r="C1759" s="129"/>
      <c r="D1759" s="129"/>
      <c r="E1759" s="129"/>
      <c r="F1759" s="129"/>
      <c r="G1759" s="129"/>
    </row>
    <row r="1760" spans="2:7" x14ac:dyDescent="0.2">
      <c r="B1760" s="129"/>
      <c r="C1760" s="129"/>
      <c r="D1760" s="129"/>
      <c r="E1760" s="129"/>
      <c r="F1760" s="129"/>
      <c r="G1760" s="129"/>
    </row>
    <row r="1761" spans="2:7" x14ac:dyDescent="0.2">
      <c r="B1761" s="129"/>
      <c r="C1761" s="129"/>
      <c r="D1761" s="129"/>
      <c r="E1761" s="129"/>
      <c r="F1761" s="129"/>
      <c r="G1761" s="129"/>
    </row>
    <row r="1762" spans="2:7" x14ac:dyDescent="0.2">
      <c r="B1762" s="129"/>
      <c r="C1762" s="129"/>
      <c r="D1762" s="129"/>
      <c r="E1762" s="129"/>
      <c r="F1762" s="129"/>
      <c r="G1762" s="129"/>
    </row>
    <row r="1763" spans="2:7" x14ac:dyDescent="0.2">
      <c r="B1763" s="129"/>
      <c r="C1763" s="129"/>
      <c r="D1763" s="129"/>
      <c r="E1763" s="129"/>
      <c r="F1763" s="129"/>
      <c r="G1763" s="129"/>
    </row>
    <row r="1764" spans="2:7" x14ac:dyDescent="0.2">
      <c r="B1764" s="129"/>
      <c r="C1764" s="129"/>
      <c r="D1764" s="129"/>
      <c r="E1764" s="129"/>
      <c r="F1764" s="129"/>
      <c r="G1764" s="129"/>
    </row>
    <row r="1765" spans="2:7" x14ac:dyDescent="0.2">
      <c r="B1765" s="129"/>
      <c r="C1765" s="129"/>
      <c r="D1765" s="129"/>
      <c r="E1765" s="129"/>
      <c r="F1765" s="129"/>
      <c r="G1765" s="129"/>
    </row>
    <row r="1766" spans="2:7" x14ac:dyDescent="0.2">
      <c r="B1766" s="129"/>
      <c r="C1766" s="129"/>
      <c r="D1766" s="129"/>
      <c r="E1766" s="129"/>
      <c r="F1766" s="129"/>
      <c r="G1766" s="129"/>
    </row>
    <row r="1767" spans="2:7" x14ac:dyDescent="0.2">
      <c r="B1767" s="129"/>
      <c r="C1767" s="129"/>
      <c r="D1767" s="129"/>
      <c r="E1767" s="129"/>
      <c r="F1767" s="129"/>
      <c r="G1767" s="129"/>
    </row>
    <row r="1768" spans="2:7" x14ac:dyDescent="0.2">
      <c r="B1768" s="129"/>
      <c r="C1768" s="129"/>
      <c r="D1768" s="129"/>
      <c r="E1768" s="129"/>
      <c r="F1768" s="129"/>
      <c r="G1768" s="129"/>
    </row>
    <row r="1769" spans="2:7" x14ac:dyDescent="0.2">
      <c r="B1769" s="129"/>
      <c r="C1769" s="129"/>
      <c r="D1769" s="129"/>
      <c r="E1769" s="129"/>
      <c r="F1769" s="129"/>
      <c r="G1769" s="129"/>
    </row>
    <row r="1770" spans="2:7" x14ac:dyDescent="0.2">
      <c r="B1770" s="129"/>
      <c r="C1770" s="129"/>
      <c r="D1770" s="129"/>
      <c r="E1770" s="129"/>
      <c r="F1770" s="129"/>
      <c r="G1770" s="129"/>
    </row>
    <row r="1771" spans="2:7" x14ac:dyDescent="0.2">
      <c r="B1771" s="129"/>
      <c r="C1771" s="129"/>
      <c r="D1771" s="129"/>
      <c r="E1771" s="129"/>
      <c r="F1771" s="129"/>
      <c r="G1771" s="129"/>
    </row>
    <row r="1772" spans="2:7" x14ac:dyDescent="0.2">
      <c r="B1772" s="129"/>
      <c r="C1772" s="129"/>
      <c r="D1772" s="129"/>
      <c r="E1772" s="129"/>
      <c r="F1772" s="129"/>
      <c r="G1772" s="129"/>
    </row>
    <row r="1773" spans="2:7" x14ac:dyDescent="0.2">
      <c r="B1773" s="129"/>
      <c r="C1773" s="129"/>
      <c r="D1773" s="129"/>
      <c r="E1773" s="129"/>
      <c r="F1773" s="129"/>
      <c r="G1773" s="129"/>
    </row>
    <row r="1774" spans="2:7" x14ac:dyDescent="0.2">
      <c r="B1774" s="129"/>
      <c r="C1774" s="129"/>
      <c r="D1774" s="129"/>
      <c r="E1774" s="129"/>
      <c r="F1774" s="129"/>
      <c r="G1774" s="129"/>
    </row>
    <row r="1775" spans="2:7" x14ac:dyDescent="0.2">
      <c r="B1775" s="129"/>
      <c r="C1775" s="129"/>
      <c r="D1775" s="129"/>
      <c r="E1775" s="129"/>
      <c r="F1775" s="129"/>
      <c r="G1775" s="129"/>
    </row>
    <row r="1776" spans="2:7" x14ac:dyDescent="0.2">
      <c r="B1776" s="129"/>
      <c r="C1776" s="129"/>
      <c r="D1776" s="129"/>
      <c r="E1776" s="129"/>
      <c r="F1776" s="129"/>
      <c r="G1776" s="129"/>
    </row>
    <row r="1777" spans="2:7" x14ac:dyDescent="0.2">
      <c r="B1777" s="129"/>
      <c r="C1777" s="129"/>
      <c r="D1777" s="129"/>
      <c r="E1777" s="129"/>
      <c r="F1777" s="129"/>
      <c r="G1777" s="129"/>
    </row>
    <row r="1778" spans="2:7" x14ac:dyDescent="0.2">
      <c r="B1778" s="129"/>
      <c r="C1778" s="129"/>
      <c r="D1778" s="129"/>
      <c r="E1778" s="129"/>
      <c r="F1778" s="129"/>
      <c r="G1778" s="129"/>
    </row>
    <row r="1779" spans="2:7" x14ac:dyDescent="0.2">
      <c r="B1779" s="129"/>
      <c r="C1779" s="129"/>
      <c r="D1779" s="129"/>
      <c r="E1779" s="129"/>
      <c r="F1779" s="129"/>
      <c r="G1779" s="129"/>
    </row>
    <row r="1780" spans="2:7" x14ac:dyDescent="0.2">
      <c r="B1780" s="129"/>
      <c r="C1780" s="129"/>
      <c r="D1780" s="129"/>
      <c r="E1780" s="129"/>
      <c r="F1780" s="129"/>
      <c r="G1780" s="129"/>
    </row>
    <row r="1781" spans="2:7" x14ac:dyDescent="0.2">
      <c r="B1781" s="129"/>
      <c r="C1781" s="129"/>
      <c r="D1781" s="129"/>
      <c r="E1781" s="129"/>
      <c r="F1781" s="129"/>
      <c r="G1781" s="129"/>
    </row>
    <row r="1782" spans="2:7" x14ac:dyDescent="0.2">
      <c r="B1782" s="129"/>
      <c r="C1782" s="129"/>
      <c r="D1782" s="129"/>
      <c r="E1782" s="129"/>
      <c r="F1782" s="129"/>
      <c r="G1782" s="129"/>
    </row>
    <row r="1783" spans="2:7" x14ac:dyDescent="0.2">
      <c r="B1783" s="129"/>
      <c r="C1783" s="129"/>
      <c r="D1783" s="129"/>
      <c r="E1783" s="129"/>
      <c r="F1783" s="129"/>
      <c r="G1783" s="129"/>
    </row>
    <row r="1784" spans="2:7" x14ac:dyDescent="0.2">
      <c r="B1784" s="129"/>
      <c r="C1784" s="129"/>
      <c r="D1784" s="129"/>
      <c r="E1784" s="129"/>
      <c r="F1784" s="129"/>
      <c r="G1784" s="129"/>
    </row>
    <row r="1785" spans="2:7" x14ac:dyDescent="0.2">
      <c r="B1785" s="129"/>
      <c r="C1785" s="129"/>
      <c r="D1785" s="129"/>
      <c r="E1785" s="129"/>
      <c r="F1785" s="129"/>
      <c r="G1785" s="129"/>
    </row>
    <row r="1786" spans="2:7" x14ac:dyDescent="0.2">
      <c r="B1786" s="129"/>
      <c r="C1786" s="129"/>
      <c r="D1786" s="129"/>
      <c r="E1786" s="129"/>
      <c r="F1786" s="129"/>
      <c r="G1786" s="129"/>
    </row>
    <row r="1787" spans="2:7" x14ac:dyDescent="0.2">
      <c r="B1787" s="129"/>
      <c r="C1787" s="129"/>
      <c r="D1787" s="129"/>
      <c r="E1787" s="129"/>
      <c r="F1787" s="129"/>
      <c r="G1787" s="129"/>
    </row>
    <row r="1788" spans="2:7" x14ac:dyDescent="0.2">
      <c r="B1788" s="129"/>
      <c r="C1788" s="129"/>
      <c r="D1788" s="129"/>
      <c r="E1788" s="129"/>
      <c r="F1788" s="129"/>
      <c r="G1788" s="129"/>
    </row>
    <row r="1789" spans="2:7" x14ac:dyDescent="0.2">
      <c r="B1789" s="129"/>
      <c r="C1789" s="129"/>
      <c r="D1789" s="129"/>
      <c r="E1789" s="129"/>
      <c r="F1789" s="129"/>
      <c r="G1789" s="129"/>
    </row>
    <row r="1790" spans="2:7" x14ac:dyDescent="0.2">
      <c r="B1790" s="129"/>
      <c r="C1790" s="129"/>
      <c r="D1790" s="129"/>
      <c r="E1790" s="129"/>
      <c r="F1790" s="129"/>
      <c r="G1790" s="129"/>
    </row>
    <row r="1791" spans="2:7" x14ac:dyDescent="0.2">
      <c r="B1791" s="129"/>
      <c r="C1791" s="129"/>
      <c r="D1791" s="129"/>
      <c r="E1791" s="129"/>
      <c r="F1791" s="129"/>
      <c r="G1791" s="129"/>
    </row>
    <row r="1792" spans="2:7" x14ac:dyDescent="0.2">
      <c r="B1792" s="129"/>
      <c r="C1792" s="129"/>
      <c r="D1792" s="129"/>
      <c r="E1792" s="129"/>
      <c r="F1792" s="129"/>
      <c r="G1792" s="129"/>
    </row>
    <row r="1793" spans="2:7" x14ac:dyDescent="0.2">
      <c r="B1793" s="129"/>
      <c r="C1793" s="129"/>
      <c r="D1793" s="129"/>
      <c r="E1793" s="129"/>
      <c r="F1793" s="129"/>
      <c r="G1793" s="129"/>
    </row>
    <row r="1794" spans="2:7" x14ac:dyDescent="0.2">
      <c r="B1794" s="129"/>
      <c r="C1794" s="129"/>
      <c r="D1794" s="129"/>
      <c r="E1794" s="129"/>
      <c r="F1794" s="129"/>
      <c r="G1794" s="129"/>
    </row>
    <row r="1795" spans="2:7" x14ac:dyDescent="0.2">
      <c r="B1795" s="129"/>
      <c r="C1795" s="129"/>
      <c r="D1795" s="129"/>
      <c r="E1795" s="129"/>
      <c r="F1795" s="129"/>
      <c r="G1795" s="129"/>
    </row>
    <row r="1796" spans="2:7" x14ac:dyDescent="0.2">
      <c r="B1796" s="129"/>
      <c r="C1796" s="129"/>
      <c r="D1796" s="129"/>
      <c r="E1796" s="129"/>
      <c r="F1796" s="129"/>
      <c r="G1796" s="129"/>
    </row>
    <row r="1797" spans="2:7" x14ac:dyDescent="0.2">
      <c r="B1797" s="129"/>
      <c r="C1797" s="129"/>
      <c r="D1797" s="129"/>
      <c r="E1797" s="129"/>
      <c r="F1797" s="129"/>
      <c r="G1797" s="129"/>
    </row>
    <row r="1798" spans="2:7" x14ac:dyDescent="0.2">
      <c r="B1798" s="129"/>
      <c r="C1798" s="129"/>
      <c r="D1798" s="129"/>
      <c r="E1798" s="129"/>
      <c r="F1798" s="129"/>
      <c r="G1798" s="129"/>
    </row>
    <row r="1799" spans="2:7" x14ac:dyDescent="0.2">
      <c r="B1799" s="129"/>
      <c r="C1799" s="129"/>
      <c r="D1799" s="129"/>
      <c r="E1799" s="129"/>
      <c r="F1799" s="129"/>
      <c r="G1799" s="129"/>
    </row>
    <row r="1800" spans="2:7" x14ac:dyDescent="0.2">
      <c r="B1800" s="129"/>
      <c r="C1800" s="129"/>
      <c r="D1800" s="129"/>
      <c r="E1800" s="129"/>
      <c r="F1800" s="129"/>
      <c r="G1800" s="129"/>
    </row>
    <row r="1801" spans="2:7" x14ac:dyDescent="0.2">
      <c r="B1801" s="129"/>
      <c r="C1801" s="129"/>
      <c r="D1801" s="129"/>
      <c r="E1801" s="129"/>
      <c r="F1801" s="129"/>
      <c r="G1801" s="129"/>
    </row>
    <row r="1802" spans="2:7" x14ac:dyDescent="0.2">
      <c r="B1802" s="129"/>
      <c r="C1802" s="129"/>
      <c r="D1802" s="129"/>
      <c r="E1802" s="129"/>
      <c r="F1802" s="129"/>
      <c r="G1802" s="129"/>
    </row>
    <row r="1803" spans="2:7" x14ac:dyDescent="0.2">
      <c r="B1803" s="129"/>
      <c r="C1803" s="129"/>
      <c r="D1803" s="129"/>
      <c r="E1803" s="129"/>
      <c r="F1803" s="129"/>
      <c r="G1803" s="129"/>
    </row>
    <row r="1804" spans="2:7" x14ac:dyDescent="0.2">
      <c r="B1804" s="129"/>
      <c r="C1804" s="129"/>
      <c r="D1804" s="129"/>
      <c r="E1804" s="129"/>
      <c r="F1804" s="129"/>
      <c r="G1804" s="129"/>
    </row>
    <row r="1805" spans="2:7" x14ac:dyDescent="0.2">
      <c r="B1805" s="129"/>
      <c r="C1805" s="129"/>
      <c r="D1805" s="129"/>
      <c r="E1805" s="129"/>
      <c r="F1805" s="129"/>
      <c r="G1805" s="129"/>
    </row>
    <row r="1806" spans="2:7" x14ac:dyDescent="0.2">
      <c r="B1806" s="129"/>
      <c r="C1806" s="129"/>
      <c r="D1806" s="129"/>
      <c r="E1806" s="129"/>
      <c r="F1806" s="129"/>
      <c r="G1806" s="129"/>
    </row>
    <row r="1807" spans="2:7" x14ac:dyDescent="0.2">
      <c r="B1807" s="129"/>
      <c r="C1807" s="129"/>
      <c r="D1807" s="129"/>
      <c r="E1807" s="129"/>
      <c r="F1807" s="129"/>
      <c r="G1807" s="129"/>
    </row>
    <row r="1808" spans="2:7" x14ac:dyDescent="0.2">
      <c r="B1808" s="129"/>
      <c r="C1808" s="129"/>
      <c r="D1808" s="129"/>
      <c r="E1808" s="129"/>
      <c r="F1808" s="129"/>
      <c r="G1808" s="129"/>
    </row>
    <row r="1809" spans="2:7" x14ac:dyDescent="0.2">
      <c r="B1809" s="129"/>
      <c r="C1809" s="129"/>
      <c r="D1809" s="129"/>
      <c r="E1809" s="129"/>
      <c r="F1809" s="129"/>
      <c r="G1809" s="129"/>
    </row>
    <row r="1810" spans="2:7" x14ac:dyDescent="0.2">
      <c r="B1810" s="129"/>
      <c r="C1810" s="129"/>
      <c r="D1810" s="129"/>
      <c r="E1810" s="129"/>
      <c r="F1810" s="129"/>
      <c r="G1810" s="129"/>
    </row>
    <row r="1811" spans="2:7" x14ac:dyDescent="0.2">
      <c r="B1811" s="129"/>
      <c r="C1811" s="129"/>
      <c r="D1811" s="129"/>
      <c r="E1811" s="129"/>
      <c r="F1811" s="129"/>
      <c r="G1811" s="129"/>
    </row>
    <row r="1812" spans="2:7" x14ac:dyDescent="0.2">
      <c r="B1812" s="129"/>
      <c r="C1812" s="129"/>
      <c r="D1812" s="129"/>
      <c r="E1812" s="129"/>
      <c r="F1812" s="129"/>
      <c r="G1812" s="129"/>
    </row>
    <row r="1813" spans="2:7" x14ac:dyDescent="0.2">
      <c r="B1813" s="129"/>
      <c r="C1813" s="129"/>
      <c r="D1813" s="129"/>
      <c r="E1813" s="129"/>
      <c r="F1813" s="129"/>
      <c r="G1813" s="129"/>
    </row>
    <row r="1814" spans="2:7" x14ac:dyDescent="0.2">
      <c r="B1814" s="129"/>
      <c r="C1814" s="129"/>
      <c r="D1814" s="129"/>
      <c r="E1814" s="129"/>
      <c r="F1814" s="129"/>
      <c r="G1814" s="129"/>
    </row>
    <row r="1815" spans="2:7" x14ac:dyDescent="0.2">
      <c r="B1815" s="129"/>
      <c r="C1815" s="129"/>
      <c r="D1815" s="129"/>
      <c r="E1815" s="129"/>
      <c r="F1815" s="129"/>
      <c r="G1815" s="129"/>
    </row>
    <row r="1816" spans="2:7" x14ac:dyDescent="0.2">
      <c r="B1816" s="129"/>
      <c r="C1816" s="129"/>
      <c r="D1816" s="129"/>
      <c r="E1816" s="129"/>
      <c r="F1816" s="129"/>
      <c r="G1816" s="129"/>
    </row>
    <row r="1817" spans="2:7" x14ac:dyDescent="0.2">
      <c r="B1817" s="129"/>
      <c r="C1817" s="129"/>
      <c r="D1817" s="129"/>
      <c r="E1817" s="129"/>
      <c r="F1817" s="129"/>
      <c r="G1817" s="129"/>
    </row>
    <row r="1818" spans="2:7" x14ac:dyDescent="0.2">
      <c r="B1818" s="129"/>
      <c r="C1818" s="129"/>
      <c r="D1818" s="129"/>
      <c r="E1818" s="129"/>
      <c r="F1818" s="129"/>
      <c r="G1818" s="129"/>
    </row>
    <row r="1819" spans="2:7" x14ac:dyDescent="0.2">
      <c r="B1819" s="129"/>
      <c r="C1819" s="129"/>
      <c r="D1819" s="129"/>
      <c r="E1819" s="129"/>
      <c r="F1819" s="129"/>
      <c r="G1819" s="129"/>
    </row>
    <row r="1820" spans="2:7" x14ac:dyDescent="0.2">
      <c r="B1820" s="129"/>
      <c r="C1820" s="129"/>
      <c r="D1820" s="129"/>
      <c r="E1820" s="129"/>
      <c r="F1820" s="129"/>
      <c r="G1820" s="129"/>
    </row>
    <row r="1821" spans="2:7" x14ac:dyDescent="0.2">
      <c r="B1821" s="129"/>
      <c r="C1821" s="129"/>
      <c r="D1821" s="129"/>
      <c r="E1821" s="129"/>
      <c r="F1821" s="129"/>
      <c r="G1821" s="129"/>
    </row>
    <row r="1822" spans="2:7" x14ac:dyDescent="0.2">
      <c r="B1822" s="129"/>
      <c r="C1822" s="129"/>
      <c r="D1822" s="129"/>
      <c r="E1822" s="129"/>
      <c r="F1822" s="129"/>
      <c r="G1822" s="129"/>
    </row>
    <row r="1823" spans="2:7" x14ac:dyDescent="0.2">
      <c r="B1823" s="129"/>
      <c r="C1823" s="129"/>
      <c r="D1823" s="129"/>
      <c r="E1823" s="129"/>
      <c r="F1823" s="129"/>
      <c r="G1823" s="129"/>
    </row>
    <row r="1824" spans="2:7" x14ac:dyDescent="0.2">
      <c r="B1824" s="129"/>
      <c r="C1824" s="129"/>
      <c r="D1824" s="129"/>
      <c r="E1824" s="129"/>
      <c r="F1824" s="129"/>
      <c r="G1824" s="129"/>
    </row>
    <row r="1825" spans="2:7" x14ac:dyDescent="0.2">
      <c r="B1825" s="129"/>
      <c r="C1825" s="129"/>
      <c r="D1825" s="129"/>
      <c r="E1825" s="129"/>
      <c r="F1825" s="129"/>
      <c r="G1825" s="129"/>
    </row>
    <row r="1826" spans="2:7" x14ac:dyDescent="0.2">
      <c r="B1826" s="129"/>
      <c r="C1826" s="129"/>
      <c r="D1826" s="129"/>
      <c r="E1826" s="129"/>
      <c r="F1826" s="129"/>
      <c r="G1826" s="129"/>
    </row>
    <row r="1827" spans="2:7" x14ac:dyDescent="0.2">
      <c r="B1827" s="129"/>
      <c r="C1827" s="129"/>
      <c r="D1827" s="129"/>
      <c r="E1827" s="129"/>
      <c r="F1827" s="129"/>
      <c r="G1827" s="129"/>
    </row>
    <row r="1828" spans="2:7" x14ac:dyDescent="0.2">
      <c r="B1828" s="129"/>
      <c r="C1828" s="129"/>
      <c r="D1828" s="129"/>
      <c r="E1828" s="129"/>
      <c r="F1828" s="129"/>
      <c r="G1828" s="129"/>
    </row>
    <row r="1829" spans="2:7" x14ac:dyDescent="0.2">
      <c r="B1829" s="129"/>
      <c r="C1829" s="129"/>
      <c r="D1829" s="129"/>
      <c r="E1829" s="129"/>
      <c r="F1829" s="129"/>
      <c r="G1829" s="129"/>
    </row>
    <row r="1830" spans="2:7" x14ac:dyDescent="0.2">
      <c r="B1830" s="129"/>
      <c r="C1830" s="129"/>
      <c r="D1830" s="129"/>
      <c r="E1830" s="129"/>
      <c r="F1830" s="129"/>
      <c r="G1830" s="129"/>
    </row>
    <row r="1831" spans="2:7" x14ac:dyDescent="0.2">
      <c r="B1831" s="129"/>
      <c r="C1831" s="129"/>
      <c r="D1831" s="129"/>
      <c r="E1831" s="129"/>
      <c r="F1831" s="129"/>
      <c r="G1831" s="129"/>
    </row>
    <row r="1832" spans="2:7" x14ac:dyDescent="0.2">
      <c r="B1832" s="129"/>
      <c r="C1832" s="129"/>
      <c r="D1832" s="129"/>
      <c r="E1832" s="129"/>
      <c r="F1832" s="129"/>
      <c r="G1832" s="129"/>
    </row>
    <row r="1833" spans="2:7" x14ac:dyDescent="0.2">
      <c r="B1833" s="129"/>
      <c r="C1833" s="129"/>
      <c r="D1833" s="129"/>
      <c r="E1833" s="129"/>
      <c r="F1833" s="129"/>
      <c r="G1833" s="129"/>
    </row>
    <row r="1834" spans="2:7" x14ac:dyDescent="0.2">
      <c r="B1834" s="129"/>
      <c r="C1834" s="129"/>
      <c r="D1834" s="129"/>
      <c r="E1834" s="129"/>
      <c r="F1834" s="129"/>
      <c r="G1834" s="129"/>
    </row>
    <row r="1835" spans="2:7" x14ac:dyDescent="0.2">
      <c r="B1835" s="129"/>
      <c r="C1835" s="129"/>
      <c r="D1835" s="129"/>
      <c r="E1835" s="129"/>
      <c r="F1835" s="129"/>
      <c r="G1835" s="129"/>
    </row>
    <row r="1836" spans="2:7" x14ac:dyDescent="0.2">
      <c r="B1836" s="129"/>
      <c r="C1836" s="129"/>
      <c r="D1836" s="129"/>
      <c r="E1836" s="129"/>
      <c r="F1836" s="129"/>
      <c r="G1836" s="129"/>
    </row>
    <row r="1837" spans="2:7" x14ac:dyDescent="0.2">
      <c r="B1837" s="129"/>
      <c r="C1837" s="129"/>
      <c r="D1837" s="129"/>
      <c r="E1837" s="129"/>
      <c r="F1837" s="129"/>
      <c r="G1837" s="129"/>
    </row>
    <row r="1838" spans="2:7" x14ac:dyDescent="0.2">
      <c r="B1838" s="129"/>
      <c r="C1838" s="129"/>
      <c r="D1838" s="129"/>
      <c r="E1838" s="129"/>
      <c r="F1838" s="129"/>
      <c r="G1838" s="129"/>
    </row>
    <row r="1839" spans="2:7" x14ac:dyDescent="0.2">
      <c r="B1839" s="129"/>
      <c r="C1839" s="129"/>
      <c r="D1839" s="129"/>
      <c r="E1839" s="129"/>
      <c r="F1839" s="129"/>
      <c r="G1839" s="129"/>
    </row>
    <row r="1840" spans="2:7" x14ac:dyDescent="0.2">
      <c r="B1840" s="129"/>
      <c r="C1840" s="129"/>
      <c r="D1840" s="129"/>
      <c r="E1840" s="129"/>
      <c r="F1840" s="129"/>
      <c r="G1840" s="129"/>
    </row>
    <row r="1841" spans="2:7" x14ac:dyDescent="0.2">
      <c r="B1841" s="129"/>
      <c r="C1841" s="129"/>
      <c r="D1841" s="129"/>
      <c r="E1841" s="129"/>
      <c r="F1841" s="129"/>
      <c r="G1841" s="129"/>
    </row>
    <row r="1842" spans="2:7" x14ac:dyDescent="0.2">
      <c r="B1842" s="129"/>
      <c r="C1842" s="129"/>
      <c r="D1842" s="129"/>
      <c r="E1842" s="129"/>
      <c r="F1842" s="129"/>
      <c r="G1842" s="129"/>
    </row>
    <row r="1843" spans="2:7" x14ac:dyDescent="0.2">
      <c r="B1843" s="129"/>
      <c r="C1843" s="129"/>
      <c r="D1843" s="129"/>
      <c r="E1843" s="129"/>
      <c r="F1843" s="129"/>
      <c r="G1843" s="129"/>
    </row>
    <row r="1844" spans="2:7" x14ac:dyDescent="0.2">
      <c r="B1844" s="129"/>
      <c r="C1844" s="129"/>
      <c r="D1844" s="129"/>
      <c r="E1844" s="129"/>
      <c r="F1844" s="129"/>
      <c r="G1844" s="129"/>
    </row>
    <row r="1845" spans="2:7" x14ac:dyDescent="0.2">
      <c r="B1845" s="129"/>
      <c r="C1845" s="129"/>
      <c r="D1845" s="129"/>
      <c r="E1845" s="129"/>
      <c r="F1845" s="129"/>
      <c r="G1845" s="129"/>
    </row>
    <row r="1846" spans="2:7" x14ac:dyDescent="0.2">
      <c r="B1846" s="129"/>
      <c r="C1846" s="129"/>
      <c r="D1846" s="129"/>
      <c r="E1846" s="129"/>
      <c r="F1846" s="129"/>
      <c r="G1846" s="129"/>
    </row>
    <row r="1847" spans="2:7" x14ac:dyDescent="0.2">
      <c r="B1847" s="129"/>
      <c r="C1847" s="129"/>
      <c r="D1847" s="129"/>
      <c r="E1847" s="129"/>
      <c r="F1847" s="129"/>
      <c r="G1847" s="129"/>
    </row>
    <row r="1848" spans="2:7" x14ac:dyDescent="0.2">
      <c r="B1848" s="129"/>
      <c r="C1848" s="129"/>
      <c r="D1848" s="129"/>
      <c r="E1848" s="129"/>
      <c r="F1848" s="129"/>
      <c r="G1848" s="129"/>
    </row>
    <row r="1849" spans="2:7" x14ac:dyDescent="0.2">
      <c r="B1849" s="129"/>
      <c r="C1849" s="129"/>
      <c r="D1849" s="129"/>
      <c r="E1849" s="129"/>
      <c r="F1849" s="129"/>
      <c r="G1849" s="129"/>
    </row>
    <row r="1850" spans="2:7" x14ac:dyDescent="0.2">
      <c r="B1850" s="129"/>
      <c r="C1850" s="129"/>
      <c r="D1850" s="129"/>
      <c r="E1850" s="129"/>
      <c r="F1850" s="129"/>
      <c r="G1850" s="129"/>
    </row>
    <row r="1851" spans="2:7" x14ac:dyDescent="0.2">
      <c r="B1851" s="129"/>
      <c r="C1851" s="129"/>
      <c r="D1851" s="129"/>
      <c r="E1851" s="129"/>
      <c r="F1851" s="129"/>
      <c r="G1851" s="129"/>
    </row>
    <row r="1852" spans="2:7" x14ac:dyDescent="0.2">
      <c r="B1852" s="129"/>
      <c r="C1852" s="129"/>
      <c r="D1852" s="129"/>
      <c r="E1852" s="129"/>
      <c r="F1852" s="129"/>
      <c r="G1852" s="129"/>
    </row>
    <row r="1853" spans="2:7" x14ac:dyDescent="0.2">
      <c r="B1853" s="129"/>
      <c r="C1853" s="129"/>
      <c r="D1853" s="129"/>
      <c r="E1853" s="129"/>
      <c r="F1853" s="129"/>
      <c r="G1853" s="129"/>
    </row>
    <row r="1854" spans="2:7" x14ac:dyDescent="0.2">
      <c r="B1854" s="129"/>
      <c r="C1854" s="129"/>
      <c r="D1854" s="129"/>
      <c r="E1854" s="129"/>
      <c r="F1854" s="129"/>
      <c r="G1854" s="129"/>
    </row>
    <row r="1855" spans="2:7" x14ac:dyDescent="0.2">
      <c r="B1855" s="129"/>
      <c r="C1855" s="129"/>
      <c r="D1855" s="129"/>
      <c r="E1855" s="129"/>
      <c r="F1855" s="129"/>
      <c r="G1855" s="129"/>
    </row>
    <row r="1856" spans="2:7" x14ac:dyDescent="0.2">
      <c r="B1856" s="129"/>
      <c r="C1856" s="129"/>
      <c r="D1856" s="129"/>
      <c r="E1856" s="129"/>
      <c r="F1856" s="129"/>
      <c r="G1856" s="129"/>
    </row>
    <row r="1857" spans="2:7" x14ac:dyDescent="0.2">
      <c r="B1857" s="129"/>
      <c r="C1857" s="129"/>
      <c r="D1857" s="129"/>
      <c r="E1857" s="129"/>
      <c r="F1857" s="129"/>
      <c r="G1857" s="129"/>
    </row>
    <row r="1858" spans="2:7" x14ac:dyDescent="0.2">
      <c r="B1858" s="129"/>
      <c r="C1858" s="129"/>
      <c r="D1858" s="129"/>
      <c r="E1858" s="129"/>
      <c r="F1858" s="129"/>
      <c r="G1858" s="129"/>
    </row>
    <row r="1859" spans="2:7" x14ac:dyDescent="0.2">
      <c r="B1859" s="129"/>
      <c r="C1859" s="129"/>
      <c r="D1859" s="129"/>
      <c r="E1859" s="129"/>
      <c r="F1859" s="129"/>
      <c r="G1859" s="129"/>
    </row>
    <row r="1860" spans="2:7" x14ac:dyDescent="0.2">
      <c r="B1860" s="129"/>
      <c r="C1860" s="129"/>
      <c r="D1860" s="129"/>
      <c r="E1860" s="129"/>
      <c r="F1860" s="129"/>
      <c r="G1860" s="129"/>
    </row>
    <row r="1861" spans="2:7" x14ac:dyDescent="0.2">
      <c r="B1861" s="129"/>
      <c r="C1861" s="129"/>
      <c r="D1861" s="129"/>
      <c r="E1861" s="129"/>
      <c r="F1861" s="129"/>
      <c r="G1861" s="129"/>
    </row>
    <row r="1862" spans="2:7" x14ac:dyDescent="0.2">
      <c r="B1862" s="129"/>
      <c r="C1862" s="129"/>
      <c r="D1862" s="129"/>
      <c r="E1862" s="129"/>
      <c r="F1862" s="129"/>
      <c r="G1862" s="129"/>
    </row>
    <row r="1863" spans="2:7" x14ac:dyDescent="0.2">
      <c r="B1863" s="129"/>
      <c r="C1863" s="129"/>
      <c r="D1863" s="129"/>
      <c r="E1863" s="129"/>
      <c r="F1863" s="129"/>
      <c r="G1863" s="129"/>
    </row>
    <row r="1864" spans="2:7" x14ac:dyDescent="0.2">
      <c r="B1864" s="129"/>
      <c r="C1864" s="129"/>
      <c r="D1864" s="129"/>
      <c r="E1864" s="129"/>
      <c r="F1864" s="129"/>
      <c r="G1864" s="129"/>
    </row>
    <row r="1865" spans="2:7" x14ac:dyDescent="0.2">
      <c r="B1865" s="129"/>
      <c r="C1865" s="129"/>
      <c r="D1865" s="129"/>
      <c r="E1865" s="129"/>
      <c r="F1865" s="129"/>
      <c r="G1865" s="129"/>
    </row>
    <row r="1866" spans="2:7" x14ac:dyDescent="0.2">
      <c r="B1866" s="129"/>
      <c r="C1866" s="129"/>
      <c r="D1866" s="129"/>
      <c r="E1866" s="129"/>
      <c r="F1866" s="129"/>
      <c r="G1866" s="129"/>
    </row>
    <row r="1867" spans="2:7" x14ac:dyDescent="0.2">
      <c r="B1867" s="129"/>
      <c r="C1867" s="129"/>
      <c r="D1867" s="129"/>
      <c r="E1867" s="129"/>
      <c r="F1867" s="129"/>
      <c r="G1867" s="129"/>
    </row>
    <row r="1868" spans="2:7" x14ac:dyDescent="0.2">
      <c r="B1868" s="129"/>
      <c r="C1868" s="129"/>
      <c r="D1868" s="129"/>
      <c r="E1868" s="129"/>
      <c r="F1868" s="129"/>
      <c r="G1868" s="129"/>
    </row>
    <row r="1869" spans="2:7" x14ac:dyDescent="0.2">
      <c r="B1869" s="129"/>
      <c r="C1869" s="129"/>
      <c r="D1869" s="129"/>
      <c r="E1869" s="129"/>
      <c r="F1869" s="129"/>
      <c r="G1869" s="129"/>
    </row>
    <row r="1870" spans="2:7" x14ac:dyDescent="0.2">
      <c r="B1870" s="129"/>
      <c r="C1870" s="129"/>
      <c r="D1870" s="129"/>
      <c r="E1870" s="129"/>
      <c r="F1870" s="129"/>
      <c r="G1870" s="129"/>
    </row>
    <row r="1871" spans="2:7" x14ac:dyDescent="0.2">
      <c r="B1871" s="129"/>
      <c r="C1871" s="129"/>
      <c r="D1871" s="129"/>
      <c r="E1871" s="129"/>
      <c r="F1871" s="129"/>
      <c r="G1871" s="129"/>
    </row>
    <row r="1872" spans="2:7" x14ac:dyDescent="0.2">
      <c r="B1872" s="129"/>
      <c r="C1872" s="129"/>
      <c r="D1872" s="129"/>
      <c r="E1872" s="129"/>
      <c r="F1872" s="129"/>
      <c r="G1872" s="129"/>
    </row>
    <row r="1873" spans="2:7" x14ac:dyDescent="0.2">
      <c r="B1873" s="129"/>
      <c r="C1873" s="129"/>
      <c r="D1873" s="129"/>
      <c r="E1873" s="129"/>
      <c r="F1873" s="129"/>
      <c r="G1873" s="129"/>
    </row>
    <row r="1874" spans="2:7" x14ac:dyDescent="0.2">
      <c r="B1874" s="129"/>
      <c r="C1874" s="129"/>
      <c r="D1874" s="129"/>
      <c r="E1874" s="129"/>
      <c r="F1874" s="129"/>
      <c r="G1874" s="129"/>
    </row>
    <row r="1875" spans="2:7" x14ac:dyDescent="0.2">
      <c r="B1875" s="129"/>
      <c r="C1875" s="129"/>
      <c r="D1875" s="129"/>
      <c r="E1875" s="129"/>
      <c r="F1875" s="129"/>
      <c r="G1875" s="129"/>
    </row>
    <row r="1876" spans="2:7" x14ac:dyDescent="0.2">
      <c r="B1876" s="129"/>
      <c r="C1876" s="129"/>
      <c r="D1876" s="129"/>
      <c r="E1876" s="129"/>
      <c r="F1876" s="129"/>
      <c r="G1876" s="129"/>
    </row>
    <row r="1877" spans="2:7" x14ac:dyDescent="0.2">
      <c r="B1877" s="129"/>
      <c r="C1877" s="129"/>
      <c r="D1877" s="129"/>
      <c r="E1877" s="129"/>
      <c r="F1877" s="129"/>
      <c r="G1877" s="129"/>
    </row>
    <row r="1878" spans="2:7" x14ac:dyDescent="0.2">
      <c r="B1878" s="129"/>
      <c r="C1878" s="129"/>
      <c r="D1878" s="129"/>
      <c r="E1878" s="129"/>
      <c r="F1878" s="129"/>
      <c r="G1878" s="129"/>
    </row>
    <row r="1879" spans="2:7" x14ac:dyDescent="0.2">
      <c r="B1879" s="129"/>
      <c r="C1879" s="129"/>
      <c r="D1879" s="129"/>
      <c r="E1879" s="129"/>
      <c r="F1879" s="129"/>
      <c r="G1879" s="129"/>
    </row>
    <row r="1880" spans="2:7" x14ac:dyDescent="0.2">
      <c r="B1880" s="129"/>
      <c r="C1880" s="129"/>
      <c r="D1880" s="129"/>
      <c r="E1880" s="129"/>
      <c r="F1880" s="129"/>
      <c r="G1880" s="129"/>
    </row>
    <row r="1881" spans="2:7" x14ac:dyDescent="0.2">
      <c r="B1881" s="129"/>
      <c r="C1881" s="129"/>
      <c r="D1881" s="129"/>
      <c r="E1881" s="129"/>
      <c r="F1881" s="129"/>
      <c r="G1881" s="129"/>
    </row>
    <row r="1882" spans="2:7" x14ac:dyDescent="0.2">
      <c r="B1882" s="129"/>
      <c r="C1882" s="129"/>
      <c r="D1882" s="129"/>
      <c r="E1882" s="129"/>
      <c r="F1882" s="129"/>
      <c r="G1882" s="129"/>
    </row>
    <row r="1883" spans="2:7" x14ac:dyDescent="0.2">
      <c r="B1883" s="129"/>
      <c r="C1883" s="129"/>
      <c r="D1883" s="129"/>
      <c r="E1883" s="129"/>
      <c r="F1883" s="129"/>
      <c r="G1883" s="129"/>
    </row>
    <row r="1884" spans="2:7" x14ac:dyDescent="0.2">
      <c r="B1884" s="129"/>
      <c r="C1884" s="129"/>
      <c r="D1884" s="129"/>
      <c r="E1884" s="129"/>
      <c r="F1884" s="129"/>
      <c r="G1884" s="129"/>
    </row>
    <row r="1885" spans="2:7" x14ac:dyDescent="0.2">
      <c r="B1885" s="129"/>
      <c r="C1885" s="129"/>
      <c r="D1885" s="129"/>
      <c r="E1885" s="129"/>
      <c r="F1885" s="129"/>
      <c r="G1885" s="129"/>
    </row>
    <row r="1886" spans="2:7" x14ac:dyDescent="0.2">
      <c r="B1886" s="129"/>
      <c r="C1886" s="129"/>
      <c r="D1886" s="129"/>
      <c r="E1886" s="129"/>
      <c r="F1886" s="129"/>
      <c r="G1886" s="129"/>
    </row>
    <row r="1887" spans="2:7" x14ac:dyDescent="0.2">
      <c r="B1887" s="129"/>
      <c r="C1887" s="129"/>
      <c r="D1887" s="129"/>
      <c r="E1887" s="129"/>
      <c r="F1887" s="129"/>
      <c r="G1887" s="129"/>
    </row>
    <row r="1888" spans="2:7" x14ac:dyDescent="0.2">
      <c r="B1888" s="129"/>
      <c r="C1888" s="129"/>
      <c r="D1888" s="129"/>
      <c r="E1888" s="129"/>
      <c r="F1888" s="129"/>
      <c r="G1888" s="129"/>
    </row>
    <row r="1889" spans="2:7" x14ac:dyDescent="0.2">
      <c r="B1889" s="129"/>
      <c r="C1889" s="129"/>
      <c r="D1889" s="129"/>
      <c r="E1889" s="129"/>
      <c r="F1889" s="129"/>
      <c r="G1889" s="129"/>
    </row>
    <row r="1890" spans="2:7" x14ac:dyDescent="0.2">
      <c r="B1890" s="129"/>
      <c r="C1890" s="129"/>
      <c r="D1890" s="129"/>
      <c r="E1890" s="129"/>
      <c r="F1890" s="129"/>
      <c r="G1890" s="129"/>
    </row>
    <row r="1891" spans="2:7" x14ac:dyDescent="0.2">
      <c r="B1891" s="129"/>
      <c r="C1891" s="129"/>
      <c r="D1891" s="129"/>
      <c r="E1891" s="129"/>
      <c r="F1891" s="129"/>
      <c r="G1891" s="129"/>
    </row>
    <row r="1892" spans="2:7" x14ac:dyDescent="0.2">
      <c r="B1892" s="129"/>
      <c r="C1892" s="129"/>
      <c r="D1892" s="129"/>
      <c r="E1892" s="129"/>
      <c r="F1892" s="129"/>
      <c r="G1892" s="129"/>
    </row>
    <row r="1893" spans="2:7" x14ac:dyDescent="0.2">
      <c r="B1893" s="129"/>
      <c r="C1893" s="129"/>
      <c r="D1893" s="129"/>
      <c r="E1893" s="129"/>
      <c r="F1893" s="129"/>
      <c r="G1893" s="129"/>
    </row>
    <row r="1894" spans="2:7" x14ac:dyDescent="0.2">
      <c r="B1894" s="129"/>
      <c r="C1894" s="129"/>
      <c r="D1894" s="129"/>
      <c r="E1894" s="129"/>
      <c r="F1894" s="129"/>
      <c r="G1894" s="129"/>
    </row>
    <row r="1895" spans="2:7" x14ac:dyDescent="0.2">
      <c r="B1895" s="129"/>
      <c r="C1895" s="129"/>
      <c r="D1895" s="129"/>
      <c r="E1895" s="129"/>
      <c r="F1895" s="129"/>
      <c r="G1895" s="129"/>
    </row>
    <row r="1896" spans="2:7" x14ac:dyDescent="0.2">
      <c r="B1896" s="129"/>
      <c r="C1896" s="129"/>
      <c r="D1896" s="129"/>
      <c r="E1896" s="129"/>
      <c r="F1896" s="129"/>
      <c r="G1896" s="129"/>
    </row>
    <row r="1897" spans="2:7" x14ac:dyDescent="0.2">
      <c r="B1897" s="129"/>
      <c r="C1897" s="129"/>
      <c r="D1897" s="129"/>
      <c r="E1897" s="129"/>
      <c r="F1897" s="129"/>
      <c r="G1897" s="129"/>
    </row>
    <row r="1898" spans="2:7" x14ac:dyDescent="0.2">
      <c r="B1898" s="129"/>
      <c r="C1898" s="129"/>
      <c r="D1898" s="129"/>
      <c r="E1898" s="129"/>
      <c r="F1898" s="129"/>
      <c r="G1898" s="129"/>
    </row>
    <row r="1899" spans="2:7" x14ac:dyDescent="0.2">
      <c r="B1899" s="129"/>
      <c r="C1899" s="129"/>
      <c r="D1899" s="129"/>
      <c r="E1899" s="129"/>
      <c r="F1899" s="129"/>
      <c r="G1899" s="129"/>
    </row>
    <row r="1900" spans="2:7" x14ac:dyDescent="0.2">
      <c r="B1900" s="129"/>
      <c r="C1900" s="129"/>
      <c r="D1900" s="129"/>
      <c r="E1900" s="129"/>
      <c r="F1900" s="129"/>
      <c r="G1900" s="129"/>
    </row>
    <row r="1901" spans="2:7" x14ac:dyDescent="0.2">
      <c r="B1901" s="129"/>
      <c r="C1901" s="129"/>
      <c r="D1901" s="129"/>
      <c r="E1901" s="129"/>
      <c r="F1901" s="129"/>
      <c r="G1901" s="129"/>
    </row>
    <row r="1902" spans="2:7" x14ac:dyDescent="0.2">
      <c r="B1902" s="129"/>
      <c r="C1902" s="129"/>
      <c r="D1902" s="129"/>
      <c r="E1902" s="129"/>
      <c r="F1902" s="129"/>
      <c r="G1902" s="129"/>
    </row>
    <row r="1903" spans="2:7" x14ac:dyDescent="0.2">
      <c r="B1903" s="129"/>
      <c r="C1903" s="129"/>
      <c r="D1903" s="129"/>
      <c r="E1903" s="129"/>
      <c r="F1903" s="129"/>
      <c r="G1903" s="129"/>
    </row>
    <row r="1904" spans="2:7" x14ac:dyDescent="0.2">
      <c r="B1904" s="129"/>
      <c r="C1904" s="129"/>
      <c r="D1904" s="129"/>
      <c r="E1904" s="129"/>
      <c r="F1904" s="129"/>
      <c r="G1904" s="129"/>
    </row>
    <row r="1905" spans="2:7" x14ac:dyDescent="0.2">
      <c r="B1905" s="129"/>
      <c r="C1905" s="129"/>
      <c r="D1905" s="129"/>
      <c r="E1905" s="129"/>
      <c r="F1905" s="129"/>
      <c r="G1905" s="129"/>
    </row>
    <row r="1906" spans="2:7" x14ac:dyDescent="0.2">
      <c r="B1906" s="129"/>
      <c r="C1906" s="129"/>
      <c r="D1906" s="129"/>
      <c r="E1906" s="129"/>
      <c r="F1906" s="129"/>
      <c r="G1906" s="129"/>
    </row>
    <row r="1907" spans="2:7" x14ac:dyDescent="0.2">
      <c r="B1907" s="129"/>
      <c r="C1907" s="129"/>
      <c r="D1907" s="129"/>
      <c r="E1907" s="129"/>
      <c r="F1907" s="129"/>
      <c r="G1907" s="129"/>
    </row>
    <row r="1908" spans="2:7" x14ac:dyDescent="0.2">
      <c r="B1908" s="129"/>
      <c r="C1908" s="129"/>
      <c r="D1908" s="129"/>
      <c r="E1908" s="129"/>
      <c r="F1908" s="129"/>
      <c r="G1908" s="129"/>
    </row>
    <row r="1909" spans="2:7" x14ac:dyDescent="0.2">
      <c r="B1909" s="129"/>
      <c r="C1909" s="129"/>
      <c r="D1909" s="129"/>
      <c r="E1909" s="129"/>
      <c r="F1909" s="129"/>
      <c r="G1909" s="129"/>
    </row>
    <row r="1910" spans="2:7" x14ac:dyDescent="0.2">
      <c r="B1910" s="129"/>
      <c r="C1910" s="129"/>
      <c r="D1910" s="129"/>
      <c r="E1910" s="129"/>
      <c r="F1910" s="129"/>
      <c r="G1910" s="129"/>
    </row>
    <row r="1911" spans="2:7" x14ac:dyDescent="0.2">
      <c r="B1911" s="129"/>
      <c r="C1911" s="129"/>
      <c r="D1911" s="129"/>
      <c r="E1911" s="129"/>
      <c r="F1911" s="129"/>
      <c r="G1911" s="129"/>
    </row>
    <row r="1912" spans="2:7" x14ac:dyDescent="0.2">
      <c r="B1912" s="129"/>
      <c r="C1912" s="129"/>
      <c r="D1912" s="129"/>
      <c r="E1912" s="129"/>
      <c r="F1912" s="129"/>
      <c r="G1912" s="129"/>
    </row>
    <row r="1913" spans="2:7" x14ac:dyDescent="0.2">
      <c r="B1913" s="129"/>
      <c r="C1913" s="129"/>
      <c r="D1913" s="129"/>
      <c r="E1913" s="129"/>
      <c r="F1913" s="129"/>
      <c r="G1913" s="129"/>
    </row>
    <row r="1914" spans="2:7" x14ac:dyDescent="0.2">
      <c r="B1914" s="129"/>
      <c r="C1914" s="129"/>
      <c r="D1914" s="129"/>
      <c r="E1914" s="129"/>
      <c r="F1914" s="129"/>
      <c r="G1914" s="129"/>
    </row>
    <row r="1915" spans="2:7" x14ac:dyDescent="0.2">
      <c r="B1915" s="129"/>
      <c r="C1915" s="129"/>
      <c r="D1915" s="129"/>
      <c r="E1915" s="129"/>
      <c r="F1915" s="129"/>
      <c r="G1915" s="129"/>
    </row>
    <row r="1916" spans="2:7" x14ac:dyDescent="0.2">
      <c r="B1916" s="129"/>
      <c r="C1916" s="129"/>
      <c r="D1916" s="129"/>
      <c r="E1916" s="129"/>
      <c r="F1916" s="129"/>
      <c r="G1916" s="129"/>
    </row>
    <row r="1917" spans="2:7" x14ac:dyDescent="0.2">
      <c r="B1917" s="129"/>
      <c r="C1917" s="129"/>
      <c r="D1917" s="129"/>
      <c r="E1917" s="129"/>
      <c r="F1917" s="129"/>
      <c r="G1917" s="129"/>
    </row>
    <row r="1918" spans="2:7" x14ac:dyDescent="0.2">
      <c r="B1918" s="129"/>
      <c r="C1918" s="129"/>
      <c r="D1918" s="129"/>
      <c r="E1918" s="129"/>
      <c r="F1918" s="129"/>
      <c r="G1918" s="129"/>
    </row>
    <row r="1919" spans="2:7" x14ac:dyDescent="0.2">
      <c r="B1919" s="129"/>
      <c r="C1919" s="129"/>
      <c r="D1919" s="129"/>
      <c r="E1919" s="129"/>
      <c r="F1919" s="129"/>
      <c r="G1919" s="129"/>
    </row>
    <row r="1920" spans="2:7" x14ac:dyDescent="0.2">
      <c r="B1920" s="129"/>
      <c r="C1920" s="129"/>
      <c r="D1920" s="129"/>
      <c r="E1920" s="129"/>
      <c r="F1920" s="129"/>
      <c r="G1920" s="129"/>
    </row>
    <row r="1921" spans="2:7" x14ac:dyDescent="0.2">
      <c r="B1921" s="129"/>
      <c r="C1921" s="129"/>
      <c r="D1921" s="129"/>
      <c r="E1921" s="129"/>
      <c r="F1921" s="129"/>
      <c r="G1921" s="129"/>
    </row>
    <row r="1922" spans="2:7" x14ac:dyDescent="0.2">
      <c r="B1922" s="129"/>
      <c r="C1922" s="129"/>
      <c r="D1922" s="129"/>
      <c r="E1922" s="129"/>
      <c r="F1922" s="129"/>
      <c r="G1922" s="129"/>
    </row>
    <row r="1923" spans="2:7" x14ac:dyDescent="0.2">
      <c r="B1923" s="129"/>
      <c r="C1923" s="129"/>
      <c r="D1923" s="129"/>
      <c r="E1923" s="129"/>
      <c r="F1923" s="129"/>
      <c r="G1923" s="129"/>
    </row>
    <row r="1924" spans="2:7" x14ac:dyDescent="0.2">
      <c r="B1924" s="129"/>
      <c r="C1924" s="129"/>
      <c r="D1924" s="129"/>
      <c r="E1924" s="129"/>
      <c r="F1924" s="129"/>
      <c r="G1924" s="129"/>
    </row>
    <row r="1925" spans="2:7" x14ac:dyDescent="0.2">
      <c r="B1925" s="129"/>
      <c r="C1925" s="129"/>
      <c r="D1925" s="129"/>
      <c r="E1925" s="129"/>
      <c r="F1925" s="129"/>
      <c r="G1925" s="129"/>
    </row>
    <row r="1926" spans="2:7" x14ac:dyDescent="0.2">
      <c r="B1926" s="129"/>
      <c r="C1926" s="129"/>
      <c r="D1926" s="129"/>
      <c r="E1926" s="129"/>
      <c r="F1926" s="129"/>
      <c r="G1926" s="129"/>
    </row>
    <row r="1927" spans="2:7" x14ac:dyDescent="0.2">
      <c r="B1927" s="129"/>
      <c r="C1927" s="129"/>
      <c r="D1927" s="129"/>
      <c r="E1927" s="129"/>
      <c r="F1927" s="129"/>
      <c r="G1927" s="129"/>
    </row>
    <row r="1928" spans="2:7" x14ac:dyDescent="0.2">
      <c r="B1928" s="129"/>
      <c r="C1928" s="129"/>
      <c r="D1928" s="129"/>
      <c r="E1928" s="129"/>
      <c r="F1928" s="129"/>
      <c r="G1928" s="129"/>
    </row>
    <row r="1929" spans="2:7" x14ac:dyDescent="0.2">
      <c r="B1929" s="129"/>
      <c r="C1929" s="129"/>
      <c r="D1929" s="129"/>
      <c r="E1929" s="129"/>
      <c r="F1929" s="129"/>
      <c r="G1929" s="129"/>
    </row>
    <row r="1930" spans="2:7" x14ac:dyDescent="0.2">
      <c r="B1930" s="129"/>
      <c r="C1930" s="129"/>
      <c r="D1930" s="129"/>
      <c r="E1930" s="129"/>
      <c r="F1930" s="129"/>
      <c r="G1930" s="129"/>
    </row>
    <row r="1931" spans="2:7" x14ac:dyDescent="0.2">
      <c r="B1931" s="129"/>
      <c r="C1931" s="129"/>
      <c r="D1931" s="129"/>
      <c r="E1931" s="129"/>
      <c r="F1931" s="129"/>
      <c r="G1931" s="129"/>
    </row>
    <row r="1932" spans="2:7" x14ac:dyDescent="0.2">
      <c r="B1932" s="129"/>
      <c r="C1932" s="129"/>
      <c r="D1932" s="129"/>
      <c r="E1932" s="129"/>
      <c r="F1932" s="129"/>
      <c r="G1932" s="129"/>
    </row>
    <row r="1933" spans="2:7" x14ac:dyDescent="0.2">
      <c r="B1933" s="129"/>
      <c r="C1933" s="129"/>
      <c r="D1933" s="129"/>
      <c r="E1933" s="129"/>
      <c r="F1933" s="129"/>
      <c r="G1933" s="129"/>
    </row>
    <row r="1934" spans="2:7" x14ac:dyDescent="0.2">
      <c r="B1934" s="129"/>
      <c r="C1934" s="129"/>
      <c r="D1934" s="129"/>
      <c r="E1934" s="129"/>
      <c r="F1934" s="129"/>
      <c r="G1934" s="129"/>
    </row>
    <row r="1935" spans="2:7" x14ac:dyDescent="0.2">
      <c r="B1935" s="129"/>
      <c r="C1935" s="129"/>
      <c r="D1935" s="129"/>
      <c r="E1935" s="129"/>
      <c r="F1935" s="129"/>
      <c r="G1935" s="129"/>
    </row>
    <row r="1936" spans="2:7" x14ac:dyDescent="0.2">
      <c r="B1936" s="129"/>
      <c r="C1936" s="129"/>
      <c r="D1936" s="129"/>
      <c r="E1936" s="129"/>
      <c r="F1936" s="129"/>
      <c r="G1936" s="129"/>
    </row>
    <row r="1937" spans="2:7" x14ac:dyDescent="0.2">
      <c r="B1937" s="129"/>
      <c r="C1937" s="129"/>
      <c r="D1937" s="129"/>
      <c r="E1937" s="129"/>
      <c r="F1937" s="129"/>
      <c r="G1937" s="129"/>
    </row>
    <row r="1938" spans="2:7" x14ac:dyDescent="0.2">
      <c r="B1938" s="129"/>
      <c r="C1938" s="129"/>
      <c r="D1938" s="129"/>
      <c r="E1938" s="129"/>
      <c r="F1938" s="129"/>
      <c r="G1938" s="129"/>
    </row>
    <row r="1939" spans="2:7" x14ac:dyDescent="0.2">
      <c r="B1939" s="129"/>
      <c r="C1939" s="129"/>
      <c r="D1939" s="129"/>
      <c r="E1939" s="129"/>
      <c r="F1939" s="129"/>
      <c r="G1939" s="129"/>
    </row>
    <row r="1940" spans="2:7" x14ac:dyDescent="0.2">
      <c r="B1940" s="129"/>
      <c r="C1940" s="129"/>
      <c r="D1940" s="129"/>
      <c r="E1940" s="129"/>
      <c r="F1940" s="129"/>
      <c r="G1940" s="129"/>
    </row>
    <row r="1941" spans="2:7" x14ac:dyDescent="0.2">
      <c r="B1941" s="129"/>
      <c r="C1941" s="129"/>
      <c r="D1941" s="129"/>
      <c r="E1941" s="129"/>
      <c r="F1941" s="129"/>
      <c r="G1941" s="129"/>
    </row>
    <row r="1942" spans="2:7" x14ac:dyDescent="0.2">
      <c r="B1942" s="129"/>
      <c r="C1942" s="129"/>
      <c r="D1942" s="129"/>
      <c r="E1942" s="129"/>
      <c r="F1942" s="129"/>
      <c r="G1942" s="129"/>
    </row>
    <row r="1943" spans="2:7" x14ac:dyDescent="0.2">
      <c r="B1943" s="129"/>
      <c r="C1943" s="129"/>
      <c r="D1943" s="129"/>
      <c r="E1943" s="129"/>
      <c r="F1943" s="129"/>
      <c r="G1943" s="129"/>
    </row>
    <row r="1944" spans="2:7" x14ac:dyDescent="0.2">
      <c r="B1944" s="129"/>
      <c r="C1944" s="129"/>
      <c r="D1944" s="129"/>
      <c r="E1944" s="129"/>
      <c r="F1944" s="129"/>
      <c r="G1944" s="129"/>
    </row>
    <row r="1945" spans="2:7" x14ac:dyDescent="0.2">
      <c r="B1945" s="129"/>
      <c r="C1945" s="129"/>
      <c r="D1945" s="129"/>
      <c r="E1945" s="129"/>
      <c r="F1945" s="129"/>
      <c r="G1945" s="129"/>
    </row>
    <row r="1946" spans="2:7" x14ac:dyDescent="0.2">
      <c r="B1946" s="129"/>
      <c r="C1946" s="129"/>
      <c r="D1946" s="129"/>
      <c r="E1946" s="129"/>
      <c r="F1946" s="129"/>
      <c r="G1946" s="129"/>
    </row>
    <row r="1947" spans="2:7" x14ac:dyDescent="0.2">
      <c r="B1947" s="129"/>
      <c r="C1947" s="129"/>
      <c r="D1947" s="129"/>
      <c r="E1947" s="129"/>
      <c r="F1947" s="129"/>
      <c r="G1947" s="129"/>
    </row>
    <row r="1948" spans="2:7" x14ac:dyDescent="0.2">
      <c r="B1948" s="129"/>
      <c r="C1948" s="129"/>
      <c r="D1948" s="129"/>
      <c r="E1948" s="129"/>
      <c r="F1948" s="129"/>
      <c r="G1948" s="129"/>
    </row>
    <row r="1949" spans="2:7" x14ac:dyDescent="0.2">
      <c r="B1949" s="129"/>
      <c r="C1949" s="129"/>
      <c r="D1949" s="129"/>
      <c r="E1949" s="129"/>
      <c r="F1949" s="129"/>
      <c r="G1949" s="129"/>
    </row>
    <row r="1950" spans="2:7" x14ac:dyDescent="0.2">
      <c r="B1950" s="129"/>
      <c r="C1950" s="129"/>
      <c r="D1950" s="129"/>
      <c r="E1950" s="129"/>
      <c r="F1950" s="129"/>
      <c r="G1950" s="129"/>
    </row>
    <row r="1951" spans="2:7" x14ac:dyDescent="0.2">
      <c r="B1951" s="129"/>
      <c r="C1951" s="129"/>
      <c r="D1951" s="129"/>
      <c r="E1951" s="129"/>
      <c r="F1951" s="129"/>
      <c r="G1951" s="129"/>
    </row>
    <row r="1952" spans="2:7" x14ac:dyDescent="0.2">
      <c r="B1952" s="129"/>
      <c r="C1952" s="129"/>
      <c r="D1952" s="129"/>
      <c r="E1952" s="129"/>
      <c r="F1952" s="129"/>
      <c r="G1952" s="129"/>
    </row>
    <row r="1953" spans="2:7" x14ac:dyDescent="0.2">
      <c r="B1953" s="129"/>
      <c r="C1953" s="129"/>
      <c r="D1953" s="129"/>
      <c r="E1953" s="129"/>
      <c r="F1953" s="129"/>
      <c r="G1953" s="129"/>
    </row>
    <row r="1954" spans="2:7" x14ac:dyDescent="0.2">
      <c r="B1954" s="129"/>
      <c r="C1954" s="129"/>
      <c r="D1954" s="129"/>
      <c r="E1954" s="129"/>
      <c r="F1954" s="129"/>
      <c r="G1954" s="129"/>
    </row>
    <row r="1955" spans="2:7" x14ac:dyDescent="0.2">
      <c r="B1955" s="129"/>
      <c r="C1955" s="129"/>
      <c r="D1955" s="129"/>
      <c r="E1955" s="129"/>
      <c r="F1955" s="129"/>
      <c r="G1955" s="129"/>
    </row>
    <row r="1956" spans="2:7" x14ac:dyDescent="0.2">
      <c r="B1956" s="129"/>
      <c r="C1956" s="129"/>
      <c r="D1956" s="129"/>
      <c r="E1956" s="129"/>
      <c r="F1956" s="129"/>
      <c r="G1956" s="129"/>
    </row>
    <row r="1957" spans="2:7" x14ac:dyDescent="0.2">
      <c r="B1957" s="129"/>
      <c r="C1957" s="129"/>
      <c r="D1957" s="129"/>
      <c r="E1957" s="129"/>
      <c r="F1957" s="129"/>
      <c r="G1957" s="129"/>
    </row>
    <row r="1958" spans="2:7" x14ac:dyDescent="0.2">
      <c r="B1958" s="129"/>
      <c r="C1958" s="129"/>
      <c r="D1958" s="129"/>
      <c r="E1958" s="129"/>
      <c r="F1958" s="129"/>
      <c r="G1958" s="129"/>
    </row>
    <row r="1959" spans="2:7" x14ac:dyDescent="0.2">
      <c r="B1959" s="129"/>
      <c r="C1959" s="129"/>
      <c r="D1959" s="129"/>
      <c r="E1959" s="129"/>
      <c r="F1959" s="129"/>
      <c r="G1959" s="129"/>
    </row>
    <row r="1960" spans="2:7" x14ac:dyDescent="0.2">
      <c r="B1960" s="129"/>
      <c r="C1960" s="129"/>
      <c r="D1960" s="129"/>
      <c r="E1960" s="129"/>
      <c r="F1960" s="129"/>
      <c r="G1960" s="129"/>
    </row>
    <row r="1961" spans="2:7" x14ac:dyDescent="0.2">
      <c r="B1961" s="129"/>
      <c r="C1961" s="129"/>
      <c r="D1961" s="129"/>
      <c r="E1961" s="129"/>
      <c r="F1961" s="129"/>
      <c r="G1961" s="129"/>
    </row>
    <row r="1962" spans="2:7" x14ac:dyDescent="0.2">
      <c r="B1962" s="129"/>
      <c r="C1962" s="129"/>
      <c r="D1962" s="129"/>
      <c r="E1962" s="129"/>
      <c r="F1962" s="129"/>
      <c r="G1962" s="129"/>
    </row>
    <row r="1963" spans="2:7" x14ac:dyDescent="0.2">
      <c r="B1963" s="129"/>
      <c r="C1963" s="129"/>
      <c r="D1963" s="129"/>
      <c r="E1963" s="129"/>
      <c r="F1963" s="129"/>
      <c r="G1963" s="129"/>
    </row>
    <row r="1964" spans="2:7" x14ac:dyDescent="0.2">
      <c r="B1964" s="129"/>
      <c r="C1964" s="129"/>
      <c r="D1964" s="129"/>
      <c r="E1964" s="129"/>
      <c r="F1964" s="129"/>
      <c r="G1964" s="129"/>
    </row>
    <row r="1965" spans="2:7" x14ac:dyDescent="0.2">
      <c r="B1965" s="129"/>
      <c r="C1965" s="129"/>
      <c r="D1965" s="129"/>
      <c r="E1965" s="129"/>
      <c r="F1965" s="129"/>
      <c r="G1965" s="129"/>
    </row>
    <row r="1966" spans="2:7" x14ac:dyDescent="0.2">
      <c r="B1966" s="129"/>
      <c r="C1966" s="129"/>
      <c r="D1966" s="129"/>
      <c r="E1966" s="129"/>
      <c r="F1966" s="129"/>
      <c r="G1966" s="129"/>
    </row>
    <row r="1967" spans="2:7" x14ac:dyDescent="0.2">
      <c r="B1967" s="129"/>
      <c r="C1967" s="129"/>
      <c r="D1967" s="129"/>
      <c r="E1967" s="129"/>
      <c r="F1967" s="129"/>
      <c r="G1967" s="129"/>
    </row>
    <row r="1968" spans="2:7" x14ac:dyDescent="0.2">
      <c r="B1968" s="129"/>
      <c r="C1968" s="129"/>
      <c r="D1968" s="129"/>
      <c r="E1968" s="129"/>
      <c r="F1968" s="129"/>
      <c r="G1968" s="129"/>
    </row>
    <row r="1969" spans="2:7" x14ac:dyDescent="0.2">
      <c r="B1969" s="129"/>
      <c r="C1969" s="129"/>
      <c r="D1969" s="129"/>
      <c r="E1969" s="129"/>
      <c r="F1969" s="129"/>
      <c r="G1969" s="129"/>
    </row>
    <row r="1970" spans="2:7" x14ac:dyDescent="0.2">
      <c r="B1970" s="129"/>
      <c r="C1970" s="129"/>
      <c r="D1970" s="129"/>
      <c r="E1970" s="129"/>
      <c r="F1970" s="129"/>
      <c r="G1970" s="129"/>
    </row>
    <row r="1971" spans="2:7" x14ac:dyDescent="0.2">
      <c r="B1971" s="129"/>
      <c r="C1971" s="129"/>
      <c r="D1971" s="129"/>
      <c r="E1971" s="129"/>
      <c r="F1971" s="129"/>
      <c r="G1971" s="129"/>
    </row>
    <row r="1972" spans="2:7" x14ac:dyDescent="0.2">
      <c r="B1972" s="129"/>
      <c r="C1972" s="129"/>
      <c r="D1972" s="129"/>
      <c r="E1972" s="129"/>
      <c r="F1972" s="129"/>
      <c r="G1972" s="129"/>
    </row>
    <row r="1973" spans="2:7" x14ac:dyDescent="0.2">
      <c r="B1973" s="129"/>
      <c r="C1973" s="129"/>
      <c r="D1973" s="129"/>
      <c r="E1973" s="129"/>
      <c r="F1973" s="129"/>
      <c r="G1973" s="129"/>
    </row>
    <row r="1974" spans="2:7" x14ac:dyDescent="0.2">
      <c r="B1974" s="129"/>
      <c r="C1974" s="129"/>
      <c r="D1974" s="129"/>
      <c r="E1974" s="129"/>
      <c r="F1974" s="129"/>
      <c r="G1974" s="129"/>
    </row>
    <row r="1975" spans="2:7" x14ac:dyDescent="0.2">
      <c r="B1975" s="129"/>
      <c r="C1975" s="129"/>
      <c r="D1975" s="129"/>
      <c r="E1975" s="129"/>
      <c r="F1975" s="129"/>
      <c r="G1975" s="129"/>
    </row>
    <row r="1976" spans="2:7" x14ac:dyDescent="0.2">
      <c r="B1976" s="129"/>
      <c r="C1976" s="129"/>
      <c r="D1976" s="129"/>
      <c r="E1976" s="129"/>
      <c r="F1976" s="129"/>
      <c r="G1976" s="129"/>
    </row>
    <row r="1977" spans="2:7" x14ac:dyDescent="0.2">
      <c r="B1977" s="129"/>
      <c r="C1977" s="129"/>
      <c r="D1977" s="129"/>
      <c r="E1977" s="129"/>
      <c r="F1977" s="129"/>
      <c r="G1977" s="129"/>
    </row>
    <row r="1978" spans="2:7" x14ac:dyDescent="0.2">
      <c r="B1978" s="129"/>
      <c r="C1978" s="129"/>
      <c r="D1978" s="129"/>
      <c r="E1978" s="129"/>
      <c r="F1978" s="129"/>
      <c r="G1978" s="129"/>
    </row>
    <row r="1979" spans="2:7" x14ac:dyDescent="0.2">
      <c r="B1979" s="129"/>
      <c r="C1979" s="129"/>
      <c r="D1979" s="129"/>
      <c r="E1979" s="129"/>
      <c r="F1979" s="129"/>
      <c r="G1979" s="129"/>
    </row>
    <row r="1980" spans="2:7" x14ac:dyDescent="0.2">
      <c r="B1980" s="129"/>
      <c r="C1980" s="129"/>
      <c r="D1980" s="129"/>
      <c r="E1980" s="129"/>
      <c r="F1980" s="129"/>
      <c r="G1980" s="129"/>
    </row>
    <row r="1981" spans="2:7" x14ac:dyDescent="0.2">
      <c r="B1981" s="129"/>
      <c r="C1981" s="129"/>
      <c r="D1981" s="129"/>
      <c r="E1981" s="129"/>
      <c r="F1981" s="129"/>
      <c r="G1981" s="129"/>
    </row>
    <row r="1982" spans="2:7" x14ac:dyDescent="0.2">
      <c r="B1982" s="129"/>
      <c r="C1982" s="129"/>
      <c r="D1982" s="129"/>
      <c r="E1982" s="129"/>
      <c r="F1982" s="129"/>
      <c r="G1982" s="129"/>
    </row>
    <row r="1983" spans="2:7" x14ac:dyDescent="0.2">
      <c r="B1983" s="129"/>
      <c r="C1983" s="129"/>
      <c r="D1983" s="129"/>
      <c r="E1983" s="129"/>
      <c r="F1983" s="129"/>
      <c r="G1983" s="129"/>
    </row>
    <row r="1984" spans="2:7" x14ac:dyDescent="0.2">
      <c r="B1984" s="129"/>
      <c r="C1984" s="129"/>
      <c r="D1984" s="129"/>
      <c r="E1984" s="129"/>
      <c r="F1984" s="129"/>
      <c r="G1984" s="129"/>
    </row>
    <row r="1985" spans="2:7" x14ac:dyDescent="0.2">
      <c r="B1985" s="129"/>
      <c r="C1985" s="129"/>
      <c r="D1985" s="129"/>
      <c r="E1985" s="129"/>
      <c r="F1985" s="129"/>
      <c r="G1985" s="129"/>
    </row>
    <row r="1986" spans="2:7" x14ac:dyDescent="0.2">
      <c r="B1986" s="129"/>
      <c r="C1986" s="129"/>
      <c r="D1986" s="129"/>
      <c r="E1986" s="129"/>
      <c r="F1986" s="129"/>
      <c r="G1986" s="129"/>
    </row>
    <row r="1987" spans="2:7" x14ac:dyDescent="0.2">
      <c r="B1987" s="129"/>
      <c r="C1987" s="129"/>
      <c r="D1987" s="129"/>
      <c r="E1987" s="129"/>
      <c r="F1987" s="129"/>
      <c r="G1987" s="129"/>
    </row>
    <row r="1988" spans="2:7" x14ac:dyDescent="0.2">
      <c r="B1988" s="129"/>
      <c r="C1988" s="129"/>
      <c r="D1988" s="129"/>
      <c r="E1988" s="129"/>
      <c r="F1988" s="129"/>
      <c r="G1988" s="129"/>
    </row>
    <row r="1989" spans="2:7" x14ac:dyDescent="0.2">
      <c r="B1989" s="129"/>
      <c r="C1989" s="129"/>
      <c r="D1989" s="129"/>
      <c r="E1989" s="129"/>
      <c r="F1989" s="129"/>
      <c r="G1989" s="129"/>
    </row>
    <row r="1990" spans="2:7" x14ac:dyDescent="0.2">
      <c r="B1990" s="129"/>
      <c r="C1990" s="129"/>
      <c r="D1990" s="129"/>
      <c r="E1990" s="129"/>
      <c r="F1990" s="129"/>
      <c r="G1990" s="129"/>
    </row>
    <row r="1991" spans="2:7" x14ac:dyDescent="0.2">
      <c r="B1991" s="129"/>
      <c r="C1991" s="129"/>
      <c r="D1991" s="129"/>
      <c r="E1991" s="129"/>
      <c r="F1991" s="129"/>
      <c r="G1991" s="129"/>
    </row>
    <row r="1992" spans="2:7" x14ac:dyDescent="0.2">
      <c r="B1992" s="129"/>
      <c r="C1992" s="129"/>
      <c r="D1992" s="129"/>
      <c r="E1992" s="129"/>
      <c r="F1992" s="129"/>
      <c r="G1992" s="129"/>
    </row>
    <row r="1993" spans="2:7" x14ac:dyDescent="0.2">
      <c r="B1993" s="129"/>
      <c r="C1993" s="129"/>
      <c r="D1993" s="129"/>
      <c r="E1993" s="129"/>
      <c r="F1993" s="129"/>
      <c r="G1993" s="129"/>
    </row>
    <row r="1994" spans="2:7" x14ac:dyDescent="0.2">
      <c r="B1994" s="129"/>
      <c r="C1994" s="129"/>
      <c r="D1994" s="129"/>
      <c r="E1994" s="129"/>
      <c r="F1994" s="129"/>
      <c r="G1994" s="129"/>
    </row>
    <row r="1995" spans="2:7" x14ac:dyDescent="0.2">
      <c r="B1995" s="129"/>
      <c r="C1995" s="129"/>
      <c r="D1995" s="129"/>
      <c r="E1995" s="129"/>
      <c r="F1995" s="129"/>
      <c r="G1995" s="129"/>
    </row>
    <row r="1996" spans="2:7" x14ac:dyDescent="0.2">
      <c r="B1996" s="129"/>
      <c r="C1996" s="129"/>
      <c r="D1996" s="129"/>
      <c r="E1996" s="129"/>
      <c r="F1996" s="129"/>
      <c r="G1996" s="129"/>
    </row>
    <row r="1997" spans="2:7" x14ac:dyDescent="0.2">
      <c r="B1997" s="129"/>
      <c r="C1997" s="129"/>
      <c r="D1997" s="129"/>
      <c r="E1997" s="129"/>
      <c r="F1997" s="129"/>
      <c r="G1997" s="129"/>
    </row>
    <row r="1998" spans="2:7" x14ac:dyDescent="0.2">
      <c r="B1998" s="129"/>
      <c r="C1998" s="129"/>
      <c r="D1998" s="129"/>
      <c r="E1998" s="129"/>
      <c r="F1998" s="129"/>
      <c r="G1998" s="129"/>
    </row>
    <row r="1999" spans="2:7" x14ac:dyDescent="0.2">
      <c r="B1999" s="129"/>
      <c r="C1999" s="129"/>
      <c r="D1999" s="129"/>
      <c r="E1999" s="129"/>
      <c r="F1999" s="129"/>
      <c r="G1999" s="129"/>
    </row>
    <row r="2000" spans="2:7" x14ac:dyDescent="0.2">
      <c r="B2000" s="129"/>
      <c r="C2000" s="129"/>
      <c r="D2000" s="129"/>
      <c r="E2000" s="129"/>
      <c r="F2000" s="129"/>
      <c r="G2000" s="129"/>
    </row>
    <row r="2001" spans="2:7" x14ac:dyDescent="0.2">
      <c r="B2001" s="129"/>
      <c r="C2001" s="129"/>
      <c r="D2001" s="129"/>
      <c r="E2001" s="129"/>
      <c r="F2001" s="129"/>
      <c r="G2001" s="129"/>
    </row>
    <row r="2002" spans="2:7" x14ac:dyDescent="0.2">
      <c r="B2002" s="129"/>
      <c r="C2002" s="129"/>
      <c r="D2002" s="129"/>
      <c r="E2002" s="129"/>
      <c r="F2002" s="129"/>
      <c r="G2002" s="129"/>
    </row>
    <row r="2003" spans="2:7" x14ac:dyDescent="0.2">
      <c r="B2003" s="129"/>
      <c r="C2003" s="129"/>
      <c r="D2003" s="129"/>
      <c r="E2003" s="129"/>
      <c r="F2003" s="129"/>
      <c r="G2003" s="129"/>
    </row>
    <row r="2004" spans="2:7" x14ac:dyDescent="0.2">
      <c r="B2004" s="129"/>
      <c r="C2004" s="129"/>
      <c r="D2004" s="129"/>
      <c r="E2004" s="129"/>
      <c r="F2004" s="129"/>
      <c r="G2004" s="129"/>
    </row>
    <row r="2005" spans="2:7" x14ac:dyDescent="0.2">
      <c r="B2005" s="129"/>
      <c r="C2005" s="129"/>
      <c r="D2005" s="129"/>
      <c r="E2005" s="129"/>
      <c r="F2005" s="129"/>
      <c r="G2005" s="129"/>
    </row>
    <row r="2006" spans="2:7" x14ac:dyDescent="0.2">
      <c r="B2006" s="129"/>
      <c r="C2006" s="129"/>
      <c r="D2006" s="129"/>
      <c r="E2006" s="129"/>
      <c r="F2006" s="129"/>
      <c r="G2006" s="129"/>
    </row>
    <row r="2007" spans="2:7" x14ac:dyDescent="0.2">
      <c r="B2007" s="129"/>
      <c r="C2007" s="129"/>
      <c r="D2007" s="129"/>
      <c r="E2007" s="129"/>
      <c r="F2007" s="129"/>
      <c r="G2007" s="129"/>
    </row>
    <row r="2008" spans="2:7" x14ac:dyDescent="0.2">
      <c r="B2008" s="129"/>
      <c r="C2008" s="129"/>
      <c r="D2008" s="129"/>
      <c r="E2008" s="129"/>
      <c r="F2008" s="129"/>
      <c r="G2008" s="129"/>
    </row>
    <row r="2009" spans="2:7" x14ac:dyDescent="0.2">
      <c r="B2009" s="129"/>
      <c r="C2009" s="129"/>
      <c r="D2009" s="129"/>
      <c r="E2009" s="129"/>
      <c r="F2009" s="129"/>
      <c r="G2009" s="129"/>
    </row>
    <row r="2010" spans="2:7" x14ac:dyDescent="0.2">
      <c r="B2010" s="129"/>
      <c r="C2010" s="129"/>
      <c r="D2010" s="129"/>
      <c r="E2010" s="129"/>
      <c r="F2010" s="129"/>
      <c r="G2010" s="129"/>
    </row>
    <row r="2011" spans="2:7" x14ac:dyDescent="0.2">
      <c r="B2011" s="129"/>
      <c r="C2011" s="129"/>
      <c r="D2011" s="129"/>
      <c r="E2011" s="129"/>
      <c r="F2011" s="129"/>
      <c r="G2011" s="129"/>
    </row>
    <row r="2012" spans="2:7" x14ac:dyDescent="0.2">
      <c r="B2012" s="129"/>
      <c r="C2012" s="129"/>
      <c r="D2012" s="129"/>
      <c r="E2012" s="129"/>
      <c r="F2012" s="129"/>
      <c r="G2012" s="129"/>
    </row>
    <row r="2013" spans="2:7" x14ac:dyDescent="0.2">
      <c r="B2013" s="129"/>
      <c r="C2013" s="129"/>
      <c r="D2013" s="129"/>
      <c r="E2013" s="129"/>
      <c r="F2013" s="129"/>
      <c r="G2013" s="129"/>
    </row>
    <row r="2014" spans="2:7" x14ac:dyDescent="0.2">
      <c r="B2014" s="129"/>
      <c r="C2014" s="129"/>
      <c r="D2014" s="129"/>
      <c r="E2014" s="129"/>
      <c r="F2014" s="129"/>
      <c r="G2014" s="129"/>
    </row>
    <row r="2015" spans="2:7" x14ac:dyDescent="0.2">
      <c r="B2015" s="129"/>
      <c r="C2015" s="129"/>
      <c r="D2015" s="129"/>
      <c r="E2015" s="129"/>
      <c r="F2015" s="129"/>
      <c r="G2015" s="129"/>
    </row>
    <row r="2016" spans="2:7" x14ac:dyDescent="0.2">
      <c r="B2016" s="129"/>
      <c r="C2016" s="129"/>
      <c r="D2016" s="129"/>
      <c r="E2016" s="129"/>
      <c r="F2016" s="129"/>
      <c r="G2016" s="129"/>
    </row>
    <row r="2017" spans="2:7" x14ac:dyDescent="0.2">
      <c r="B2017" s="129"/>
      <c r="C2017" s="129"/>
      <c r="D2017" s="129"/>
      <c r="E2017" s="129"/>
      <c r="F2017" s="129"/>
      <c r="G2017" s="129"/>
    </row>
    <row r="2018" spans="2:7" x14ac:dyDescent="0.2">
      <c r="B2018" s="129"/>
      <c r="C2018" s="129"/>
      <c r="D2018" s="129"/>
      <c r="E2018" s="129"/>
      <c r="F2018" s="129"/>
      <c r="G2018" s="129"/>
    </row>
    <row r="2019" spans="2:7" x14ac:dyDescent="0.2">
      <c r="B2019" s="129"/>
      <c r="C2019" s="129"/>
      <c r="D2019" s="129"/>
      <c r="E2019" s="129"/>
      <c r="F2019" s="129"/>
      <c r="G2019" s="129"/>
    </row>
    <row r="2020" spans="2:7" x14ac:dyDescent="0.2">
      <c r="B2020" s="129"/>
      <c r="C2020" s="129"/>
      <c r="D2020" s="129"/>
      <c r="E2020" s="129"/>
      <c r="F2020" s="129"/>
      <c r="G2020" s="129"/>
    </row>
    <row r="2021" spans="2:7" x14ac:dyDescent="0.2">
      <c r="B2021" s="129"/>
      <c r="C2021" s="129"/>
      <c r="D2021" s="129"/>
      <c r="E2021" s="129"/>
      <c r="F2021" s="129"/>
      <c r="G2021" s="129"/>
    </row>
    <row r="2022" spans="2:7" x14ac:dyDescent="0.2">
      <c r="B2022" s="129"/>
      <c r="C2022" s="129"/>
      <c r="D2022" s="129"/>
      <c r="E2022" s="129"/>
      <c r="F2022" s="129"/>
      <c r="G2022" s="129"/>
    </row>
    <row r="2023" spans="2:7" x14ac:dyDescent="0.2">
      <c r="B2023" s="129"/>
      <c r="C2023" s="129"/>
      <c r="D2023" s="129"/>
      <c r="E2023" s="129"/>
      <c r="F2023" s="129"/>
      <c r="G2023" s="129"/>
    </row>
    <row r="2024" spans="2:7" x14ac:dyDescent="0.2">
      <c r="B2024" s="129"/>
      <c r="C2024" s="129"/>
      <c r="D2024" s="129"/>
      <c r="E2024" s="129"/>
      <c r="F2024" s="129"/>
      <c r="G2024" s="129"/>
    </row>
    <row r="2025" spans="2:7" x14ac:dyDescent="0.2">
      <c r="B2025" s="129"/>
      <c r="C2025" s="129"/>
      <c r="D2025" s="129"/>
      <c r="E2025" s="129"/>
      <c r="F2025" s="129"/>
      <c r="G2025" s="129"/>
    </row>
    <row r="2026" spans="2:7" x14ac:dyDescent="0.2">
      <c r="B2026" s="129"/>
      <c r="C2026" s="129"/>
      <c r="D2026" s="129"/>
      <c r="E2026" s="129"/>
      <c r="F2026" s="129"/>
      <c r="G2026" s="129"/>
    </row>
    <row r="2027" spans="2:7" x14ac:dyDescent="0.2">
      <c r="B2027" s="129"/>
      <c r="C2027" s="129"/>
      <c r="D2027" s="129"/>
      <c r="E2027" s="129"/>
      <c r="F2027" s="129"/>
      <c r="G2027" s="129"/>
    </row>
    <row r="2028" spans="2:7" x14ac:dyDescent="0.2">
      <c r="B2028" s="129"/>
      <c r="C2028" s="129"/>
      <c r="D2028" s="129"/>
      <c r="E2028" s="129"/>
      <c r="F2028" s="129"/>
      <c r="G2028" s="129"/>
    </row>
    <row r="2029" spans="2:7" x14ac:dyDescent="0.2">
      <c r="B2029" s="129"/>
      <c r="C2029" s="129"/>
      <c r="D2029" s="129"/>
      <c r="E2029" s="129"/>
      <c r="F2029" s="129"/>
      <c r="G2029" s="129"/>
    </row>
    <row r="2030" spans="2:7" x14ac:dyDescent="0.2">
      <c r="B2030" s="129"/>
      <c r="C2030" s="129"/>
      <c r="D2030" s="129"/>
      <c r="E2030" s="129"/>
      <c r="F2030" s="129"/>
      <c r="G2030" s="129"/>
    </row>
    <row r="2031" spans="2:7" x14ac:dyDescent="0.2">
      <c r="B2031" s="129"/>
      <c r="C2031" s="129"/>
      <c r="D2031" s="129"/>
      <c r="E2031" s="129"/>
      <c r="F2031" s="129"/>
      <c r="G2031" s="129"/>
    </row>
    <row r="2032" spans="2:7" x14ac:dyDescent="0.2">
      <c r="B2032" s="129"/>
      <c r="C2032" s="129"/>
      <c r="D2032" s="129"/>
      <c r="E2032" s="129"/>
      <c r="F2032" s="129"/>
      <c r="G2032" s="129"/>
    </row>
    <row r="2033" spans="2:7" x14ac:dyDescent="0.2">
      <c r="B2033" s="129"/>
      <c r="C2033" s="129"/>
      <c r="D2033" s="129"/>
      <c r="E2033" s="129"/>
      <c r="F2033" s="129"/>
      <c r="G2033" s="129"/>
    </row>
    <row r="2034" spans="2:7" x14ac:dyDescent="0.2">
      <c r="B2034" s="129"/>
      <c r="C2034" s="129"/>
      <c r="D2034" s="129"/>
      <c r="E2034" s="129"/>
      <c r="F2034" s="129"/>
      <c r="G2034" s="129"/>
    </row>
    <row r="2035" spans="2:7" x14ac:dyDescent="0.2">
      <c r="B2035" s="129"/>
      <c r="C2035" s="129"/>
      <c r="D2035" s="129"/>
      <c r="E2035" s="129"/>
      <c r="F2035" s="129"/>
      <c r="G2035" s="129"/>
    </row>
    <row r="2036" spans="2:7" x14ac:dyDescent="0.2">
      <c r="B2036" s="129"/>
      <c r="C2036" s="129"/>
      <c r="D2036" s="129"/>
      <c r="E2036" s="129"/>
      <c r="F2036" s="129"/>
      <c r="G2036" s="129"/>
    </row>
    <row r="2037" spans="2:7" x14ac:dyDescent="0.2">
      <c r="B2037" s="129"/>
      <c r="C2037" s="129"/>
      <c r="D2037" s="129"/>
      <c r="E2037" s="129"/>
      <c r="F2037" s="129"/>
      <c r="G2037" s="129"/>
    </row>
    <row r="2038" spans="2:7" x14ac:dyDescent="0.2">
      <c r="B2038" s="129"/>
      <c r="C2038" s="129"/>
      <c r="D2038" s="129"/>
      <c r="E2038" s="129"/>
      <c r="F2038" s="129"/>
      <c r="G2038" s="129"/>
    </row>
    <row r="2039" spans="2:7" x14ac:dyDescent="0.2">
      <c r="B2039" s="129"/>
      <c r="C2039" s="129"/>
      <c r="D2039" s="129"/>
      <c r="E2039" s="129"/>
      <c r="F2039" s="129"/>
      <c r="G2039" s="129"/>
    </row>
    <row r="2040" spans="2:7" x14ac:dyDescent="0.2">
      <c r="B2040" s="129"/>
      <c r="C2040" s="129"/>
      <c r="D2040" s="129"/>
      <c r="E2040" s="129"/>
      <c r="F2040" s="129"/>
      <c r="G2040" s="129"/>
    </row>
    <row r="2041" spans="2:7" x14ac:dyDescent="0.2">
      <c r="B2041" s="129"/>
      <c r="C2041" s="129"/>
      <c r="D2041" s="129"/>
      <c r="E2041" s="129"/>
      <c r="F2041" s="129"/>
      <c r="G2041" s="129"/>
    </row>
    <row r="2042" spans="2:7" x14ac:dyDescent="0.2">
      <c r="B2042" s="129"/>
      <c r="C2042" s="129"/>
      <c r="D2042" s="129"/>
      <c r="E2042" s="129"/>
      <c r="F2042" s="129"/>
      <c r="G2042" s="129"/>
    </row>
    <row r="2043" spans="2:7" x14ac:dyDescent="0.2">
      <c r="B2043" s="129"/>
      <c r="C2043" s="129"/>
      <c r="D2043" s="129"/>
      <c r="E2043" s="129"/>
      <c r="F2043" s="129"/>
      <c r="G2043" s="129"/>
    </row>
    <row r="2044" spans="2:7" x14ac:dyDescent="0.2">
      <c r="B2044" s="129"/>
      <c r="C2044" s="129"/>
      <c r="D2044" s="129"/>
      <c r="E2044" s="129"/>
      <c r="F2044" s="129"/>
      <c r="G2044" s="129"/>
    </row>
    <row r="2045" spans="2:7" x14ac:dyDescent="0.2">
      <c r="B2045" s="129"/>
      <c r="C2045" s="129"/>
      <c r="D2045" s="129"/>
      <c r="E2045" s="129"/>
      <c r="F2045" s="129"/>
      <c r="G2045" s="129"/>
    </row>
    <row r="2046" spans="2:7" x14ac:dyDescent="0.2">
      <c r="B2046" s="129"/>
      <c r="C2046" s="129"/>
      <c r="D2046" s="129"/>
      <c r="E2046" s="129"/>
      <c r="F2046" s="129"/>
      <c r="G2046" s="129"/>
    </row>
    <row r="2047" spans="2:7" x14ac:dyDescent="0.2">
      <c r="B2047" s="129"/>
      <c r="C2047" s="129"/>
      <c r="D2047" s="129"/>
      <c r="E2047" s="129"/>
      <c r="F2047" s="129"/>
      <c r="G2047" s="129"/>
    </row>
    <row r="2048" spans="2:7" x14ac:dyDescent="0.2">
      <c r="B2048" s="129"/>
      <c r="C2048" s="129"/>
      <c r="D2048" s="129"/>
      <c r="E2048" s="129"/>
      <c r="F2048" s="129"/>
      <c r="G2048" s="129"/>
    </row>
    <row r="2049" spans="2:7" x14ac:dyDescent="0.2">
      <c r="B2049" s="129"/>
      <c r="C2049" s="129"/>
      <c r="D2049" s="129"/>
      <c r="E2049" s="129"/>
      <c r="F2049" s="129"/>
      <c r="G2049" s="129"/>
    </row>
    <row r="2050" spans="2:7" x14ac:dyDescent="0.2">
      <c r="B2050" s="129"/>
      <c r="C2050" s="129"/>
      <c r="D2050" s="129"/>
      <c r="E2050" s="129"/>
      <c r="F2050" s="129"/>
      <c r="G2050" s="129"/>
    </row>
    <row r="2051" spans="2:7" x14ac:dyDescent="0.2">
      <c r="B2051" s="129"/>
      <c r="C2051" s="129"/>
      <c r="D2051" s="129"/>
      <c r="E2051" s="129"/>
      <c r="F2051" s="129"/>
      <c r="G2051" s="129"/>
    </row>
    <row r="2052" spans="2:7" x14ac:dyDescent="0.2">
      <c r="B2052" s="129"/>
      <c r="C2052" s="129"/>
      <c r="D2052" s="129"/>
      <c r="E2052" s="129"/>
      <c r="F2052" s="129"/>
      <c r="G2052" s="129"/>
    </row>
    <row r="2053" spans="2:7" x14ac:dyDescent="0.2">
      <c r="B2053" s="129"/>
      <c r="C2053" s="129"/>
      <c r="D2053" s="129"/>
      <c r="E2053" s="129"/>
      <c r="F2053" s="129"/>
      <c r="G2053" s="129"/>
    </row>
    <row r="2054" spans="2:7" x14ac:dyDescent="0.2">
      <c r="B2054" s="129"/>
      <c r="C2054" s="129"/>
      <c r="D2054" s="129"/>
      <c r="E2054" s="129"/>
      <c r="F2054" s="129"/>
      <c r="G2054" s="129"/>
    </row>
    <row r="2055" spans="2:7" x14ac:dyDescent="0.2">
      <c r="B2055" s="129"/>
      <c r="C2055" s="129"/>
      <c r="D2055" s="129"/>
      <c r="E2055" s="129"/>
      <c r="F2055" s="129"/>
      <c r="G2055" s="129"/>
    </row>
    <row r="2056" spans="2:7" x14ac:dyDescent="0.2">
      <c r="B2056" s="129"/>
      <c r="C2056" s="129"/>
      <c r="D2056" s="129"/>
      <c r="E2056" s="129"/>
      <c r="F2056" s="129"/>
      <c r="G2056" s="129"/>
    </row>
    <row r="2057" spans="2:7" x14ac:dyDescent="0.2">
      <c r="B2057" s="129"/>
      <c r="C2057" s="129"/>
      <c r="D2057" s="129"/>
      <c r="E2057" s="129"/>
      <c r="F2057" s="129"/>
      <c r="G2057" s="129"/>
    </row>
    <row r="2058" spans="2:7" x14ac:dyDescent="0.2">
      <c r="B2058" s="129"/>
      <c r="C2058" s="129"/>
      <c r="D2058" s="129"/>
      <c r="E2058" s="129"/>
      <c r="F2058" s="129"/>
      <c r="G2058" s="129"/>
    </row>
    <row r="2059" spans="2:7" x14ac:dyDescent="0.2">
      <c r="B2059" s="129"/>
      <c r="C2059" s="129"/>
      <c r="D2059" s="129"/>
      <c r="E2059" s="129"/>
      <c r="F2059" s="129"/>
      <c r="G2059" s="129"/>
    </row>
    <row r="2060" spans="2:7" x14ac:dyDescent="0.2">
      <c r="B2060" s="129"/>
      <c r="C2060" s="129"/>
      <c r="D2060" s="129"/>
      <c r="E2060" s="129"/>
      <c r="F2060" s="129"/>
      <c r="G2060" s="129"/>
    </row>
    <row r="2061" spans="2:7" x14ac:dyDescent="0.2">
      <c r="B2061" s="129"/>
      <c r="C2061" s="129"/>
      <c r="D2061" s="129"/>
      <c r="E2061" s="129"/>
      <c r="F2061" s="129"/>
      <c r="G2061" s="129"/>
    </row>
    <row r="2062" spans="2:7" x14ac:dyDescent="0.2">
      <c r="B2062" s="129"/>
      <c r="C2062" s="129"/>
      <c r="D2062" s="129"/>
      <c r="E2062" s="129"/>
      <c r="F2062" s="129"/>
      <c r="G2062" s="129"/>
    </row>
    <row r="2063" spans="2:7" x14ac:dyDescent="0.2">
      <c r="B2063" s="129"/>
      <c r="C2063" s="129"/>
      <c r="D2063" s="129"/>
      <c r="E2063" s="129"/>
      <c r="F2063" s="129"/>
      <c r="G2063" s="129"/>
    </row>
    <row r="2064" spans="2:7" x14ac:dyDescent="0.2">
      <c r="B2064" s="129"/>
      <c r="C2064" s="129"/>
      <c r="D2064" s="129"/>
      <c r="E2064" s="129"/>
      <c r="F2064" s="129"/>
      <c r="G2064" s="129"/>
    </row>
    <row r="2065" spans="2:7" x14ac:dyDescent="0.2">
      <c r="B2065" s="129"/>
      <c r="C2065" s="129"/>
      <c r="D2065" s="129"/>
      <c r="E2065" s="129"/>
      <c r="F2065" s="129"/>
      <c r="G2065" s="129"/>
    </row>
    <row r="2066" spans="2:7" x14ac:dyDescent="0.2">
      <c r="B2066" s="129"/>
      <c r="C2066" s="129"/>
      <c r="D2066" s="129"/>
      <c r="E2066" s="129"/>
      <c r="F2066" s="129"/>
      <c r="G2066" s="129"/>
    </row>
    <row r="2067" spans="2:7" x14ac:dyDescent="0.2">
      <c r="B2067" s="129"/>
      <c r="C2067" s="129"/>
      <c r="D2067" s="129"/>
      <c r="E2067" s="129"/>
      <c r="F2067" s="129"/>
      <c r="G2067" s="129"/>
    </row>
    <row r="2068" spans="2:7" x14ac:dyDescent="0.2">
      <c r="B2068" s="129"/>
      <c r="C2068" s="129"/>
      <c r="D2068" s="129"/>
      <c r="E2068" s="129"/>
      <c r="F2068" s="129"/>
      <c r="G2068" s="129"/>
    </row>
    <row r="2069" spans="2:7" x14ac:dyDescent="0.2">
      <c r="B2069" s="129"/>
      <c r="C2069" s="129"/>
      <c r="D2069" s="129"/>
      <c r="E2069" s="129"/>
      <c r="F2069" s="129"/>
      <c r="G2069" s="129"/>
    </row>
    <row r="2070" spans="2:7" x14ac:dyDescent="0.2">
      <c r="B2070" s="129"/>
      <c r="C2070" s="129"/>
      <c r="D2070" s="129"/>
      <c r="E2070" s="129"/>
      <c r="F2070" s="129"/>
      <c r="G2070" s="129"/>
    </row>
    <row r="2071" spans="2:7" x14ac:dyDescent="0.2">
      <c r="B2071" s="129"/>
      <c r="C2071" s="129"/>
      <c r="D2071" s="129"/>
      <c r="E2071" s="129"/>
      <c r="F2071" s="129"/>
      <c r="G2071" s="129"/>
    </row>
    <row r="2072" spans="2:7" x14ac:dyDescent="0.2">
      <c r="B2072" s="129"/>
      <c r="C2072" s="129"/>
      <c r="D2072" s="129"/>
      <c r="E2072" s="129"/>
      <c r="F2072" s="129"/>
      <c r="G2072" s="129"/>
    </row>
    <row r="2073" spans="2:7" x14ac:dyDescent="0.2">
      <c r="B2073" s="129"/>
      <c r="C2073" s="129"/>
      <c r="D2073" s="129"/>
      <c r="E2073" s="129"/>
      <c r="F2073" s="129"/>
      <c r="G2073" s="129"/>
    </row>
    <row r="2074" spans="2:7" x14ac:dyDescent="0.2">
      <c r="B2074" s="129"/>
      <c r="C2074" s="129"/>
      <c r="D2074" s="129"/>
      <c r="E2074" s="129"/>
      <c r="F2074" s="129"/>
      <c r="G2074" s="129"/>
    </row>
    <row r="2075" spans="2:7" x14ac:dyDescent="0.2">
      <c r="B2075" s="129"/>
      <c r="C2075" s="129"/>
      <c r="D2075" s="129"/>
      <c r="E2075" s="129"/>
      <c r="F2075" s="129"/>
      <c r="G2075" s="129"/>
    </row>
    <row r="2076" spans="2:7" x14ac:dyDescent="0.2">
      <c r="B2076" s="129"/>
      <c r="C2076" s="129"/>
      <c r="D2076" s="129"/>
      <c r="E2076" s="129"/>
      <c r="F2076" s="129"/>
      <c r="G2076" s="129"/>
    </row>
    <row r="2077" spans="2:7" x14ac:dyDescent="0.2">
      <c r="B2077" s="129"/>
      <c r="C2077" s="129"/>
      <c r="D2077" s="129"/>
      <c r="E2077" s="129"/>
      <c r="F2077" s="129"/>
      <c r="G2077" s="129"/>
    </row>
    <row r="2078" spans="2:7" x14ac:dyDescent="0.2">
      <c r="B2078" s="129"/>
      <c r="C2078" s="129"/>
      <c r="D2078" s="129"/>
      <c r="E2078" s="129"/>
      <c r="F2078" s="129"/>
      <c r="G2078" s="129"/>
    </row>
    <row r="2079" spans="2:7" x14ac:dyDescent="0.2">
      <c r="B2079" s="129"/>
      <c r="C2079" s="129"/>
      <c r="D2079" s="129"/>
      <c r="E2079" s="129"/>
      <c r="F2079" s="129"/>
      <c r="G2079" s="129"/>
    </row>
    <row r="2080" spans="2:7" x14ac:dyDescent="0.2">
      <c r="B2080" s="129"/>
      <c r="C2080" s="129"/>
      <c r="D2080" s="129"/>
      <c r="E2080" s="129"/>
      <c r="F2080" s="129"/>
      <c r="G2080" s="129"/>
    </row>
    <row r="2081" spans="2:7" x14ac:dyDescent="0.2">
      <c r="B2081" s="129"/>
      <c r="C2081" s="129"/>
      <c r="D2081" s="129"/>
      <c r="E2081" s="129"/>
      <c r="F2081" s="129"/>
      <c r="G2081" s="129"/>
    </row>
    <row r="2082" spans="2:7" x14ac:dyDescent="0.2">
      <c r="B2082" s="129"/>
      <c r="C2082" s="129"/>
      <c r="D2082" s="129"/>
      <c r="E2082" s="129"/>
      <c r="F2082" s="129"/>
      <c r="G2082" s="129"/>
    </row>
    <row r="2083" spans="2:7" x14ac:dyDescent="0.2">
      <c r="B2083" s="129"/>
      <c r="C2083" s="129"/>
      <c r="D2083" s="129"/>
      <c r="E2083" s="129"/>
      <c r="F2083" s="129"/>
      <c r="G2083" s="129"/>
    </row>
    <row r="2084" spans="2:7" x14ac:dyDescent="0.2">
      <c r="B2084" s="129"/>
      <c r="C2084" s="129"/>
      <c r="D2084" s="129"/>
      <c r="E2084" s="129"/>
      <c r="F2084" s="129"/>
      <c r="G2084" s="129"/>
    </row>
    <row r="2085" spans="2:7" x14ac:dyDescent="0.2">
      <c r="B2085" s="129"/>
      <c r="C2085" s="129"/>
      <c r="D2085" s="129"/>
      <c r="E2085" s="129"/>
      <c r="F2085" s="129"/>
      <c r="G2085" s="129"/>
    </row>
    <row r="2086" spans="2:7" x14ac:dyDescent="0.2">
      <c r="B2086" s="129"/>
      <c r="C2086" s="129"/>
      <c r="D2086" s="129"/>
      <c r="E2086" s="129"/>
      <c r="F2086" s="129"/>
      <c r="G2086" s="129"/>
    </row>
    <row r="2087" spans="2:7" x14ac:dyDescent="0.2">
      <c r="B2087" s="129"/>
      <c r="C2087" s="129"/>
      <c r="D2087" s="129"/>
      <c r="E2087" s="129"/>
      <c r="F2087" s="129"/>
      <c r="G2087" s="129"/>
    </row>
    <row r="2088" spans="2:7" x14ac:dyDescent="0.2">
      <c r="B2088" s="129"/>
      <c r="C2088" s="129"/>
      <c r="D2088" s="129"/>
      <c r="E2088" s="129"/>
      <c r="F2088" s="129"/>
      <c r="G2088" s="129"/>
    </row>
    <row r="2089" spans="2:7" x14ac:dyDescent="0.2">
      <c r="B2089" s="129"/>
      <c r="C2089" s="129"/>
      <c r="D2089" s="129"/>
      <c r="E2089" s="129"/>
      <c r="F2089" s="129"/>
      <c r="G2089" s="129"/>
    </row>
    <row r="2090" spans="2:7" x14ac:dyDescent="0.2">
      <c r="B2090" s="129"/>
      <c r="C2090" s="129"/>
      <c r="D2090" s="129"/>
      <c r="E2090" s="129"/>
      <c r="F2090" s="129"/>
      <c r="G2090" s="129"/>
    </row>
    <row r="2091" spans="2:7" x14ac:dyDescent="0.2">
      <c r="B2091" s="129"/>
      <c r="C2091" s="129"/>
      <c r="D2091" s="129"/>
      <c r="E2091" s="129"/>
      <c r="F2091" s="129"/>
      <c r="G2091" s="129"/>
    </row>
    <row r="2092" spans="2:7" x14ac:dyDescent="0.2">
      <c r="B2092" s="129"/>
      <c r="C2092" s="129"/>
      <c r="D2092" s="129"/>
      <c r="E2092" s="129"/>
      <c r="F2092" s="129"/>
      <c r="G2092" s="129"/>
    </row>
    <row r="2093" spans="2:7" x14ac:dyDescent="0.2">
      <c r="B2093" s="129"/>
      <c r="C2093" s="129"/>
      <c r="D2093" s="129"/>
      <c r="E2093" s="129"/>
      <c r="F2093" s="129"/>
      <c r="G2093" s="129"/>
    </row>
    <row r="2094" spans="2:7" x14ac:dyDescent="0.2">
      <c r="B2094" s="129"/>
      <c r="C2094" s="129"/>
      <c r="D2094" s="129"/>
      <c r="E2094" s="129"/>
      <c r="F2094" s="129"/>
      <c r="G2094" s="129"/>
    </row>
    <row r="2095" spans="2:7" x14ac:dyDescent="0.2">
      <c r="B2095" s="129"/>
      <c r="C2095" s="129"/>
      <c r="D2095" s="129"/>
      <c r="E2095" s="129"/>
      <c r="F2095" s="129"/>
      <c r="G2095" s="129"/>
    </row>
    <row r="2096" spans="2:7" x14ac:dyDescent="0.2">
      <c r="B2096" s="129"/>
      <c r="C2096" s="129"/>
      <c r="D2096" s="129"/>
      <c r="E2096" s="129"/>
      <c r="F2096" s="129"/>
      <c r="G2096" s="129"/>
    </row>
    <row r="2097" spans="2:7" x14ac:dyDescent="0.2">
      <c r="B2097" s="129"/>
      <c r="C2097" s="129"/>
      <c r="D2097" s="129"/>
      <c r="E2097" s="129"/>
      <c r="F2097" s="129"/>
      <c r="G2097" s="129"/>
    </row>
    <row r="2098" spans="2:7" x14ac:dyDescent="0.2">
      <c r="B2098" s="129"/>
      <c r="C2098" s="129"/>
      <c r="D2098" s="129"/>
      <c r="E2098" s="129"/>
      <c r="F2098" s="129"/>
      <c r="G2098" s="129"/>
    </row>
    <row r="2099" spans="2:7" x14ac:dyDescent="0.2">
      <c r="B2099" s="129"/>
      <c r="C2099" s="129"/>
      <c r="D2099" s="129"/>
      <c r="E2099" s="129"/>
      <c r="F2099" s="129"/>
      <c r="G2099" s="129"/>
    </row>
    <row r="2100" spans="2:7" x14ac:dyDescent="0.2">
      <c r="B2100" s="129"/>
      <c r="C2100" s="129"/>
      <c r="D2100" s="129"/>
      <c r="E2100" s="129"/>
      <c r="F2100" s="129"/>
      <c r="G2100" s="129"/>
    </row>
    <row r="2101" spans="2:7" x14ac:dyDescent="0.2">
      <c r="B2101" s="129"/>
      <c r="C2101" s="129"/>
      <c r="D2101" s="129"/>
      <c r="E2101" s="129"/>
      <c r="F2101" s="129"/>
      <c r="G2101" s="129"/>
    </row>
    <row r="2102" spans="2:7" x14ac:dyDescent="0.2">
      <c r="B2102" s="129"/>
      <c r="C2102" s="129"/>
      <c r="D2102" s="129"/>
      <c r="E2102" s="129"/>
      <c r="F2102" s="129"/>
      <c r="G2102" s="129"/>
    </row>
    <row r="2103" spans="2:7" x14ac:dyDescent="0.2">
      <c r="B2103" s="129"/>
      <c r="C2103" s="129"/>
      <c r="D2103" s="129"/>
      <c r="E2103" s="129"/>
      <c r="F2103" s="129"/>
      <c r="G2103" s="129"/>
    </row>
    <row r="2104" spans="2:7" x14ac:dyDescent="0.2">
      <c r="B2104" s="129"/>
      <c r="C2104" s="129"/>
      <c r="D2104" s="129"/>
      <c r="E2104" s="129"/>
      <c r="F2104" s="129"/>
      <c r="G2104" s="129"/>
    </row>
    <row r="2105" spans="2:7" x14ac:dyDescent="0.2">
      <c r="B2105" s="129"/>
      <c r="C2105" s="129"/>
      <c r="D2105" s="129"/>
      <c r="E2105" s="129"/>
      <c r="F2105" s="129"/>
      <c r="G2105" s="129"/>
    </row>
    <row r="2106" spans="2:7" x14ac:dyDescent="0.2">
      <c r="B2106" s="129"/>
      <c r="C2106" s="129"/>
      <c r="D2106" s="129"/>
      <c r="E2106" s="129"/>
      <c r="F2106" s="129"/>
      <c r="G2106" s="129"/>
    </row>
    <row r="2107" spans="2:7" x14ac:dyDescent="0.2">
      <c r="B2107" s="129"/>
      <c r="C2107" s="129"/>
      <c r="D2107" s="129"/>
      <c r="E2107" s="129"/>
      <c r="F2107" s="129"/>
      <c r="G2107" s="129"/>
    </row>
    <row r="2108" spans="2:7" x14ac:dyDescent="0.2">
      <c r="B2108" s="129"/>
      <c r="C2108" s="129"/>
      <c r="D2108" s="129"/>
      <c r="E2108" s="129"/>
      <c r="F2108" s="129"/>
      <c r="G2108" s="129"/>
    </row>
    <row r="2109" spans="2:7" x14ac:dyDescent="0.2">
      <c r="B2109" s="129"/>
      <c r="C2109" s="129"/>
      <c r="D2109" s="129"/>
      <c r="E2109" s="129"/>
      <c r="F2109" s="129"/>
      <c r="G2109" s="129"/>
    </row>
    <row r="2110" spans="2:7" x14ac:dyDescent="0.2">
      <c r="B2110" s="129"/>
      <c r="C2110" s="129"/>
      <c r="D2110" s="129"/>
      <c r="E2110" s="129"/>
      <c r="F2110" s="129"/>
      <c r="G2110" s="129"/>
    </row>
    <row r="2111" spans="2:7" x14ac:dyDescent="0.2">
      <c r="B2111" s="129"/>
      <c r="C2111" s="129"/>
      <c r="D2111" s="129"/>
      <c r="E2111" s="129"/>
      <c r="F2111" s="129"/>
      <c r="G2111" s="129"/>
    </row>
    <row r="2112" spans="2:7" x14ac:dyDescent="0.2">
      <c r="B2112" s="129"/>
      <c r="C2112" s="129"/>
      <c r="D2112" s="129"/>
      <c r="E2112" s="129"/>
      <c r="F2112" s="129"/>
      <c r="G2112" s="129"/>
    </row>
    <row r="2113" spans="2:7" x14ac:dyDescent="0.2">
      <c r="B2113" s="129"/>
      <c r="C2113" s="129"/>
      <c r="D2113" s="129"/>
      <c r="E2113" s="129"/>
      <c r="F2113" s="129"/>
      <c r="G2113" s="129"/>
    </row>
    <row r="2114" spans="2:7" x14ac:dyDescent="0.2">
      <c r="B2114" s="129"/>
      <c r="C2114" s="129"/>
      <c r="D2114" s="129"/>
      <c r="E2114" s="129"/>
      <c r="F2114" s="129"/>
      <c r="G2114" s="129"/>
    </row>
    <row r="2115" spans="2:7" x14ac:dyDescent="0.2">
      <c r="B2115" s="129"/>
      <c r="C2115" s="129"/>
      <c r="D2115" s="129"/>
      <c r="E2115" s="129"/>
      <c r="F2115" s="129"/>
      <c r="G2115" s="129"/>
    </row>
    <row r="2116" spans="2:7" x14ac:dyDescent="0.2">
      <c r="B2116" s="129"/>
      <c r="C2116" s="129"/>
      <c r="D2116" s="129"/>
      <c r="E2116" s="129"/>
      <c r="F2116" s="129"/>
      <c r="G2116" s="129"/>
    </row>
    <row r="2117" spans="2:7" x14ac:dyDescent="0.2">
      <c r="B2117" s="129"/>
      <c r="C2117" s="129"/>
      <c r="D2117" s="129"/>
      <c r="E2117" s="129"/>
      <c r="F2117" s="129"/>
      <c r="G2117" s="129"/>
    </row>
    <row r="2118" spans="2:7" x14ac:dyDescent="0.2">
      <c r="B2118" s="129"/>
      <c r="C2118" s="129"/>
      <c r="D2118" s="129"/>
      <c r="E2118" s="129"/>
      <c r="F2118" s="129"/>
      <c r="G2118" s="129"/>
    </row>
    <row r="2119" spans="2:7" x14ac:dyDescent="0.2">
      <c r="B2119" s="129"/>
      <c r="C2119" s="129"/>
      <c r="D2119" s="129"/>
      <c r="E2119" s="129"/>
      <c r="F2119" s="129"/>
      <c r="G2119" s="129"/>
    </row>
    <row r="2120" spans="2:7" x14ac:dyDescent="0.2">
      <c r="B2120" s="129"/>
      <c r="C2120" s="129"/>
      <c r="D2120" s="129"/>
      <c r="E2120" s="129"/>
      <c r="F2120" s="129"/>
      <c r="G2120" s="129"/>
    </row>
    <row r="2121" spans="2:7" x14ac:dyDescent="0.2">
      <c r="B2121" s="129"/>
      <c r="C2121" s="129"/>
      <c r="D2121" s="129"/>
      <c r="E2121" s="129"/>
      <c r="F2121" s="129"/>
      <c r="G2121" s="129"/>
    </row>
    <row r="2122" spans="2:7" x14ac:dyDescent="0.2">
      <c r="B2122" s="129"/>
      <c r="C2122" s="129"/>
      <c r="D2122" s="129"/>
      <c r="E2122" s="129"/>
      <c r="F2122" s="129"/>
      <c r="G2122" s="129"/>
    </row>
    <row r="2123" spans="2:7" x14ac:dyDescent="0.2">
      <c r="B2123" s="129"/>
      <c r="C2123" s="129"/>
      <c r="D2123" s="129"/>
      <c r="E2123" s="129"/>
      <c r="F2123" s="129"/>
      <c r="G2123" s="129"/>
    </row>
    <row r="2124" spans="2:7" x14ac:dyDescent="0.2">
      <c r="B2124" s="129"/>
      <c r="C2124" s="129"/>
      <c r="D2124" s="129"/>
      <c r="E2124" s="129"/>
      <c r="F2124" s="129"/>
      <c r="G2124" s="129"/>
    </row>
    <row r="2125" spans="2:7" x14ac:dyDescent="0.2">
      <c r="B2125" s="129"/>
      <c r="C2125" s="129"/>
      <c r="D2125" s="129"/>
      <c r="E2125" s="129"/>
      <c r="F2125" s="129"/>
      <c r="G2125" s="129"/>
    </row>
    <row r="2126" spans="2:7" x14ac:dyDescent="0.2">
      <c r="B2126" s="129"/>
      <c r="C2126" s="129"/>
      <c r="D2126" s="129"/>
      <c r="E2126" s="129"/>
      <c r="F2126" s="129"/>
      <c r="G2126" s="129"/>
    </row>
    <row r="2127" spans="2:7" x14ac:dyDescent="0.2">
      <c r="B2127" s="129"/>
      <c r="C2127" s="129"/>
      <c r="D2127" s="129"/>
      <c r="E2127" s="129"/>
      <c r="F2127" s="129"/>
      <c r="G2127" s="129"/>
    </row>
    <row r="2128" spans="2:7" x14ac:dyDescent="0.2">
      <c r="B2128" s="129"/>
      <c r="C2128" s="129"/>
      <c r="D2128" s="129"/>
      <c r="E2128" s="129"/>
      <c r="F2128" s="129"/>
      <c r="G2128" s="129"/>
    </row>
    <row r="2129" spans="2:7" x14ac:dyDescent="0.2">
      <c r="B2129" s="129"/>
      <c r="C2129" s="129"/>
      <c r="D2129" s="129"/>
      <c r="E2129" s="129"/>
      <c r="F2129" s="129"/>
      <c r="G2129" s="129"/>
    </row>
    <row r="2130" spans="2:7" x14ac:dyDescent="0.2">
      <c r="B2130" s="129"/>
      <c r="C2130" s="129"/>
      <c r="D2130" s="129"/>
      <c r="E2130" s="129"/>
      <c r="F2130" s="129"/>
      <c r="G2130" s="129"/>
    </row>
    <row r="2131" spans="2:7" x14ac:dyDescent="0.2">
      <c r="B2131" s="129"/>
      <c r="C2131" s="129"/>
      <c r="D2131" s="129"/>
      <c r="E2131" s="129"/>
      <c r="F2131" s="129"/>
      <c r="G2131" s="129"/>
    </row>
    <row r="2132" spans="2:7" x14ac:dyDescent="0.2">
      <c r="B2132" s="129"/>
      <c r="C2132" s="129"/>
      <c r="D2132" s="129"/>
      <c r="E2132" s="129"/>
      <c r="F2132" s="129"/>
      <c r="G2132" s="129"/>
    </row>
    <row r="2133" spans="2:7" x14ac:dyDescent="0.2">
      <c r="B2133" s="129"/>
      <c r="C2133" s="129"/>
      <c r="D2133" s="129"/>
      <c r="E2133" s="129"/>
      <c r="F2133" s="129"/>
      <c r="G2133" s="129"/>
    </row>
    <row r="2134" spans="2:7" x14ac:dyDescent="0.2">
      <c r="B2134" s="129"/>
      <c r="C2134" s="129"/>
      <c r="D2134" s="129"/>
      <c r="E2134" s="129"/>
      <c r="F2134" s="129"/>
      <c r="G2134" s="129"/>
    </row>
    <row r="2135" spans="2:7" x14ac:dyDescent="0.2">
      <c r="B2135" s="129"/>
      <c r="C2135" s="129"/>
      <c r="D2135" s="129"/>
      <c r="E2135" s="129"/>
      <c r="F2135" s="129"/>
      <c r="G2135" s="129"/>
    </row>
    <row r="2136" spans="2:7" x14ac:dyDescent="0.2">
      <c r="B2136" s="129"/>
      <c r="C2136" s="129"/>
      <c r="D2136" s="129"/>
      <c r="E2136" s="129"/>
      <c r="F2136" s="129"/>
      <c r="G2136" s="129"/>
    </row>
    <row r="2137" spans="2:7" x14ac:dyDescent="0.2">
      <c r="B2137" s="129"/>
      <c r="C2137" s="129"/>
      <c r="D2137" s="129"/>
      <c r="E2137" s="129"/>
      <c r="F2137" s="129"/>
      <c r="G2137" s="129"/>
    </row>
    <row r="2138" spans="2:7" x14ac:dyDescent="0.2">
      <c r="B2138" s="129"/>
      <c r="C2138" s="129"/>
      <c r="D2138" s="129"/>
      <c r="E2138" s="129"/>
      <c r="F2138" s="129"/>
      <c r="G2138" s="129"/>
    </row>
    <row r="2139" spans="2:7" x14ac:dyDescent="0.2">
      <c r="B2139" s="129"/>
      <c r="C2139" s="129"/>
      <c r="D2139" s="129"/>
      <c r="E2139" s="129"/>
      <c r="F2139" s="129"/>
      <c r="G2139" s="129"/>
    </row>
    <row r="2140" spans="2:7" x14ac:dyDescent="0.2">
      <c r="B2140" s="129"/>
      <c r="C2140" s="129"/>
      <c r="D2140" s="129"/>
      <c r="E2140" s="129"/>
      <c r="F2140" s="129"/>
      <c r="G2140" s="129"/>
    </row>
    <row r="2141" spans="2:7" x14ac:dyDescent="0.2">
      <c r="B2141" s="129"/>
      <c r="C2141" s="129"/>
      <c r="D2141" s="129"/>
      <c r="E2141" s="129"/>
      <c r="F2141" s="129"/>
      <c r="G2141" s="129"/>
    </row>
    <row r="2142" spans="2:7" x14ac:dyDescent="0.2">
      <c r="B2142" s="129"/>
      <c r="C2142" s="129"/>
      <c r="D2142" s="129"/>
      <c r="E2142" s="129"/>
      <c r="F2142" s="129"/>
      <c r="G2142" s="129"/>
    </row>
    <row r="2143" spans="2:7" x14ac:dyDescent="0.2">
      <c r="B2143" s="129"/>
      <c r="C2143" s="129"/>
      <c r="D2143" s="129"/>
      <c r="E2143" s="129"/>
      <c r="F2143" s="129"/>
      <c r="G2143" s="129"/>
    </row>
    <row r="2144" spans="2:7" x14ac:dyDescent="0.2">
      <c r="B2144" s="129"/>
      <c r="C2144" s="129"/>
      <c r="D2144" s="129"/>
      <c r="E2144" s="129"/>
      <c r="F2144" s="129"/>
      <c r="G2144" s="129"/>
    </row>
    <row r="2145" spans="2:7" x14ac:dyDescent="0.2">
      <c r="B2145" s="129"/>
      <c r="C2145" s="129"/>
      <c r="D2145" s="129"/>
      <c r="E2145" s="129"/>
      <c r="F2145" s="129"/>
      <c r="G2145" s="129"/>
    </row>
    <row r="2146" spans="2:7" x14ac:dyDescent="0.2">
      <c r="B2146" s="129"/>
      <c r="C2146" s="129"/>
      <c r="D2146" s="129"/>
      <c r="E2146" s="129"/>
      <c r="F2146" s="129"/>
      <c r="G2146" s="129"/>
    </row>
    <row r="2147" spans="2:7" x14ac:dyDescent="0.2">
      <c r="B2147" s="129"/>
      <c r="C2147" s="129"/>
      <c r="D2147" s="129"/>
      <c r="E2147" s="129"/>
      <c r="F2147" s="129"/>
      <c r="G2147" s="129"/>
    </row>
    <row r="2148" spans="2:7" x14ac:dyDescent="0.2">
      <c r="B2148" s="129"/>
      <c r="C2148" s="129"/>
      <c r="D2148" s="129"/>
      <c r="E2148" s="129"/>
      <c r="F2148" s="129"/>
      <c r="G2148" s="129"/>
    </row>
    <row r="2149" spans="2:7" x14ac:dyDescent="0.2">
      <c r="B2149" s="129"/>
      <c r="C2149" s="129"/>
      <c r="D2149" s="129"/>
      <c r="E2149" s="129"/>
      <c r="F2149" s="129"/>
      <c r="G2149" s="129"/>
    </row>
    <row r="2150" spans="2:7" x14ac:dyDescent="0.2">
      <c r="B2150" s="129"/>
      <c r="C2150" s="129"/>
      <c r="D2150" s="129"/>
      <c r="E2150" s="129"/>
      <c r="F2150" s="129"/>
      <c r="G2150" s="129"/>
    </row>
    <row r="2151" spans="2:7" x14ac:dyDescent="0.2">
      <c r="B2151" s="129"/>
      <c r="C2151" s="129"/>
      <c r="D2151" s="129"/>
      <c r="E2151" s="129"/>
      <c r="F2151" s="129"/>
      <c r="G2151" s="129"/>
    </row>
    <row r="2152" spans="2:7" x14ac:dyDescent="0.2">
      <c r="B2152" s="129"/>
      <c r="C2152" s="129"/>
      <c r="D2152" s="129"/>
      <c r="E2152" s="129"/>
      <c r="F2152" s="129"/>
      <c r="G2152" s="129"/>
    </row>
    <row r="2153" spans="2:7" x14ac:dyDescent="0.2">
      <c r="B2153" s="129"/>
      <c r="C2153" s="129"/>
      <c r="D2153" s="129"/>
      <c r="E2153" s="129"/>
      <c r="F2153" s="129"/>
      <c r="G2153" s="129"/>
    </row>
    <row r="2154" spans="2:7" x14ac:dyDescent="0.2">
      <c r="B2154" s="129"/>
      <c r="C2154" s="129"/>
      <c r="D2154" s="129"/>
      <c r="E2154" s="129"/>
      <c r="F2154" s="129"/>
      <c r="G2154" s="129"/>
    </row>
    <row r="2155" spans="2:7" x14ac:dyDescent="0.2">
      <c r="B2155" s="129"/>
      <c r="C2155" s="129"/>
      <c r="D2155" s="129"/>
      <c r="E2155" s="129"/>
      <c r="F2155" s="129"/>
      <c r="G2155" s="129"/>
    </row>
    <row r="2156" spans="2:7" x14ac:dyDescent="0.2">
      <c r="B2156" s="129"/>
      <c r="C2156" s="129"/>
      <c r="D2156" s="129"/>
      <c r="E2156" s="129"/>
      <c r="F2156" s="129"/>
      <c r="G2156" s="129"/>
    </row>
    <row r="2157" spans="2:7" x14ac:dyDescent="0.2">
      <c r="B2157" s="129"/>
      <c r="C2157" s="129"/>
      <c r="D2157" s="129"/>
      <c r="E2157" s="129"/>
      <c r="F2157" s="129"/>
      <c r="G2157" s="129"/>
    </row>
    <row r="2158" spans="2:7" x14ac:dyDescent="0.2">
      <c r="B2158" s="129"/>
      <c r="C2158" s="129"/>
      <c r="D2158" s="129"/>
      <c r="E2158" s="129"/>
      <c r="F2158" s="129"/>
      <c r="G2158" s="129"/>
    </row>
    <row r="2159" spans="2:7" x14ac:dyDescent="0.2">
      <c r="B2159" s="129"/>
      <c r="C2159" s="129"/>
      <c r="D2159" s="129"/>
      <c r="E2159" s="129"/>
      <c r="F2159" s="129"/>
      <c r="G2159" s="129"/>
    </row>
    <row r="2160" spans="2:7" x14ac:dyDescent="0.2">
      <c r="B2160" s="129"/>
      <c r="C2160" s="129"/>
      <c r="D2160" s="129"/>
      <c r="E2160" s="129"/>
      <c r="F2160" s="129"/>
      <c r="G2160" s="129"/>
    </row>
    <row r="2161" spans="2:7" x14ac:dyDescent="0.2">
      <c r="B2161" s="129"/>
      <c r="C2161" s="129"/>
      <c r="D2161" s="129"/>
      <c r="E2161" s="129"/>
      <c r="F2161" s="129"/>
      <c r="G2161" s="129"/>
    </row>
    <row r="2162" spans="2:7" x14ac:dyDescent="0.2">
      <c r="B2162" s="129"/>
      <c r="C2162" s="129"/>
      <c r="D2162" s="129"/>
      <c r="E2162" s="129"/>
      <c r="F2162" s="129"/>
      <c r="G2162" s="129"/>
    </row>
    <row r="2163" spans="2:7" x14ac:dyDescent="0.2">
      <c r="B2163" s="129"/>
      <c r="C2163" s="129"/>
      <c r="D2163" s="129"/>
      <c r="E2163" s="129"/>
      <c r="F2163" s="129"/>
      <c r="G2163" s="129"/>
    </row>
    <row r="2164" spans="2:7" x14ac:dyDescent="0.2">
      <c r="B2164" s="129"/>
      <c r="C2164" s="129"/>
      <c r="D2164" s="129"/>
      <c r="E2164" s="129"/>
      <c r="F2164" s="129"/>
      <c r="G2164" s="129"/>
    </row>
    <row r="2165" spans="2:7" x14ac:dyDescent="0.2">
      <c r="B2165" s="129"/>
      <c r="C2165" s="129"/>
      <c r="D2165" s="129"/>
      <c r="E2165" s="129"/>
      <c r="F2165" s="129"/>
      <c r="G2165" s="129"/>
    </row>
    <row r="2166" spans="2:7" x14ac:dyDescent="0.2">
      <c r="B2166" s="129"/>
      <c r="C2166" s="129"/>
      <c r="D2166" s="129"/>
      <c r="E2166" s="129"/>
      <c r="F2166" s="129"/>
      <c r="G2166" s="129"/>
    </row>
    <row r="2167" spans="2:7" x14ac:dyDescent="0.2">
      <c r="B2167" s="129"/>
      <c r="C2167" s="129"/>
      <c r="D2167" s="129"/>
      <c r="E2167" s="129"/>
      <c r="F2167" s="129"/>
      <c r="G2167" s="129"/>
    </row>
    <row r="2168" spans="2:7" x14ac:dyDescent="0.2">
      <c r="B2168" s="129"/>
      <c r="C2168" s="129"/>
      <c r="D2168" s="129"/>
      <c r="E2168" s="129"/>
      <c r="F2168" s="129"/>
      <c r="G2168" s="129"/>
    </row>
    <row r="2169" spans="2:7" x14ac:dyDescent="0.2">
      <c r="B2169" s="129"/>
      <c r="C2169" s="129"/>
      <c r="D2169" s="129"/>
      <c r="E2169" s="129"/>
      <c r="F2169" s="129"/>
      <c r="G2169" s="129"/>
    </row>
    <row r="2170" spans="2:7" x14ac:dyDescent="0.2">
      <c r="B2170" s="129"/>
      <c r="C2170" s="129"/>
      <c r="D2170" s="129"/>
      <c r="E2170" s="129"/>
      <c r="F2170" s="129"/>
      <c r="G2170" s="129"/>
    </row>
    <row r="2171" spans="2:7" x14ac:dyDescent="0.2">
      <c r="B2171" s="129"/>
      <c r="C2171" s="129"/>
      <c r="D2171" s="129"/>
      <c r="E2171" s="129"/>
      <c r="F2171" s="129"/>
      <c r="G2171" s="129"/>
    </row>
    <row r="2172" spans="2:7" x14ac:dyDescent="0.2">
      <c r="B2172" s="129"/>
      <c r="C2172" s="129"/>
      <c r="D2172" s="129"/>
      <c r="E2172" s="129"/>
      <c r="F2172" s="129"/>
      <c r="G2172" s="129"/>
    </row>
    <row r="2173" spans="2:7" x14ac:dyDescent="0.2">
      <c r="B2173" s="129"/>
      <c r="C2173" s="129"/>
      <c r="D2173" s="129"/>
      <c r="E2173" s="129"/>
      <c r="F2173" s="129"/>
      <c r="G2173" s="129"/>
    </row>
    <row r="2174" spans="2:7" x14ac:dyDescent="0.2">
      <c r="B2174" s="129"/>
      <c r="C2174" s="129"/>
      <c r="D2174" s="129"/>
      <c r="E2174" s="129"/>
      <c r="F2174" s="129"/>
      <c r="G2174" s="129"/>
    </row>
    <row r="2175" spans="2:7" x14ac:dyDescent="0.2">
      <c r="B2175" s="129"/>
      <c r="C2175" s="129"/>
      <c r="D2175" s="129"/>
      <c r="E2175" s="129"/>
      <c r="F2175" s="129"/>
      <c r="G2175" s="129"/>
    </row>
    <row r="2176" spans="2:7" x14ac:dyDescent="0.2">
      <c r="B2176" s="129"/>
      <c r="C2176" s="129"/>
      <c r="D2176" s="129"/>
      <c r="E2176" s="129"/>
      <c r="F2176" s="129"/>
      <c r="G2176" s="129"/>
    </row>
    <row r="2177" spans="2:7" x14ac:dyDescent="0.2">
      <c r="B2177" s="129"/>
      <c r="C2177" s="129"/>
      <c r="D2177" s="129"/>
      <c r="E2177" s="129"/>
      <c r="F2177" s="129"/>
      <c r="G2177" s="129"/>
    </row>
    <row r="2178" spans="2:7" x14ac:dyDescent="0.2">
      <c r="B2178" s="129"/>
      <c r="C2178" s="129"/>
      <c r="D2178" s="129"/>
      <c r="E2178" s="129"/>
      <c r="F2178" s="129"/>
      <c r="G2178" s="129"/>
    </row>
    <row r="2179" spans="2:7" x14ac:dyDescent="0.2">
      <c r="B2179" s="129"/>
      <c r="C2179" s="129"/>
      <c r="D2179" s="129"/>
      <c r="E2179" s="129"/>
      <c r="F2179" s="129"/>
      <c r="G2179" s="129"/>
    </row>
    <row r="2180" spans="2:7" x14ac:dyDescent="0.2">
      <c r="B2180" s="129"/>
      <c r="C2180" s="129"/>
      <c r="D2180" s="129"/>
      <c r="E2180" s="129"/>
      <c r="F2180" s="129"/>
      <c r="G2180" s="129"/>
    </row>
    <row r="2181" spans="2:7" x14ac:dyDescent="0.2">
      <c r="B2181" s="129"/>
      <c r="C2181" s="129"/>
      <c r="D2181" s="129"/>
      <c r="E2181" s="129"/>
      <c r="F2181" s="129"/>
      <c r="G2181" s="129"/>
    </row>
    <row r="2182" spans="2:7" x14ac:dyDescent="0.2">
      <c r="B2182" s="129"/>
      <c r="C2182" s="129"/>
      <c r="D2182" s="129"/>
      <c r="E2182" s="129"/>
      <c r="F2182" s="129"/>
      <c r="G2182" s="129"/>
    </row>
    <row r="2183" spans="2:7" x14ac:dyDescent="0.2">
      <c r="B2183" s="129"/>
      <c r="C2183" s="129"/>
      <c r="D2183" s="129"/>
      <c r="E2183" s="129"/>
      <c r="F2183" s="129"/>
      <c r="G2183" s="129"/>
    </row>
    <row r="2184" spans="2:7" x14ac:dyDescent="0.2">
      <c r="B2184" s="129"/>
      <c r="C2184" s="129"/>
      <c r="D2184" s="129"/>
      <c r="E2184" s="129"/>
      <c r="F2184" s="129"/>
      <c r="G2184" s="129"/>
    </row>
    <row r="2185" spans="2:7" x14ac:dyDescent="0.2">
      <c r="B2185" s="129"/>
      <c r="C2185" s="129"/>
      <c r="D2185" s="129"/>
      <c r="E2185" s="129"/>
      <c r="F2185" s="129"/>
      <c r="G2185" s="129"/>
    </row>
    <row r="2186" spans="2:7" x14ac:dyDescent="0.2">
      <c r="B2186" s="129"/>
      <c r="C2186" s="129"/>
      <c r="D2186" s="129"/>
      <c r="E2186" s="129"/>
      <c r="F2186" s="129"/>
      <c r="G2186" s="129"/>
    </row>
    <row r="2187" spans="2:7" x14ac:dyDescent="0.2">
      <c r="B2187" s="129"/>
      <c r="C2187" s="129"/>
      <c r="D2187" s="129"/>
      <c r="E2187" s="129"/>
      <c r="F2187" s="129"/>
      <c r="G2187" s="129"/>
    </row>
    <row r="2188" spans="2:7" x14ac:dyDescent="0.2">
      <c r="B2188" s="129"/>
      <c r="C2188" s="129"/>
      <c r="D2188" s="129"/>
      <c r="E2188" s="129"/>
      <c r="F2188" s="129"/>
      <c r="G2188" s="129"/>
    </row>
    <row r="2189" spans="2:7" x14ac:dyDescent="0.2">
      <c r="B2189" s="129"/>
      <c r="C2189" s="129"/>
      <c r="D2189" s="129"/>
      <c r="E2189" s="129"/>
      <c r="F2189" s="129"/>
      <c r="G2189" s="129"/>
    </row>
    <row r="2190" spans="2:7" x14ac:dyDescent="0.2">
      <c r="B2190" s="129"/>
      <c r="C2190" s="129"/>
      <c r="D2190" s="129"/>
      <c r="E2190" s="129"/>
      <c r="F2190" s="129"/>
      <c r="G2190" s="129"/>
    </row>
    <row r="2191" spans="2:7" x14ac:dyDescent="0.2">
      <c r="B2191" s="129"/>
      <c r="C2191" s="129"/>
      <c r="D2191" s="129"/>
      <c r="E2191" s="129"/>
      <c r="F2191" s="129"/>
      <c r="G2191" s="129"/>
    </row>
    <row r="2192" spans="2:7" x14ac:dyDescent="0.2">
      <c r="B2192" s="129"/>
      <c r="C2192" s="129"/>
      <c r="D2192" s="129"/>
      <c r="E2192" s="129"/>
      <c r="F2192" s="129"/>
      <c r="G2192" s="129"/>
    </row>
    <row r="2193" spans="2:7" x14ac:dyDescent="0.2">
      <c r="B2193" s="129"/>
      <c r="C2193" s="129"/>
      <c r="D2193" s="129"/>
      <c r="E2193" s="129"/>
      <c r="F2193" s="129"/>
      <c r="G2193" s="129"/>
    </row>
    <row r="2194" spans="2:7" x14ac:dyDescent="0.2">
      <c r="B2194" s="129"/>
      <c r="C2194" s="129"/>
      <c r="D2194" s="129"/>
      <c r="E2194" s="129"/>
      <c r="F2194" s="129"/>
      <c r="G2194" s="129"/>
    </row>
    <row r="2195" spans="2:7" x14ac:dyDescent="0.2">
      <c r="B2195" s="129"/>
      <c r="C2195" s="129"/>
      <c r="D2195" s="129"/>
      <c r="E2195" s="129"/>
      <c r="F2195" s="129"/>
      <c r="G2195" s="129"/>
    </row>
    <row r="2196" spans="2:7" x14ac:dyDescent="0.2">
      <c r="B2196" s="129"/>
      <c r="C2196" s="129"/>
      <c r="D2196" s="129"/>
      <c r="E2196" s="129"/>
      <c r="F2196" s="129"/>
      <c r="G2196" s="129"/>
    </row>
    <row r="2197" spans="2:7" x14ac:dyDescent="0.2">
      <c r="B2197" s="129"/>
      <c r="C2197" s="129"/>
      <c r="D2197" s="129"/>
      <c r="E2197" s="129"/>
      <c r="F2197" s="129"/>
      <c r="G2197" s="129"/>
    </row>
    <row r="2198" spans="2:7" x14ac:dyDescent="0.2">
      <c r="B2198" s="129"/>
      <c r="C2198" s="129"/>
      <c r="D2198" s="129"/>
      <c r="E2198" s="129"/>
      <c r="F2198" s="129"/>
      <c r="G2198" s="129"/>
    </row>
    <row r="2199" spans="2:7" x14ac:dyDescent="0.2">
      <c r="B2199" s="129"/>
      <c r="C2199" s="129"/>
      <c r="D2199" s="129"/>
      <c r="E2199" s="129"/>
      <c r="F2199" s="129"/>
      <c r="G2199" s="129"/>
    </row>
    <row r="2200" spans="2:7" x14ac:dyDescent="0.2">
      <c r="B2200" s="129"/>
      <c r="C2200" s="129"/>
      <c r="D2200" s="129"/>
      <c r="E2200" s="129"/>
      <c r="F2200" s="129"/>
      <c r="G2200" s="129"/>
    </row>
    <row r="2201" spans="2:7" x14ac:dyDescent="0.2">
      <c r="B2201" s="129"/>
      <c r="C2201" s="129"/>
      <c r="D2201" s="129"/>
      <c r="E2201" s="129"/>
      <c r="F2201" s="129"/>
      <c r="G2201" s="129"/>
    </row>
    <row r="2202" spans="2:7" x14ac:dyDescent="0.2">
      <c r="B2202" s="129"/>
      <c r="C2202" s="129"/>
      <c r="D2202" s="129"/>
      <c r="E2202" s="129"/>
      <c r="F2202" s="129"/>
      <c r="G2202" s="129"/>
    </row>
    <row r="2203" spans="2:7" x14ac:dyDescent="0.2">
      <c r="B2203" s="129"/>
      <c r="C2203" s="129"/>
      <c r="D2203" s="129"/>
      <c r="E2203" s="129"/>
      <c r="F2203" s="129"/>
      <c r="G2203" s="129"/>
    </row>
    <row r="2204" spans="2:7" x14ac:dyDescent="0.2">
      <c r="B2204" s="129"/>
      <c r="C2204" s="129"/>
      <c r="D2204" s="129"/>
      <c r="E2204" s="129"/>
      <c r="F2204" s="129"/>
      <c r="G2204" s="129"/>
    </row>
    <row r="2205" spans="2:7" x14ac:dyDescent="0.2">
      <c r="B2205" s="129"/>
      <c r="C2205" s="129"/>
      <c r="D2205" s="129"/>
      <c r="E2205" s="129"/>
      <c r="F2205" s="129"/>
      <c r="G2205" s="129"/>
    </row>
    <row r="2206" spans="2:7" x14ac:dyDescent="0.2">
      <c r="B2206" s="129"/>
      <c r="C2206" s="129"/>
      <c r="D2206" s="129"/>
      <c r="E2206" s="129"/>
      <c r="F2206" s="129"/>
      <c r="G2206" s="129"/>
    </row>
    <row r="2207" spans="2:7" x14ac:dyDescent="0.2">
      <c r="B2207" s="129"/>
      <c r="C2207" s="129"/>
      <c r="D2207" s="129"/>
      <c r="E2207" s="129"/>
      <c r="F2207" s="129"/>
      <c r="G2207" s="129"/>
    </row>
    <row r="2208" spans="2:7" x14ac:dyDescent="0.2">
      <c r="B2208" s="129"/>
      <c r="C2208" s="129"/>
      <c r="D2208" s="129"/>
      <c r="E2208" s="129"/>
      <c r="F2208" s="129"/>
      <c r="G2208" s="129"/>
    </row>
    <row r="2209" spans="2:7" x14ac:dyDescent="0.2">
      <c r="B2209" s="129"/>
      <c r="C2209" s="129"/>
      <c r="D2209" s="129"/>
      <c r="E2209" s="129"/>
      <c r="F2209" s="129"/>
      <c r="G2209" s="129"/>
    </row>
    <row r="2210" spans="2:7" x14ac:dyDescent="0.2">
      <c r="B2210" s="129"/>
      <c r="C2210" s="129"/>
      <c r="D2210" s="129"/>
      <c r="E2210" s="129"/>
      <c r="F2210" s="129"/>
      <c r="G2210" s="129"/>
    </row>
    <row r="2211" spans="2:7" x14ac:dyDescent="0.2">
      <c r="B2211" s="129"/>
      <c r="C2211" s="129"/>
      <c r="D2211" s="129"/>
      <c r="E2211" s="129"/>
      <c r="F2211" s="129"/>
      <c r="G2211" s="129"/>
    </row>
    <row r="2212" spans="2:7" x14ac:dyDescent="0.2">
      <c r="B2212" s="129"/>
      <c r="C2212" s="129"/>
      <c r="D2212" s="129"/>
      <c r="E2212" s="129"/>
      <c r="F2212" s="129"/>
      <c r="G2212" s="129"/>
    </row>
    <row r="2213" spans="2:7" x14ac:dyDescent="0.2">
      <c r="B2213" s="129"/>
      <c r="C2213" s="129"/>
      <c r="D2213" s="129"/>
      <c r="E2213" s="129"/>
      <c r="F2213" s="129"/>
      <c r="G2213" s="129"/>
    </row>
    <row r="2214" spans="2:7" x14ac:dyDescent="0.2">
      <c r="B2214" s="129"/>
      <c r="C2214" s="129"/>
      <c r="D2214" s="129"/>
      <c r="E2214" s="129"/>
      <c r="F2214" s="129"/>
      <c r="G2214" s="129"/>
    </row>
    <row r="2215" spans="2:7" x14ac:dyDescent="0.2">
      <c r="B2215" s="129"/>
      <c r="C2215" s="129"/>
      <c r="D2215" s="129"/>
      <c r="E2215" s="129"/>
      <c r="F2215" s="129"/>
      <c r="G2215" s="129"/>
    </row>
    <row r="2216" spans="2:7" x14ac:dyDescent="0.2">
      <c r="B2216" s="129"/>
      <c r="C2216" s="129"/>
      <c r="D2216" s="129"/>
      <c r="E2216" s="129"/>
      <c r="F2216" s="129"/>
      <c r="G2216" s="129"/>
    </row>
    <row r="2217" spans="2:7" x14ac:dyDescent="0.2">
      <c r="B2217" s="129"/>
      <c r="C2217" s="129"/>
      <c r="D2217" s="129"/>
      <c r="E2217" s="129"/>
      <c r="F2217" s="129"/>
      <c r="G2217" s="129"/>
    </row>
    <row r="2218" spans="2:7" x14ac:dyDescent="0.2">
      <c r="B2218" s="129"/>
      <c r="C2218" s="129"/>
      <c r="D2218" s="129"/>
      <c r="E2218" s="129"/>
      <c r="F2218" s="129"/>
      <c r="G2218" s="129"/>
    </row>
    <row r="2219" spans="2:7" x14ac:dyDescent="0.2">
      <c r="B2219" s="129"/>
      <c r="C2219" s="129"/>
      <c r="D2219" s="129"/>
      <c r="E2219" s="129"/>
      <c r="F2219" s="129"/>
      <c r="G2219" s="129"/>
    </row>
    <row r="2220" spans="2:7" x14ac:dyDescent="0.2">
      <c r="B2220" s="129"/>
      <c r="C2220" s="129"/>
      <c r="D2220" s="129"/>
      <c r="E2220" s="129"/>
      <c r="F2220" s="129"/>
      <c r="G2220" s="129"/>
    </row>
    <row r="2221" spans="2:7" x14ac:dyDescent="0.2">
      <c r="B2221" s="129"/>
      <c r="C2221" s="129"/>
      <c r="D2221" s="129"/>
      <c r="E2221" s="129"/>
      <c r="F2221" s="129"/>
      <c r="G2221" s="129"/>
    </row>
    <row r="2222" spans="2:7" x14ac:dyDescent="0.2">
      <c r="B2222" s="129"/>
      <c r="C2222" s="129"/>
      <c r="D2222" s="129"/>
      <c r="E2222" s="129"/>
      <c r="F2222" s="129"/>
      <c r="G2222" s="129"/>
    </row>
    <row r="2223" spans="2:7" x14ac:dyDescent="0.2">
      <c r="B2223" s="129"/>
      <c r="C2223" s="129"/>
      <c r="D2223" s="129"/>
      <c r="E2223" s="129"/>
      <c r="F2223" s="129"/>
      <c r="G2223" s="129"/>
    </row>
    <row r="2224" spans="2:7" x14ac:dyDescent="0.2">
      <c r="B2224" s="129"/>
      <c r="C2224" s="129"/>
      <c r="D2224" s="129"/>
      <c r="E2224" s="129"/>
      <c r="F2224" s="129"/>
      <c r="G2224" s="129"/>
    </row>
    <row r="2225" spans="2:7" x14ac:dyDescent="0.2">
      <c r="B2225" s="129"/>
      <c r="C2225" s="129"/>
      <c r="D2225" s="129"/>
      <c r="E2225" s="129"/>
      <c r="F2225" s="129"/>
      <c r="G2225" s="129"/>
    </row>
    <row r="2226" spans="2:7" x14ac:dyDescent="0.2">
      <c r="B2226" s="129"/>
      <c r="C2226" s="129"/>
      <c r="D2226" s="129"/>
      <c r="E2226" s="129"/>
      <c r="F2226" s="129"/>
      <c r="G2226" s="129"/>
    </row>
    <row r="2227" spans="2:7" x14ac:dyDescent="0.2">
      <c r="B2227" s="129"/>
      <c r="C2227" s="129"/>
      <c r="D2227" s="129"/>
      <c r="E2227" s="129"/>
      <c r="F2227" s="129"/>
      <c r="G2227" s="129"/>
    </row>
    <row r="2228" spans="2:7" x14ac:dyDescent="0.2">
      <c r="B2228" s="129"/>
      <c r="C2228" s="129"/>
      <c r="D2228" s="129"/>
      <c r="E2228" s="129"/>
      <c r="F2228" s="129"/>
      <c r="G2228" s="129"/>
    </row>
    <row r="2229" spans="2:7" x14ac:dyDescent="0.2">
      <c r="B2229" s="129"/>
      <c r="C2229" s="129"/>
      <c r="D2229" s="129"/>
      <c r="E2229" s="129"/>
      <c r="F2229" s="129"/>
      <c r="G2229" s="129"/>
    </row>
    <row r="2230" spans="2:7" x14ac:dyDescent="0.2">
      <c r="B2230" s="129"/>
      <c r="C2230" s="129"/>
      <c r="D2230" s="129"/>
      <c r="E2230" s="129"/>
      <c r="F2230" s="129"/>
      <c r="G2230" s="129"/>
    </row>
    <row r="2231" spans="2:7" x14ac:dyDescent="0.2">
      <c r="B2231" s="129"/>
      <c r="C2231" s="129"/>
      <c r="D2231" s="129"/>
      <c r="E2231" s="129"/>
      <c r="F2231" s="129"/>
      <c r="G2231" s="129"/>
    </row>
    <row r="2232" spans="2:7" x14ac:dyDescent="0.2">
      <c r="B2232" s="129"/>
      <c r="C2232" s="129"/>
      <c r="D2232" s="129"/>
      <c r="E2232" s="129"/>
      <c r="F2232" s="129"/>
      <c r="G2232" s="129"/>
    </row>
    <row r="2233" spans="2:7" x14ac:dyDescent="0.2">
      <c r="B2233" s="129"/>
      <c r="C2233" s="129"/>
      <c r="D2233" s="129"/>
      <c r="E2233" s="129"/>
      <c r="F2233" s="129"/>
      <c r="G2233" s="129"/>
    </row>
    <row r="2234" spans="2:7" x14ac:dyDescent="0.2">
      <c r="B2234" s="129"/>
      <c r="C2234" s="129"/>
      <c r="D2234" s="129"/>
      <c r="E2234" s="129"/>
      <c r="F2234" s="129"/>
      <c r="G2234" s="129"/>
    </row>
    <row r="2235" spans="2:7" x14ac:dyDescent="0.2">
      <c r="B2235" s="129"/>
      <c r="C2235" s="129"/>
      <c r="D2235" s="129"/>
      <c r="E2235" s="129"/>
      <c r="F2235" s="129"/>
      <c r="G2235" s="129"/>
    </row>
    <row r="2236" spans="2:7" x14ac:dyDescent="0.2">
      <c r="B2236" s="129"/>
      <c r="C2236" s="129"/>
      <c r="D2236" s="129"/>
      <c r="E2236" s="129"/>
      <c r="F2236" s="129"/>
      <c r="G2236" s="129"/>
    </row>
    <row r="2237" spans="2:7" x14ac:dyDescent="0.2">
      <c r="B2237" s="129"/>
      <c r="C2237" s="129"/>
      <c r="D2237" s="129"/>
      <c r="E2237" s="129"/>
      <c r="F2237" s="129"/>
      <c r="G2237" s="129"/>
    </row>
    <row r="2238" spans="2:7" x14ac:dyDescent="0.2">
      <c r="B2238" s="129"/>
      <c r="C2238" s="129"/>
      <c r="D2238" s="129"/>
      <c r="E2238" s="129"/>
      <c r="F2238" s="129"/>
      <c r="G2238" s="129"/>
    </row>
    <row r="2239" spans="2:7" x14ac:dyDescent="0.2">
      <c r="B2239" s="129"/>
      <c r="C2239" s="129"/>
      <c r="D2239" s="129"/>
      <c r="E2239" s="129"/>
      <c r="F2239" s="129"/>
      <c r="G2239" s="129"/>
    </row>
    <row r="2240" spans="2:7" x14ac:dyDescent="0.2">
      <c r="B2240" s="129"/>
      <c r="C2240" s="129"/>
      <c r="D2240" s="129"/>
      <c r="E2240" s="129"/>
      <c r="F2240" s="129"/>
      <c r="G2240" s="129"/>
    </row>
    <row r="2241" spans="2:7" x14ac:dyDescent="0.2">
      <c r="B2241" s="129"/>
      <c r="C2241" s="129"/>
      <c r="D2241" s="129"/>
      <c r="E2241" s="129"/>
      <c r="F2241" s="129"/>
      <c r="G2241" s="129"/>
    </row>
    <row r="2242" spans="2:7" x14ac:dyDescent="0.2">
      <c r="B2242" s="129"/>
      <c r="C2242" s="129"/>
      <c r="D2242" s="129"/>
      <c r="E2242" s="129"/>
      <c r="F2242" s="129"/>
      <c r="G2242" s="129"/>
    </row>
    <row r="2243" spans="2:7" x14ac:dyDescent="0.2">
      <c r="B2243" s="129"/>
      <c r="C2243" s="129"/>
      <c r="D2243" s="129"/>
      <c r="E2243" s="129"/>
      <c r="F2243" s="129"/>
      <c r="G2243" s="129"/>
    </row>
    <row r="2244" spans="2:7" x14ac:dyDescent="0.2">
      <c r="B2244" s="129"/>
      <c r="C2244" s="129"/>
      <c r="D2244" s="129"/>
      <c r="E2244" s="129"/>
      <c r="F2244" s="129"/>
      <c r="G2244" s="129"/>
    </row>
    <row r="2245" spans="2:7" x14ac:dyDescent="0.2">
      <c r="B2245" s="129"/>
      <c r="C2245" s="129"/>
      <c r="D2245" s="129"/>
      <c r="E2245" s="129"/>
      <c r="F2245" s="129"/>
      <c r="G2245" s="129"/>
    </row>
    <row r="2246" spans="2:7" x14ac:dyDescent="0.2">
      <c r="B2246" s="129"/>
      <c r="C2246" s="129"/>
      <c r="D2246" s="129"/>
      <c r="E2246" s="129"/>
      <c r="F2246" s="129"/>
      <c r="G2246" s="129"/>
    </row>
    <row r="2247" spans="2:7" x14ac:dyDescent="0.2">
      <c r="B2247" s="129"/>
      <c r="C2247" s="129"/>
      <c r="D2247" s="129"/>
      <c r="E2247" s="129"/>
      <c r="F2247" s="129"/>
      <c r="G2247" s="129"/>
    </row>
    <row r="2248" spans="2:7" x14ac:dyDescent="0.2">
      <c r="B2248" s="129"/>
      <c r="C2248" s="129"/>
      <c r="D2248" s="129"/>
      <c r="E2248" s="129"/>
      <c r="F2248" s="129"/>
      <c r="G2248" s="129"/>
    </row>
    <row r="2249" spans="2:7" x14ac:dyDescent="0.2">
      <c r="B2249" s="129"/>
      <c r="C2249" s="129"/>
      <c r="D2249" s="129"/>
      <c r="E2249" s="129"/>
      <c r="F2249" s="129"/>
      <c r="G2249" s="129"/>
    </row>
    <row r="2250" spans="2:7" x14ac:dyDescent="0.2">
      <c r="B2250" s="129"/>
      <c r="C2250" s="129"/>
      <c r="D2250" s="129"/>
      <c r="E2250" s="129"/>
      <c r="F2250" s="129"/>
      <c r="G2250" s="129"/>
    </row>
    <row r="2251" spans="2:7" x14ac:dyDescent="0.2">
      <c r="B2251" s="129"/>
      <c r="C2251" s="129"/>
      <c r="D2251" s="129"/>
      <c r="E2251" s="129"/>
      <c r="F2251" s="129"/>
      <c r="G2251" s="129"/>
    </row>
    <row r="2252" spans="2:7" x14ac:dyDescent="0.2">
      <c r="B2252" s="129"/>
      <c r="C2252" s="129"/>
      <c r="D2252" s="129"/>
      <c r="E2252" s="129"/>
      <c r="F2252" s="129"/>
      <c r="G2252" s="129"/>
    </row>
    <row r="2253" spans="2:7" x14ac:dyDescent="0.2">
      <c r="B2253" s="129"/>
      <c r="C2253" s="129"/>
      <c r="D2253" s="129"/>
      <c r="E2253" s="129"/>
      <c r="F2253" s="129"/>
      <c r="G2253" s="129"/>
    </row>
    <row r="2254" spans="2:7" x14ac:dyDescent="0.2">
      <c r="B2254" s="129"/>
      <c r="C2254" s="129"/>
      <c r="D2254" s="129"/>
      <c r="E2254" s="129"/>
      <c r="F2254" s="129"/>
      <c r="G2254" s="129"/>
    </row>
    <row r="2255" spans="2:7" x14ac:dyDescent="0.2">
      <c r="B2255" s="129"/>
      <c r="C2255" s="129"/>
      <c r="D2255" s="129"/>
      <c r="E2255" s="129"/>
      <c r="F2255" s="129"/>
      <c r="G2255" s="129"/>
    </row>
    <row r="2256" spans="2:7" x14ac:dyDescent="0.2">
      <c r="B2256" s="129"/>
      <c r="C2256" s="129"/>
      <c r="D2256" s="129"/>
      <c r="E2256" s="129"/>
      <c r="F2256" s="129"/>
      <c r="G2256" s="129"/>
    </row>
    <row r="2257" spans="2:7" x14ac:dyDescent="0.2">
      <c r="B2257" s="129"/>
      <c r="C2257" s="129"/>
      <c r="D2257" s="129"/>
      <c r="E2257" s="129"/>
      <c r="F2257" s="129"/>
      <c r="G2257" s="129"/>
    </row>
    <row r="2258" spans="2:7" x14ac:dyDescent="0.2">
      <c r="B2258" s="129"/>
      <c r="C2258" s="129"/>
      <c r="D2258" s="129"/>
      <c r="E2258" s="129"/>
      <c r="F2258" s="129"/>
      <c r="G2258" s="129"/>
    </row>
    <row r="2259" spans="2:7" x14ac:dyDescent="0.2">
      <c r="B2259" s="129"/>
      <c r="C2259" s="129"/>
      <c r="D2259" s="129"/>
      <c r="E2259" s="129"/>
      <c r="F2259" s="129"/>
      <c r="G2259" s="129"/>
    </row>
    <row r="2260" spans="2:7" x14ac:dyDescent="0.2">
      <c r="B2260" s="129"/>
      <c r="C2260" s="129"/>
      <c r="D2260" s="129"/>
      <c r="E2260" s="129"/>
      <c r="F2260" s="129"/>
      <c r="G2260" s="129"/>
    </row>
    <row r="2261" spans="2:7" x14ac:dyDescent="0.2">
      <c r="B2261" s="129"/>
      <c r="C2261" s="129"/>
      <c r="D2261" s="129"/>
      <c r="E2261" s="129"/>
      <c r="F2261" s="129"/>
      <c r="G2261" s="129"/>
    </row>
    <row r="2262" spans="2:7" x14ac:dyDescent="0.2">
      <c r="B2262" s="129"/>
      <c r="C2262" s="129"/>
      <c r="D2262" s="129"/>
      <c r="E2262" s="129"/>
      <c r="F2262" s="129"/>
      <c r="G2262" s="129"/>
    </row>
    <row r="2263" spans="2:7" x14ac:dyDescent="0.2">
      <c r="B2263" s="129"/>
      <c r="C2263" s="129"/>
      <c r="D2263" s="129"/>
      <c r="E2263" s="129"/>
      <c r="F2263" s="129"/>
      <c r="G2263" s="129"/>
    </row>
    <row r="2264" spans="2:7" x14ac:dyDescent="0.2">
      <c r="B2264" s="129"/>
      <c r="C2264" s="129"/>
      <c r="D2264" s="129"/>
      <c r="E2264" s="129"/>
      <c r="F2264" s="129"/>
      <c r="G2264" s="129"/>
    </row>
    <row r="2265" spans="2:7" x14ac:dyDescent="0.2">
      <c r="B2265" s="129"/>
      <c r="C2265" s="129"/>
      <c r="D2265" s="129"/>
      <c r="E2265" s="129"/>
      <c r="F2265" s="129"/>
      <c r="G2265" s="129"/>
    </row>
    <row r="2266" spans="2:7" x14ac:dyDescent="0.2">
      <c r="B2266" s="129"/>
      <c r="C2266" s="129"/>
      <c r="D2266" s="129"/>
      <c r="E2266" s="129"/>
      <c r="F2266" s="129"/>
      <c r="G2266" s="129"/>
    </row>
    <row r="2267" spans="2:7" x14ac:dyDescent="0.2">
      <c r="B2267" s="129"/>
      <c r="C2267" s="129"/>
      <c r="D2267" s="129"/>
      <c r="E2267" s="129"/>
      <c r="F2267" s="129"/>
      <c r="G2267" s="129"/>
    </row>
    <row r="2268" spans="2:7" x14ac:dyDescent="0.2">
      <c r="B2268" s="129"/>
      <c r="C2268" s="129"/>
      <c r="D2268" s="129"/>
      <c r="E2268" s="129"/>
      <c r="F2268" s="129"/>
      <c r="G2268" s="129"/>
    </row>
    <row r="2269" spans="2:7" x14ac:dyDescent="0.2">
      <c r="B2269" s="129"/>
      <c r="C2269" s="129"/>
      <c r="D2269" s="129"/>
      <c r="E2269" s="129"/>
      <c r="F2269" s="129"/>
      <c r="G2269" s="129"/>
    </row>
    <row r="2270" spans="2:7" x14ac:dyDescent="0.2">
      <c r="B2270" s="129"/>
      <c r="C2270" s="129"/>
      <c r="D2270" s="129"/>
      <c r="E2270" s="129"/>
      <c r="F2270" s="129"/>
      <c r="G2270" s="129"/>
    </row>
    <row r="2271" spans="2:7" x14ac:dyDescent="0.2">
      <c r="B2271" s="129"/>
      <c r="C2271" s="129"/>
      <c r="D2271" s="129"/>
      <c r="E2271" s="129"/>
      <c r="F2271" s="129"/>
      <c r="G2271" s="129"/>
    </row>
    <row r="2272" spans="2:7" x14ac:dyDescent="0.2">
      <c r="B2272" s="129"/>
      <c r="C2272" s="129"/>
      <c r="D2272" s="129"/>
      <c r="E2272" s="129"/>
      <c r="F2272" s="129"/>
      <c r="G2272" s="129"/>
    </row>
    <row r="2273" spans="2:7" x14ac:dyDescent="0.2">
      <c r="B2273" s="129"/>
      <c r="C2273" s="129"/>
      <c r="D2273" s="129"/>
      <c r="E2273" s="129"/>
      <c r="F2273" s="129"/>
      <c r="G2273" s="129"/>
    </row>
    <row r="2274" spans="2:7" x14ac:dyDescent="0.2">
      <c r="B2274" s="129"/>
      <c r="C2274" s="129"/>
      <c r="D2274" s="129"/>
      <c r="E2274" s="129"/>
      <c r="F2274" s="129"/>
      <c r="G2274" s="129"/>
    </row>
    <row r="2275" spans="2:7" x14ac:dyDescent="0.2">
      <c r="B2275" s="129"/>
      <c r="C2275" s="129"/>
      <c r="D2275" s="129"/>
      <c r="E2275" s="129"/>
      <c r="F2275" s="129"/>
      <c r="G2275" s="129"/>
    </row>
    <row r="2276" spans="2:7" x14ac:dyDescent="0.2">
      <c r="B2276" s="129"/>
      <c r="C2276" s="129"/>
      <c r="D2276" s="129"/>
      <c r="E2276" s="129"/>
      <c r="F2276" s="129"/>
      <c r="G2276" s="129"/>
    </row>
    <row r="2277" spans="2:7" x14ac:dyDescent="0.2">
      <c r="B2277" s="129"/>
      <c r="C2277" s="129"/>
      <c r="D2277" s="129"/>
      <c r="E2277" s="129"/>
      <c r="F2277" s="129"/>
      <c r="G2277" s="129"/>
    </row>
    <row r="2278" spans="2:7" x14ac:dyDescent="0.2">
      <c r="B2278" s="129"/>
      <c r="C2278" s="129"/>
      <c r="D2278" s="129"/>
      <c r="E2278" s="129"/>
      <c r="F2278" s="129"/>
      <c r="G2278" s="129"/>
    </row>
    <row r="2279" spans="2:7" x14ac:dyDescent="0.2">
      <c r="B2279" s="129"/>
      <c r="C2279" s="129"/>
      <c r="D2279" s="129"/>
      <c r="E2279" s="129"/>
      <c r="F2279" s="129"/>
      <c r="G2279" s="129"/>
    </row>
    <row r="2280" spans="2:7" x14ac:dyDescent="0.2">
      <c r="B2280" s="129"/>
      <c r="C2280" s="129"/>
      <c r="D2280" s="129"/>
      <c r="E2280" s="129"/>
      <c r="F2280" s="129"/>
      <c r="G2280" s="129"/>
    </row>
    <row r="2281" spans="2:7" x14ac:dyDescent="0.2">
      <c r="B2281" s="129"/>
      <c r="C2281" s="129"/>
      <c r="D2281" s="129"/>
      <c r="E2281" s="129"/>
      <c r="F2281" s="129"/>
      <c r="G2281" s="129"/>
    </row>
    <row r="2282" spans="2:7" x14ac:dyDescent="0.2">
      <c r="B2282" s="129"/>
      <c r="C2282" s="129"/>
      <c r="D2282" s="129"/>
      <c r="E2282" s="129"/>
      <c r="F2282" s="129"/>
      <c r="G2282" s="129"/>
    </row>
    <row r="2283" spans="2:7" x14ac:dyDescent="0.2">
      <c r="B2283" s="129"/>
      <c r="C2283" s="129"/>
      <c r="D2283" s="129"/>
      <c r="E2283" s="129"/>
      <c r="F2283" s="129"/>
      <c r="G2283" s="129"/>
    </row>
    <row r="2284" spans="2:7" x14ac:dyDescent="0.2">
      <c r="B2284" s="129"/>
      <c r="C2284" s="129"/>
      <c r="D2284" s="129"/>
      <c r="E2284" s="129"/>
      <c r="F2284" s="129"/>
      <c r="G2284" s="129"/>
    </row>
    <row r="2285" spans="2:7" x14ac:dyDescent="0.2">
      <c r="B2285" s="129"/>
      <c r="C2285" s="129"/>
      <c r="D2285" s="129"/>
      <c r="E2285" s="129"/>
      <c r="F2285" s="129"/>
      <c r="G2285" s="129"/>
    </row>
    <row r="2286" spans="2:7" x14ac:dyDescent="0.2">
      <c r="B2286" s="129"/>
      <c r="C2286" s="129"/>
      <c r="D2286" s="129"/>
      <c r="E2286" s="129"/>
      <c r="F2286" s="129"/>
      <c r="G2286" s="129"/>
    </row>
    <row r="2287" spans="2:7" x14ac:dyDescent="0.2">
      <c r="B2287" s="129"/>
      <c r="C2287" s="129"/>
      <c r="D2287" s="129"/>
      <c r="E2287" s="129"/>
      <c r="F2287" s="129"/>
      <c r="G2287" s="129"/>
    </row>
    <row r="2288" spans="2:7" x14ac:dyDescent="0.2">
      <c r="B2288" s="129"/>
      <c r="C2288" s="129"/>
      <c r="D2288" s="129"/>
      <c r="E2288" s="129"/>
      <c r="F2288" s="129"/>
      <c r="G2288" s="129"/>
    </row>
    <row r="2289" spans="2:7" x14ac:dyDescent="0.2">
      <c r="B2289" s="129"/>
      <c r="C2289" s="129"/>
      <c r="D2289" s="129"/>
      <c r="E2289" s="129"/>
      <c r="F2289" s="129"/>
      <c r="G2289" s="129"/>
    </row>
    <row r="2290" spans="2:7" x14ac:dyDescent="0.2">
      <c r="B2290" s="129"/>
      <c r="C2290" s="129"/>
      <c r="D2290" s="129"/>
      <c r="E2290" s="129"/>
      <c r="F2290" s="129"/>
      <c r="G2290" s="129"/>
    </row>
    <row r="2291" spans="2:7" x14ac:dyDescent="0.2">
      <c r="B2291" s="129"/>
      <c r="C2291" s="129"/>
      <c r="D2291" s="129"/>
      <c r="E2291" s="129"/>
      <c r="F2291" s="129"/>
      <c r="G2291" s="129"/>
    </row>
    <row r="2292" spans="2:7" x14ac:dyDescent="0.2">
      <c r="B2292" s="129"/>
      <c r="C2292" s="129"/>
      <c r="D2292" s="129"/>
      <c r="E2292" s="129"/>
      <c r="F2292" s="129"/>
      <c r="G2292" s="129"/>
    </row>
    <row r="2293" spans="2:7" x14ac:dyDescent="0.2">
      <c r="B2293" s="129"/>
      <c r="C2293" s="129"/>
      <c r="D2293" s="129"/>
      <c r="E2293" s="129"/>
      <c r="F2293" s="129"/>
      <c r="G2293" s="129"/>
    </row>
    <row r="2294" spans="2:7" x14ac:dyDescent="0.2">
      <c r="B2294" s="129"/>
      <c r="C2294" s="129"/>
      <c r="D2294" s="129"/>
      <c r="E2294" s="129"/>
      <c r="F2294" s="129"/>
      <c r="G2294" s="129"/>
    </row>
    <row r="2295" spans="2:7" x14ac:dyDescent="0.2">
      <c r="B2295" s="129"/>
      <c r="C2295" s="129"/>
      <c r="D2295" s="129"/>
      <c r="E2295" s="129"/>
      <c r="F2295" s="129"/>
      <c r="G2295" s="129"/>
    </row>
    <row r="2296" spans="2:7" x14ac:dyDescent="0.2">
      <c r="B2296" s="129"/>
      <c r="C2296" s="129"/>
      <c r="D2296" s="129"/>
      <c r="E2296" s="129"/>
      <c r="F2296" s="129"/>
      <c r="G2296" s="129"/>
    </row>
    <row r="2297" spans="2:7" x14ac:dyDescent="0.2">
      <c r="B2297" s="129"/>
      <c r="C2297" s="129"/>
      <c r="D2297" s="129"/>
      <c r="E2297" s="129"/>
      <c r="F2297" s="129"/>
      <c r="G2297" s="129"/>
    </row>
    <row r="2298" spans="2:7" x14ac:dyDescent="0.2">
      <c r="B2298" s="129"/>
      <c r="C2298" s="129"/>
      <c r="D2298" s="129"/>
      <c r="E2298" s="129"/>
      <c r="F2298" s="129"/>
      <c r="G2298" s="129"/>
    </row>
    <row r="2299" spans="2:7" x14ac:dyDescent="0.2">
      <c r="B2299" s="129"/>
      <c r="C2299" s="129"/>
      <c r="D2299" s="129"/>
      <c r="E2299" s="129"/>
      <c r="F2299" s="129"/>
      <c r="G2299" s="129"/>
    </row>
    <row r="2300" spans="2:7" x14ac:dyDescent="0.2">
      <c r="B2300" s="129"/>
      <c r="C2300" s="129"/>
      <c r="D2300" s="129"/>
      <c r="E2300" s="129"/>
      <c r="F2300" s="129"/>
      <c r="G2300" s="129"/>
    </row>
    <row r="2301" spans="2:7" x14ac:dyDescent="0.2">
      <c r="B2301" s="129"/>
      <c r="C2301" s="129"/>
      <c r="D2301" s="129"/>
      <c r="E2301" s="129"/>
      <c r="F2301" s="129"/>
      <c r="G2301" s="129"/>
    </row>
    <row r="2302" spans="2:7" x14ac:dyDescent="0.2">
      <c r="B2302" s="129"/>
      <c r="C2302" s="129"/>
      <c r="D2302" s="129"/>
      <c r="E2302" s="129"/>
      <c r="F2302" s="129"/>
      <c r="G2302" s="129"/>
    </row>
    <row r="2303" spans="2:7" x14ac:dyDescent="0.2">
      <c r="B2303" s="129"/>
      <c r="C2303" s="129"/>
      <c r="D2303" s="129"/>
      <c r="E2303" s="129"/>
      <c r="F2303" s="129"/>
      <c r="G2303" s="129"/>
    </row>
    <row r="2304" spans="2:7" x14ac:dyDescent="0.2">
      <c r="B2304" s="129"/>
      <c r="C2304" s="129"/>
      <c r="D2304" s="129"/>
      <c r="E2304" s="129"/>
      <c r="F2304" s="129"/>
      <c r="G2304" s="129"/>
    </row>
    <row r="2305" spans="2:7" x14ac:dyDescent="0.2">
      <c r="B2305" s="129"/>
      <c r="C2305" s="129"/>
      <c r="D2305" s="129"/>
      <c r="E2305" s="129"/>
      <c r="F2305" s="129"/>
      <c r="G2305" s="129"/>
    </row>
    <row r="2306" spans="2:7" x14ac:dyDescent="0.2">
      <c r="B2306" s="129"/>
      <c r="C2306" s="129"/>
      <c r="D2306" s="129"/>
      <c r="E2306" s="129"/>
      <c r="F2306" s="129"/>
      <c r="G2306" s="129"/>
    </row>
    <row r="2307" spans="2:7" x14ac:dyDescent="0.2">
      <c r="B2307" s="129"/>
      <c r="C2307" s="129"/>
      <c r="D2307" s="129"/>
      <c r="E2307" s="129"/>
      <c r="F2307" s="129"/>
      <c r="G2307" s="129"/>
    </row>
    <row r="2308" spans="2:7" x14ac:dyDescent="0.2">
      <c r="B2308" s="129"/>
      <c r="C2308" s="129"/>
      <c r="D2308" s="129"/>
      <c r="E2308" s="129"/>
      <c r="F2308" s="129"/>
      <c r="G2308" s="129"/>
    </row>
    <row r="2309" spans="2:7" x14ac:dyDescent="0.2">
      <c r="B2309" s="129"/>
      <c r="C2309" s="129"/>
      <c r="D2309" s="129"/>
      <c r="E2309" s="129"/>
      <c r="F2309" s="129"/>
      <c r="G2309" s="129"/>
    </row>
    <row r="2310" spans="2:7" x14ac:dyDescent="0.2">
      <c r="B2310" s="129"/>
      <c r="C2310" s="129"/>
      <c r="D2310" s="129"/>
      <c r="E2310" s="129"/>
      <c r="F2310" s="129"/>
      <c r="G2310" s="129"/>
    </row>
    <row r="2311" spans="2:7" x14ac:dyDescent="0.2">
      <c r="B2311" s="129"/>
      <c r="C2311" s="129"/>
      <c r="D2311" s="129"/>
      <c r="E2311" s="129"/>
      <c r="F2311" s="129"/>
      <c r="G2311" s="129"/>
    </row>
    <row r="2312" spans="2:7" x14ac:dyDescent="0.2">
      <c r="B2312" s="129"/>
      <c r="C2312" s="129"/>
      <c r="D2312" s="129"/>
      <c r="E2312" s="129"/>
      <c r="F2312" s="129"/>
      <c r="G2312" s="129"/>
    </row>
    <row r="2313" spans="2:7" x14ac:dyDescent="0.2">
      <c r="B2313" s="129"/>
      <c r="C2313" s="129"/>
      <c r="D2313" s="129"/>
      <c r="E2313" s="129"/>
      <c r="F2313" s="129"/>
      <c r="G2313" s="129"/>
    </row>
    <row r="2314" spans="2:7" x14ac:dyDescent="0.2">
      <c r="B2314" s="129"/>
      <c r="C2314" s="129"/>
      <c r="D2314" s="129"/>
      <c r="E2314" s="129"/>
      <c r="F2314" s="129"/>
      <c r="G2314" s="129"/>
    </row>
    <row r="2315" spans="2:7" x14ac:dyDescent="0.2">
      <c r="B2315" s="129"/>
      <c r="C2315" s="129"/>
      <c r="D2315" s="129"/>
      <c r="E2315" s="129"/>
      <c r="F2315" s="129"/>
      <c r="G2315" s="129"/>
    </row>
    <row r="2316" spans="2:7" x14ac:dyDescent="0.2">
      <c r="B2316" s="129"/>
      <c r="C2316" s="129"/>
      <c r="D2316" s="129"/>
      <c r="E2316" s="129"/>
      <c r="F2316" s="129"/>
      <c r="G2316" s="129"/>
    </row>
    <row r="2317" spans="2:7" x14ac:dyDescent="0.2">
      <c r="B2317" s="129"/>
      <c r="C2317" s="129"/>
      <c r="D2317" s="129"/>
      <c r="E2317" s="129"/>
      <c r="F2317" s="129"/>
      <c r="G2317" s="129"/>
    </row>
    <row r="2318" spans="2:7" x14ac:dyDescent="0.2">
      <c r="B2318" s="129"/>
      <c r="C2318" s="129"/>
      <c r="D2318" s="129"/>
      <c r="E2318" s="129"/>
      <c r="F2318" s="129"/>
      <c r="G2318" s="129"/>
    </row>
    <row r="2319" spans="2:7" x14ac:dyDescent="0.2">
      <c r="B2319" s="129"/>
      <c r="C2319" s="129"/>
      <c r="D2319" s="129"/>
      <c r="E2319" s="129"/>
      <c r="F2319" s="129"/>
      <c r="G2319" s="129"/>
    </row>
    <row r="2320" spans="2:7" x14ac:dyDescent="0.2">
      <c r="B2320" s="129"/>
      <c r="C2320" s="129"/>
      <c r="D2320" s="129"/>
      <c r="E2320" s="129"/>
      <c r="F2320" s="129"/>
      <c r="G2320" s="129"/>
    </row>
    <row r="2321" spans="2:7" x14ac:dyDescent="0.2">
      <c r="B2321" s="129"/>
      <c r="C2321" s="129"/>
      <c r="D2321" s="129"/>
      <c r="E2321" s="129"/>
      <c r="F2321" s="129"/>
      <c r="G2321" s="129"/>
    </row>
    <row r="2322" spans="2:7" x14ac:dyDescent="0.2">
      <c r="B2322" s="129"/>
      <c r="C2322" s="129"/>
      <c r="D2322" s="129"/>
      <c r="E2322" s="129"/>
      <c r="F2322" s="129"/>
      <c r="G2322" s="129"/>
    </row>
    <row r="2323" spans="2:7" x14ac:dyDescent="0.2">
      <c r="B2323" s="129"/>
      <c r="C2323" s="129"/>
      <c r="D2323" s="129"/>
      <c r="E2323" s="129"/>
      <c r="F2323" s="129"/>
      <c r="G2323" s="129"/>
    </row>
    <row r="2324" spans="2:7" x14ac:dyDescent="0.2">
      <c r="B2324" s="129"/>
      <c r="C2324" s="129"/>
      <c r="D2324" s="129"/>
      <c r="E2324" s="129"/>
      <c r="F2324" s="129"/>
      <c r="G2324" s="129"/>
    </row>
    <row r="2325" spans="2:7" x14ac:dyDescent="0.2">
      <c r="B2325" s="129"/>
      <c r="C2325" s="129"/>
      <c r="D2325" s="129"/>
      <c r="E2325" s="129"/>
      <c r="F2325" s="129"/>
      <c r="G2325" s="129"/>
    </row>
    <row r="2326" spans="2:7" x14ac:dyDescent="0.2">
      <c r="B2326" s="129"/>
      <c r="C2326" s="129"/>
      <c r="D2326" s="129"/>
      <c r="E2326" s="129"/>
      <c r="F2326" s="129"/>
      <c r="G2326" s="129"/>
    </row>
    <row r="2327" spans="2:7" x14ac:dyDescent="0.2">
      <c r="B2327" s="129"/>
      <c r="C2327" s="129"/>
      <c r="D2327" s="129"/>
      <c r="E2327" s="129"/>
      <c r="F2327" s="129"/>
      <c r="G2327" s="129"/>
    </row>
    <row r="2328" spans="2:7" x14ac:dyDescent="0.2">
      <c r="B2328" s="129"/>
      <c r="C2328" s="129"/>
      <c r="D2328" s="129"/>
      <c r="E2328" s="129"/>
      <c r="F2328" s="129"/>
      <c r="G2328" s="129"/>
    </row>
    <row r="2329" spans="2:7" x14ac:dyDescent="0.2">
      <c r="B2329" s="129"/>
      <c r="C2329" s="129"/>
      <c r="D2329" s="129"/>
      <c r="E2329" s="129"/>
      <c r="F2329" s="129"/>
      <c r="G2329" s="129"/>
    </row>
    <row r="2330" spans="2:7" x14ac:dyDescent="0.2">
      <c r="B2330" s="129"/>
      <c r="C2330" s="129"/>
      <c r="D2330" s="129"/>
      <c r="E2330" s="129"/>
      <c r="F2330" s="129"/>
      <c r="G2330" s="129"/>
    </row>
    <row r="2331" spans="2:7" x14ac:dyDescent="0.2">
      <c r="B2331" s="129"/>
      <c r="C2331" s="129"/>
      <c r="D2331" s="129"/>
      <c r="E2331" s="129"/>
      <c r="F2331" s="129"/>
      <c r="G2331" s="129"/>
    </row>
    <row r="2332" spans="2:7" x14ac:dyDescent="0.2">
      <c r="B2332" s="129"/>
      <c r="C2332" s="129"/>
      <c r="D2332" s="129"/>
      <c r="E2332" s="129"/>
      <c r="F2332" s="129"/>
      <c r="G2332" s="129"/>
    </row>
    <row r="2333" spans="2:7" x14ac:dyDescent="0.2">
      <c r="B2333" s="129"/>
      <c r="C2333" s="129"/>
      <c r="D2333" s="129"/>
      <c r="E2333" s="129"/>
      <c r="F2333" s="129"/>
      <c r="G2333" s="129"/>
    </row>
    <row r="2334" spans="2:7" x14ac:dyDescent="0.2">
      <c r="B2334" s="129"/>
      <c r="C2334" s="129"/>
      <c r="D2334" s="129"/>
      <c r="E2334" s="129"/>
      <c r="F2334" s="129"/>
      <c r="G2334" s="129"/>
    </row>
    <row r="2335" spans="2:7" x14ac:dyDescent="0.2">
      <c r="B2335" s="129"/>
      <c r="C2335" s="129"/>
      <c r="D2335" s="129"/>
      <c r="E2335" s="129"/>
      <c r="F2335" s="129"/>
      <c r="G2335" s="129"/>
    </row>
    <row r="2336" spans="2:7" x14ac:dyDescent="0.2">
      <c r="B2336" s="129"/>
      <c r="C2336" s="129"/>
      <c r="D2336" s="129"/>
      <c r="E2336" s="129"/>
      <c r="F2336" s="129"/>
      <c r="G2336" s="129"/>
    </row>
    <row r="2337" spans="2:7" x14ac:dyDescent="0.2">
      <c r="B2337" s="129"/>
      <c r="C2337" s="129"/>
      <c r="D2337" s="129"/>
      <c r="E2337" s="129"/>
      <c r="F2337" s="129"/>
      <c r="G2337" s="129"/>
    </row>
    <row r="2338" spans="2:7" x14ac:dyDescent="0.2">
      <c r="B2338" s="129"/>
      <c r="C2338" s="129"/>
      <c r="D2338" s="129"/>
      <c r="E2338" s="129"/>
      <c r="F2338" s="129"/>
      <c r="G2338" s="129"/>
    </row>
    <row r="2339" spans="2:7" x14ac:dyDescent="0.2">
      <c r="B2339" s="129"/>
      <c r="C2339" s="129"/>
      <c r="D2339" s="129"/>
      <c r="E2339" s="129"/>
      <c r="F2339" s="129"/>
      <c r="G2339" s="129"/>
    </row>
    <row r="2340" spans="2:7" x14ac:dyDescent="0.2">
      <c r="B2340" s="129"/>
      <c r="C2340" s="129"/>
      <c r="D2340" s="129"/>
      <c r="E2340" s="129"/>
      <c r="F2340" s="129"/>
      <c r="G2340" s="129"/>
    </row>
    <row r="2341" spans="2:7" x14ac:dyDescent="0.2">
      <c r="B2341" s="129"/>
      <c r="C2341" s="129"/>
      <c r="D2341" s="129"/>
      <c r="E2341" s="129"/>
      <c r="F2341" s="129"/>
      <c r="G2341" s="129"/>
    </row>
    <row r="2342" spans="2:7" x14ac:dyDescent="0.2">
      <c r="B2342" s="129"/>
      <c r="C2342" s="129"/>
      <c r="D2342" s="129"/>
      <c r="E2342" s="129"/>
      <c r="F2342" s="129"/>
      <c r="G2342" s="129"/>
    </row>
    <row r="2343" spans="2:7" x14ac:dyDescent="0.2">
      <c r="B2343" s="129"/>
      <c r="C2343" s="129"/>
      <c r="D2343" s="129"/>
      <c r="E2343" s="129"/>
      <c r="F2343" s="129"/>
      <c r="G2343" s="129"/>
    </row>
    <row r="2344" spans="2:7" x14ac:dyDescent="0.2">
      <c r="B2344" s="129"/>
      <c r="C2344" s="129"/>
      <c r="D2344" s="129"/>
      <c r="E2344" s="129"/>
      <c r="F2344" s="129"/>
      <c r="G2344" s="129"/>
    </row>
    <row r="2345" spans="2:7" x14ac:dyDescent="0.2">
      <c r="B2345" s="129"/>
      <c r="C2345" s="129"/>
      <c r="D2345" s="129"/>
      <c r="E2345" s="129"/>
      <c r="F2345" s="129"/>
      <c r="G2345" s="129"/>
    </row>
    <row r="2346" spans="2:7" x14ac:dyDescent="0.2">
      <c r="B2346" s="129"/>
      <c r="C2346" s="129"/>
      <c r="D2346" s="129"/>
      <c r="E2346" s="129"/>
      <c r="F2346" s="129"/>
      <c r="G2346" s="129"/>
    </row>
    <row r="2347" spans="2:7" x14ac:dyDescent="0.2">
      <c r="B2347" s="129"/>
      <c r="C2347" s="129"/>
      <c r="D2347" s="129"/>
      <c r="E2347" s="129"/>
      <c r="F2347" s="129"/>
      <c r="G2347" s="129"/>
    </row>
    <row r="2348" spans="2:7" x14ac:dyDescent="0.2">
      <c r="B2348" s="129"/>
      <c r="C2348" s="129"/>
      <c r="D2348" s="129"/>
      <c r="E2348" s="129"/>
      <c r="F2348" s="129"/>
      <c r="G2348" s="129"/>
    </row>
    <row r="2349" spans="2:7" x14ac:dyDescent="0.2">
      <c r="B2349" s="129"/>
      <c r="C2349" s="129"/>
      <c r="D2349" s="129"/>
      <c r="E2349" s="129"/>
      <c r="F2349" s="129"/>
      <c r="G2349" s="129"/>
    </row>
    <row r="2350" spans="2:7" x14ac:dyDescent="0.2">
      <c r="B2350" s="129"/>
      <c r="C2350" s="129"/>
      <c r="D2350" s="129"/>
      <c r="E2350" s="129"/>
      <c r="F2350" s="129"/>
      <c r="G2350" s="129"/>
    </row>
    <row r="2351" spans="2:7" x14ac:dyDescent="0.2">
      <c r="B2351" s="129"/>
      <c r="C2351" s="129"/>
      <c r="D2351" s="129"/>
      <c r="E2351" s="129"/>
      <c r="F2351" s="129"/>
      <c r="G2351" s="129"/>
    </row>
    <row r="2352" spans="2:7" x14ac:dyDescent="0.2">
      <c r="B2352" s="129"/>
      <c r="C2352" s="129"/>
      <c r="D2352" s="129"/>
      <c r="E2352" s="129"/>
      <c r="F2352" s="129"/>
      <c r="G2352" s="129"/>
    </row>
    <row r="2353" spans="2:7" x14ac:dyDescent="0.2">
      <c r="B2353" s="129"/>
      <c r="C2353" s="129"/>
      <c r="D2353" s="129"/>
      <c r="E2353" s="129"/>
      <c r="F2353" s="129"/>
      <c r="G2353" s="129"/>
    </row>
    <row r="2354" spans="2:7" x14ac:dyDescent="0.2">
      <c r="B2354" s="129"/>
      <c r="C2354" s="129"/>
      <c r="D2354" s="129"/>
      <c r="E2354" s="129"/>
      <c r="F2354" s="129"/>
      <c r="G2354" s="129"/>
    </row>
    <row r="2355" spans="2:7" x14ac:dyDescent="0.2">
      <c r="B2355" s="129"/>
      <c r="C2355" s="129"/>
      <c r="D2355" s="129"/>
      <c r="E2355" s="129"/>
      <c r="F2355" s="129"/>
      <c r="G2355" s="129"/>
    </row>
    <row r="2356" spans="2:7" x14ac:dyDescent="0.2">
      <c r="B2356" s="129"/>
      <c r="C2356" s="129"/>
      <c r="D2356" s="129"/>
      <c r="E2356" s="129"/>
      <c r="F2356" s="129"/>
      <c r="G2356" s="129"/>
    </row>
    <row r="2357" spans="2:7" x14ac:dyDescent="0.2">
      <c r="B2357" s="129"/>
      <c r="C2357" s="129"/>
      <c r="D2357" s="129"/>
      <c r="E2357" s="129"/>
      <c r="F2357" s="129"/>
      <c r="G2357" s="129"/>
    </row>
    <row r="2358" spans="2:7" x14ac:dyDescent="0.2">
      <c r="B2358" s="129"/>
      <c r="C2358" s="129"/>
      <c r="D2358" s="129"/>
      <c r="E2358" s="129"/>
      <c r="F2358" s="129"/>
      <c r="G2358" s="129"/>
    </row>
    <row r="2359" spans="2:7" x14ac:dyDescent="0.2">
      <c r="B2359" s="129"/>
      <c r="C2359" s="129"/>
      <c r="D2359" s="129"/>
      <c r="E2359" s="129"/>
      <c r="F2359" s="129"/>
      <c r="G2359" s="129"/>
    </row>
    <row r="2360" spans="2:7" x14ac:dyDescent="0.2">
      <c r="B2360" s="129"/>
      <c r="C2360" s="129"/>
      <c r="D2360" s="129"/>
      <c r="E2360" s="129"/>
      <c r="F2360" s="129"/>
      <c r="G2360" s="129"/>
    </row>
    <row r="2361" spans="2:7" x14ac:dyDescent="0.2">
      <c r="B2361" s="129"/>
      <c r="C2361" s="129"/>
      <c r="D2361" s="129"/>
      <c r="E2361" s="129"/>
      <c r="F2361" s="129"/>
      <c r="G2361" s="129"/>
    </row>
    <row r="2362" spans="2:7" x14ac:dyDescent="0.2">
      <c r="B2362" s="129"/>
      <c r="C2362" s="129"/>
      <c r="D2362" s="129"/>
      <c r="E2362" s="129"/>
      <c r="F2362" s="129"/>
      <c r="G2362" s="129"/>
    </row>
    <row r="2363" spans="2:7" x14ac:dyDescent="0.2">
      <c r="B2363" s="129"/>
      <c r="C2363" s="129"/>
      <c r="D2363" s="129"/>
      <c r="E2363" s="129"/>
      <c r="F2363" s="129"/>
      <c r="G2363" s="129"/>
    </row>
    <row r="2364" spans="2:7" x14ac:dyDescent="0.2">
      <c r="B2364" s="129"/>
      <c r="C2364" s="129"/>
      <c r="D2364" s="129"/>
      <c r="E2364" s="129"/>
      <c r="F2364" s="129"/>
      <c r="G2364" s="129"/>
    </row>
    <row r="2365" spans="2:7" x14ac:dyDescent="0.2">
      <c r="B2365" s="129"/>
      <c r="C2365" s="129"/>
      <c r="D2365" s="129"/>
      <c r="E2365" s="129"/>
      <c r="F2365" s="129"/>
      <c r="G2365" s="129"/>
    </row>
    <row r="2366" spans="2:7" x14ac:dyDescent="0.2">
      <c r="B2366" s="129"/>
      <c r="C2366" s="129"/>
      <c r="D2366" s="129"/>
      <c r="E2366" s="129"/>
      <c r="F2366" s="129"/>
      <c r="G2366" s="129"/>
    </row>
    <row r="2367" spans="2:7" x14ac:dyDescent="0.2">
      <c r="B2367" s="129"/>
      <c r="C2367" s="129"/>
      <c r="D2367" s="129"/>
      <c r="E2367" s="129"/>
      <c r="F2367" s="129"/>
      <c r="G2367" s="129"/>
    </row>
    <row r="2368" spans="2:7" x14ac:dyDescent="0.2">
      <c r="B2368" s="129"/>
      <c r="C2368" s="129"/>
      <c r="D2368" s="129"/>
      <c r="E2368" s="129"/>
      <c r="F2368" s="129"/>
      <c r="G2368" s="129"/>
    </row>
    <row r="2369" spans="2:7" x14ac:dyDescent="0.2">
      <c r="B2369" s="129"/>
      <c r="C2369" s="129"/>
      <c r="D2369" s="129"/>
      <c r="E2369" s="129"/>
      <c r="F2369" s="129"/>
      <c r="G2369" s="129"/>
    </row>
    <row r="2370" spans="2:7" x14ac:dyDescent="0.2">
      <c r="B2370" s="129"/>
      <c r="C2370" s="129"/>
      <c r="D2370" s="129"/>
      <c r="E2370" s="129"/>
      <c r="F2370" s="129"/>
      <c r="G2370" s="129"/>
    </row>
    <row r="2371" spans="2:7" x14ac:dyDescent="0.2">
      <c r="B2371" s="129"/>
      <c r="C2371" s="129"/>
      <c r="D2371" s="129"/>
      <c r="E2371" s="129"/>
      <c r="F2371" s="129"/>
      <c r="G2371" s="129"/>
    </row>
    <row r="2372" spans="2:7" x14ac:dyDescent="0.2">
      <c r="B2372" s="129"/>
      <c r="C2372" s="129"/>
      <c r="D2372" s="129"/>
      <c r="E2372" s="129"/>
      <c r="F2372" s="129"/>
      <c r="G2372" s="129"/>
    </row>
    <row r="2373" spans="2:7" x14ac:dyDescent="0.2">
      <c r="B2373" s="129"/>
      <c r="C2373" s="129"/>
      <c r="D2373" s="129"/>
      <c r="E2373" s="129"/>
      <c r="F2373" s="129"/>
      <c r="G2373" s="129"/>
    </row>
    <row r="2374" spans="2:7" x14ac:dyDescent="0.2">
      <c r="B2374" s="129"/>
      <c r="C2374" s="129"/>
      <c r="D2374" s="129"/>
      <c r="E2374" s="129"/>
      <c r="F2374" s="129"/>
      <c r="G2374" s="129"/>
    </row>
    <row r="2375" spans="2:7" x14ac:dyDescent="0.2">
      <c r="B2375" s="129"/>
      <c r="C2375" s="129"/>
      <c r="D2375" s="129"/>
      <c r="E2375" s="129"/>
      <c r="F2375" s="129"/>
      <c r="G2375" s="129"/>
    </row>
    <row r="2376" spans="2:7" x14ac:dyDescent="0.2">
      <c r="B2376" s="129"/>
      <c r="C2376" s="129"/>
      <c r="D2376" s="129"/>
      <c r="E2376" s="129"/>
      <c r="F2376" s="129"/>
      <c r="G2376" s="129"/>
    </row>
    <row r="2377" spans="2:7" x14ac:dyDescent="0.2">
      <c r="B2377" s="129"/>
      <c r="C2377" s="129"/>
      <c r="D2377" s="129"/>
      <c r="E2377" s="129"/>
      <c r="F2377" s="129"/>
      <c r="G2377" s="129"/>
    </row>
    <row r="2378" spans="2:7" x14ac:dyDescent="0.2">
      <c r="B2378" s="129"/>
      <c r="C2378" s="129"/>
      <c r="D2378" s="129"/>
      <c r="E2378" s="129"/>
      <c r="F2378" s="129"/>
      <c r="G2378" s="129"/>
    </row>
    <row r="2379" spans="2:7" x14ac:dyDescent="0.2">
      <c r="B2379" s="129"/>
      <c r="C2379" s="129"/>
      <c r="D2379" s="129"/>
      <c r="E2379" s="129"/>
      <c r="F2379" s="129"/>
      <c r="G2379" s="129"/>
    </row>
    <row r="2380" spans="2:7" x14ac:dyDescent="0.2">
      <c r="B2380" s="129"/>
      <c r="C2380" s="129"/>
      <c r="D2380" s="129"/>
      <c r="E2380" s="129"/>
      <c r="F2380" s="129"/>
      <c r="G2380" s="129"/>
    </row>
    <row r="2381" spans="2:7" x14ac:dyDescent="0.2">
      <c r="B2381" s="129"/>
      <c r="C2381" s="129"/>
      <c r="D2381" s="129"/>
      <c r="E2381" s="129"/>
      <c r="F2381" s="129"/>
      <c r="G2381" s="129"/>
    </row>
    <row r="2382" spans="2:7" x14ac:dyDescent="0.2">
      <c r="B2382" s="129"/>
      <c r="C2382" s="129"/>
      <c r="D2382" s="129"/>
      <c r="E2382" s="129"/>
      <c r="F2382" s="129"/>
      <c r="G2382" s="129"/>
    </row>
    <row r="2383" spans="2:7" x14ac:dyDescent="0.2">
      <c r="B2383" s="129"/>
      <c r="C2383" s="129"/>
      <c r="D2383" s="129"/>
      <c r="E2383" s="129"/>
      <c r="F2383" s="129"/>
      <c r="G2383" s="129"/>
    </row>
    <row r="2384" spans="2:7" x14ac:dyDescent="0.2">
      <c r="B2384" s="129"/>
      <c r="C2384" s="129"/>
      <c r="D2384" s="129"/>
      <c r="E2384" s="129"/>
      <c r="F2384" s="129"/>
      <c r="G2384" s="129"/>
    </row>
    <row r="2385" spans="2:7" x14ac:dyDescent="0.2">
      <c r="B2385" s="129"/>
      <c r="C2385" s="129"/>
      <c r="D2385" s="129"/>
      <c r="E2385" s="129"/>
      <c r="F2385" s="129"/>
      <c r="G2385" s="129"/>
    </row>
    <row r="2386" spans="2:7" x14ac:dyDescent="0.2">
      <c r="B2386" s="129"/>
      <c r="C2386" s="129"/>
      <c r="D2386" s="129"/>
      <c r="E2386" s="129"/>
      <c r="F2386" s="129"/>
      <c r="G2386" s="129"/>
    </row>
    <row r="2387" spans="2:7" x14ac:dyDescent="0.2">
      <c r="B2387" s="129"/>
      <c r="C2387" s="129"/>
      <c r="D2387" s="129"/>
      <c r="E2387" s="129"/>
      <c r="F2387" s="129"/>
      <c r="G2387" s="129"/>
    </row>
    <row r="2388" spans="2:7" x14ac:dyDescent="0.2">
      <c r="B2388" s="129"/>
      <c r="C2388" s="129"/>
      <c r="D2388" s="129"/>
      <c r="E2388" s="129"/>
      <c r="F2388" s="129"/>
      <c r="G2388" s="129"/>
    </row>
    <row r="2389" spans="2:7" x14ac:dyDescent="0.2">
      <c r="B2389" s="129"/>
      <c r="C2389" s="129"/>
      <c r="D2389" s="129"/>
      <c r="E2389" s="129"/>
      <c r="F2389" s="129"/>
      <c r="G2389" s="129"/>
    </row>
    <row r="2390" spans="2:7" x14ac:dyDescent="0.2">
      <c r="B2390" s="129"/>
      <c r="C2390" s="129"/>
      <c r="D2390" s="129"/>
      <c r="E2390" s="129"/>
      <c r="F2390" s="129"/>
      <c r="G2390" s="129"/>
    </row>
    <row r="2391" spans="2:7" x14ac:dyDescent="0.2">
      <c r="B2391" s="129"/>
      <c r="C2391" s="129"/>
      <c r="D2391" s="129"/>
      <c r="E2391" s="129"/>
      <c r="F2391" s="129"/>
      <c r="G2391" s="129"/>
    </row>
    <row r="2392" spans="2:7" x14ac:dyDescent="0.2">
      <c r="B2392" s="129"/>
      <c r="C2392" s="129"/>
      <c r="D2392" s="129"/>
      <c r="E2392" s="129"/>
      <c r="F2392" s="129"/>
      <c r="G2392" s="129"/>
    </row>
    <row r="2393" spans="2:7" x14ac:dyDescent="0.2">
      <c r="B2393" s="129"/>
      <c r="C2393" s="129"/>
      <c r="D2393" s="129"/>
      <c r="E2393" s="129"/>
      <c r="F2393" s="129"/>
      <c r="G2393" s="129"/>
    </row>
    <row r="2394" spans="2:7" x14ac:dyDescent="0.2">
      <c r="B2394" s="129"/>
      <c r="C2394" s="129"/>
      <c r="D2394" s="129"/>
      <c r="E2394" s="129"/>
      <c r="F2394" s="129"/>
      <c r="G2394" s="129"/>
    </row>
    <row r="2395" spans="2:7" x14ac:dyDescent="0.2">
      <c r="B2395" s="129"/>
      <c r="C2395" s="129"/>
      <c r="D2395" s="129"/>
      <c r="E2395" s="129"/>
      <c r="F2395" s="129"/>
      <c r="G2395" s="129"/>
    </row>
    <row r="2396" spans="2:7" x14ac:dyDescent="0.2">
      <c r="B2396" s="129"/>
      <c r="C2396" s="129"/>
      <c r="D2396" s="129"/>
      <c r="E2396" s="129"/>
      <c r="F2396" s="129"/>
      <c r="G2396" s="129"/>
    </row>
    <row r="2397" spans="2:7" x14ac:dyDescent="0.2">
      <c r="B2397" s="129"/>
      <c r="C2397" s="129"/>
      <c r="D2397" s="129"/>
      <c r="E2397" s="129"/>
      <c r="F2397" s="129"/>
      <c r="G2397" s="129"/>
    </row>
    <row r="2398" spans="2:7" x14ac:dyDescent="0.2">
      <c r="B2398" s="129"/>
      <c r="C2398" s="129"/>
      <c r="D2398" s="129"/>
      <c r="E2398" s="129"/>
      <c r="F2398" s="129"/>
      <c r="G2398" s="129"/>
    </row>
    <row r="2399" spans="2:7" x14ac:dyDescent="0.2">
      <c r="B2399" s="129"/>
      <c r="C2399" s="129"/>
      <c r="D2399" s="129"/>
      <c r="E2399" s="129"/>
      <c r="F2399" s="129"/>
      <c r="G2399" s="129"/>
    </row>
    <row r="2400" spans="2:7" x14ac:dyDescent="0.2">
      <c r="B2400" s="129"/>
      <c r="C2400" s="129"/>
      <c r="D2400" s="129"/>
      <c r="E2400" s="129"/>
      <c r="F2400" s="129"/>
      <c r="G2400" s="129"/>
    </row>
    <row r="2401" spans="2:7" x14ac:dyDescent="0.2">
      <c r="B2401" s="129"/>
      <c r="C2401" s="129"/>
      <c r="D2401" s="129"/>
      <c r="E2401" s="129"/>
      <c r="F2401" s="129"/>
      <c r="G2401" s="129"/>
    </row>
    <row r="2402" spans="2:7" x14ac:dyDescent="0.2">
      <c r="B2402" s="129"/>
      <c r="C2402" s="129"/>
      <c r="D2402" s="129"/>
      <c r="E2402" s="129"/>
      <c r="F2402" s="129"/>
      <c r="G2402" s="129"/>
    </row>
    <row r="2403" spans="2:7" x14ac:dyDescent="0.2">
      <c r="B2403" s="129"/>
      <c r="C2403" s="129"/>
      <c r="D2403" s="129"/>
      <c r="E2403" s="129"/>
      <c r="F2403" s="129"/>
      <c r="G2403" s="129"/>
    </row>
    <row r="2404" spans="2:7" x14ac:dyDescent="0.2">
      <c r="B2404" s="129"/>
      <c r="C2404" s="129"/>
      <c r="D2404" s="129"/>
      <c r="E2404" s="129"/>
      <c r="F2404" s="129"/>
      <c r="G2404" s="129"/>
    </row>
    <row r="2405" spans="2:7" x14ac:dyDescent="0.2">
      <c r="B2405" s="129"/>
      <c r="C2405" s="129"/>
      <c r="D2405" s="129"/>
      <c r="E2405" s="129"/>
      <c r="F2405" s="129"/>
      <c r="G2405" s="129"/>
    </row>
    <row r="2406" spans="2:7" x14ac:dyDescent="0.2">
      <c r="B2406" s="129"/>
      <c r="C2406" s="129"/>
      <c r="D2406" s="129"/>
      <c r="E2406" s="129"/>
      <c r="F2406" s="129"/>
      <c r="G2406" s="129"/>
    </row>
    <row r="2407" spans="2:7" x14ac:dyDescent="0.2">
      <c r="B2407" s="129"/>
      <c r="C2407" s="129"/>
      <c r="D2407" s="129"/>
      <c r="E2407" s="129"/>
      <c r="F2407" s="129"/>
      <c r="G2407" s="129"/>
    </row>
    <row r="2408" spans="2:7" x14ac:dyDescent="0.2">
      <c r="B2408" s="129"/>
      <c r="C2408" s="129"/>
      <c r="D2408" s="129"/>
      <c r="E2408" s="129"/>
      <c r="F2408" s="129"/>
      <c r="G2408" s="129"/>
    </row>
    <row r="2409" spans="2:7" x14ac:dyDescent="0.2">
      <c r="B2409" s="129"/>
      <c r="C2409" s="129"/>
      <c r="D2409" s="129"/>
      <c r="E2409" s="129"/>
      <c r="F2409" s="129"/>
      <c r="G2409" s="129"/>
    </row>
    <row r="2410" spans="2:7" x14ac:dyDescent="0.2">
      <c r="B2410" s="129"/>
      <c r="C2410" s="129"/>
      <c r="D2410" s="129"/>
      <c r="E2410" s="129"/>
      <c r="F2410" s="129"/>
      <c r="G2410" s="129"/>
    </row>
    <row r="2411" spans="2:7" x14ac:dyDescent="0.2">
      <c r="B2411" s="129"/>
      <c r="C2411" s="129"/>
      <c r="D2411" s="129"/>
      <c r="E2411" s="129"/>
      <c r="F2411" s="129"/>
      <c r="G2411" s="129"/>
    </row>
    <row r="2412" spans="2:7" x14ac:dyDescent="0.2">
      <c r="B2412" s="129"/>
      <c r="C2412" s="129"/>
      <c r="D2412" s="129"/>
      <c r="E2412" s="129"/>
      <c r="F2412" s="129"/>
      <c r="G2412" s="129"/>
    </row>
    <row r="2413" spans="2:7" x14ac:dyDescent="0.2">
      <c r="B2413" s="129"/>
      <c r="C2413" s="129"/>
      <c r="D2413" s="129"/>
      <c r="E2413" s="129"/>
      <c r="F2413" s="129"/>
      <c r="G2413" s="129"/>
    </row>
    <row r="2414" spans="2:7" x14ac:dyDescent="0.2">
      <c r="B2414" s="129"/>
      <c r="C2414" s="129"/>
      <c r="D2414" s="129"/>
      <c r="E2414" s="129"/>
      <c r="F2414" s="129"/>
      <c r="G2414" s="129"/>
    </row>
    <row r="2415" spans="2:7" x14ac:dyDescent="0.2">
      <c r="B2415" s="129"/>
      <c r="C2415" s="129"/>
      <c r="D2415" s="129"/>
      <c r="E2415" s="129"/>
      <c r="F2415" s="129"/>
      <c r="G2415" s="129"/>
    </row>
    <row r="2416" spans="2:7" x14ac:dyDescent="0.2">
      <c r="B2416" s="129"/>
      <c r="C2416" s="129"/>
      <c r="D2416" s="129"/>
      <c r="E2416" s="129"/>
      <c r="F2416" s="129"/>
      <c r="G2416" s="129"/>
    </row>
    <row r="2417" spans="2:7" x14ac:dyDescent="0.2">
      <c r="B2417" s="129"/>
      <c r="C2417" s="129"/>
      <c r="D2417" s="129"/>
      <c r="E2417" s="129"/>
      <c r="F2417" s="129"/>
      <c r="G2417" s="129"/>
    </row>
    <row r="2418" spans="2:7" x14ac:dyDescent="0.2">
      <c r="B2418" s="129"/>
      <c r="C2418" s="129"/>
      <c r="D2418" s="129"/>
      <c r="E2418" s="129"/>
      <c r="F2418" s="129"/>
      <c r="G2418" s="129"/>
    </row>
    <row r="2419" spans="2:7" x14ac:dyDescent="0.2">
      <c r="B2419" s="129"/>
      <c r="C2419" s="129"/>
      <c r="D2419" s="129"/>
      <c r="E2419" s="129"/>
      <c r="F2419" s="129"/>
      <c r="G2419" s="129"/>
    </row>
    <row r="2420" spans="2:7" x14ac:dyDescent="0.2">
      <c r="B2420" s="129"/>
      <c r="C2420" s="129"/>
      <c r="D2420" s="129"/>
      <c r="E2420" s="129"/>
      <c r="F2420" s="129"/>
      <c r="G2420" s="129"/>
    </row>
    <row r="2421" spans="2:7" x14ac:dyDescent="0.2">
      <c r="B2421" s="129"/>
      <c r="C2421" s="129"/>
      <c r="D2421" s="129"/>
      <c r="E2421" s="129"/>
      <c r="F2421" s="129"/>
      <c r="G2421" s="129"/>
    </row>
    <row r="2422" spans="2:7" x14ac:dyDescent="0.2">
      <c r="B2422" s="129"/>
      <c r="C2422" s="129"/>
      <c r="D2422" s="129"/>
      <c r="E2422" s="129"/>
      <c r="F2422" s="129"/>
      <c r="G2422" s="129"/>
    </row>
    <row r="2423" spans="2:7" x14ac:dyDescent="0.2">
      <c r="B2423" s="129"/>
      <c r="C2423" s="129"/>
      <c r="D2423" s="129"/>
      <c r="E2423" s="129"/>
      <c r="F2423" s="129"/>
      <c r="G2423" s="129"/>
    </row>
    <row r="2424" spans="2:7" x14ac:dyDescent="0.2">
      <c r="B2424" s="129"/>
      <c r="C2424" s="129"/>
      <c r="D2424" s="129"/>
      <c r="E2424" s="129"/>
      <c r="F2424" s="129"/>
      <c r="G2424" s="129"/>
    </row>
    <row r="2425" spans="2:7" x14ac:dyDescent="0.2">
      <c r="B2425" s="129"/>
      <c r="C2425" s="129"/>
      <c r="D2425" s="129"/>
      <c r="E2425" s="129"/>
      <c r="F2425" s="129"/>
      <c r="G2425" s="129"/>
    </row>
    <row r="2426" spans="2:7" x14ac:dyDescent="0.2">
      <c r="B2426" s="129"/>
      <c r="C2426" s="129"/>
      <c r="D2426" s="129"/>
      <c r="E2426" s="129"/>
      <c r="F2426" s="129"/>
      <c r="G2426" s="129"/>
    </row>
    <row r="2427" spans="2:7" x14ac:dyDescent="0.2">
      <c r="B2427" s="129"/>
      <c r="C2427" s="129"/>
      <c r="D2427" s="129"/>
      <c r="E2427" s="129"/>
      <c r="F2427" s="129"/>
      <c r="G2427" s="129"/>
    </row>
    <row r="2428" spans="2:7" x14ac:dyDescent="0.2">
      <c r="B2428" s="129"/>
      <c r="C2428" s="129"/>
      <c r="D2428" s="129"/>
      <c r="E2428" s="129"/>
      <c r="F2428" s="129"/>
      <c r="G2428" s="129"/>
    </row>
    <row r="2429" spans="2:7" x14ac:dyDescent="0.2">
      <c r="B2429" s="129"/>
      <c r="C2429" s="129"/>
      <c r="D2429" s="129"/>
      <c r="E2429" s="129"/>
      <c r="F2429" s="129"/>
      <c r="G2429" s="129"/>
    </row>
    <row r="2430" spans="2:7" x14ac:dyDescent="0.2">
      <c r="B2430" s="129"/>
      <c r="C2430" s="129"/>
      <c r="D2430" s="129"/>
      <c r="E2430" s="129"/>
      <c r="F2430" s="129"/>
      <c r="G2430" s="129"/>
    </row>
    <row r="2431" spans="2:7" x14ac:dyDescent="0.2">
      <c r="B2431" s="129"/>
      <c r="C2431" s="129"/>
      <c r="D2431" s="129"/>
      <c r="E2431" s="129"/>
      <c r="F2431" s="129"/>
      <c r="G2431" s="129"/>
    </row>
    <row r="2432" spans="2:7" x14ac:dyDescent="0.2">
      <c r="B2432" s="129"/>
      <c r="C2432" s="129"/>
      <c r="D2432" s="129"/>
      <c r="E2432" s="129"/>
      <c r="F2432" s="129"/>
      <c r="G2432" s="129"/>
    </row>
    <row r="2433" spans="2:7" x14ac:dyDescent="0.2">
      <c r="B2433" s="129"/>
      <c r="C2433" s="129"/>
      <c r="D2433" s="129"/>
      <c r="E2433" s="129"/>
      <c r="F2433" s="129"/>
      <c r="G2433" s="129"/>
    </row>
    <row r="2434" spans="2:7" x14ac:dyDescent="0.2">
      <c r="B2434" s="129"/>
      <c r="C2434" s="129"/>
      <c r="D2434" s="129"/>
      <c r="E2434" s="129"/>
      <c r="F2434" s="129"/>
      <c r="G2434" s="129"/>
    </row>
    <row r="2435" spans="2:7" x14ac:dyDescent="0.2">
      <c r="B2435" s="129"/>
      <c r="C2435" s="129"/>
      <c r="D2435" s="129"/>
      <c r="E2435" s="129"/>
      <c r="F2435" s="129"/>
      <c r="G2435" s="129"/>
    </row>
    <row r="2436" spans="2:7" x14ac:dyDescent="0.2">
      <c r="B2436" s="129"/>
      <c r="C2436" s="129"/>
      <c r="D2436" s="129"/>
      <c r="E2436" s="129"/>
      <c r="F2436" s="129"/>
      <c r="G2436" s="129"/>
    </row>
    <row r="2437" spans="2:7" x14ac:dyDescent="0.2">
      <c r="B2437" s="129"/>
      <c r="C2437" s="129"/>
      <c r="D2437" s="129"/>
      <c r="E2437" s="129"/>
      <c r="F2437" s="129"/>
      <c r="G2437" s="129"/>
    </row>
    <row r="2438" spans="2:7" x14ac:dyDescent="0.2">
      <c r="B2438" s="129"/>
      <c r="C2438" s="129"/>
      <c r="D2438" s="129"/>
      <c r="E2438" s="129"/>
      <c r="F2438" s="129"/>
      <c r="G2438" s="129"/>
    </row>
    <row r="2439" spans="2:7" x14ac:dyDescent="0.2">
      <c r="B2439" s="129"/>
      <c r="C2439" s="129"/>
      <c r="D2439" s="129"/>
      <c r="E2439" s="129"/>
      <c r="F2439" s="129"/>
      <c r="G2439" s="129"/>
    </row>
    <row r="2440" spans="2:7" x14ac:dyDescent="0.2">
      <c r="B2440" s="129"/>
      <c r="C2440" s="129"/>
      <c r="D2440" s="129"/>
      <c r="E2440" s="129"/>
      <c r="F2440" s="129"/>
      <c r="G2440" s="129"/>
    </row>
    <row r="2441" spans="2:7" x14ac:dyDescent="0.2">
      <c r="B2441" s="129"/>
      <c r="C2441" s="129"/>
      <c r="D2441" s="129"/>
      <c r="E2441" s="129"/>
      <c r="F2441" s="129"/>
      <c r="G2441" s="129"/>
    </row>
    <row r="2442" spans="2:7" x14ac:dyDescent="0.2">
      <c r="B2442" s="129"/>
      <c r="C2442" s="129"/>
      <c r="D2442" s="129"/>
      <c r="E2442" s="129"/>
      <c r="F2442" s="129"/>
      <c r="G2442" s="129"/>
    </row>
    <row r="2443" spans="2:7" x14ac:dyDescent="0.2">
      <c r="B2443" s="129"/>
      <c r="C2443" s="129"/>
      <c r="D2443" s="129"/>
      <c r="E2443" s="129"/>
      <c r="F2443" s="129"/>
      <c r="G2443" s="129"/>
    </row>
    <row r="2444" spans="2:7" x14ac:dyDescent="0.2">
      <c r="B2444" s="129"/>
      <c r="C2444" s="129"/>
      <c r="D2444" s="129"/>
      <c r="E2444" s="129"/>
      <c r="F2444" s="129"/>
      <c r="G2444" s="129"/>
    </row>
    <row r="2445" spans="2:7" x14ac:dyDescent="0.2">
      <c r="B2445" s="129"/>
      <c r="C2445" s="129"/>
      <c r="D2445" s="129"/>
      <c r="E2445" s="129"/>
      <c r="F2445" s="129"/>
      <c r="G2445" s="129"/>
    </row>
    <row r="2446" spans="2:7" x14ac:dyDescent="0.2">
      <c r="B2446" s="129"/>
      <c r="C2446" s="129"/>
      <c r="D2446" s="129"/>
      <c r="E2446" s="129"/>
      <c r="F2446" s="129"/>
      <c r="G2446" s="129"/>
    </row>
    <row r="2447" spans="2:7" x14ac:dyDescent="0.2">
      <c r="B2447" s="129"/>
      <c r="C2447" s="129"/>
      <c r="D2447" s="129"/>
      <c r="E2447" s="129"/>
      <c r="F2447" s="129"/>
      <c r="G2447" s="129"/>
    </row>
    <row r="2448" spans="2:7" x14ac:dyDescent="0.2">
      <c r="B2448" s="129"/>
      <c r="C2448" s="129"/>
      <c r="D2448" s="129"/>
      <c r="E2448" s="129"/>
      <c r="F2448" s="129"/>
      <c r="G2448" s="129"/>
    </row>
    <row r="2449" spans="2:7" x14ac:dyDescent="0.2">
      <c r="B2449" s="129"/>
      <c r="C2449" s="129"/>
      <c r="D2449" s="129"/>
      <c r="E2449" s="129"/>
      <c r="F2449" s="129"/>
      <c r="G2449" s="129"/>
    </row>
    <row r="2450" spans="2:7" x14ac:dyDescent="0.2">
      <c r="B2450" s="129"/>
      <c r="C2450" s="129"/>
      <c r="D2450" s="129"/>
      <c r="E2450" s="129"/>
      <c r="F2450" s="129"/>
      <c r="G2450" s="129"/>
    </row>
    <row r="2451" spans="2:7" x14ac:dyDescent="0.2">
      <c r="B2451" s="129"/>
      <c r="C2451" s="129"/>
      <c r="D2451" s="129"/>
      <c r="E2451" s="129"/>
      <c r="F2451" s="129"/>
      <c r="G2451" s="129"/>
    </row>
    <row r="2452" spans="2:7" x14ac:dyDescent="0.2">
      <c r="B2452" s="129"/>
      <c r="C2452" s="129"/>
      <c r="D2452" s="129"/>
      <c r="E2452" s="129"/>
      <c r="F2452" s="129"/>
      <c r="G2452" s="129"/>
    </row>
    <row r="2453" spans="2:7" x14ac:dyDescent="0.2">
      <c r="B2453" s="129"/>
      <c r="C2453" s="129"/>
      <c r="D2453" s="129"/>
      <c r="E2453" s="129"/>
      <c r="F2453" s="129"/>
      <c r="G2453" s="129"/>
    </row>
    <row r="2454" spans="2:7" x14ac:dyDescent="0.2">
      <c r="B2454" s="129"/>
      <c r="C2454" s="129"/>
      <c r="D2454" s="129"/>
      <c r="E2454" s="129"/>
      <c r="F2454" s="129"/>
      <c r="G2454" s="129"/>
    </row>
    <row r="2455" spans="2:7" x14ac:dyDescent="0.2">
      <c r="B2455" s="129"/>
      <c r="C2455" s="129"/>
      <c r="D2455" s="129"/>
      <c r="E2455" s="129"/>
      <c r="F2455" s="129"/>
      <c r="G2455" s="129"/>
    </row>
    <row r="2456" spans="2:7" x14ac:dyDescent="0.2">
      <c r="B2456" s="129"/>
      <c r="C2456" s="129"/>
      <c r="D2456" s="129"/>
      <c r="E2456" s="129"/>
      <c r="F2456" s="129"/>
      <c r="G2456" s="129"/>
    </row>
    <row r="2457" spans="2:7" x14ac:dyDescent="0.2">
      <c r="B2457" s="129"/>
      <c r="C2457" s="129"/>
      <c r="D2457" s="129"/>
      <c r="E2457" s="129"/>
      <c r="F2457" s="129"/>
      <c r="G2457" s="129"/>
    </row>
    <row r="2458" spans="2:7" x14ac:dyDescent="0.2">
      <c r="B2458" s="129"/>
      <c r="C2458" s="129"/>
      <c r="D2458" s="129"/>
      <c r="E2458" s="129"/>
      <c r="F2458" s="129"/>
      <c r="G2458" s="129"/>
    </row>
    <row r="2459" spans="2:7" x14ac:dyDescent="0.2">
      <c r="B2459" s="129"/>
      <c r="C2459" s="129"/>
      <c r="D2459" s="129"/>
      <c r="E2459" s="129"/>
      <c r="F2459" s="129"/>
      <c r="G2459" s="129"/>
    </row>
    <row r="2460" spans="2:7" x14ac:dyDescent="0.2">
      <c r="B2460" s="129"/>
      <c r="C2460" s="129"/>
      <c r="D2460" s="129"/>
      <c r="E2460" s="129"/>
      <c r="F2460" s="129"/>
      <c r="G2460" s="129"/>
    </row>
    <row r="2461" spans="2:7" x14ac:dyDescent="0.2">
      <c r="B2461" s="129"/>
      <c r="C2461" s="129"/>
      <c r="D2461" s="129"/>
      <c r="E2461" s="129"/>
      <c r="F2461" s="129"/>
      <c r="G2461" s="129"/>
    </row>
    <row r="2462" spans="2:7" x14ac:dyDescent="0.2">
      <c r="B2462" s="129"/>
      <c r="C2462" s="129"/>
      <c r="D2462" s="129"/>
      <c r="E2462" s="129"/>
      <c r="F2462" s="129"/>
      <c r="G2462" s="129"/>
    </row>
    <row r="2463" spans="2:7" x14ac:dyDescent="0.2">
      <c r="B2463" s="129"/>
      <c r="C2463" s="129"/>
      <c r="D2463" s="129"/>
      <c r="E2463" s="129"/>
      <c r="F2463" s="129"/>
      <c r="G2463" s="129"/>
    </row>
    <row r="2464" spans="2:7" x14ac:dyDescent="0.2">
      <c r="B2464" s="129"/>
      <c r="C2464" s="129"/>
      <c r="D2464" s="129"/>
      <c r="E2464" s="129"/>
      <c r="F2464" s="129"/>
      <c r="G2464" s="129"/>
    </row>
    <row r="2465" spans="2:7" x14ac:dyDescent="0.2">
      <c r="B2465" s="129"/>
      <c r="C2465" s="129"/>
      <c r="D2465" s="129"/>
      <c r="E2465" s="129"/>
      <c r="F2465" s="129"/>
      <c r="G2465" s="129"/>
    </row>
    <row r="2466" spans="2:7" x14ac:dyDescent="0.2">
      <c r="B2466" s="129"/>
      <c r="C2466" s="129"/>
      <c r="D2466" s="129"/>
      <c r="E2466" s="129"/>
      <c r="F2466" s="129"/>
      <c r="G2466" s="129"/>
    </row>
    <row r="2467" spans="2:7" x14ac:dyDescent="0.2">
      <c r="B2467" s="129"/>
      <c r="C2467" s="129"/>
      <c r="D2467" s="129"/>
      <c r="E2467" s="129"/>
      <c r="F2467" s="129"/>
      <c r="G2467" s="129"/>
    </row>
    <row r="2468" spans="2:7" x14ac:dyDescent="0.2">
      <c r="B2468" s="129"/>
      <c r="C2468" s="129"/>
      <c r="D2468" s="129"/>
      <c r="E2468" s="129"/>
      <c r="F2468" s="129"/>
      <c r="G2468" s="129"/>
    </row>
    <row r="2469" spans="2:7" x14ac:dyDescent="0.2">
      <c r="B2469" s="129"/>
      <c r="C2469" s="129"/>
      <c r="D2469" s="129"/>
      <c r="E2469" s="129"/>
      <c r="F2469" s="129"/>
      <c r="G2469" s="129"/>
    </row>
    <row r="2470" spans="2:7" x14ac:dyDescent="0.2">
      <c r="B2470" s="129"/>
      <c r="C2470" s="129"/>
      <c r="D2470" s="129"/>
      <c r="E2470" s="129"/>
      <c r="F2470" s="129"/>
      <c r="G2470" s="129"/>
    </row>
    <row r="2471" spans="2:7" x14ac:dyDescent="0.2">
      <c r="B2471" s="129"/>
      <c r="C2471" s="129"/>
      <c r="D2471" s="129"/>
      <c r="E2471" s="129"/>
      <c r="F2471" s="129"/>
      <c r="G2471" s="129"/>
    </row>
    <row r="2472" spans="2:7" x14ac:dyDescent="0.2">
      <c r="B2472" s="129"/>
      <c r="C2472" s="129"/>
      <c r="D2472" s="129"/>
      <c r="E2472" s="129"/>
      <c r="F2472" s="129"/>
      <c r="G2472" s="129"/>
    </row>
    <row r="2473" spans="2:7" x14ac:dyDescent="0.2">
      <c r="B2473" s="129"/>
      <c r="C2473" s="129"/>
      <c r="D2473" s="129"/>
      <c r="E2473" s="129"/>
      <c r="F2473" s="129"/>
      <c r="G2473" s="129"/>
    </row>
    <row r="2474" spans="2:7" x14ac:dyDescent="0.2">
      <c r="B2474" s="129"/>
      <c r="C2474" s="129"/>
      <c r="D2474" s="129"/>
      <c r="E2474" s="129"/>
      <c r="F2474" s="129"/>
      <c r="G2474" s="129"/>
    </row>
    <row r="2475" spans="2:7" x14ac:dyDescent="0.2">
      <c r="B2475" s="129"/>
      <c r="C2475" s="129"/>
      <c r="D2475" s="129"/>
      <c r="E2475" s="129"/>
      <c r="F2475" s="129"/>
      <c r="G2475" s="129"/>
    </row>
    <row r="2476" spans="2:7" x14ac:dyDescent="0.2">
      <c r="B2476" s="129"/>
      <c r="C2476" s="129"/>
      <c r="D2476" s="129"/>
      <c r="E2476" s="129"/>
      <c r="F2476" s="129"/>
      <c r="G2476" s="129"/>
    </row>
    <row r="2477" spans="2:7" x14ac:dyDescent="0.2">
      <c r="B2477" s="129"/>
      <c r="C2477" s="129"/>
      <c r="D2477" s="129"/>
      <c r="E2477" s="129"/>
      <c r="F2477" s="129"/>
      <c r="G2477" s="129"/>
    </row>
    <row r="2478" spans="2:7" x14ac:dyDescent="0.2">
      <c r="B2478" s="129"/>
      <c r="C2478" s="129"/>
      <c r="D2478" s="129"/>
      <c r="E2478" s="129"/>
      <c r="F2478" s="129"/>
      <c r="G2478" s="129"/>
    </row>
    <row r="2479" spans="2:7" x14ac:dyDescent="0.2">
      <c r="B2479" s="129"/>
      <c r="C2479" s="129"/>
      <c r="D2479" s="129"/>
      <c r="E2479" s="129"/>
      <c r="F2479" s="129"/>
      <c r="G2479" s="129"/>
    </row>
    <row r="2480" spans="2:7" x14ac:dyDescent="0.2">
      <c r="B2480" s="129"/>
      <c r="C2480" s="129"/>
      <c r="D2480" s="129"/>
      <c r="E2480" s="129"/>
      <c r="F2480" s="129"/>
      <c r="G2480" s="129"/>
    </row>
    <row r="2481" spans="2:7" x14ac:dyDescent="0.2">
      <c r="B2481" s="129"/>
      <c r="C2481" s="129"/>
      <c r="D2481" s="129"/>
      <c r="E2481" s="129"/>
      <c r="F2481" s="129"/>
      <c r="G2481" s="129"/>
    </row>
    <row r="2482" spans="2:7" x14ac:dyDescent="0.2">
      <c r="B2482" s="129"/>
      <c r="C2482" s="129"/>
      <c r="D2482" s="129"/>
      <c r="E2482" s="129"/>
      <c r="F2482" s="129"/>
      <c r="G2482" s="129"/>
    </row>
    <row r="2483" spans="2:7" x14ac:dyDescent="0.2">
      <c r="B2483" s="129"/>
      <c r="C2483" s="129"/>
      <c r="D2483" s="129"/>
      <c r="E2483" s="129"/>
      <c r="F2483" s="129"/>
      <c r="G2483" s="129"/>
    </row>
    <row r="2484" spans="2:7" x14ac:dyDescent="0.2">
      <c r="B2484" s="129"/>
      <c r="C2484" s="129"/>
      <c r="D2484" s="129"/>
      <c r="E2484" s="129"/>
      <c r="F2484" s="129"/>
      <c r="G2484" s="129"/>
    </row>
    <row r="2485" spans="2:7" x14ac:dyDescent="0.2">
      <c r="B2485" s="129"/>
      <c r="C2485" s="129"/>
      <c r="D2485" s="129"/>
      <c r="E2485" s="129"/>
      <c r="F2485" s="129"/>
      <c r="G2485" s="129"/>
    </row>
    <row r="2486" spans="2:7" x14ac:dyDescent="0.2">
      <c r="B2486" s="129"/>
      <c r="C2486" s="129"/>
      <c r="D2486" s="129"/>
      <c r="E2486" s="129"/>
      <c r="F2486" s="129"/>
      <c r="G2486" s="129"/>
    </row>
    <row r="2487" spans="2:7" x14ac:dyDescent="0.2">
      <c r="B2487" s="129"/>
      <c r="C2487" s="129"/>
      <c r="D2487" s="129"/>
      <c r="E2487" s="129"/>
      <c r="F2487" s="129"/>
      <c r="G2487" s="129"/>
    </row>
    <row r="2488" spans="2:7" x14ac:dyDescent="0.2">
      <c r="B2488" s="129"/>
      <c r="C2488" s="129"/>
      <c r="D2488" s="129"/>
      <c r="E2488" s="129"/>
      <c r="F2488" s="129"/>
      <c r="G2488" s="129"/>
    </row>
    <row r="2489" spans="2:7" x14ac:dyDescent="0.2">
      <c r="B2489" s="129"/>
      <c r="C2489" s="129"/>
      <c r="D2489" s="129"/>
      <c r="E2489" s="129"/>
      <c r="F2489" s="129"/>
      <c r="G2489" s="129"/>
    </row>
    <row r="2490" spans="2:7" x14ac:dyDescent="0.2">
      <c r="B2490" s="129"/>
      <c r="C2490" s="129"/>
      <c r="D2490" s="129"/>
      <c r="E2490" s="129"/>
      <c r="F2490" s="129"/>
      <c r="G2490" s="129"/>
    </row>
    <row r="2491" spans="2:7" x14ac:dyDescent="0.2">
      <c r="B2491" s="129"/>
      <c r="C2491" s="129"/>
      <c r="D2491" s="129"/>
      <c r="E2491" s="129"/>
      <c r="F2491" s="129"/>
      <c r="G2491" s="129"/>
    </row>
    <row r="2492" spans="2:7" x14ac:dyDescent="0.2">
      <c r="B2492" s="129"/>
      <c r="C2492" s="129"/>
      <c r="D2492" s="129"/>
      <c r="E2492" s="129"/>
      <c r="F2492" s="129"/>
      <c r="G2492" s="129"/>
    </row>
    <row r="2493" spans="2:7" x14ac:dyDescent="0.2">
      <c r="B2493" s="129"/>
      <c r="C2493" s="129"/>
      <c r="D2493" s="129"/>
      <c r="E2493" s="129"/>
      <c r="F2493" s="129"/>
      <c r="G2493" s="129"/>
    </row>
    <row r="2494" spans="2:7" x14ac:dyDescent="0.2">
      <c r="B2494" s="129"/>
      <c r="C2494" s="129"/>
      <c r="D2494" s="129"/>
      <c r="E2494" s="129"/>
      <c r="F2494" s="129"/>
      <c r="G2494" s="129"/>
    </row>
    <row r="2495" spans="2:7" x14ac:dyDescent="0.2">
      <c r="B2495" s="129"/>
      <c r="C2495" s="129"/>
      <c r="D2495" s="129"/>
      <c r="E2495" s="129"/>
      <c r="F2495" s="129"/>
      <c r="G2495" s="129"/>
    </row>
    <row r="2496" spans="2:7" x14ac:dyDescent="0.2">
      <c r="B2496" s="129"/>
      <c r="C2496" s="129"/>
      <c r="D2496" s="129"/>
      <c r="E2496" s="129"/>
      <c r="F2496" s="129"/>
      <c r="G2496" s="129"/>
    </row>
    <row r="2497" spans="2:7" x14ac:dyDescent="0.2">
      <c r="B2497" s="129"/>
      <c r="C2497" s="129"/>
      <c r="D2497" s="129"/>
      <c r="E2497" s="129"/>
      <c r="F2497" s="129"/>
      <c r="G2497" s="129"/>
    </row>
    <row r="2498" spans="2:7" x14ac:dyDescent="0.2">
      <c r="B2498" s="129"/>
      <c r="C2498" s="129"/>
      <c r="D2498" s="129"/>
      <c r="E2498" s="129"/>
      <c r="F2498" s="129"/>
      <c r="G2498" s="129"/>
    </row>
    <row r="2499" spans="2:7" x14ac:dyDescent="0.2">
      <c r="B2499" s="129"/>
      <c r="C2499" s="129"/>
      <c r="D2499" s="129"/>
      <c r="E2499" s="129"/>
      <c r="F2499" s="129"/>
      <c r="G2499" s="129"/>
    </row>
    <row r="2500" spans="2:7" x14ac:dyDescent="0.2">
      <c r="B2500" s="129"/>
      <c r="C2500" s="129"/>
      <c r="D2500" s="129"/>
      <c r="E2500" s="129"/>
      <c r="F2500" s="129"/>
      <c r="G2500" s="129"/>
    </row>
    <row r="2501" spans="2:7" x14ac:dyDescent="0.2">
      <c r="B2501" s="129"/>
      <c r="C2501" s="129"/>
      <c r="D2501" s="129"/>
      <c r="E2501" s="129"/>
      <c r="F2501" s="129"/>
      <c r="G2501" s="129"/>
    </row>
    <row r="2502" spans="2:7" x14ac:dyDescent="0.2">
      <c r="B2502" s="129"/>
      <c r="C2502" s="129"/>
      <c r="D2502" s="129"/>
      <c r="E2502" s="129"/>
      <c r="F2502" s="129"/>
      <c r="G2502" s="129"/>
    </row>
    <row r="2503" spans="2:7" x14ac:dyDescent="0.2">
      <c r="B2503" s="129"/>
      <c r="C2503" s="129"/>
      <c r="D2503" s="129"/>
      <c r="E2503" s="129"/>
      <c r="F2503" s="129"/>
      <c r="G2503" s="129"/>
    </row>
    <row r="2504" spans="2:7" x14ac:dyDescent="0.2">
      <c r="B2504" s="129"/>
      <c r="C2504" s="129"/>
      <c r="D2504" s="129"/>
      <c r="E2504" s="129"/>
      <c r="F2504" s="129"/>
      <c r="G2504" s="129"/>
    </row>
    <row r="2505" spans="2:7" x14ac:dyDescent="0.2">
      <c r="B2505" s="129"/>
      <c r="C2505" s="129"/>
      <c r="D2505" s="129"/>
      <c r="E2505" s="129"/>
      <c r="F2505" s="129"/>
      <c r="G2505" s="129"/>
    </row>
    <row r="2506" spans="2:7" x14ac:dyDescent="0.2">
      <c r="B2506" s="129"/>
      <c r="C2506" s="129"/>
      <c r="D2506" s="129"/>
      <c r="E2506" s="129"/>
      <c r="F2506" s="129"/>
      <c r="G2506" s="129"/>
    </row>
    <row r="2507" spans="2:7" x14ac:dyDescent="0.2">
      <c r="B2507" s="129"/>
      <c r="C2507" s="129"/>
      <c r="D2507" s="129"/>
      <c r="E2507" s="129"/>
      <c r="F2507" s="129"/>
      <c r="G2507" s="129"/>
    </row>
    <row r="2508" spans="2:7" x14ac:dyDescent="0.2">
      <c r="B2508" s="129"/>
      <c r="C2508" s="129"/>
      <c r="D2508" s="129"/>
      <c r="E2508" s="129"/>
      <c r="F2508" s="129"/>
      <c r="G2508" s="129"/>
    </row>
    <row r="2509" spans="2:7" x14ac:dyDescent="0.2">
      <c r="B2509" s="129"/>
      <c r="C2509" s="129"/>
      <c r="D2509" s="129"/>
      <c r="E2509" s="129"/>
      <c r="F2509" s="129"/>
      <c r="G2509" s="129"/>
    </row>
    <row r="2510" spans="2:7" x14ac:dyDescent="0.2">
      <c r="B2510" s="129"/>
      <c r="C2510" s="129"/>
      <c r="D2510" s="129"/>
      <c r="E2510" s="129"/>
      <c r="F2510" s="129"/>
      <c r="G2510" s="129"/>
    </row>
    <row r="2511" spans="2:7" x14ac:dyDescent="0.2">
      <c r="B2511" s="129"/>
      <c r="C2511" s="129"/>
      <c r="D2511" s="129"/>
      <c r="E2511" s="129"/>
      <c r="F2511" s="129"/>
      <c r="G2511" s="129"/>
    </row>
    <row r="2512" spans="2:7" x14ac:dyDescent="0.2">
      <c r="B2512" s="129"/>
      <c r="C2512" s="129"/>
      <c r="D2512" s="129"/>
      <c r="E2512" s="129"/>
      <c r="F2512" s="129"/>
      <c r="G2512" s="129"/>
    </row>
    <row r="2513" spans="2:7" x14ac:dyDescent="0.2">
      <c r="B2513" s="129"/>
      <c r="C2513" s="129"/>
      <c r="D2513" s="129"/>
      <c r="E2513" s="129"/>
      <c r="F2513" s="129"/>
      <c r="G2513" s="129"/>
    </row>
    <row r="2514" spans="2:7" x14ac:dyDescent="0.2">
      <c r="B2514" s="129"/>
      <c r="C2514" s="129"/>
      <c r="D2514" s="129"/>
      <c r="E2514" s="129"/>
      <c r="F2514" s="129"/>
      <c r="G2514" s="129"/>
    </row>
    <row r="2515" spans="2:7" x14ac:dyDescent="0.2">
      <c r="B2515" s="129"/>
      <c r="C2515" s="129"/>
      <c r="D2515" s="129"/>
      <c r="E2515" s="129"/>
      <c r="F2515" s="129"/>
      <c r="G2515" s="129"/>
    </row>
    <row r="2516" spans="2:7" x14ac:dyDescent="0.2">
      <c r="B2516" s="129"/>
      <c r="C2516" s="129"/>
      <c r="D2516" s="129"/>
      <c r="E2516" s="129"/>
      <c r="F2516" s="129"/>
      <c r="G2516" s="129"/>
    </row>
    <row r="2517" spans="2:7" x14ac:dyDescent="0.2">
      <c r="B2517" s="129"/>
      <c r="C2517" s="129"/>
      <c r="D2517" s="129"/>
      <c r="E2517" s="129"/>
      <c r="F2517" s="129"/>
      <c r="G2517" s="129"/>
    </row>
    <row r="2518" spans="2:7" x14ac:dyDescent="0.2">
      <c r="B2518" s="129"/>
      <c r="C2518" s="129"/>
      <c r="D2518" s="129"/>
      <c r="E2518" s="129"/>
      <c r="F2518" s="129"/>
      <c r="G2518" s="129"/>
    </row>
    <row r="2519" spans="2:7" x14ac:dyDescent="0.2">
      <c r="B2519" s="129"/>
      <c r="C2519" s="129"/>
      <c r="D2519" s="129"/>
      <c r="E2519" s="129"/>
      <c r="F2519" s="129"/>
      <c r="G2519" s="129"/>
    </row>
    <row r="2520" spans="2:7" x14ac:dyDescent="0.2">
      <c r="B2520" s="129"/>
      <c r="C2520" s="129"/>
      <c r="D2520" s="129"/>
      <c r="E2520" s="129"/>
      <c r="F2520" s="129"/>
      <c r="G2520" s="129"/>
    </row>
    <row r="2521" spans="2:7" x14ac:dyDescent="0.2">
      <c r="B2521" s="129"/>
      <c r="C2521" s="129"/>
      <c r="D2521" s="129"/>
      <c r="E2521" s="129"/>
      <c r="F2521" s="129"/>
      <c r="G2521" s="129"/>
    </row>
    <row r="2522" spans="2:7" x14ac:dyDescent="0.2">
      <c r="B2522" s="129"/>
      <c r="C2522" s="129"/>
      <c r="D2522" s="129"/>
      <c r="E2522" s="129"/>
      <c r="F2522" s="129"/>
      <c r="G2522" s="129"/>
    </row>
    <row r="2523" spans="2:7" x14ac:dyDescent="0.2">
      <c r="B2523" s="129"/>
      <c r="C2523" s="129"/>
      <c r="D2523" s="129"/>
      <c r="E2523" s="129"/>
      <c r="F2523" s="129"/>
      <c r="G2523" s="129"/>
    </row>
    <row r="2524" spans="2:7" x14ac:dyDescent="0.2">
      <c r="B2524" s="129"/>
      <c r="C2524" s="129"/>
      <c r="D2524" s="129"/>
      <c r="E2524" s="129"/>
      <c r="F2524" s="129"/>
      <c r="G2524" s="129"/>
    </row>
    <row r="2525" spans="2:7" x14ac:dyDescent="0.2">
      <c r="B2525" s="129"/>
      <c r="C2525" s="129"/>
      <c r="D2525" s="129"/>
      <c r="E2525" s="129"/>
      <c r="F2525" s="129"/>
      <c r="G2525" s="129"/>
    </row>
    <row r="2526" spans="2:7" x14ac:dyDescent="0.2">
      <c r="B2526" s="129"/>
      <c r="C2526" s="129"/>
      <c r="D2526" s="129"/>
      <c r="E2526" s="129"/>
      <c r="F2526" s="129"/>
      <c r="G2526" s="129"/>
    </row>
    <row r="2527" spans="2:7" x14ac:dyDescent="0.2">
      <c r="B2527" s="129"/>
      <c r="C2527" s="129"/>
      <c r="D2527" s="129"/>
      <c r="E2527" s="129"/>
      <c r="F2527" s="129"/>
      <c r="G2527" s="129"/>
    </row>
    <row r="2528" spans="2:7" x14ac:dyDescent="0.2">
      <c r="B2528" s="129"/>
      <c r="C2528" s="129"/>
      <c r="D2528" s="129"/>
      <c r="E2528" s="129"/>
      <c r="F2528" s="129"/>
      <c r="G2528" s="129"/>
    </row>
    <row r="2529" spans="2:7" x14ac:dyDescent="0.2">
      <c r="B2529" s="129"/>
      <c r="C2529" s="129"/>
      <c r="D2529" s="129"/>
      <c r="E2529" s="129"/>
      <c r="F2529" s="129"/>
      <c r="G2529" s="129"/>
    </row>
    <row r="2530" spans="2:7" x14ac:dyDescent="0.2">
      <c r="B2530" s="129"/>
      <c r="C2530" s="129"/>
      <c r="D2530" s="129"/>
      <c r="E2530" s="129"/>
      <c r="F2530" s="129"/>
      <c r="G2530" s="129"/>
    </row>
    <row r="2531" spans="2:7" x14ac:dyDescent="0.2">
      <c r="B2531" s="129"/>
      <c r="C2531" s="129"/>
      <c r="D2531" s="129"/>
      <c r="E2531" s="129"/>
      <c r="F2531" s="129"/>
      <c r="G2531" s="129"/>
    </row>
    <row r="2532" spans="2:7" x14ac:dyDescent="0.2">
      <c r="B2532" s="129"/>
      <c r="C2532" s="129"/>
      <c r="D2532" s="129"/>
      <c r="E2532" s="129"/>
      <c r="F2532" s="129"/>
      <c r="G2532" s="129"/>
    </row>
    <row r="2533" spans="2:7" x14ac:dyDescent="0.2">
      <c r="B2533" s="129"/>
      <c r="C2533" s="129"/>
      <c r="D2533" s="129"/>
      <c r="E2533" s="129"/>
      <c r="F2533" s="129"/>
      <c r="G2533" s="129"/>
    </row>
    <row r="2534" spans="2:7" x14ac:dyDescent="0.2">
      <c r="B2534" s="129"/>
      <c r="C2534" s="129"/>
      <c r="D2534" s="129"/>
      <c r="E2534" s="129"/>
      <c r="F2534" s="129"/>
      <c r="G2534" s="129"/>
    </row>
    <row r="2535" spans="2:7" x14ac:dyDescent="0.2">
      <c r="B2535" s="129"/>
      <c r="C2535" s="129"/>
      <c r="D2535" s="129"/>
      <c r="E2535" s="129"/>
      <c r="F2535" s="129"/>
      <c r="G2535" s="129"/>
    </row>
    <row r="2536" spans="2:7" x14ac:dyDescent="0.2">
      <c r="B2536" s="129"/>
      <c r="C2536" s="129"/>
      <c r="D2536" s="129"/>
      <c r="E2536" s="129"/>
      <c r="F2536" s="129"/>
      <c r="G2536" s="129"/>
    </row>
    <row r="2537" spans="2:7" x14ac:dyDescent="0.2">
      <c r="B2537" s="129"/>
      <c r="C2537" s="129"/>
      <c r="D2537" s="129"/>
      <c r="E2537" s="129"/>
      <c r="F2537" s="129"/>
      <c r="G2537" s="129"/>
    </row>
    <row r="2538" spans="2:7" x14ac:dyDescent="0.2">
      <c r="B2538" s="129"/>
      <c r="C2538" s="129"/>
      <c r="D2538" s="129"/>
      <c r="E2538" s="129"/>
      <c r="F2538" s="129"/>
      <c r="G2538" s="129"/>
    </row>
    <row r="2539" spans="2:7" x14ac:dyDescent="0.2">
      <c r="B2539" s="129"/>
      <c r="C2539" s="129"/>
      <c r="D2539" s="129"/>
      <c r="E2539" s="129"/>
      <c r="F2539" s="129"/>
      <c r="G2539" s="129"/>
    </row>
    <row r="2540" spans="2:7" x14ac:dyDescent="0.2">
      <c r="B2540" s="129"/>
      <c r="C2540" s="129"/>
      <c r="D2540" s="129"/>
      <c r="E2540" s="129"/>
      <c r="F2540" s="129"/>
      <c r="G2540" s="129"/>
    </row>
    <row r="2541" spans="2:7" x14ac:dyDescent="0.2">
      <c r="B2541" s="129"/>
      <c r="C2541" s="129"/>
      <c r="D2541" s="129"/>
      <c r="E2541" s="129"/>
      <c r="F2541" s="129"/>
      <c r="G2541" s="129"/>
    </row>
    <row r="2542" spans="2:7" x14ac:dyDescent="0.2">
      <c r="B2542" s="129"/>
      <c r="C2542" s="129"/>
      <c r="D2542" s="129"/>
      <c r="E2542" s="129"/>
      <c r="F2542" s="129"/>
      <c r="G2542" s="129"/>
    </row>
    <row r="2543" spans="2:7" x14ac:dyDescent="0.2">
      <c r="B2543" s="129"/>
      <c r="C2543" s="129"/>
      <c r="D2543" s="129"/>
      <c r="E2543" s="129"/>
      <c r="F2543" s="129"/>
      <c r="G2543" s="129"/>
    </row>
    <row r="2544" spans="2:7" x14ac:dyDescent="0.2">
      <c r="B2544" s="129"/>
      <c r="C2544" s="129"/>
      <c r="D2544" s="129"/>
      <c r="E2544" s="129"/>
      <c r="F2544" s="129"/>
      <c r="G2544" s="129"/>
    </row>
    <row r="2545" spans="2:7" x14ac:dyDescent="0.2">
      <c r="B2545" s="129"/>
      <c r="C2545" s="129"/>
      <c r="D2545" s="129"/>
      <c r="E2545" s="129"/>
      <c r="F2545" s="129"/>
      <c r="G2545" s="129"/>
    </row>
    <row r="2546" spans="2:7" x14ac:dyDescent="0.2">
      <c r="B2546" s="129"/>
      <c r="C2546" s="129"/>
      <c r="D2546" s="129"/>
      <c r="E2546" s="129"/>
      <c r="F2546" s="129"/>
      <c r="G2546" s="129"/>
    </row>
    <row r="2547" spans="2:7" x14ac:dyDescent="0.2">
      <c r="B2547" s="129"/>
      <c r="C2547" s="129"/>
      <c r="D2547" s="129"/>
      <c r="E2547" s="129"/>
      <c r="F2547" s="129"/>
      <c r="G2547" s="129"/>
    </row>
    <row r="2548" spans="2:7" x14ac:dyDescent="0.2">
      <c r="B2548" s="129"/>
      <c r="C2548" s="129"/>
      <c r="D2548" s="129"/>
      <c r="E2548" s="129"/>
      <c r="F2548" s="129"/>
      <c r="G2548" s="129"/>
    </row>
    <row r="2549" spans="2:7" x14ac:dyDescent="0.2">
      <c r="B2549" s="129"/>
      <c r="C2549" s="129"/>
      <c r="D2549" s="129"/>
      <c r="E2549" s="129"/>
      <c r="F2549" s="129"/>
      <c r="G2549" s="129"/>
    </row>
    <row r="2550" spans="2:7" x14ac:dyDescent="0.2">
      <c r="B2550" s="129"/>
      <c r="C2550" s="129"/>
      <c r="D2550" s="129"/>
      <c r="E2550" s="129"/>
      <c r="F2550" s="129"/>
      <c r="G2550" s="129"/>
    </row>
    <row r="2551" spans="2:7" x14ac:dyDescent="0.2">
      <c r="B2551" s="129"/>
      <c r="C2551" s="129"/>
      <c r="D2551" s="129"/>
      <c r="E2551" s="129"/>
      <c r="F2551" s="129"/>
      <c r="G2551" s="129"/>
    </row>
    <row r="2552" spans="2:7" x14ac:dyDescent="0.2">
      <c r="B2552" s="129"/>
      <c r="C2552" s="129"/>
      <c r="D2552" s="129"/>
      <c r="E2552" s="129"/>
      <c r="F2552" s="129"/>
      <c r="G2552" s="129"/>
    </row>
    <row r="2553" spans="2:7" x14ac:dyDescent="0.2">
      <c r="B2553" s="129"/>
      <c r="C2553" s="129"/>
      <c r="D2553" s="129"/>
      <c r="E2553" s="129"/>
      <c r="F2553" s="129"/>
      <c r="G2553" s="129"/>
    </row>
    <row r="2554" spans="2:7" x14ac:dyDescent="0.2">
      <c r="B2554" s="129"/>
      <c r="C2554" s="129"/>
      <c r="D2554" s="129"/>
      <c r="E2554" s="129"/>
      <c r="F2554" s="129"/>
      <c r="G2554" s="129"/>
    </row>
    <row r="2555" spans="2:7" x14ac:dyDescent="0.2">
      <c r="B2555" s="129"/>
      <c r="C2555" s="129"/>
      <c r="D2555" s="129"/>
      <c r="E2555" s="129"/>
      <c r="F2555" s="129"/>
      <c r="G2555" s="129"/>
    </row>
    <row r="2556" spans="2:7" x14ac:dyDescent="0.2">
      <c r="B2556" s="129"/>
      <c r="C2556" s="129"/>
      <c r="D2556" s="129"/>
      <c r="E2556" s="129"/>
      <c r="F2556" s="129"/>
      <c r="G2556" s="129"/>
    </row>
    <row r="2557" spans="2:7" x14ac:dyDescent="0.2">
      <c r="B2557" s="129"/>
      <c r="C2557" s="129"/>
      <c r="D2557" s="129"/>
      <c r="E2557" s="129"/>
      <c r="F2557" s="129"/>
      <c r="G2557" s="129"/>
    </row>
    <row r="2558" spans="2:7" x14ac:dyDescent="0.2">
      <c r="B2558" s="129"/>
      <c r="C2558" s="129"/>
      <c r="D2558" s="129"/>
      <c r="E2558" s="129"/>
      <c r="F2558" s="129"/>
      <c r="G2558" s="129"/>
    </row>
    <row r="2559" spans="2:7" x14ac:dyDescent="0.2">
      <c r="B2559" s="129"/>
      <c r="C2559" s="129"/>
      <c r="D2559" s="129"/>
      <c r="E2559" s="129"/>
      <c r="F2559" s="129"/>
      <c r="G2559" s="129"/>
    </row>
    <row r="2560" spans="2:7" x14ac:dyDescent="0.2">
      <c r="B2560" s="129"/>
      <c r="C2560" s="129"/>
      <c r="D2560" s="129"/>
      <c r="E2560" s="129"/>
      <c r="F2560" s="129"/>
      <c r="G2560" s="129"/>
    </row>
    <row r="2561" spans="2:7" x14ac:dyDescent="0.2">
      <c r="B2561" s="129"/>
      <c r="C2561" s="129"/>
      <c r="D2561" s="129"/>
      <c r="E2561" s="129"/>
      <c r="F2561" s="129"/>
      <c r="G2561" s="129"/>
    </row>
    <row r="2562" spans="2:7" x14ac:dyDescent="0.2">
      <c r="B2562" s="129"/>
      <c r="C2562" s="129"/>
      <c r="D2562" s="129"/>
      <c r="E2562" s="129"/>
      <c r="F2562" s="129"/>
      <c r="G2562" s="129"/>
    </row>
    <row r="2563" spans="2:7" x14ac:dyDescent="0.2">
      <c r="B2563" s="129"/>
      <c r="C2563" s="129"/>
      <c r="D2563" s="129"/>
      <c r="E2563" s="129"/>
      <c r="F2563" s="129"/>
      <c r="G2563" s="129"/>
    </row>
    <row r="2564" spans="2:7" x14ac:dyDescent="0.2">
      <c r="B2564" s="129"/>
      <c r="C2564" s="129"/>
      <c r="D2564" s="129"/>
      <c r="E2564" s="129"/>
      <c r="F2564" s="129"/>
      <c r="G2564" s="129"/>
    </row>
    <row r="2565" spans="2:7" x14ac:dyDescent="0.2">
      <c r="B2565" s="129"/>
      <c r="C2565" s="129"/>
      <c r="D2565" s="129"/>
      <c r="E2565" s="129"/>
      <c r="F2565" s="129"/>
      <c r="G2565" s="129"/>
    </row>
    <row r="2566" spans="2:7" x14ac:dyDescent="0.2">
      <c r="B2566" s="129"/>
      <c r="C2566" s="129"/>
      <c r="D2566" s="129"/>
      <c r="E2566" s="129"/>
      <c r="F2566" s="129"/>
      <c r="G2566" s="129"/>
    </row>
    <row r="2567" spans="2:7" x14ac:dyDescent="0.2">
      <c r="B2567" s="129"/>
      <c r="C2567" s="129"/>
      <c r="D2567" s="129"/>
      <c r="E2567" s="129"/>
      <c r="F2567" s="129"/>
      <c r="G2567" s="129"/>
    </row>
    <row r="2568" spans="2:7" x14ac:dyDescent="0.2">
      <c r="B2568" s="129"/>
      <c r="C2568" s="129"/>
      <c r="D2568" s="129"/>
      <c r="E2568" s="129"/>
      <c r="F2568" s="129"/>
      <c r="G2568" s="129"/>
    </row>
    <row r="2569" spans="2:7" x14ac:dyDescent="0.2">
      <c r="B2569" s="129"/>
      <c r="C2569" s="129"/>
      <c r="D2569" s="129"/>
      <c r="E2569" s="129"/>
      <c r="F2569" s="129"/>
      <c r="G2569" s="129"/>
    </row>
    <row r="2570" spans="2:7" x14ac:dyDescent="0.2">
      <c r="B2570" s="129"/>
      <c r="C2570" s="129"/>
      <c r="D2570" s="129"/>
      <c r="E2570" s="129"/>
      <c r="F2570" s="129"/>
      <c r="G2570" s="129"/>
    </row>
    <row r="2571" spans="2:7" x14ac:dyDescent="0.2">
      <c r="B2571" s="129"/>
      <c r="C2571" s="129"/>
      <c r="D2571" s="129"/>
      <c r="E2571" s="129"/>
      <c r="F2571" s="129"/>
      <c r="G2571" s="129"/>
    </row>
    <row r="2572" spans="2:7" x14ac:dyDescent="0.2">
      <c r="B2572" s="129"/>
      <c r="C2572" s="129"/>
      <c r="D2572" s="129"/>
      <c r="E2572" s="129"/>
      <c r="F2572" s="129"/>
      <c r="G2572" s="129"/>
    </row>
    <row r="2573" spans="2:7" x14ac:dyDescent="0.2">
      <c r="B2573" s="129"/>
      <c r="C2573" s="129"/>
      <c r="D2573" s="129"/>
      <c r="E2573" s="129"/>
      <c r="F2573" s="129"/>
      <c r="G2573" s="129"/>
    </row>
    <row r="2574" spans="2:7" x14ac:dyDescent="0.2">
      <c r="B2574" s="129"/>
      <c r="C2574" s="129"/>
      <c r="D2574" s="129"/>
      <c r="E2574" s="129"/>
      <c r="F2574" s="129"/>
      <c r="G2574" s="129"/>
    </row>
    <row r="2575" spans="2:7" x14ac:dyDescent="0.2">
      <c r="B2575" s="129"/>
      <c r="C2575" s="129"/>
      <c r="D2575" s="129"/>
      <c r="E2575" s="129"/>
      <c r="F2575" s="129"/>
      <c r="G2575" s="129"/>
    </row>
    <row r="2576" spans="2:7" x14ac:dyDescent="0.2">
      <c r="B2576" s="129"/>
      <c r="C2576" s="129"/>
      <c r="D2576" s="129"/>
      <c r="E2576" s="129"/>
      <c r="F2576" s="129"/>
      <c r="G2576" s="129"/>
    </row>
    <row r="2577" spans="2:7" x14ac:dyDescent="0.2">
      <c r="B2577" s="129"/>
      <c r="C2577" s="129"/>
      <c r="D2577" s="129"/>
      <c r="E2577" s="129"/>
      <c r="F2577" s="129"/>
      <c r="G2577" s="129"/>
    </row>
    <row r="2578" spans="2:7" x14ac:dyDescent="0.2">
      <c r="B2578" s="129"/>
      <c r="C2578" s="129"/>
      <c r="D2578" s="129"/>
      <c r="E2578" s="129"/>
      <c r="F2578" s="129"/>
      <c r="G2578" s="129"/>
    </row>
    <row r="2579" spans="2:7" x14ac:dyDescent="0.2">
      <c r="B2579" s="129"/>
      <c r="C2579" s="129"/>
      <c r="D2579" s="129"/>
      <c r="E2579" s="129"/>
      <c r="F2579" s="129"/>
      <c r="G2579" s="129"/>
    </row>
    <row r="2580" spans="2:7" x14ac:dyDescent="0.2">
      <c r="B2580" s="129"/>
      <c r="C2580" s="129"/>
      <c r="D2580" s="129"/>
      <c r="E2580" s="129"/>
      <c r="F2580" s="129"/>
      <c r="G2580" s="129"/>
    </row>
    <row r="2581" spans="2:7" x14ac:dyDescent="0.2">
      <c r="B2581" s="129"/>
      <c r="C2581" s="129"/>
      <c r="D2581" s="129"/>
      <c r="E2581" s="129"/>
      <c r="F2581" s="129"/>
      <c r="G2581" s="129"/>
    </row>
    <row r="2582" spans="2:7" x14ac:dyDescent="0.2">
      <c r="B2582" s="129"/>
      <c r="C2582" s="129"/>
      <c r="D2582" s="129"/>
      <c r="E2582" s="129"/>
      <c r="F2582" s="129"/>
      <c r="G2582" s="129"/>
    </row>
    <row r="2583" spans="2:7" x14ac:dyDescent="0.2">
      <c r="B2583" s="129"/>
      <c r="C2583" s="129"/>
      <c r="D2583" s="129"/>
      <c r="E2583" s="129"/>
      <c r="F2583" s="129"/>
      <c r="G2583" s="129"/>
    </row>
    <row r="2584" spans="2:7" x14ac:dyDescent="0.2">
      <c r="B2584" s="129"/>
      <c r="C2584" s="129"/>
      <c r="D2584" s="129"/>
      <c r="E2584" s="129"/>
      <c r="F2584" s="129"/>
      <c r="G2584" s="129"/>
    </row>
    <row r="2585" spans="2:7" x14ac:dyDescent="0.2">
      <c r="B2585" s="129"/>
      <c r="C2585" s="129"/>
      <c r="D2585" s="129"/>
      <c r="E2585" s="129"/>
      <c r="F2585" s="129"/>
      <c r="G2585" s="129"/>
    </row>
    <row r="2586" spans="2:7" x14ac:dyDescent="0.2">
      <c r="B2586" s="129"/>
      <c r="C2586" s="129"/>
      <c r="D2586" s="129"/>
      <c r="E2586" s="129"/>
      <c r="F2586" s="129"/>
      <c r="G2586" s="129"/>
    </row>
    <row r="2587" spans="2:7" x14ac:dyDescent="0.2">
      <c r="B2587" s="129"/>
      <c r="C2587" s="129"/>
      <c r="D2587" s="129"/>
      <c r="E2587" s="129"/>
      <c r="F2587" s="129"/>
      <c r="G2587" s="129"/>
    </row>
    <row r="2588" spans="2:7" x14ac:dyDescent="0.2">
      <c r="B2588" s="129"/>
      <c r="C2588" s="129"/>
      <c r="D2588" s="129"/>
      <c r="E2588" s="129"/>
      <c r="F2588" s="129"/>
      <c r="G2588" s="129"/>
    </row>
    <row r="2589" spans="2:7" x14ac:dyDescent="0.2">
      <c r="B2589" s="129"/>
      <c r="C2589" s="129"/>
      <c r="D2589" s="129"/>
      <c r="E2589" s="129"/>
      <c r="F2589" s="129"/>
      <c r="G2589" s="129"/>
    </row>
    <row r="2590" spans="2:7" x14ac:dyDescent="0.2">
      <c r="B2590" s="129"/>
      <c r="C2590" s="129"/>
      <c r="D2590" s="129"/>
      <c r="E2590" s="129"/>
      <c r="F2590" s="129"/>
      <c r="G2590" s="129"/>
    </row>
    <row r="2591" spans="2:7" x14ac:dyDescent="0.2">
      <c r="B2591" s="129"/>
      <c r="C2591" s="129"/>
      <c r="D2591" s="129"/>
      <c r="E2591" s="129"/>
      <c r="F2591" s="129"/>
      <c r="G2591" s="129"/>
    </row>
    <row r="2592" spans="2:7" x14ac:dyDescent="0.2">
      <c r="B2592" s="129"/>
      <c r="C2592" s="129"/>
      <c r="D2592" s="129"/>
      <c r="E2592" s="129"/>
      <c r="F2592" s="129"/>
      <c r="G2592" s="129"/>
    </row>
    <row r="2593" spans="2:7" x14ac:dyDescent="0.2">
      <c r="B2593" s="129"/>
      <c r="C2593" s="129"/>
      <c r="D2593" s="129"/>
      <c r="E2593" s="129"/>
      <c r="F2593" s="129"/>
      <c r="G2593" s="129"/>
    </row>
    <row r="2594" spans="2:7" x14ac:dyDescent="0.2">
      <c r="B2594" s="129"/>
      <c r="C2594" s="129"/>
      <c r="D2594" s="129"/>
      <c r="E2594" s="129"/>
      <c r="F2594" s="129"/>
      <c r="G2594" s="129"/>
    </row>
    <row r="2595" spans="2:7" x14ac:dyDescent="0.2">
      <c r="B2595" s="129"/>
      <c r="C2595" s="129"/>
      <c r="D2595" s="129"/>
      <c r="E2595" s="129"/>
      <c r="F2595" s="129"/>
      <c r="G2595" s="129"/>
    </row>
    <row r="2596" spans="2:7" x14ac:dyDescent="0.2">
      <c r="B2596" s="129"/>
      <c r="C2596" s="129"/>
      <c r="D2596" s="129"/>
      <c r="E2596" s="129"/>
      <c r="F2596" s="129"/>
      <c r="G2596" s="129"/>
    </row>
    <row r="2597" spans="2:7" x14ac:dyDescent="0.2">
      <c r="B2597" s="129"/>
      <c r="C2597" s="129"/>
      <c r="D2597" s="129"/>
      <c r="E2597" s="129"/>
      <c r="F2597" s="129"/>
      <c r="G2597" s="129"/>
    </row>
    <row r="2598" spans="2:7" x14ac:dyDescent="0.2">
      <c r="B2598" s="129"/>
      <c r="C2598" s="129"/>
      <c r="D2598" s="129"/>
      <c r="E2598" s="129"/>
      <c r="F2598" s="129"/>
      <c r="G2598" s="129"/>
    </row>
    <row r="2599" spans="2:7" x14ac:dyDescent="0.2">
      <c r="B2599" s="129"/>
      <c r="C2599" s="129"/>
      <c r="D2599" s="129"/>
      <c r="E2599" s="129"/>
      <c r="F2599" s="129"/>
      <c r="G2599" s="129"/>
    </row>
    <row r="2600" spans="2:7" x14ac:dyDescent="0.2">
      <c r="B2600" s="129"/>
      <c r="C2600" s="129"/>
      <c r="D2600" s="129"/>
      <c r="E2600" s="129"/>
      <c r="F2600" s="129"/>
      <c r="G2600" s="129"/>
    </row>
    <row r="2601" spans="2:7" x14ac:dyDescent="0.2">
      <c r="B2601" s="129"/>
      <c r="C2601" s="129"/>
      <c r="D2601" s="129"/>
      <c r="E2601" s="129"/>
      <c r="F2601" s="129"/>
      <c r="G2601" s="129"/>
    </row>
    <row r="2602" spans="2:7" x14ac:dyDescent="0.2">
      <c r="B2602" s="129"/>
      <c r="C2602" s="129"/>
      <c r="D2602" s="129"/>
      <c r="E2602" s="129"/>
      <c r="F2602" s="129"/>
      <c r="G2602" s="129"/>
    </row>
    <row r="2603" spans="2:7" x14ac:dyDescent="0.2">
      <c r="B2603" s="129"/>
      <c r="C2603" s="129"/>
      <c r="D2603" s="129"/>
      <c r="E2603" s="129"/>
      <c r="F2603" s="129"/>
      <c r="G2603" s="129"/>
    </row>
    <row r="2604" spans="2:7" x14ac:dyDescent="0.2">
      <c r="B2604" s="129"/>
      <c r="C2604" s="129"/>
      <c r="D2604" s="129"/>
      <c r="E2604" s="129"/>
      <c r="F2604" s="129"/>
      <c r="G2604" s="129"/>
    </row>
    <row r="2605" spans="2:7" x14ac:dyDescent="0.2">
      <c r="B2605" s="129"/>
      <c r="C2605" s="129"/>
      <c r="D2605" s="129"/>
      <c r="E2605" s="129"/>
      <c r="F2605" s="129"/>
      <c r="G2605" s="129"/>
    </row>
    <row r="2606" spans="2:7" x14ac:dyDescent="0.2">
      <c r="B2606" s="129"/>
      <c r="C2606" s="129"/>
      <c r="D2606" s="129"/>
      <c r="E2606" s="129"/>
      <c r="F2606" s="129"/>
      <c r="G2606" s="129"/>
    </row>
    <row r="2607" spans="2:7" x14ac:dyDescent="0.2">
      <c r="B2607" s="129"/>
      <c r="C2607" s="129"/>
      <c r="D2607" s="129"/>
      <c r="E2607" s="129"/>
      <c r="F2607" s="129"/>
      <c r="G2607" s="129"/>
    </row>
    <row r="2608" spans="2:7" x14ac:dyDescent="0.2">
      <c r="B2608" s="129"/>
      <c r="C2608" s="129"/>
      <c r="D2608" s="129"/>
      <c r="E2608" s="129"/>
      <c r="F2608" s="129"/>
      <c r="G2608" s="129"/>
    </row>
    <row r="2609" spans="2:7" x14ac:dyDescent="0.2">
      <c r="B2609" s="129"/>
      <c r="C2609" s="129"/>
      <c r="D2609" s="129"/>
      <c r="E2609" s="129"/>
      <c r="F2609" s="129"/>
      <c r="G2609" s="129"/>
    </row>
    <row r="2610" spans="2:7" x14ac:dyDescent="0.2">
      <c r="B2610" s="129"/>
      <c r="C2610" s="129"/>
      <c r="D2610" s="129"/>
      <c r="E2610" s="129"/>
      <c r="F2610" s="129"/>
      <c r="G2610" s="129"/>
    </row>
    <row r="2611" spans="2:7" x14ac:dyDescent="0.2">
      <c r="B2611" s="129"/>
      <c r="C2611" s="129"/>
      <c r="D2611" s="129"/>
      <c r="E2611" s="129"/>
      <c r="F2611" s="129"/>
      <c r="G2611" s="129"/>
    </row>
    <row r="2612" spans="2:7" x14ac:dyDescent="0.2">
      <c r="B2612" s="129"/>
      <c r="C2612" s="129"/>
      <c r="D2612" s="129"/>
      <c r="E2612" s="129"/>
      <c r="F2612" s="129"/>
      <c r="G2612" s="129"/>
    </row>
    <row r="2613" spans="2:7" x14ac:dyDescent="0.2">
      <c r="B2613" s="129"/>
      <c r="C2613" s="129"/>
      <c r="D2613" s="129"/>
      <c r="E2613" s="129"/>
      <c r="F2613" s="129"/>
      <c r="G2613" s="129"/>
    </row>
    <row r="2614" spans="2:7" x14ac:dyDescent="0.2">
      <c r="B2614" s="129"/>
      <c r="C2614" s="129"/>
      <c r="D2614" s="129"/>
      <c r="E2614" s="129"/>
      <c r="F2614" s="129"/>
      <c r="G2614" s="129"/>
    </row>
    <row r="2615" spans="2:7" x14ac:dyDescent="0.2">
      <c r="B2615" s="129"/>
      <c r="C2615" s="129"/>
      <c r="D2615" s="129"/>
      <c r="E2615" s="129"/>
      <c r="F2615" s="129"/>
      <c r="G2615" s="129"/>
    </row>
    <row r="2616" spans="2:7" x14ac:dyDescent="0.2">
      <c r="B2616" s="129"/>
      <c r="C2616" s="129"/>
      <c r="D2616" s="129"/>
      <c r="E2616" s="129"/>
      <c r="F2616" s="129"/>
      <c r="G2616" s="129"/>
    </row>
    <row r="2617" spans="2:7" x14ac:dyDescent="0.2">
      <c r="B2617" s="129"/>
      <c r="C2617" s="129"/>
      <c r="D2617" s="129"/>
      <c r="E2617" s="129"/>
      <c r="F2617" s="129"/>
      <c r="G2617" s="129"/>
    </row>
    <row r="2618" spans="2:7" x14ac:dyDescent="0.2">
      <c r="B2618" s="129"/>
      <c r="C2618" s="129"/>
      <c r="D2618" s="129"/>
      <c r="E2618" s="129"/>
      <c r="F2618" s="129"/>
      <c r="G2618" s="129"/>
    </row>
    <row r="2619" spans="2:7" x14ac:dyDescent="0.2">
      <c r="B2619" s="129"/>
      <c r="C2619" s="129"/>
      <c r="D2619" s="129"/>
      <c r="E2619" s="129"/>
      <c r="F2619" s="129"/>
      <c r="G2619" s="129"/>
    </row>
    <row r="2620" spans="2:7" x14ac:dyDescent="0.2">
      <c r="B2620" s="129"/>
      <c r="C2620" s="129"/>
      <c r="D2620" s="129"/>
      <c r="E2620" s="129"/>
      <c r="F2620" s="129"/>
      <c r="G2620" s="129"/>
    </row>
    <row r="2621" spans="2:7" x14ac:dyDescent="0.2">
      <c r="B2621" s="129"/>
      <c r="C2621" s="129"/>
      <c r="D2621" s="129"/>
      <c r="E2621" s="129"/>
      <c r="F2621" s="129"/>
      <c r="G2621" s="129"/>
    </row>
    <row r="2622" spans="2:7" x14ac:dyDescent="0.2">
      <c r="B2622" s="129"/>
      <c r="C2622" s="129"/>
      <c r="D2622" s="129"/>
      <c r="E2622" s="129"/>
      <c r="F2622" s="129"/>
      <c r="G2622" s="129"/>
    </row>
    <row r="2623" spans="2:7" x14ac:dyDescent="0.2">
      <c r="B2623" s="129"/>
      <c r="C2623" s="129"/>
      <c r="D2623" s="129"/>
      <c r="E2623" s="129"/>
      <c r="F2623" s="129"/>
      <c r="G2623" s="129"/>
    </row>
    <row r="2624" spans="2:7" x14ac:dyDescent="0.2">
      <c r="B2624" s="129"/>
      <c r="C2624" s="129"/>
      <c r="D2624" s="129"/>
      <c r="E2624" s="129"/>
      <c r="F2624" s="129"/>
      <c r="G2624" s="129"/>
    </row>
    <row r="2625" spans="2:7" x14ac:dyDescent="0.2">
      <c r="B2625" s="129"/>
      <c r="C2625" s="129"/>
      <c r="D2625" s="129"/>
      <c r="E2625" s="129"/>
      <c r="F2625" s="129"/>
      <c r="G2625" s="129"/>
    </row>
    <row r="2626" spans="2:7" x14ac:dyDescent="0.2">
      <c r="B2626" s="129"/>
      <c r="C2626" s="129"/>
      <c r="D2626" s="129"/>
      <c r="E2626" s="129"/>
      <c r="F2626" s="129"/>
      <c r="G2626" s="129"/>
    </row>
    <row r="2627" spans="2:7" x14ac:dyDescent="0.2">
      <c r="B2627" s="129"/>
      <c r="C2627" s="129"/>
      <c r="D2627" s="129"/>
      <c r="E2627" s="129"/>
      <c r="F2627" s="129"/>
      <c r="G2627" s="129"/>
    </row>
    <row r="2628" spans="2:7" x14ac:dyDescent="0.2">
      <c r="B2628" s="129"/>
      <c r="C2628" s="129"/>
      <c r="D2628" s="129"/>
      <c r="E2628" s="129"/>
      <c r="F2628" s="129"/>
      <c r="G2628" s="129"/>
    </row>
    <row r="2629" spans="2:7" x14ac:dyDescent="0.2">
      <c r="B2629" s="129"/>
      <c r="C2629" s="129"/>
      <c r="D2629" s="129"/>
      <c r="E2629" s="129"/>
      <c r="F2629" s="129"/>
      <c r="G2629" s="129"/>
    </row>
    <row r="2630" spans="2:7" x14ac:dyDescent="0.2">
      <c r="B2630" s="129"/>
      <c r="C2630" s="129"/>
      <c r="D2630" s="129"/>
      <c r="E2630" s="129"/>
      <c r="F2630" s="129"/>
      <c r="G2630" s="129"/>
    </row>
    <row r="2631" spans="2:7" x14ac:dyDescent="0.2">
      <c r="B2631" s="129"/>
      <c r="C2631" s="129"/>
      <c r="D2631" s="129"/>
      <c r="E2631" s="129"/>
      <c r="F2631" s="129"/>
      <c r="G2631" s="129"/>
    </row>
    <row r="2632" spans="2:7" x14ac:dyDescent="0.2">
      <c r="B2632" s="129"/>
      <c r="C2632" s="129"/>
      <c r="D2632" s="129"/>
      <c r="E2632" s="129"/>
      <c r="F2632" s="129"/>
      <c r="G2632" s="129"/>
    </row>
    <row r="2633" spans="2:7" x14ac:dyDescent="0.2">
      <c r="B2633" s="129"/>
      <c r="C2633" s="129"/>
      <c r="D2633" s="129"/>
      <c r="E2633" s="129"/>
      <c r="F2633" s="129"/>
      <c r="G2633" s="129"/>
    </row>
    <row r="2634" spans="2:7" x14ac:dyDescent="0.2">
      <c r="B2634" s="129"/>
      <c r="C2634" s="129"/>
      <c r="D2634" s="129"/>
      <c r="E2634" s="129"/>
      <c r="F2634" s="129"/>
      <c r="G2634" s="129"/>
    </row>
    <row r="2635" spans="2:7" x14ac:dyDescent="0.2">
      <c r="B2635" s="129"/>
      <c r="C2635" s="129"/>
      <c r="D2635" s="129"/>
      <c r="E2635" s="129"/>
      <c r="F2635" s="129"/>
      <c r="G2635" s="129"/>
    </row>
    <row r="2636" spans="2:7" x14ac:dyDescent="0.2">
      <c r="B2636" s="129"/>
      <c r="C2636" s="129"/>
      <c r="D2636" s="129"/>
      <c r="E2636" s="129"/>
      <c r="F2636" s="129"/>
      <c r="G2636" s="129"/>
    </row>
    <row r="2637" spans="2:7" x14ac:dyDescent="0.2">
      <c r="B2637" s="129"/>
      <c r="C2637" s="129"/>
      <c r="D2637" s="129"/>
      <c r="E2637" s="129"/>
      <c r="F2637" s="129"/>
      <c r="G2637" s="129"/>
    </row>
    <row r="2638" spans="2:7" x14ac:dyDescent="0.2">
      <c r="B2638" s="129"/>
      <c r="C2638" s="129"/>
      <c r="D2638" s="129"/>
      <c r="E2638" s="129"/>
      <c r="F2638" s="129"/>
      <c r="G2638" s="129"/>
    </row>
    <row r="2639" spans="2:7" x14ac:dyDescent="0.2">
      <c r="B2639" s="129"/>
      <c r="C2639" s="129"/>
      <c r="D2639" s="129"/>
      <c r="E2639" s="129"/>
      <c r="F2639" s="129"/>
      <c r="G2639" s="129"/>
    </row>
    <row r="2640" spans="2:7" x14ac:dyDescent="0.2">
      <c r="B2640" s="129"/>
      <c r="C2640" s="129"/>
      <c r="D2640" s="129"/>
      <c r="E2640" s="129"/>
      <c r="F2640" s="129"/>
      <c r="G2640" s="129"/>
    </row>
    <row r="2641" spans="2:7" x14ac:dyDescent="0.2">
      <c r="B2641" s="129"/>
      <c r="C2641" s="129"/>
      <c r="D2641" s="129"/>
      <c r="E2641" s="129"/>
      <c r="F2641" s="129"/>
      <c r="G2641" s="129"/>
    </row>
    <row r="2642" spans="2:7" x14ac:dyDescent="0.2">
      <c r="B2642" s="129"/>
      <c r="C2642" s="129"/>
      <c r="D2642" s="129"/>
      <c r="E2642" s="129"/>
      <c r="F2642" s="129"/>
      <c r="G2642" s="129"/>
    </row>
    <row r="2643" spans="2:7" x14ac:dyDescent="0.2">
      <c r="B2643" s="129"/>
      <c r="C2643" s="129"/>
      <c r="D2643" s="129"/>
      <c r="E2643" s="129"/>
      <c r="F2643" s="129"/>
      <c r="G2643" s="129"/>
    </row>
    <row r="2644" spans="2:7" x14ac:dyDescent="0.2">
      <c r="B2644" s="129"/>
      <c r="C2644" s="129"/>
      <c r="D2644" s="129"/>
      <c r="E2644" s="129"/>
      <c r="F2644" s="129"/>
      <c r="G2644" s="129"/>
    </row>
    <row r="2645" spans="2:7" x14ac:dyDescent="0.2">
      <c r="B2645" s="129"/>
      <c r="C2645" s="129"/>
      <c r="D2645" s="129"/>
      <c r="E2645" s="129"/>
      <c r="F2645" s="129"/>
      <c r="G2645" s="129"/>
    </row>
    <row r="2646" spans="2:7" x14ac:dyDescent="0.2">
      <c r="B2646" s="129"/>
      <c r="C2646" s="129"/>
      <c r="D2646" s="129"/>
      <c r="E2646" s="129"/>
      <c r="F2646" s="129"/>
      <c r="G2646" s="129"/>
    </row>
    <row r="2647" spans="2:7" x14ac:dyDescent="0.2">
      <c r="B2647" s="129"/>
      <c r="C2647" s="129"/>
      <c r="D2647" s="129"/>
      <c r="E2647" s="129"/>
      <c r="F2647" s="129"/>
      <c r="G2647" s="129"/>
    </row>
    <row r="2648" spans="2:7" x14ac:dyDescent="0.2">
      <c r="B2648" s="129"/>
      <c r="C2648" s="129"/>
      <c r="D2648" s="129"/>
      <c r="E2648" s="129"/>
      <c r="F2648" s="129"/>
      <c r="G2648" s="129"/>
    </row>
    <row r="2649" spans="2:7" x14ac:dyDescent="0.2">
      <c r="B2649" s="129"/>
      <c r="C2649" s="129"/>
      <c r="D2649" s="129"/>
      <c r="E2649" s="129"/>
      <c r="F2649" s="129"/>
      <c r="G2649" s="129"/>
    </row>
    <row r="2650" spans="2:7" x14ac:dyDescent="0.2">
      <c r="B2650" s="129"/>
      <c r="C2650" s="129"/>
      <c r="D2650" s="129"/>
      <c r="E2650" s="129"/>
      <c r="F2650" s="129"/>
      <c r="G2650" s="129"/>
    </row>
    <row r="2651" spans="2:7" x14ac:dyDescent="0.2">
      <c r="B2651" s="129"/>
      <c r="C2651" s="129"/>
      <c r="D2651" s="129"/>
      <c r="E2651" s="129"/>
      <c r="F2651" s="129"/>
      <c r="G2651" s="129"/>
    </row>
    <row r="2652" spans="2:7" x14ac:dyDescent="0.2">
      <c r="B2652" s="129"/>
      <c r="C2652" s="129"/>
      <c r="D2652" s="129"/>
      <c r="E2652" s="129"/>
      <c r="F2652" s="129"/>
      <c r="G2652" s="129"/>
    </row>
    <row r="2653" spans="2:7" x14ac:dyDescent="0.2">
      <c r="B2653" s="129"/>
      <c r="C2653" s="129"/>
      <c r="D2653" s="129"/>
      <c r="E2653" s="129"/>
      <c r="F2653" s="129"/>
      <c r="G2653" s="129"/>
    </row>
    <row r="2654" spans="2:7" x14ac:dyDescent="0.2">
      <c r="B2654" s="129"/>
      <c r="C2654" s="129"/>
      <c r="D2654" s="129"/>
      <c r="E2654" s="129"/>
      <c r="F2654" s="129"/>
      <c r="G2654" s="129"/>
    </row>
    <row r="2655" spans="2:7" x14ac:dyDescent="0.2">
      <c r="B2655" s="129"/>
      <c r="C2655" s="129"/>
      <c r="D2655" s="129"/>
      <c r="E2655" s="129"/>
      <c r="F2655" s="129"/>
      <c r="G2655" s="129"/>
    </row>
    <row r="2656" spans="2:7" x14ac:dyDescent="0.2">
      <c r="B2656" s="129"/>
      <c r="C2656" s="129"/>
      <c r="D2656" s="129"/>
      <c r="E2656" s="129"/>
      <c r="F2656" s="129"/>
      <c r="G2656" s="129"/>
    </row>
    <row r="2657" spans="2:7" x14ac:dyDescent="0.2">
      <c r="B2657" s="129"/>
      <c r="C2657" s="129"/>
      <c r="D2657" s="129"/>
      <c r="E2657" s="129"/>
      <c r="F2657" s="129"/>
      <c r="G2657" s="129"/>
    </row>
    <row r="2658" spans="2:7" x14ac:dyDescent="0.2">
      <c r="B2658" s="129"/>
      <c r="C2658" s="129"/>
      <c r="D2658" s="129"/>
      <c r="E2658" s="129"/>
      <c r="F2658" s="129"/>
      <c r="G2658" s="129"/>
    </row>
    <row r="2659" spans="2:7" x14ac:dyDescent="0.2">
      <c r="B2659" s="129"/>
      <c r="C2659" s="129"/>
      <c r="D2659" s="129"/>
      <c r="E2659" s="129"/>
      <c r="F2659" s="129"/>
      <c r="G2659" s="129"/>
    </row>
    <row r="2660" spans="2:7" x14ac:dyDescent="0.2">
      <c r="B2660" s="129"/>
      <c r="C2660" s="129"/>
      <c r="D2660" s="129"/>
      <c r="E2660" s="129"/>
      <c r="F2660" s="129"/>
      <c r="G2660" s="129"/>
    </row>
    <row r="2661" spans="2:7" x14ac:dyDescent="0.2">
      <c r="B2661" s="129"/>
      <c r="C2661" s="129"/>
      <c r="D2661" s="129"/>
      <c r="E2661" s="129"/>
      <c r="F2661" s="129"/>
      <c r="G2661" s="129"/>
    </row>
    <row r="2662" spans="2:7" x14ac:dyDescent="0.2">
      <c r="B2662" s="129"/>
      <c r="C2662" s="129"/>
      <c r="D2662" s="129"/>
      <c r="E2662" s="129"/>
      <c r="F2662" s="129"/>
      <c r="G2662" s="129"/>
    </row>
    <row r="2663" spans="2:7" x14ac:dyDescent="0.2">
      <c r="B2663" s="129"/>
      <c r="C2663" s="129"/>
      <c r="D2663" s="129"/>
      <c r="E2663" s="129"/>
      <c r="F2663" s="129"/>
      <c r="G2663" s="129"/>
    </row>
    <row r="2664" spans="2:7" x14ac:dyDescent="0.2">
      <c r="B2664" s="129"/>
      <c r="C2664" s="129"/>
      <c r="D2664" s="129"/>
      <c r="E2664" s="129"/>
      <c r="F2664" s="129"/>
      <c r="G2664" s="129"/>
    </row>
    <row r="2665" spans="2:7" x14ac:dyDescent="0.2">
      <c r="B2665" s="129"/>
      <c r="C2665" s="129"/>
      <c r="D2665" s="129"/>
      <c r="E2665" s="129"/>
      <c r="F2665" s="129"/>
      <c r="G2665" s="129"/>
    </row>
    <row r="2666" spans="2:7" x14ac:dyDescent="0.2">
      <c r="B2666" s="129"/>
      <c r="C2666" s="129"/>
      <c r="D2666" s="129"/>
      <c r="E2666" s="129"/>
      <c r="F2666" s="129"/>
      <c r="G2666" s="129"/>
    </row>
    <row r="2667" spans="2:7" x14ac:dyDescent="0.2">
      <c r="B2667" s="129"/>
      <c r="C2667" s="129"/>
      <c r="D2667" s="129"/>
      <c r="E2667" s="129"/>
      <c r="F2667" s="129"/>
      <c r="G2667" s="129"/>
    </row>
    <row r="2668" spans="2:7" x14ac:dyDescent="0.2">
      <c r="B2668" s="129"/>
      <c r="C2668" s="129"/>
      <c r="D2668" s="129"/>
      <c r="E2668" s="129"/>
      <c r="F2668" s="129"/>
      <c r="G2668" s="129"/>
    </row>
    <row r="2669" spans="2:7" x14ac:dyDescent="0.2">
      <c r="B2669" s="129"/>
      <c r="C2669" s="129"/>
      <c r="D2669" s="129"/>
      <c r="E2669" s="129"/>
      <c r="F2669" s="129"/>
      <c r="G2669" s="129"/>
    </row>
    <row r="2670" spans="2:7" x14ac:dyDescent="0.2">
      <c r="B2670" s="129"/>
      <c r="C2670" s="129"/>
      <c r="D2670" s="129"/>
      <c r="E2670" s="129"/>
      <c r="F2670" s="129"/>
      <c r="G2670" s="129"/>
    </row>
    <row r="2671" spans="2:7" x14ac:dyDescent="0.2">
      <c r="B2671" s="129"/>
      <c r="C2671" s="129"/>
      <c r="D2671" s="129"/>
      <c r="E2671" s="129"/>
      <c r="F2671" s="129"/>
      <c r="G2671" s="129"/>
    </row>
    <row r="2672" spans="2:7" x14ac:dyDescent="0.2">
      <c r="B2672" s="129"/>
      <c r="C2672" s="129"/>
      <c r="D2672" s="129"/>
      <c r="E2672" s="129"/>
      <c r="F2672" s="129"/>
      <c r="G2672" s="129"/>
    </row>
    <row r="2673" spans="2:7" x14ac:dyDescent="0.2">
      <c r="B2673" s="129"/>
      <c r="C2673" s="129"/>
      <c r="D2673" s="129"/>
      <c r="E2673" s="129"/>
      <c r="F2673" s="129"/>
      <c r="G2673" s="129"/>
    </row>
    <row r="2674" spans="2:7" x14ac:dyDescent="0.2">
      <c r="B2674" s="129"/>
      <c r="C2674" s="129"/>
      <c r="D2674" s="129"/>
      <c r="E2674" s="129"/>
      <c r="F2674" s="129"/>
      <c r="G2674" s="129"/>
    </row>
    <row r="2675" spans="2:7" x14ac:dyDescent="0.2">
      <c r="B2675" s="129"/>
      <c r="C2675" s="129"/>
      <c r="D2675" s="129"/>
      <c r="E2675" s="129"/>
      <c r="F2675" s="129"/>
      <c r="G2675" s="129"/>
    </row>
    <row r="2676" spans="2:7" x14ac:dyDescent="0.2">
      <c r="B2676" s="129"/>
      <c r="C2676" s="129"/>
      <c r="D2676" s="129"/>
      <c r="E2676" s="129"/>
      <c r="F2676" s="129"/>
      <c r="G2676" s="129"/>
    </row>
    <row r="2677" spans="2:7" x14ac:dyDescent="0.2">
      <c r="B2677" s="129"/>
      <c r="C2677" s="129"/>
      <c r="D2677" s="129"/>
      <c r="E2677" s="129"/>
      <c r="F2677" s="129"/>
      <c r="G2677" s="129"/>
    </row>
    <row r="2678" spans="2:7" x14ac:dyDescent="0.2">
      <c r="B2678" s="129"/>
      <c r="C2678" s="129"/>
      <c r="D2678" s="129"/>
      <c r="E2678" s="129"/>
      <c r="F2678" s="129"/>
      <c r="G2678" s="129"/>
    </row>
    <row r="2679" spans="2:7" x14ac:dyDescent="0.2">
      <c r="B2679" s="129"/>
      <c r="C2679" s="129"/>
      <c r="D2679" s="129"/>
      <c r="E2679" s="129"/>
      <c r="F2679" s="129"/>
      <c r="G2679" s="129"/>
    </row>
    <row r="2680" spans="2:7" x14ac:dyDescent="0.2">
      <c r="B2680" s="129"/>
      <c r="C2680" s="129"/>
      <c r="D2680" s="129"/>
      <c r="E2680" s="129"/>
      <c r="F2680" s="129"/>
      <c r="G2680" s="129"/>
    </row>
    <row r="2681" spans="2:7" x14ac:dyDescent="0.2">
      <c r="B2681" s="129"/>
      <c r="C2681" s="129"/>
      <c r="D2681" s="129"/>
      <c r="E2681" s="129"/>
      <c r="F2681" s="129"/>
      <c r="G2681" s="129"/>
    </row>
    <row r="2682" spans="2:7" x14ac:dyDescent="0.2">
      <c r="B2682" s="129"/>
      <c r="C2682" s="129"/>
      <c r="D2682" s="129"/>
      <c r="E2682" s="129"/>
      <c r="F2682" s="129"/>
      <c r="G2682" s="129"/>
    </row>
    <row r="2683" spans="2:7" x14ac:dyDescent="0.2">
      <c r="B2683" s="129"/>
      <c r="C2683" s="129"/>
      <c r="D2683" s="129"/>
      <c r="E2683" s="129"/>
      <c r="F2683" s="129"/>
      <c r="G2683" s="129"/>
    </row>
    <row r="2684" spans="2:7" x14ac:dyDescent="0.2">
      <c r="B2684" s="129"/>
      <c r="C2684" s="129"/>
      <c r="D2684" s="129"/>
      <c r="E2684" s="129"/>
      <c r="F2684" s="129"/>
      <c r="G2684" s="129"/>
    </row>
    <row r="2685" spans="2:7" x14ac:dyDescent="0.2">
      <c r="B2685" s="129"/>
      <c r="C2685" s="129"/>
      <c r="D2685" s="129"/>
      <c r="E2685" s="129"/>
      <c r="F2685" s="129"/>
      <c r="G2685" s="129"/>
    </row>
    <row r="2686" spans="2:7" x14ac:dyDescent="0.2">
      <c r="B2686" s="129"/>
      <c r="C2686" s="129"/>
      <c r="D2686" s="129"/>
      <c r="E2686" s="129"/>
      <c r="F2686" s="129"/>
      <c r="G2686" s="129"/>
    </row>
    <row r="2687" spans="2:7" x14ac:dyDescent="0.2">
      <c r="B2687" s="129"/>
      <c r="C2687" s="129"/>
      <c r="D2687" s="129"/>
      <c r="E2687" s="129"/>
      <c r="F2687" s="129"/>
      <c r="G2687" s="129"/>
    </row>
    <row r="2688" spans="2:7" x14ac:dyDescent="0.2">
      <c r="B2688" s="129"/>
      <c r="C2688" s="129"/>
      <c r="D2688" s="129"/>
      <c r="E2688" s="129"/>
      <c r="F2688" s="129"/>
      <c r="G2688" s="129"/>
    </row>
    <row r="2689" spans="2:7" x14ac:dyDescent="0.2">
      <c r="B2689" s="129"/>
      <c r="C2689" s="129"/>
      <c r="D2689" s="129"/>
      <c r="E2689" s="129"/>
      <c r="F2689" s="129"/>
      <c r="G2689" s="129"/>
    </row>
    <row r="2690" spans="2:7" x14ac:dyDescent="0.2">
      <c r="B2690" s="129"/>
      <c r="C2690" s="129"/>
      <c r="D2690" s="129"/>
      <c r="E2690" s="129"/>
      <c r="F2690" s="129"/>
      <c r="G2690" s="129"/>
    </row>
    <row r="2691" spans="2:7" x14ac:dyDescent="0.2">
      <c r="B2691" s="129"/>
      <c r="C2691" s="129"/>
      <c r="D2691" s="129"/>
      <c r="E2691" s="129"/>
      <c r="F2691" s="129"/>
      <c r="G2691" s="129"/>
    </row>
    <row r="2692" spans="2:7" x14ac:dyDescent="0.2">
      <c r="B2692" s="129"/>
      <c r="C2692" s="129"/>
      <c r="D2692" s="129"/>
      <c r="E2692" s="129"/>
      <c r="F2692" s="129"/>
      <c r="G2692" s="129"/>
    </row>
    <row r="2693" spans="2:7" x14ac:dyDescent="0.2">
      <c r="B2693" s="129"/>
      <c r="C2693" s="129"/>
      <c r="D2693" s="129"/>
      <c r="E2693" s="129"/>
      <c r="F2693" s="129"/>
      <c r="G2693" s="129"/>
    </row>
    <row r="2694" spans="2:7" x14ac:dyDescent="0.2">
      <c r="B2694" s="129"/>
      <c r="C2694" s="129"/>
      <c r="D2694" s="129"/>
      <c r="E2694" s="129"/>
      <c r="F2694" s="129"/>
      <c r="G2694" s="129"/>
    </row>
    <row r="2695" spans="2:7" x14ac:dyDescent="0.2">
      <c r="B2695" s="129"/>
      <c r="C2695" s="129"/>
      <c r="D2695" s="129"/>
      <c r="E2695" s="129"/>
      <c r="F2695" s="129"/>
      <c r="G2695" s="129"/>
    </row>
    <row r="2696" spans="2:7" x14ac:dyDescent="0.2">
      <c r="B2696" s="129"/>
      <c r="C2696" s="129"/>
      <c r="D2696" s="129"/>
      <c r="E2696" s="129"/>
      <c r="F2696" s="129"/>
      <c r="G2696" s="129"/>
    </row>
    <row r="2697" spans="2:7" x14ac:dyDescent="0.2">
      <c r="B2697" s="129"/>
      <c r="C2697" s="129"/>
      <c r="D2697" s="129"/>
      <c r="E2697" s="129"/>
      <c r="F2697" s="129"/>
      <c r="G2697" s="129"/>
    </row>
    <row r="2698" spans="2:7" x14ac:dyDescent="0.2">
      <c r="B2698" s="129"/>
      <c r="C2698" s="129"/>
      <c r="D2698" s="129"/>
      <c r="E2698" s="129"/>
      <c r="F2698" s="129"/>
      <c r="G2698" s="129"/>
    </row>
    <row r="2699" spans="2:7" x14ac:dyDescent="0.2">
      <c r="B2699" s="129"/>
      <c r="C2699" s="129"/>
      <c r="D2699" s="129"/>
      <c r="E2699" s="129"/>
      <c r="F2699" s="129"/>
      <c r="G2699" s="129"/>
    </row>
    <row r="2700" spans="2:7" x14ac:dyDescent="0.2">
      <c r="B2700" s="129"/>
      <c r="C2700" s="129"/>
      <c r="D2700" s="129"/>
      <c r="E2700" s="129"/>
      <c r="F2700" s="129"/>
      <c r="G2700" s="129"/>
    </row>
    <row r="2701" spans="2:7" x14ac:dyDescent="0.2">
      <c r="B2701" s="129"/>
      <c r="C2701" s="129"/>
      <c r="D2701" s="129"/>
      <c r="E2701" s="129"/>
      <c r="F2701" s="129"/>
      <c r="G2701" s="129"/>
    </row>
    <row r="2702" spans="2:7" x14ac:dyDescent="0.2">
      <c r="B2702" s="129"/>
      <c r="C2702" s="129"/>
      <c r="D2702" s="129"/>
      <c r="E2702" s="129"/>
      <c r="F2702" s="129"/>
      <c r="G2702" s="129"/>
    </row>
    <row r="2703" spans="2:7" x14ac:dyDescent="0.2">
      <c r="B2703" s="129"/>
      <c r="C2703" s="129"/>
      <c r="D2703" s="129"/>
      <c r="E2703" s="129"/>
      <c r="F2703" s="129"/>
      <c r="G2703" s="129"/>
    </row>
    <row r="2704" spans="2:7" x14ac:dyDescent="0.2">
      <c r="B2704" s="129"/>
      <c r="C2704" s="129"/>
      <c r="D2704" s="129"/>
      <c r="E2704" s="129"/>
      <c r="F2704" s="129"/>
      <c r="G2704" s="129"/>
    </row>
    <row r="2705" spans="2:7" x14ac:dyDescent="0.2">
      <c r="B2705" s="129"/>
      <c r="C2705" s="129"/>
      <c r="D2705" s="129"/>
      <c r="E2705" s="129"/>
      <c r="F2705" s="129"/>
      <c r="G2705" s="129"/>
    </row>
    <row r="2706" spans="2:7" x14ac:dyDescent="0.2">
      <c r="B2706" s="129"/>
      <c r="C2706" s="129"/>
      <c r="D2706" s="129"/>
      <c r="E2706" s="129"/>
      <c r="F2706" s="129"/>
      <c r="G2706" s="129"/>
    </row>
    <row r="2707" spans="2:7" x14ac:dyDescent="0.2">
      <c r="B2707" s="129"/>
      <c r="C2707" s="129"/>
      <c r="D2707" s="129"/>
      <c r="E2707" s="129"/>
      <c r="F2707" s="129"/>
      <c r="G2707" s="129"/>
    </row>
    <row r="2708" spans="2:7" x14ac:dyDescent="0.2">
      <c r="B2708" s="129"/>
      <c r="C2708" s="129"/>
      <c r="D2708" s="129"/>
      <c r="E2708" s="129"/>
      <c r="F2708" s="129"/>
      <c r="G2708" s="129"/>
    </row>
    <row r="2709" spans="2:7" x14ac:dyDescent="0.2">
      <c r="B2709" s="129"/>
      <c r="C2709" s="129"/>
      <c r="D2709" s="129"/>
      <c r="E2709" s="129"/>
      <c r="F2709" s="129"/>
      <c r="G2709" s="129"/>
    </row>
    <row r="2710" spans="2:7" x14ac:dyDescent="0.2">
      <c r="B2710" s="129"/>
      <c r="C2710" s="129"/>
      <c r="D2710" s="129"/>
      <c r="E2710" s="129"/>
      <c r="F2710" s="129"/>
      <c r="G2710" s="129"/>
    </row>
    <row r="2711" spans="2:7" x14ac:dyDescent="0.2">
      <c r="B2711" s="129"/>
      <c r="C2711" s="129"/>
      <c r="D2711" s="129"/>
      <c r="E2711" s="129"/>
      <c r="F2711" s="129"/>
      <c r="G2711" s="129"/>
    </row>
    <row r="2712" spans="2:7" x14ac:dyDescent="0.2">
      <c r="B2712" s="129"/>
      <c r="C2712" s="129"/>
      <c r="D2712" s="129"/>
      <c r="E2712" s="129"/>
      <c r="F2712" s="129"/>
      <c r="G2712" s="129"/>
    </row>
    <row r="2713" spans="2:7" x14ac:dyDescent="0.2">
      <c r="B2713" s="129"/>
      <c r="C2713" s="129"/>
      <c r="D2713" s="129"/>
      <c r="E2713" s="129"/>
      <c r="F2713" s="129"/>
      <c r="G2713" s="129"/>
    </row>
    <row r="2714" spans="2:7" x14ac:dyDescent="0.2">
      <c r="B2714" s="129"/>
      <c r="C2714" s="129"/>
      <c r="D2714" s="129"/>
      <c r="E2714" s="129"/>
      <c r="F2714" s="129"/>
      <c r="G2714" s="129"/>
    </row>
    <row r="2715" spans="2:7" x14ac:dyDescent="0.2">
      <c r="B2715" s="129"/>
      <c r="C2715" s="129"/>
      <c r="D2715" s="129"/>
      <c r="E2715" s="129"/>
      <c r="F2715" s="129"/>
      <c r="G2715" s="129"/>
    </row>
    <row r="2716" spans="2:7" x14ac:dyDescent="0.2">
      <c r="B2716" s="129"/>
      <c r="C2716" s="129"/>
      <c r="D2716" s="129"/>
      <c r="E2716" s="129"/>
      <c r="F2716" s="129"/>
      <c r="G2716" s="129"/>
    </row>
    <row r="2717" spans="2:7" x14ac:dyDescent="0.2">
      <c r="B2717" s="129"/>
      <c r="C2717" s="129"/>
      <c r="D2717" s="129"/>
      <c r="E2717" s="129"/>
      <c r="F2717" s="129"/>
      <c r="G2717" s="129"/>
    </row>
    <row r="2718" spans="2:7" x14ac:dyDescent="0.2">
      <c r="B2718" s="129"/>
      <c r="C2718" s="129"/>
      <c r="D2718" s="129"/>
      <c r="E2718" s="129"/>
      <c r="F2718" s="129"/>
      <c r="G2718" s="129"/>
    </row>
    <row r="2719" spans="2:7" x14ac:dyDescent="0.2">
      <c r="B2719" s="129"/>
      <c r="C2719" s="129"/>
      <c r="D2719" s="129"/>
      <c r="E2719" s="129"/>
      <c r="F2719" s="129"/>
      <c r="G2719" s="129"/>
    </row>
    <row r="2720" spans="2:7" x14ac:dyDescent="0.2">
      <c r="B2720" s="129"/>
      <c r="C2720" s="129"/>
      <c r="D2720" s="129"/>
      <c r="E2720" s="129"/>
      <c r="F2720" s="129"/>
      <c r="G2720" s="129"/>
    </row>
    <row r="2721" spans="2:7" x14ac:dyDescent="0.2">
      <c r="B2721" s="129"/>
      <c r="C2721" s="129"/>
      <c r="D2721" s="129"/>
      <c r="E2721" s="129"/>
      <c r="F2721" s="129"/>
      <c r="G2721" s="129"/>
    </row>
    <row r="2722" spans="2:7" x14ac:dyDescent="0.2">
      <c r="B2722" s="129"/>
      <c r="C2722" s="129"/>
      <c r="D2722" s="129"/>
      <c r="E2722" s="129"/>
      <c r="F2722" s="129"/>
      <c r="G2722" s="129"/>
    </row>
    <row r="2723" spans="2:7" x14ac:dyDescent="0.2">
      <c r="B2723" s="129"/>
      <c r="C2723" s="129"/>
      <c r="D2723" s="129"/>
      <c r="E2723" s="129"/>
      <c r="F2723" s="129"/>
      <c r="G2723" s="129"/>
    </row>
    <row r="2724" spans="2:7" x14ac:dyDescent="0.2">
      <c r="B2724" s="129"/>
      <c r="C2724" s="129"/>
      <c r="D2724" s="129"/>
      <c r="E2724" s="129"/>
      <c r="F2724" s="129"/>
      <c r="G2724" s="129"/>
    </row>
    <row r="2725" spans="2:7" x14ac:dyDescent="0.2">
      <c r="B2725" s="129"/>
      <c r="C2725" s="129"/>
      <c r="D2725" s="129"/>
      <c r="E2725" s="129"/>
      <c r="F2725" s="129"/>
      <c r="G2725" s="129"/>
    </row>
    <row r="2726" spans="2:7" x14ac:dyDescent="0.2">
      <c r="B2726" s="129"/>
      <c r="C2726" s="129"/>
      <c r="D2726" s="129"/>
      <c r="E2726" s="129"/>
      <c r="F2726" s="129"/>
      <c r="G2726" s="129"/>
    </row>
    <row r="2727" spans="2:7" x14ac:dyDescent="0.2">
      <c r="B2727" s="129"/>
      <c r="C2727" s="129"/>
      <c r="D2727" s="129"/>
      <c r="E2727" s="129"/>
      <c r="F2727" s="129"/>
      <c r="G2727" s="129"/>
    </row>
    <row r="2728" spans="2:7" x14ac:dyDescent="0.2">
      <c r="B2728" s="129"/>
      <c r="C2728" s="129"/>
      <c r="D2728" s="129"/>
      <c r="E2728" s="129"/>
      <c r="F2728" s="129"/>
      <c r="G2728" s="129"/>
    </row>
    <row r="2729" spans="2:7" x14ac:dyDescent="0.2">
      <c r="B2729" s="129"/>
      <c r="C2729" s="129"/>
      <c r="D2729" s="129"/>
      <c r="E2729" s="129"/>
      <c r="F2729" s="129"/>
      <c r="G2729" s="129"/>
    </row>
    <row r="2730" spans="2:7" x14ac:dyDescent="0.2">
      <c r="B2730" s="129"/>
      <c r="C2730" s="129"/>
      <c r="D2730" s="129"/>
      <c r="E2730" s="129"/>
      <c r="F2730" s="129"/>
      <c r="G2730" s="129"/>
    </row>
    <row r="2731" spans="2:7" x14ac:dyDescent="0.2">
      <c r="B2731" s="129"/>
      <c r="C2731" s="129"/>
      <c r="D2731" s="129"/>
      <c r="E2731" s="129"/>
      <c r="F2731" s="129"/>
      <c r="G2731" s="129"/>
    </row>
    <row r="2732" spans="2:7" x14ac:dyDescent="0.2">
      <c r="B2732" s="129"/>
      <c r="C2732" s="129"/>
      <c r="D2732" s="129"/>
      <c r="E2732" s="129"/>
      <c r="F2732" s="129"/>
      <c r="G2732" s="129"/>
    </row>
    <row r="2733" spans="2:7" x14ac:dyDescent="0.2">
      <c r="B2733" s="129"/>
      <c r="C2733" s="129"/>
      <c r="D2733" s="129"/>
      <c r="E2733" s="129"/>
      <c r="F2733" s="129"/>
      <c r="G2733" s="129"/>
    </row>
    <row r="2734" spans="2:7" x14ac:dyDescent="0.2">
      <c r="B2734" s="129"/>
      <c r="C2734" s="129"/>
      <c r="D2734" s="129"/>
      <c r="E2734" s="129"/>
      <c r="F2734" s="129"/>
      <c r="G2734" s="129"/>
    </row>
    <row r="2735" spans="2:7" x14ac:dyDescent="0.2">
      <c r="B2735" s="129"/>
      <c r="C2735" s="129"/>
      <c r="D2735" s="129"/>
      <c r="E2735" s="129"/>
      <c r="F2735" s="129"/>
      <c r="G2735" s="129"/>
    </row>
    <row r="2736" spans="2:7" x14ac:dyDescent="0.2">
      <c r="B2736" s="129"/>
      <c r="C2736" s="129"/>
      <c r="D2736" s="129"/>
      <c r="E2736" s="129"/>
      <c r="F2736" s="129"/>
      <c r="G2736" s="129"/>
    </row>
    <row r="2737" spans="2:7" x14ac:dyDescent="0.2">
      <c r="B2737" s="129"/>
      <c r="C2737" s="129"/>
      <c r="D2737" s="129"/>
      <c r="E2737" s="129"/>
      <c r="F2737" s="129"/>
      <c r="G2737" s="129"/>
    </row>
    <row r="2738" spans="2:7" x14ac:dyDescent="0.2">
      <c r="B2738" s="129"/>
      <c r="C2738" s="129"/>
      <c r="D2738" s="129"/>
      <c r="E2738" s="129"/>
      <c r="F2738" s="129"/>
      <c r="G2738" s="129"/>
    </row>
    <row r="2739" spans="2:7" x14ac:dyDescent="0.2">
      <c r="B2739" s="129"/>
      <c r="C2739" s="129"/>
      <c r="D2739" s="129"/>
      <c r="E2739" s="129"/>
      <c r="F2739" s="129"/>
      <c r="G2739" s="129"/>
    </row>
    <row r="2740" spans="2:7" x14ac:dyDescent="0.2">
      <c r="B2740" s="129"/>
      <c r="C2740" s="129"/>
      <c r="D2740" s="129"/>
      <c r="E2740" s="129"/>
      <c r="F2740" s="129"/>
      <c r="G2740" s="129"/>
    </row>
    <row r="2741" spans="2:7" x14ac:dyDescent="0.2">
      <c r="B2741" s="129"/>
      <c r="C2741" s="129"/>
      <c r="D2741" s="129"/>
      <c r="E2741" s="129"/>
      <c r="F2741" s="129"/>
      <c r="G2741" s="129"/>
    </row>
    <row r="2742" spans="2:7" x14ac:dyDescent="0.2">
      <c r="B2742" s="129"/>
      <c r="C2742" s="129"/>
      <c r="D2742" s="129"/>
      <c r="E2742" s="129"/>
      <c r="F2742" s="129"/>
      <c r="G2742" s="129"/>
    </row>
    <row r="2743" spans="2:7" x14ac:dyDescent="0.2">
      <c r="B2743" s="129"/>
      <c r="C2743" s="129"/>
      <c r="D2743" s="129"/>
      <c r="E2743" s="129"/>
      <c r="F2743" s="129"/>
      <c r="G2743" s="129"/>
    </row>
    <row r="2744" spans="2:7" x14ac:dyDescent="0.2">
      <c r="B2744" s="129"/>
      <c r="C2744" s="129"/>
      <c r="D2744" s="129"/>
      <c r="E2744" s="129"/>
      <c r="F2744" s="129"/>
      <c r="G2744" s="129"/>
    </row>
    <row r="2745" spans="2:7" x14ac:dyDescent="0.2">
      <c r="B2745" s="129"/>
      <c r="C2745" s="129"/>
      <c r="D2745" s="129"/>
      <c r="E2745" s="129"/>
      <c r="F2745" s="129"/>
      <c r="G2745" s="129"/>
    </row>
    <row r="2746" spans="2:7" x14ac:dyDescent="0.2">
      <c r="B2746" s="129"/>
      <c r="C2746" s="129"/>
      <c r="D2746" s="129"/>
      <c r="E2746" s="129"/>
      <c r="F2746" s="129"/>
      <c r="G2746" s="129"/>
    </row>
    <row r="2747" spans="2:7" x14ac:dyDescent="0.2">
      <c r="B2747" s="129"/>
      <c r="C2747" s="129"/>
      <c r="D2747" s="129"/>
      <c r="E2747" s="129"/>
      <c r="F2747" s="129"/>
      <c r="G2747" s="129"/>
    </row>
    <row r="2748" spans="2:7" x14ac:dyDescent="0.2">
      <c r="B2748" s="129"/>
      <c r="C2748" s="129"/>
      <c r="D2748" s="129"/>
      <c r="E2748" s="129"/>
      <c r="F2748" s="129"/>
      <c r="G2748" s="129"/>
    </row>
    <row r="2749" spans="2:7" x14ac:dyDescent="0.2">
      <c r="B2749" s="129"/>
      <c r="C2749" s="129"/>
      <c r="D2749" s="129"/>
      <c r="E2749" s="129"/>
      <c r="F2749" s="129"/>
      <c r="G2749" s="129"/>
    </row>
    <row r="2750" spans="2:7" x14ac:dyDescent="0.2">
      <c r="B2750" s="129"/>
      <c r="C2750" s="129"/>
      <c r="D2750" s="129"/>
      <c r="E2750" s="129"/>
      <c r="F2750" s="129"/>
      <c r="G2750" s="129"/>
    </row>
    <row r="2751" spans="2:7" x14ac:dyDescent="0.2">
      <c r="B2751" s="129"/>
      <c r="C2751" s="129"/>
      <c r="D2751" s="129"/>
      <c r="E2751" s="129"/>
      <c r="F2751" s="129"/>
      <c r="G2751" s="129"/>
    </row>
    <row r="2752" spans="2:7" x14ac:dyDescent="0.2">
      <c r="B2752" s="129"/>
      <c r="C2752" s="129"/>
      <c r="D2752" s="129"/>
      <c r="E2752" s="129"/>
      <c r="F2752" s="129"/>
      <c r="G2752" s="129"/>
    </row>
    <row r="2753" spans="2:7" x14ac:dyDescent="0.2">
      <c r="B2753" s="129"/>
      <c r="C2753" s="129"/>
      <c r="D2753" s="129"/>
      <c r="E2753" s="129"/>
      <c r="F2753" s="129"/>
      <c r="G2753" s="129"/>
    </row>
    <row r="2754" spans="2:7" x14ac:dyDescent="0.2">
      <c r="B2754" s="129"/>
      <c r="C2754" s="129"/>
      <c r="D2754" s="129"/>
      <c r="E2754" s="129"/>
      <c r="F2754" s="129"/>
      <c r="G2754" s="129"/>
    </row>
    <row r="2755" spans="2:7" x14ac:dyDescent="0.2">
      <c r="B2755" s="129"/>
      <c r="C2755" s="129"/>
      <c r="D2755" s="129"/>
      <c r="E2755" s="129"/>
      <c r="F2755" s="129"/>
      <c r="G2755" s="129"/>
    </row>
    <row r="2756" spans="2:7" x14ac:dyDescent="0.2">
      <c r="B2756" s="129"/>
      <c r="C2756" s="129"/>
      <c r="D2756" s="129"/>
      <c r="E2756" s="129"/>
      <c r="F2756" s="129"/>
      <c r="G2756" s="129"/>
    </row>
    <row r="2757" spans="2:7" x14ac:dyDescent="0.2">
      <c r="B2757" s="129"/>
      <c r="C2757" s="129"/>
      <c r="D2757" s="129"/>
      <c r="E2757" s="129"/>
      <c r="F2757" s="129"/>
      <c r="G2757" s="129"/>
    </row>
    <row r="2758" spans="2:7" x14ac:dyDescent="0.2">
      <c r="B2758" s="129"/>
      <c r="C2758" s="129"/>
      <c r="D2758" s="129"/>
      <c r="E2758" s="129"/>
      <c r="F2758" s="129"/>
      <c r="G2758" s="129"/>
    </row>
    <row r="2759" spans="2:7" x14ac:dyDescent="0.2">
      <c r="B2759" s="129"/>
      <c r="C2759" s="129"/>
      <c r="D2759" s="129"/>
      <c r="E2759" s="129"/>
      <c r="F2759" s="129"/>
      <c r="G2759" s="129"/>
    </row>
    <row r="2760" spans="2:7" x14ac:dyDescent="0.2">
      <c r="B2760" s="129"/>
      <c r="C2760" s="129"/>
      <c r="D2760" s="129"/>
      <c r="E2760" s="129"/>
      <c r="F2760" s="129"/>
      <c r="G2760" s="129"/>
    </row>
    <row r="2761" spans="2:7" x14ac:dyDescent="0.2">
      <c r="B2761" s="129"/>
      <c r="C2761" s="129"/>
      <c r="D2761" s="129"/>
      <c r="E2761" s="129"/>
      <c r="F2761" s="129"/>
      <c r="G2761" s="129"/>
    </row>
    <row r="2762" spans="2:7" x14ac:dyDescent="0.2">
      <c r="B2762" s="129"/>
      <c r="C2762" s="129"/>
      <c r="D2762" s="129"/>
      <c r="E2762" s="129"/>
      <c r="F2762" s="129"/>
      <c r="G2762" s="129"/>
    </row>
    <row r="2763" spans="2:7" x14ac:dyDescent="0.2">
      <c r="B2763" s="129"/>
      <c r="C2763" s="129"/>
      <c r="D2763" s="129"/>
      <c r="E2763" s="129"/>
      <c r="F2763" s="129"/>
      <c r="G2763" s="129"/>
    </row>
    <row r="2764" spans="2:7" x14ac:dyDescent="0.2">
      <c r="B2764" s="129"/>
      <c r="C2764" s="129"/>
      <c r="D2764" s="129"/>
      <c r="E2764" s="129"/>
      <c r="F2764" s="129"/>
      <c r="G2764" s="129"/>
    </row>
    <row r="2765" spans="2:7" x14ac:dyDescent="0.2">
      <c r="B2765" s="129"/>
      <c r="C2765" s="129"/>
      <c r="D2765" s="129"/>
      <c r="E2765" s="129"/>
      <c r="F2765" s="129"/>
      <c r="G2765" s="129"/>
    </row>
    <row r="2766" spans="2:7" x14ac:dyDescent="0.2">
      <c r="B2766" s="129"/>
      <c r="C2766" s="129"/>
      <c r="D2766" s="129"/>
      <c r="E2766" s="129"/>
      <c r="F2766" s="129"/>
      <c r="G2766" s="129"/>
    </row>
    <row r="2767" spans="2:7" x14ac:dyDescent="0.2">
      <c r="B2767" s="129"/>
      <c r="C2767" s="129"/>
      <c r="D2767" s="129"/>
      <c r="E2767" s="129"/>
      <c r="F2767" s="129"/>
      <c r="G2767" s="129"/>
    </row>
    <row r="2768" spans="2:7" x14ac:dyDescent="0.2">
      <c r="B2768" s="129"/>
      <c r="C2768" s="129"/>
      <c r="D2768" s="129"/>
      <c r="E2768" s="129"/>
      <c r="F2768" s="129"/>
      <c r="G2768" s="129"/>
    </row>
    <row r="2769" spans="2:7" x14ac:dyDescent="0.2">
      <c r="B2769" s="129"/>
      <c r="C2769" s="129"/>
      <c r="D2769" s="129"/>
      <c r="E2769" s="129"/>
      <c r="F2769" s="129"/>
      <c r="G2769" s="129"/>
    </row>
    <row r="2770" spans="2:7" x14ac:dyDescent="0.2">
      <c r="B2770" s="129"/>
      <c r="C2770" s="129"/>
      <c r="D2770" s="129"/>
      <c r="E2770" s="129"/>
      <c r="F2770" s="129"/>
      <c r="G2770" s="129"/>
    </row>
    <row r="2771" spans="2:7" x14ac:dyDescent="0.2">
      <c r="B2771" s="129"/>
      <c r="C2771" s="129"/>
      <c r="D2771" s="129"/>
      <c r="E2771" s="129"/>
      <c r="F2771" s="129"/>
      <c r="G2771" s="129"/>
    </row>
    <row r="2772" spans="2:7" x14ac:dyDescent="0.2">
      <c r="B2772" s="129"/>
      <c r="C2772" s="129"/>
      <c r="D2772" s="129"/>
      <c r="E2772" s="129"/>
      <c r="F2772" s="129"/>
      <c r="G2772" s="129"/>
    </row>
    <row r="2773" spans="2:7" x14ac:dyDescent="0.2">
      <c r="B2773" s="129"/>
      <c r="C2773" s="129"/>
      <c r="D2773" s="129"/>
      <c r="E2773" s="129"/>
      <c r="F2773" s="129"/>
      <c r="G2773" s="129"/>
    </row>
    <row r="2774" spans="2:7" x14ac:dyDescent="0.2">
      <c r="B2774" s="129"/>
      <c r="C2774" s="129"/>
      <c r="D2774" s="129"/>
      <c r="E2774" s="129"/>
      <c r="F2774" s="129"/>
      <c r="G2774" s="129"/>
    </row>
    <row r="2775" spans="2:7" x14ac:dyDescent="0.2">
      <c r="B2775" s="129"/>
      <c r="C2775" s="129"/>
      <c r="D2775" s="129"/>
      <c r="E2775" s="129"/>
      <c r="F2775" s="129"/>
      <c r="G2775" s="129"/>
    </row>
    <row r="2776" spans="2:7" x14ac:dyDescent="0.2">
      <c r="B2776" s="129"/>
      <c r="C2776" s="129"/>
      <c r="D2776" s="129"/>
      <c r="E2776" s="129"/>
      <c r="F2776" s="129"/>
      <c r="G2776" s="129"/>
    </row>
    <row r="2777" spans="2:7" x14ac:dyDescent="0.2">
      <c r="B2777" s="129"/>
      <c r="C2777" s="129"/>
      <c r="D2777" s="129"/>
      <c r="E2777" s="129"/>
      <c r="F2777" s="129"/>
      <c r="G2777" s="129"/>
    </row>
    <row r="2778" spans="2:7" x14ac:dyDescent="0.2">
      <c r="B2778" s="129"/>
      <c r="C2778" s="129"/>
      <c r="D2778" s="129"/>
      <c r="E2778" s="129"/>
      <c r="F2778" s="129"/>
      <c r="G2778" s="129"/>
    </row>
    <row r="2779" spans="2:7" x14ac:dyDescent="0.2">
      <c r="B2779" s="129"/>
      <c r="C2779" s="129"/>
      <c r="D2779" s="129"/>
      <c r="E2779" s="129"/>
      <c r="F2779" s="129"/>
      <c r="G2779" s="129"/>
    </row>
    <row r="2780" spans="2:7" x14ac:dyDescent="0.2">
      <c r="B2780" s="129"/>
      <c r="C2780" s="129"/>
      <c r="D2780" s="129"/>
      <c r="E2780" s="129"/>
      <c r="F2780" s="129"/>
      <c r="G2780" s="129"/>
    </row>
    <row r="2781" spans="2:7" x14ac:dyDescent="0.2">
      <c r="B2781" s="129"/>
      <c r="C2781" s="129"/>
      <c r="D2781" s="129"/>
      <c r="E2781" s="129"/>
      <c r="F2781" s="129"/>
      <c r="G2781" s="129"/>
    </row>
    <row r="2782" spans="2:7" x14ac:dyDescent="0.2">
      <c r="B2782" s="129"/>
      <c r="C2782" s="129"/>
      <c r="D2782" s="129"/>
      <c r="E2782" s="129"/>
      <c r="F2782" s="129"/>
      <c r="G2782" s="129"/>
    </row>
    <row r="2783" spans="2:7" x14ac:dyDescent="0.2">
      <c r="B2783" s="129"/>
      <c r="C2783" s="129"/>
      <c r="D2783" s="129"/>
      <c r="E2783" s="129"/>
      <c r="F2783" s="129"/>
      <c r="G2783" s="129"/>
    </row>
    <row r="2784" spans="2:7" x14ac:dyDescent="0.2">
      <c r="B2784" s="129"/>
      <c r="C2784" s="129"/>
      <c r="D2784" s="129"/>
      <c r="E2784" s="129"/>
      <c r="F2784" s="129"/>
      <c r="G2784" s="129"/>
    </row>
    <row r="2785" spans="2:7" x14ac:dyDescent="0.2">
      <c r="B2785" s="129"/>
      <c r="C2785" s="129"/>
      <c r="D2785" s="129"/>
      <c r="E2785" s="129"/>
      <c r="F2785" s="129"/>
      <c r="G2785" s="129"/>
    </row>
    <row r="2786" spans="2:7" x14ac:dyDescent="0.2">
      <c r="B2786" s="129"/>
      <c r="C2786" s="129"/>
      <c r="D2786" s="129"/>
      <c r="E2786" s="129"/>
      <c r="F2786" s="129"/>
      <c r="G2786" s="129"/>
    </row>
    <row r="2787" spans="2:7" x14ac:dyDescent="0.2">
      <c r="B2787" s="129"/>
      <c r="C2787" s="129"/>
      <c r="D2787" s="129"/>
      <c r="E2787" s="129"/>
      <c r="F2787" s="129"/>
      <c r="G2787" s="129"/>
    </row>
    <row r="2788" spans="2:7" x14ac:dyDescent="0.2">
      <c r="B2788" s="129"/>
      <c r="C2788" s="129"/>
      <c r="D2788" s="129"/>
      <c r="E2788" s="129"/>
      <c r="F2788" s="129"/>
      <c r="G2788" s="129"/>
    </row>
    <row r="2789" spans="2:7" x14ac:dyDescent="0.2">
      <c r="B2789" s="129"/>
      <c r="C2789" s="129"/>
      <c r="D2789" s="129"/>
      <c r="E2789" s="129"/>
      <c r="F2789" s="129"/>
      <c r="G2789" s="129"/>
    </row>
    <row r="2790" spans="2:7" x14ac:dyDescent="0.2">
      <c r="B2790" s="129"/>
      <c r="C2790" s="129"/>
      <c r="D2790" s="129"/>
      <c r="E2790" s="129"/>
      <c r="F2790" s="129"/>
      <c r="G2790" s="129"/>
    </row>
    <row r="2791" spans="2:7" x14ac:dyDescent="0.2">
      <c r="B2791" s="129"/>
      <c r="C2791" s="129"/>
      <c r="D2791" s="129"/>
      <c r="E2791" s="129"/>
      <c r="F2791" s="129"/>
      <c r="G2791" s="129"/>
    </row>
    <row r="2792" spans="2:7" x14ac:dyDescent="0.2">
      <c r="B2792" s="129"/>
      <c r="C2792" s="129"/>
      <c r="D2792" s="129"/>
      <c r="E2792" s="129"/>
      <c r="F2792" s="129"/>
      <c r="G2792" s="129"/>
    </row>
    <row r="2793" spans="2:7" x14ac:dyDescent="0.2">
      <c r="B2793" s="129"/>
      <c r="C2793" s="129"/>
      <c r="D2793" s="129"/>
      <c r="E2793" s="129"/>
      <c r="F2793" s="129"/>
      <c r="G2793" s="129"/>
    </row>
    <row r="2794" spans="2:7" x14ac:dyDescent="0.2">
      <c r="B2794" s="129"/>
      <c r="C2794" s="129"/>
      <c r="D2794" s="129"/>
      <c r="E2794" s="129"/>
      <c r="F2794" s="129"/>
      <c r="G2794" s="129"/>
    </row>
    <row r="2795" spans="2:7" x14ac:dyDescent="0.2">
      <c r="B2795" s="129"/>
      <c r="C2795" s="129"/>
      <c r="D2795" s="129"/>
      <c r="E2795" s="129"/>
      <c r="F2795" s="129"/>
      <c r="G2795" s="129"/>
    </row>
    <row r="2796" spans="2:7" x14ac:dyDescent="0.2">
      <c r="B2796" s="129"/>
      <c r="C2796" s="129"/>
      <c r="D2796" s="129"/>
      <c r="E2796" s="129"/>
      <c r="F2796" s="129"/>
      <c r="G2796" s="129"/>
    </row>
    <row r="2797" spans="2:7" x14ac:dyDescent="0.2">
      <c r="B2797" s="129"/>
      <c r="C2797" s="129"/>
      <c r="D2797" s="129"/>
      <c r="E2797" s="129"/>
      <c r="F2797" s="129"/>
      <c r="G2797" s="129"/>
    </row>
    <row r="2798" spans="2:7" x14ac:dyDescent="0.2">
      <c r="B2798" s="129"/>
      <c r="C2798" s="129"/>
      <c r="D2798" s="129"/>
      <c r="E2798" s="129"/>
      <c r="F2798" s="129"/>
      <c r="G2798" s="129"/>
    </row>
    <row r="2799" spans="2:7" x14ac:dyDescent="0.2">
      <c r="B2799" s="129"/>
      <c r="C2799" s="129"/>
      <c r="D2799" s="129"/>
      <c r="E2799" s="129"/>
      <c r="F2799" s="129"/>
      <c r="G2799" s="129"/>
    </row>
    <row r="2800" spans="2:7" x14ac:dyDescent="0.2">
      <c r="B2800" s="129"/>
      <c r="C2800" s="129"/>
      <c r="D2800" s="129"/>
      <c r="E2800" s="129"/>
      <c r="F2800" s="129"/>
      <c r="G2800" s="129"/>
    </row>
    <row r="2801" spans="2:7" x14ac:dyDescent="0.2">
      <c r="B2801" s="129"/>
      <c r="C2801" s="129"/>
      <c r="D2801" s="129"/>
      <c r="E2801" s="129"/>
      <c r="F2801" s="129"/>
      <c r="G2801" s="129"/>
    </row>
    <row r="2802" spans="2:7" x14ac:dyDescent="0.2">
      <c r="B2802" s="129"/>
      <c r="C2802" s="129"/>
      <c r="D2802" s="129"/>
      <c r="E2802" s="129"/>
      <c r="F2802" s="129"/>
      <c r="G2802" s="129"/>
    </row>
    <row r="2803" spans="2:7" x14ac:dyDescent="0.2">
      <c r="B2803" s="129"/>
      <c r="C2803" s="129"/>
      <c r="D2803" s="129"/>
      <c r="E2803" s="129"/>
      <c r="F2803" s="129"/>
      <c r="G2803" s="129"/>
    </row>
    <row r="2804" spans="2:7" x14ac:dyDescent="0.2">
      <c r="B2804" s="129"/>
      <c r="C2804" s="129"/>
      <c r="D2804" s="129"/>
      <c r="E2804" s="129"/>
      <c r="F2804" s="129"/>
      <c r="G2804" s="129"/>
    </row>
    <row r="2805" spans="2:7" x14ac:dyDescent="0.2">
      <c r="B2805" s="129"/>
      <c r="C2805" s="129"/>
      <c r="D2805" s="129"/>
      <c r="E2805" s="129"/>
      <c r="F2805" s="129"/>
      <c r="G2805" s="129"/>
    </row>
    <row r="2806" spans="2:7" x14ac:dyDescent="0.2">
      <c r="B2806" s="129"/>
      <c r="C2806" s="129"/>
      <c r="D2806" s="129"/>
      <c r="E2806" s="129"/>
      <c r="F2806" s="129"/>
      <c r="G2806" s="129"/>
    </row>
    <row r="2807" spans="2:7" x14ac:dyDescent="0.2">
      <c r="B2807" s="129"/>
      <c r="C2807" s="129"/>
      <c r="D2807" s="129"/>
      <c r="E2807" s="129"/>
      <c r="F2807" s="129"/>
      <c r="G2807" s="129"/>
    </row>
    <row r="2808" spans="2:7" x14ac:dyDescent="0.2">
      <c r="B2808" s="129"/>
      <c r="C2808" s="129"/>
      <c r="D2808" s="129"/>
      <c r="E2808" s="129"/>
      <c r="F2808" s="129"/>
      <c r="G2808" s="129"/>
    </row>
    <row r="2809" spans="2:7" x14ac:dyDescent="0.2">
      <c r="B2809" s="129"/>
      <c r="C2809" s="129"/>
      <c r="D2809" s="129"/>
      <c r="E2809" s="129"/>
      <c r="F2809" s="129"/>
      <c r="G2809" s="129"/>
    </row>
    <row r="2810" spans="2:7" x14ac:dyDescent="0.2">
      <c r="B2810" s="129"/>
      <c r="C2810" s="129"/>
      <c r="D2810" s="129"/>
      <c r="E2810" s="129"/>
      <c r="F2810" s="129"/>
      <c r="G2810" s="129"/>
    </row>
    <row r="2811" spans="2:7" x14ac:dyDescent="0.2">
      <c r="B2811" s="129"/>
      <c r="C2811" s="129"/>
      <c r="D2811" s="129"/>
      <c r="E2811" s="129"/>
      <c r="F2811" s="129"/>
      <c r="G2811" s="129"/>
    </row>
    <row r="2812" spans="2:7" x14ac:dyDescent="0.2">
      <c r="B2812" s="129"/>
      <c r="C2812" s="129"/>
      <c r="D2812" s="129"/>
      <c r="E2812" s="129"/>
      <c r="F2812" s="129"/>
      <c r="G2812" s="129"/>
    </row>
    <row r="2813" spans="2:7" x14ac:dyDescent="0.2">
      <c r="B2813" s="129"/>
      <c r="C2813" s="129"/>
      <c r="D2813" s="129"/>
      <c r="E2813" s="129"/>
      <c r="F2813" s="129"/>
      <c r="G2813" s="129"/>
    </row>
    <row r="2814" spans="2:7" x14ac:dyDescent="0.2">
      <c r="B2814" s="129"/>
      <c r="C2814" s="129"/>
      <c r="D2814" s="129"/>
      <c r="E2814" s="129"/>
      <c r="F2814" s="129"/>
      <c r="G2814" s="129"/>
    </row>
    <row r="2815" spans="2:7" x14ac:dyDescent="0.2">
      <c r="B2815" s="129"/>
      <c r="C2815" s="129"/>
      <c r="D2815" s="129"/>
      <c r="E2815" s="129"/>
      <c r="F2815" s="129"/>
      <c r="G2815" s="129"/>
    </row>
    <row r="2816" spans="2:7" x14ac:dyDescent="0.2">
      <c r="B2816" s="129"/>
      <c r="C2816" s="129"/>
      <c r="D2816" s="129"/>
      <c r="E2816" s="129"/>
      <c r="F2816" s="129"/>
      <c r="G2816" s="129"/>
    </row>
    <row r="2817" spans="2:7" x14ac:dyDescent="0.2">
      <c r="B2817" s="129"/>
      <c r="C2817" s="129"/>
      <c r="D2817" s="129"/>
      <c r="E2817" s="129"/>
      <c r="F2817" s="129"/>
      <c r="G2817" s="129"/>
    </row>
    <row r="2818" spans="2:7" x14ac:dyDescent="0.2">
      <c r="B2818" s="129"/>
      <c r="C2818" s="129"/>
      <c r="D2818" s="129"/>
      <c r="E2818" s="129"/>
      <c r="F2818" s="129"/>
      <c r="G2818" s="129"/>
    </row>
    <row r="2819" spans="2:7" x14ac:dyDescent="0.2">
      <c r="B2819" s="129"/>
      <c r="C2819" s="129"/>
      <c r="D2819" s="129"/>
      <c r="E2819" s="129"/>
      <c r="F2819" s="129"/>
      <c r="G2819" s="129"/>
    </row>
    <row r="2820" spans="2:7" x14ac:dyDescent="0.2">
      <c r="B2820" s="129"/>
      <c r="C2820" s="129"/>
      <c r="D2820" s="129"/>
      <c r="E2820" s="129"/>
      <c r="F2820" s="129"/>
      <c r="G2820" s="129"/>
    </row>
    <row r="2821" spans="2:7" x14ac:dyDescent="0.2">
      <c r="B2821" s="129"/>
      <c r="C2821" s="129"/>
      <c r="D2821" s="129"/>
      <c r="E2821" s="129"/>
      <c r="F2821" s="129"/>
      <c r="G2821" s="129"/>
    </row>
    <row r="2822" spans="2:7" x14ac:dyDescent="0.2">
      <c r="B2822" s="129"/>
      <c r="C2822" s="129"/>
      <c r="D2822" s="129"/>
      <c r="E2822" s="129"/>
      <c r="F2822" s="129"/>
      <c r="G2822" s="129"/>
    </row>
    <row r="2823" spans="2:7" x14ac:dyDescent="0.2">
      <c r="B2823" s="129"/>
      <c r="C2823" s="129"/>
      <c r="D2823" s="129"/>
      <c r="E2823" s="129"/>
      <c r="F2823" s="129"/>
      <c r="G2823" s="129"/>
    </row>
    <row r="2824" spans="2:7" x14ac:dyDescent="0.2">
      <c r="B2824" s="129"/>
      <c r="C2824" s="129"/>
      <c r="D2824" s="129"/>
      <c r="E2824" s="129"/>
      <c r="F2824" s="129"/>
      <c r="G2824" s="129"/>
    </row>
    <row r="2825" spans="2:7" x14ac:dyDescent="0.2">
      <c r="B2825" s="129"/>
      <c r="C2825" s="129"/>
      <c r="D2825" s="129"/>
      <c r="E2825" s="129"/>
      <c r="F2825" s="129"/>
      <c r="G2825" s="129"/>
    </row>
    <row r="2826" spans="2:7" x14ac:dyDescent="0.2">
      <c r="B2826" s="129"/>
      <c r="C2826" s="129"/>
      <c r="D2826" s="129"/>
      <c r="E2826" s="129"/>
      <c r="F2826" s="129"/>
      <c r="G2826" s="129"/>
    </row>
    <row r="2827" spans="2:7" x14ac:dyDescent="0.2">
      <c r="B2827" s="129"/>
      <c r="C2827" s="129"/>
      <c r="D2827" s="129"/>
      <c r="E2827" s="129"/>
      <c r="F2827" s="129"/>
      <c r="G2827" s="129"/>
    </row>
    <row r="2828" spans="2:7" x14ac:dyDescent="0.2">
      <c r="B2828" s="129"/>
      <c r="C2828" s="129"/>
      <c r="D2828" s="129"/>
      <c r="E2828" s="129"/>
      <c r="F2828" s="129"/>
      <c r="G2828" s="129"/>
    </row>
    <row r="2829" spans="2:7" x14ac:dyDescent="0.2">
      <c r="B2829" s="129"/>
      <c r="C2829" s="129"/>
      <c r="D2829" s="129"/>
      <c r="E2829" s="129"/>
      <c r="F2829" s="129"/>
      <c r="G2829" s="129"/>
    </row>
    <row r="2830" spans="2:7" x14ac:dyDescent="0.2">
      <c r="B2830" s="129"/>
      <c r="C2830" s="129"/>
      <c r="D2830" s="129"/>
      <c r="E2830" s="129"/>
      <c r="F2830" s="129"/>
      <c r="G2830" s="129"/>
    </row>
    <row r="2831" spans="2:7" x14ac:dyDescent="0.2">
      <c r="B2831" s="129"/>
      <c r="C2831" s="129"/>
      <c r="D2831" s="129"/>
      <c r="E2831" s="129"/>
      <c r="F2831" s="129"/>
      <c r="G2831" s="129"/>
    </row>
    <row r="2832" spans="2:7" x14ac:dyDescent="0.2">
      <c r="B2832" s="129"/>
      <c r="C2832" s="129"/>
      <c r="D2832" s="129"/>
      <c r="E2832" s="129"/>
      <c r="F2832" s="129"/>
      <c r="G2832" s="129"/>
    </row>
    <row r="2833" spans="2:7" x14ac:dyDescent="0.2">
      <c r="B2833" s="129"/>
      <c r="C2833" s="129"/>
      <c r="D2833" s="129"/>
      <c r="E2833" s="129"/>
      <c r="F2833" s="129"/>
      <c r="G2833" s="129"/>
    </row>
    <row r="2834" spans="2:7" x14ac:dyDescent="0.2">
      <c r="B2834" s="129"/>
      <c r="C2834" s="129"/>
      <c r="D2834" s="129"/>
      <c r="E2834" s="129"/>
      <c r="F2834" s="129"/>
      <c r="G2834" s="129"/>
    </row>
    <row r="2835" spans="2:7" x14ac:dyDescent="0.2">
      <c r="B2835" s="129"/>
      <c r="C2835" s="129"/>
      <c r="D2835" s="129"/>
      <c r="E2835" s="129"/>
      <c r="F2835" s="129"/>
      <c r="G2835" s="129"/>
    </row>
    <row r="2836" spans="2:7" x14ac:dyDescent="0.2">
      <c r="B2836" s="129"/>
      <c r="C2836" s="129"/>
      <c r="D2836" s="129"/>
      <c r="E2836" s="129"/>
      <c r="F2836" s="129"/>
      <c r="G2836" s="129"/>
    </row>
    <row r="2837" spans="2:7" x14ac:dyDescent="0.2">
      <c r="B2837" s="129"/>
      <c r="C2837" s="129"/>
      <c r="D2837" s="129"/>
      <c r="E2837" s="129"/>
      <c r="F2837" s="129"/>
      <c r="G2837" s="129"/>
    </row>
    <row r="2838" spans="2:7" x14ac:dyDescent="0.2">
      <c r="B2838" s="129"/>
      <c r="C2838" s="129"/>
      <c r="D2838" s="129"/>
      <c r="E2838" s="129"/>
      <c r="F2838" s="129"/>
      <c r="G2838" s="129"/>
    </row>
    <row r="2839" spans="2:7" x14ac:dyDescent="0.2">
      <c r="B2839" s="129"/>
      <c r="C2839" s="129"/>
      <c r="D2839" s="129"/>
      <c r="E2839" s="129"/>
      <c r="F2839" s="129"/>
      <c r="G2839" s="129"/>
    </row>
    <row r="2840" spans="2:7" x14ac:dyDescent="0.2">
      <c r="B2840" s="129"/>
      <c r="C2840" s="129"/>
      <c r="D2840" s="129"/>
      <c r="E2840" s="129"/>
      <c r="F2840" s="129"/>
      <c r="G2840" s="129"/>
    </row>
    <row r="2841" spans="2:7" x14ac:dyDescent="0.2">
      <c r="B2841" s="129"/>
      <c r="C2841" s="129"/>
      <c r="D2841" s="129"/>
      <c r="E2841" s="129"/>
      <c r="F2841" s="129"/>
      <c r="G2841" s="129"/>
    </row>
    <row r="2842" spans="2:7" x14ac:dyDescent="0.2">
      <c r="B2842" s="129"/>
      <c r="C2842" s="129"/>
      <c r="D2842" s="129"/>
      <c r="E2842" s="129"/>
      <c r="F2842" s="129"/>
      <c r="G2842" s="129"/>
    </row>
    <row r="2843" spans="2:7" x14ac:dyDescent="0.2">
      <c r="B2843" s="129"/>
      <c r="C2843" s="129"/>
      <c r="D2843" s="129"/>
      <c r="E2843" s="129"/>
      <c r="F2843" s="129"/>
      <c r="G2843" s="129"/>
    </row>
    <row r="2844" spans="2:7" x14ac:dyDescent="0.2">
      <c r="B2844" s="129"/>
      <c r="C2844" s="129"/>
      <c r="D2844" s="129"/>
      <c r="E2844" s="129"/>
      <c r="F2844" s="129"/>
      <c r="G2844" s="129"/>
    </row>
    <row r="2845" spans="2:7" x14ac:dyDescent="0.2">
      <c r="B2845" s="129"/>
      <c r="C2845" s="129"/>
      <c r="D2845" s="129"/>
      <c r="E2845" s="129"/>
      <c r="F2845" s="129"/>
      <c r="G2845" s="129"/>
    </row>
    <row r="2846" spans="2:7" x14ac:dyDescent="0.2">
      <c r="B2846" s="129"/>
      <c r="C2846" s="129"/>
      <c r="D2846" s="129"/>
      <c r="E2846" s="129"/>
      <c r="F2846" s="129"/>
      <c r="G2846" s="129"/>
    </row>
    <row r="2847" spans="2:7" x14ac:dyDescent="0.2">
      <c r="B2847" s="129"/>
      <c r="C2847" s="129"/>
      <c r="D2847" s="129"/>
      <c r="E2847" s="129"/>
      <c r="F2847" s="129"/>
      <c r="G2847" s="129"/>
    </row>
    <row r="2848" spans="2:7" x14ac:dyDescent="0.2">
      <c r="B2848" s="129"/>
      <c r="C2848" s="129"/>
      <c r="D2848" s="129"/>
      <c r="E2848" s="129"/>
      <c r="F2848" s="129"/>
      <c r="G2848" s="129"/>
    </row>
    <row r="2849" spans="2:7" x14ac:dyDescent="0.2">
      <c r="B2849" s="129"/>
      <c r="C2849" s="129"/>
      <c r="D2849" s="129"/>
      <c r="E2849" s="129"/>
      <c r="F2849" s="129"/>
      <c r="G2849" s="129"/>
    </row>
    <row r="2850" spans="2:7" x14ac:dyDescent="0.2">
      <c r="B2850" s="129"/>
      <c r="C2850" s="129"/>
      <c r="D2850" s="129"/>
      <c r="E2850" s="129"/>
      <c r="F2850" s="129"/>
      <c r="G2850" s="129"/>
    </row>
    <row r="2851" spans="2:7" x14ac:dyDescent="0.2">
      <c r="B2851" s="129"/>
      <c r="C2851" s="129"/>
      <c r="D2851" s="129"/>
      <c r="E2851" s="129"/>
      <c r="F2851" s="129"/>
      <c r="G2851" s="129"/>
    </row>
    <row r="2852" spans="2:7" x14ac:dyDescent="0.2">
      <c r="B2852" s="129"/>
      <c r="C2852" s="129"/>
      <c r="D2852" s="129"/>
      <c r="E2852" s="129"/>
      <c r="F2852" s="129"/>
      <c r="G2852" s="129"/>
    </row>
    <row r="2853" spans="2:7" x14ac:dyDescent="0.2">
      <c r="B2853" s="129"/>
      <c r="C2853" s="129"/>
      <c r="D2853" s="129"/>
      <c r="E2853" s="129"/>
      <c r="F2853" s="129"/>
      <c r="G2853" s="129"/>
    </row>
    <row r="2854" spans="2:7" x14ac:dyDescent="0.2">
      <c r="B2854" s="129"/>
      <c r="C2854" s="129"/>
      <c r="D2854" s="129"/>
      <c r="E2854" s="129"/>
      <c r="F2854" s="129"/>
      <c r="G2854" s="129"/>
    </row>
    <row r="2855" spans="2:7" x14ac:dyDescent="0.2">
      <c r="B2855" s="129"/>
      <c r="C2855" s="129"/>
      <c r="D2855" s="129"/>
      <c r="E2855" s="129"/>
      <c r="F2855" s="129"/>
      <c r="G2855" s="129"/>
    </row>
    <row r="2856" spans="2:7" x14ac:dyDescent="0.2">
      <c r="B2856" s="129"/>
      <c r="C2856" s="129"/>
      <c r="D2856" s="129"/>
      <c r="E2856" s="129"/>
      <c r="F2856" s="129"/>
      <c r="G2856" s="129"/>
    </row>
    <row r="2857" spans="2:7" x14ac:dyDescent="0.2">
      <c r="B2857" s="129"/>
      <c r="C2857" s="129"/>
      <c r="D2857" s="129"/>
      <c r="E2857" s="129"/>
      <c r="F2857" s="129"/>
      <c r="G2857" s="129"/>
    </row>
    <row r="2858" spans="2:7" x14ac:dyDescent="0.2">
      <c r="B2858" s="129"/>
      <c r="C2858" s="129"/>
      <c r="D2858" s="129"/>
      <c r="E2858" s="129"/>
      <c r="F2858" s="129"/>
      <c r="G2858" s="129"/>
    </row>
    <row r="2859" spans="2:7" x14ac:dyDescent="0.2">
      <c r="B2859" s="129"/>
      <c r="C2859" s="129"/>
      <c r="D2859" s="129"/>
      <c r="E2859" s="129"/>
      <c r="F2859" s="129"/>
      <c r="G2859" s="129"/>
    </row>
    <row r="2860" spans="2:7" x14ac:dyDescent="0.2">
      <c r="B2860" s="129"/>
      <c r="C2860" s="129"/>
      <c r="D2860" s="129"/>
      <c r="E2860" s="129"/>
      <c r="F2860" s="129"/>
      <c r="G2860" s="129"/>
    </row>
    <row r="2861" spans="2:7" x14ac:dyDescent="0.2">
      <c r="B2861" s="129"/>
      <c r="C2861" s="129"/>
      <c r="D2861" s="129"/>
      <c r="E2861" s="129"/>
      <c r="F2861" s="129"/>
      <c r="G2861" s="129"/>
    </row>
    <row r="2862" spans="2:7" x14ac:dyDescent="0.2">
      <c r="B2862" s="129"/>
      <c r="C2862" s="129"/>
      <c r="D2862" s="129"/>
      <c r="E2862" s="129"/>
      <c r="F2862" s="129"/>
      <c r="G2862" s="129"/>
    </row>
    <row r="2863" spans="2:7" x14ac:dyDescent="0.2">
      <c r="B2863" s="129"/>
      <c r="C2863" s="129"/>
      <c r="D2863" s="129"/>
      <c r="E2863" s="129"/>
      <c r="F2863" s="129"/>
      <c r="G2863" s="129"/>
    </row>
    <row r="2864" spans="2:7" x14ac:dyDescent="0.2">
      <c r="B2864" s="129"/>
      <c r="C2864" s="129"/>
      <c r="D2864" s="129"/>
      <c r="E2864" s="129"/>
      <c r="F2864" s="129"/>
      <c r="G2864" s="129"/>
    </row>
    <row r="2865" spans="2:7" x14ac:dyDescent="0.2">
      <c r="B2865" s="129"/>
      <c r="C2865" s="129"/>
      <c r="D2865" s="129"/>
      <c r="E2865" s="129"/>
      <c r="F2865" s="129"/>
      <c r="G2865" s="129"/>
    </row>
    <row r="2866" spans="2:7" x14ac:dyDescent="0.2">
      <c r="B2866" s="129"/>
      <c r="C2866" s="129"/>
      <c r="D2866" s="129"/>
      <c r="E2866" s="129"/>
      <c r="F2866" s="129"/>
      <c r="G2866" s="129"/>
    </row>
    <row r="2867" spans="2:7" x14ac:dyDescent="0.2">
      <c r="B2867" s="129"/>
      <c r="C2867" s="129"/>
      <c r="D2867" s="129"/>
      <c r="E2867" s="129"/>
      <c r="F2867" s="129"/>
      <c r="G2867" s="129"/>
    </row>
    <row r="2868" spans="2:7" x14ac:dyDescent="0.2">
      <c r="B2868" s="129"/>
      <c r="C2868" s="129"/>
      <c r="D2868" s="129"/>
      <c r="E2868" s="129"/>
      <c r="F2868" s="129"/>
      <c r="G2868" s="129"/>
    </row>
    <row r="2869" spans="2:7" x14ac:dyDescent="0.2">
      <c r="B2869" s="129"/>
      <c r="C2869" s="129"/>
      <c r="D2869" s="129"/>
      <c r="E2869" s="129"/>
      <c r="F2869" s="129"/>
      <c r="G2869" s="129"/>
    </row>
    <row r="2870" spans="2:7" x14ac:dyDescent="0.2">
      <c r="B2870" s="129"/>
      <c r="C2870" s="129"/>
      <c r="D2870" s="129"/>
      <c r="E2870" s="129"/>
      <c r="F2870" s="129"/>
      <c r="G2870" s="129"/>
    </row>
    <row r="2871" spans="2:7" x14ac:dyDescent="0.2">
      <c r="B2871" s="129"/>
      <c r="C2871" s="129"/>
      <c r="D2871" s="129"/>
      <c r="E2871" s="129"/>
      <c r="F2871" s="129"/>
      <c r="G2871" s="129"/>
    </row>
    <row r="2872" spans="2:7" x14ac:dyDescent="0.2">
      <c r="B2872" s="129"/>
      <c r="C2872" s="129"/>
      <c r="D2872" s="129"/>
      <c r="E2872" s="129"/>
      <c r="F2872" s="129"/>
      <c r="G2872" s="129"/>
    </row>
    <row r="2873" spans="2:7" x14ac:dyDescent="0.2">
      <c r="B2873" s="129"/>
      <c r="C2873" s="129"/>
      <c r="D2873" s="129"/>
      <c r="E2873" s="129"/>
      <c r="F2873" s="129"/>
      <c r="G2873" s="129"/>
    </row>
    <row r="2874" spans="2:7" x14ac:dyDescent="0.2">
      <c r="B2874" s="129"/>
      <c r="C2874" s="129"/>
      <c r="D2874" s="129"/>
      <c r="E2874" s="129"/>
      <c r="F2874" s="129"/>
      <c r="G2874" s="129"/>
    </row>
    <row r="2875" spans="2:7" x14ac:dyDescent="0.2">
      <c r="B2875" s="129"/>
      <c r="C2875" s="129"/>
      <c r="D2875" s="129"/>
      <c r="E2875" s="129"/>
      <c r="F2875" s="129"/>
      <c r="G2875" s="129"/>
    </row>
    <row r="2876" spans="2:7" x14ac:dyDescent="0.2">
      <c r="B2876" s="129"/>
      <c r="C2876" s="129"/>
      <c r="D2876" s="129"/>
      <c r="E2876" s="129"/>
      <c r="F2876" s="129"/>
      <c r="G2876" s="129"/>
    </row>
    <row r="2877" spans="2:7" x14ac:dyDescent="0.2">
      <c r="B2877" s="129"/>
      <c r="C2877" s="129"/>
      <c r="D2877" s="129"/>
      <c r="E2877" s="129"/>
      <c r="F2877" s="129"/>
      <c r="G2877" s="129"/>
    </row>
    <row r="2878" spans="2:7" x14ac:dyDescent="0.2">
      <c r="B2878" s="129"/>
      <c r="C2878" s="129"/>
      <c r="D2878" s="129"/>
      <c r="E2878" s="129"/>
      <c r="F2878" s="129"/>
      <c r="G2878" s="129"/>
    </row>
    <row r="2879" spans="2:7" x14ac:dyDescent="0.2">
      <c r="B2879" s="129"/>
      <c r="C2879" s="129"/>
      <c r="D2879" s="129"/>
      <c r="E2879" s="129"/>
      <c r="F2879" s="129"/>
      <c r="G2879" s="129"/>
    </row>
    <row r="2880" spans="2:7" x14ac:dyDescent="0.2">
      <c r="B2880" s="129"/>
      <c r="C2880" s="129"/>
      <c r="D2880" s="129"/>
      <c r="E2880" s="129"/>
      <c r="F2880" s="129"/>
      <c r="G2880" s="129"/>
    </row>
    <row r="2881" spans="2:7" x14ac:dyDescent="0.2">
      <c r="B2881" s="129"/>
      <c r="C2881" s="129"/>
      <c r="D2881" s="129"/>
      <c r="E2881" s="129"/>
      <c r="F2881" s="129"/>
      <c r="G2881" s="129"/>
    </row>
    <row r="2882" spans="2:7" x14ac:dyDescent="0.2">
      <c r="B2882" s="129"/>
      <c r="C2882" s="129"/>
      <c r="D2882" s="129"/>
      <c r="E2882" s="129"/>
      <c r="F2882" s="129"/>
      <c r="G2882" s="129"/>
    </row>
    <row r="2883" spans="2:7" x14ac:dyDescent="0.2">
      <c r="B2883" s="129"/>
      <c r="C2883" s="129"/>
      <c r="D2883" s="129"/>
      <c r="E2883" s="129"/>
      <c r="F2883" s="129"/>
      <c r="G2883" s="129"/>
    </row>
    <row r="2884" spans="2:7" x14ac:dyDescent="0.2">
      <c r="B2884" s="129"/>
      <c r="C2884" s="129"/>
      <c r="D2884" s="129"/>
      <c r="E2884" s="129"/>
      <c r="F2884" s="129"/>
      <c r="G2884" s="129"/>
    </row>
    <row r="2885" spans="2:7" x14ac:dyDescent="0.2">
      <c r="B2885" s="129"/>
      <c r="C2885" s="129"/>
      <c r="D2885" s="129"/>
      <c r="E2885" s="129"/>
      <c r="F2885" s="129"/>
      <c r="G2885" s="129"/>
    </row>
    <row r="2886" spans="2:7" x14ac:dyDescent="0.2">
      <c r="B2886" s="129"/>
      <c r="C2886" s="129"/>
      <c r="D2886" s="129"/>
      <c r="E2886" s="129"/>
      <c r="F2886" s="129"/>
      <c r="G2886" s="129"/>
    </row>
    <row r="2887" spans="2:7" x14ac:dyDescent="0.2">
      <c r="B2887" s="129"/>
      <c r="C2887" s="129"/>
      <c r="D2887" s="129"/>
      <c r="E2887" s="129"/>
      <c r="F2887" s="129"/>
      <c r="G2887" s="129"/>
    </row>
    <row r="2888" spans="2:7" x14ac:dyDescent="0.2">
      <c r="B2888" s="129"/>
      <c r="C2888" s="129"/>
      <c r="D2888" s="129"/>
      <c r="E2888" s="129"/>
      <c r="F2888" s="129"/>
      <c r="G2888" s="129"/>
    </row>
    <row r="2889" spans="2:7" x14ac:dyDescent="0.2">
      <c r="B2889" s="129"/>
      <c r="C2889" s="129"/>
      <c r="D2889" s="129"/>
      <c r="E2889" s="129"/>
      <c r="F2889" s="129"/>
      <c r="G2889" s="129"/>
    </row>
    <row r="2890" spans="2:7" x14ac:dyDescent="0.2">
      <c r="B2890" s="129"/>
      <c r="C2890" s="129"/>
      <c r="D2890" s="129"/>
      <c r="E2890" s="129"/>
      <c r="F2890" s="129"/>
      <c r="G2890" s="129"/>
    </row>
    <row r="2891" spans="2:7" x14ac:dyDescent="0.2">
      <c r="B2891" s="129"/>
      <c r="C2891" s="129"/>
      <c r="D2891" s="129"/>
      <c r="E2891" s="129"/>
      <c r="F2891" s="129"/>
      <c r="G2891" s="129"/>
    </row>
    <row r="2892" spans="2:7" x14ac:dyDescent="0.2">
      <c r="B2892" s="129"/>
      <c r="C2892" s="129"/>
      <c r="D2892" s="129"/>
      <c r="E2892" s="129"/>
      <c r="F2892" s="129"/>
      <c r="G2892" s="129"/>
    </row>
    <row r="2893" spans="2:7" x14ac:dyDescent="0.2">
      <c r="B2893" s="129"/>
      <c r="C2893" s="129"/>
      <c r="D2893" s="129"/>
      <c r="E2893" s="129"/>
      <c r="F2893" s="129"/>
      <c r="G2893" s="129"/>
    </row>
    <row r="2894" spans="2:7" x14ac:dyDescent="0.2">
      <c r="B2894" s="129"/>
      <c r="C2894" s="129"/>
      <c r="D2894" s="129"/>
      <c r="E2894" s="129"/>
      <c r="F2894" s="129"/>
      <c r="G2894" s="129"/>
    </row>
    <row r="2895" spans="2:7" x14ac:dyDescent="0.2">
      <c r="B2895" s="129"/>
      <c r="C2895" s="129"/>
      <c r="D2895" s="129"/>
      <c r="E2895" s="129"/>
      <c r="F2895" s="129"/>
      <c r="G2895" s="129"/>
    </row>
    <row r="2896" spans="2:7" x14ac:dyDescent="0.2">
      <c r="B2896" s="129"/>
      <c r="C2896" s="129"/>
      <c r="D2896" s="129"/>
      <c r="E2896" s="129"/>
      <c r="F2896" s="129"/>
      <c r="G2896" s="129"/>
    </row>
    <row r="2897" spans="2:7" x14ac:dyDescent="0.2">
      <c r="B2897" s="129"/>
      <c r="C2897" s="129"/>
      <c r="D2897" s="129"/>
      <c r="E2897" s="129"/>
      <c r="F2897" s="129"/>
      <c r="G2897" s="129"/>
    </row>
    <row r="2898" spans="2:7" x14ac:dyDescent="0.2">
      <c r="B2898" s="129"/>
      <c r="C2898" s="129"/>
      <c r="D2898" s="129"/>
      <c r="E2898" s="129"/>
      <c r="F2898" s="129"/>
      <c r="G2898" s="129"/>
    </row>
    <row r="2899" spans="2:7" x14ac:dyDescent="0.2">
      <c r="B2899" s="129"/>
      <c r="C2899" s="129"/>
      <c r="D2899" s="129"/>
      <c r="E2899" s="129"/>
      <c r="F2899" s="129"/>
      <c r="G2899" s="129"/>
    </row>
    <row r="2900" spans="2:7" x14ac:dyDescent="0.2">
      <c r="B2900" s="129"/>
      <c r="C2900" s="129"/>
      <c r="D2900" s="129"/>
      <c r="E2900" s="129"/>
      <c r="F2900" s="129"/>
      <c r="G2900" s="129"/>
    </row>
    <row r="2901" spans="2:7" x14ac:dyDescent="0.2">
      <c r="B2901" s="129"/>
      <c r="C2901" s="129"/>
      <c r="D2901" s="129"/>
      <c r="E2901" s="129"/>
      <c r="F2901" s="129"/>
      <c r="G2901" s="129"/>
    </row>
    <row r="2902" spans="2:7" x14ac:dyDescent="0.2">
      <c r="B2902" s="129"/>
      <c r="C2902" s="129"/>
      <c r="D2902" s="129"/>
      <c r="E2902" s="129"/>
      <c r="F2902" s="129"/>
      <c r="G2902" s="129"/>
    </row>
    <row r="2903" spans="2:7" x14ac:dyDescent="0.2">
      <c r="B2903" s="129"/>
      <c r="C2903" s="129"/>
      <c r="D2903" s="129"/>
      <c r="E2903" s="129"/>
      <c r="F2903" s="129"/>
      <c r="G2903" s="129"/>
    </row>
    <row r="2904" spans="2:7" x14ac:dyDescent="0.2">
      <c r="B2904" s="129"/>
      <c r="C2904" s="129"/>
      <c r="D2904" s="129"/>
      <c r="E2904" s="129"/>
      <c r="F2904" s="129"/>
      <c r="G2904" s="129"/>
    </row>
    <row r="2905" spans="2:7" x14ac:dyDescent="0.2">
      <c r="B2905" s="129"/>
      <c r="C2905" s="129"/>
      <c r="D2905" s="129"/>
      <c r="E2905" s="129"/>
      <c r="F2905" s="129"/>
      <c r="G2905" s="129"/>
    </row>
    <row r="2906" spans="2:7" x14ac:dyDescent="0.2">
      <c r="B2906" s="129"/>
      <c r="C2906" s="129"/>
      <c r="D2906" s="129"/>
      <c r="E2906" s="129"/>
      <c r="F2906" s="129"/>
      <c r="G2906" s="129"/>
    </row>
    <row r="2907" spans="2:7" x14ac:dyDescent="0.2">
      <c r="B2907" s="129"/>
      <c r="C2907" s="129"/>
      <c r="D2907" s="129"/>
      <c r="E2907" s="129"/>
      <c r="F2907" s="129"/>
      <c r="G2907" s="129"/>
    </row>
    <row r="2908" spans="2:7" x14ac:dyDescent="0.2">
      <c r="B2908" s="129"/>
      <c r="C2908" s="129"/>
      <c r="D2908" s="129"/>
      <c r="E2908" s="129"/>
      <c r="F2908" s="129"/>
      <c r="G2908" s="129"/>
    </row>
    <row r="2909" spans="2:7" x14ac:dyDescent="0.2">
      <c r="B2909" s="129"/>
      <c r="C2909" s="129"/>
      <c r="D2909" s="129"/>
      <c r="E2909" s="129"/>
      <c r="F2909" s="129"/>
      <c r="G2909" s="129"/>
    </row>
    <row r="2910" spans="2:7" x14ac:dyDescent="0.2">
      <c r="B2910" s="129"/>
      <c r="C2910" s="129"/>
      <c r="D2910" s="129"/>
      <c r="E2910" s="129"/>
      <c r="F2910" s="129"/>
      <c r="G2910" s="129"/>
    </row>
    <row r="2911" spans="2:7" x14ac:dyDescent="0.2">
      <c r="B2911" s="129"/>
      <c r="C2911" s="129"/>
      <c r="D2911" s="129"/>
      <c r="E2911" s="129"/>
      <c r="F2911" s="129"/>
      <c r="G2911" s="129"/>
    </row>
    <row r="2912" spans="2:7" x14ac:dyDescent="0.2">
      <c r="B2912" s="129"/>
      <c r="C2912" s="129"/>
      <c r="D2912" s="129"/>
      <c r="E2912" s="129"/>
      <c r="F2912" s="129"/>
      <c r="G2912" s="129"/>
    </row>
    <row r="2913" spans="2:7" x14ac:dyDescent="0.2">
      <c r="B2913" s="129"/>
      <c r="C2913" s="129"/>
      <c r="D2913" s="129"/>
      <c r="E2913" s="129"/>
      <c r="F2913" s="129"/>
      <c r="G2913" s="129"/>
    </row>
    <row r="2914" spans="2:7" x14ac:dyDescent="0.2">
      <c r="B2914" s="129"/>
      <c r="C2914" s="129"/>
      <c r="D2914" s="129"/>
      <c r="E2914" s="129"/>
      <c r="F2914" s="129"/>
      <c r="G2914" s="129"/>
    </row>
    <row r="2915" spans="2:7" x14ac:dyDescent="0.2">
      <c r="B2915" s="129"/>
      <c r="C2915" s="129"/>
      <c r="D2915" s="129"/>
      <c r="E2915" s="129"/>
      <c r="F2915" s="129"/>
      <c r="G2915" s="129"/>
    </row>
    <row r="2916" spans="2:7" x14ac:dyDescent="0.2">
      <c r="B2916" s="129"/>
      <c r="C2916" s="129"/>
      <c r="D2916" s="129"/>
      <c r="E2916" s="129"/>
      <c r="F2916" s="129"/>
      <c r="G2916" s="129"/>
    </row>
    <row r="2917" spans="2:7" x14ac:dyDescent="0.2">
      <c r="B2917" s="129"/>
      <c r="C2917" s="129"/>
      <c r="D2917" s="129"/>
      <c r="E2917" s="129"/>
      <c r="F2917" s="129"/>
      <c r="G2917" s="129"/>
    </row>
    <row r="2918" spans="2:7" x14ac:dyDescent="0.2">
      <c r="B2918" s="129"/>
      <c r="C2918" s="129"/>
      <c r="D2918" s="129"/>
      <c r="E2918" s="129"/>
      <c r="F2918" s="129"/>
      <c r="G2918" s="129"/>
    </row>
    <row r="2919" spans="2:7" x14ac:dyDescent="0.2">
      <c r="B2919" s="129"/>
      <c r="C2919" s="129"/>
      <c r="D2919" s="129"/>
      <c r="E2919" s="129"/>
      <c r="F2919" s="129"/>
      <c r="G2919" s="129"/>
    </row>
    <row r="2920" spans="2:7" x14ac:dyDescent="0.2">
      <c r="B2920" s="129"/>
      <c r="C2920" s="129"/>
      <c r="D2920" s="129"/>
      <c r="E2920" s="129"/>
      <c r="F2920" s="129"/>
      <c r="G2920" s="129"/>
    </row>
    <row r="2921" spans="2:7" x14ac:dyDescent="0.2">
      <c r="B2921" s="129"/>
      <c r="C2921" s="129"/>
      <c r="D2921" s="129"/>
      <c r="E2921" s="129"/>
      <c r="F2921" s="129"/>
      <c r="G2921" s="129"/>
    </row>
    <row r="2922" spans="2:7" x14ac:dyDescent="0.2">
      <c r="B2922" s="129"/>
      <c r="C2922" s="129"/>
      <c r="D2922" s="129"/>
      <c r="E2922" s="129"/>
      <c r="F2922" s="129"/>
      <c r="G2922" s="129"/>
    </row>
    <row r="2923" spans="2:7" x14ac:dyDescent="0.2">
      <c r="B2923" s="129"/>
      <c r="C2923" s="129"/>
      <c r="D2923" s="129"/>
      <c r="E2923" s="129"/>
      <c r="F2923" s="129"/>
      <c r="G2923" s="129"/>
    </row>
    <row r="2924" spans="2:7" x14ac:dyDescent="0.2">
      <c r="B2924" s="129"/>
      <c r="C2924" s="129"/>
      <c r="D2924" s="129"/>
      <c r="E2924" s="129"/>
      <c r="F2924" s="129"/>
      <c r="G2924" s="129"/>
    </row>
    <row r="2925" spans="2:7" x14ac:dyDescent="0.2">
      <c r="B2925" s="129"/>
      <c r="C2925" s="129"/>
      <c r="D2925" s="129"/>
      <c r="E2925" s="129"/>
      <c r="F2925" s="129"/>
      <c r="G2925" s="129"/>
    </row>
    <row r="2926" spans="2:7" x14ac:dyDescent="0.2">
      <c r="B2926" s="129"/>
      <c r="C2926" s="129"/>
      <c r="D2926" s="129"/>
      <c r="E2926" s="129"/>
      <c r="F2926" s="129"/>
      <c r="G2926" s="129"/>
    </row>
    <row r="2927" spans="2:7" x14ac:dyDescent="0.2">
      <c r="B2927" s="129"/>
      <c r="C2927" s="129"/>
      <c r="D2927" s="129"/>
      <c r="E2927" s="129"/>
      <c r="F2927" s="129"/>
      <c r="G2927" s="129"/>
    </row>
    <row r="2928" spans="2:7" x14ac:dyDescent="0.2">
      <c r="B2928" s="129"/>
      <c r="C2928" s="129"/>
      <c r="D2928" s="129"/>
      <c r="E2928" s="129"/>
      <c r="F2928" s="129"/>
      <c r="G2928" s="129"/>
    </row>
    <row r="2929" spans="2:7" x14ac:dyDescent="0.2">
      <c r="B2929" s="129"/>
      <c r="C2929" s="129"/>
      <c r="D2929" s="129"/>
      <c r="E2929" s="129"/>
      <c r="F2929" s="129"/>
      <c r="G2929" s="129"/>
    </row>
    <row r="2930" spans="2:7" x14ac:dyDescent="0.2">
      <c r="B2930" s="129"/>
      <c r="C2930" s="129"/>
      <c r="D2930" s="129"/>
      <c r="E2930" s="129"/>
      <c r="F2930" s="129"/>
      <c r="G2930" s="129"/>
    </row>
    <row r="2931" spans="2:7" x14ac:dyDescent="0.2">
      <c r="B2931" s="129"/>
      <c r="C2931" s="129"/>
      <c r="D2931" s="129"/>
      <c r="E2931" s="129"/>
      <c r="F2931" s="129"/>
      <c r="G2931" s="129"/>
    </row>
    <row r="2932" spans="2:7" x14ac:dyDescent="0.2">
      <c r="B2932" s="129"/>
      <c r="C2932" s="129"/>
      <c r="D2932" s="129"/>
      <c r="E2932" s="129"/>
      <c r="F2932" s="129"/>
      <c r="G2932" s="129"/>
    </row>
    <row r="2933" spans="2:7" x14ac:dyDescent="0.2">
      <c r="B2933" s="129"/>
      <c r="C2933" s="129"/>
      <c r="D2933" s="129"/>
      <c r="E2933" s="129"/>
      <c r="F2933" s="129"/>
      <c r="G2933" s="129"/>
    </row>
    <row r="2934" spans="2:7" x14ac:dyDescent="0.2">
      <c r="B2934" s="129"/>
      <c r="C2934" s="129"/>
      <c r="D2934" s="129"/>
      <c r="E2934" s="129"/>
      <c r="F2934" s="129"/>
      <c r="G2934" s="129"/>
    </row>
    <row r="2935" spans="2:7" x14ac:dyDescent="0.2">
      <c r="B2935" s="129"/>
      <c r="C2935" s="129"/>
      <c r="D2935" s="129"/>
      <c r="E2935" s="129"/>
      <c r="F2935" s="129"/>
      <c r="G2935" s="129"/>
    </row>
    <row r="2936" spans="2:7" x14ac:dyDescent="0.2">
      <c r="B2936" s="129"/>
      <c r="C2936" s="129"/>
      <c r="D2936" s="129"/>
      <c r="E2936" s="129"/>
      <c r="F2936" s="129"/>
      <c r="G2936" s="129"/>
    </row>
    <row r="2937" spans="2:7" x14ac:dyDescent="0.2">
      <c r="B2937" s="129"/>
      <c r="C2937" s="129"/>
      <c r="D2937" s="129"/>
      <c r="E2937" s="129"/>
      <c r="F2937" s="129"/>
      <c r="G2937" s="129"/>
    </row>
    <row r="2938" spans="2:7" x14ac:dyDescent="0.2">
      <c r="B2938" s="129"/>
      <c r="C2938" s="129"/>
      <c r="D2938" s="129"/>
      <c r="E2938" s="129"/>
      <c r="F2938" s="129"/>
      <c r="G2938" s="129"/>
    </row>
    <row r="2939" spans="2:7" x14ac:dyDescent="0.2">
      <c r="B2939" s="129"/>
      <c r="C2939" s="129"/>
      <c r="D2939" s="129"/>
      <c r="E2939" s="129"/>
      <c r="F2939" s="129"/>
      <c r="G2939" s="129"/>
    </row>
    <row r="2940" spans="2:7" x14ac:dyDescent="0.2">
      <c r="B2940" s="129"/>
      <c r="C2940" s="129"/>
      <c r="D2940" s="129"/>
      <c r="E2940" s="129"/>
      <c r="F2940" s="129"/>
      <c r="G2940" s="129"/>
    </row>
    <row r="2941" spans="2:7" x14ac:dyDescent="0.2">
      <c r="B2941" s="129"/>
      <c r="C2941" s="129"/>
      <c r="D2941" s="129"/>
      <c r="E2941" s="129"/>
      <c r="F2941" s="129"/>
      <c r="G2941" s="129"/>
    </row>
    <row r="2942" spans="2:7" x14ac:dyDescent="0.2">
      <c r="B2942" s="129"/>
      <c r="C2942" s="129"/>
      <c r="D2942" s="129"/>
      <c r="E2942" s="129"/>
      <c r="F2942" s="129"/>
      <c r="G2942" s="129"/>
    </row>
    <row r="2943" spans="2:7" x14ac:dyDescent="0.2">
      <c r="B2943" s="129"/>
      <c r="C2943" s="129"/>
      <c r="D2943" s="129"/>
      <c r="E2943" s="129"/>
      <c r="F2943" s="129"/>
      <c r="G2943" s="129"/>
    </row>
    <row r="2944" spans="2:7" x14ac:dyDescent="0.2">
      <c r="B2944" s="129"/>
      <c r="C2944" s="129"/>
      <c r="D2944" s="129"/>
      <c r="E2944" s="129"/>
      <c r="F2944" s="129"/>
      <c r="G2944" s="129"/>
    </row>
    <row r="2945" spans="2:7" x14ac:dyDescent="0.2">
      <c r="B2945" s="129"/>
      <c r="C2945" s="129"/>
      <c r="D2945" s="129"/>
      <c r="E2945" s="129"/>
      <c r="F2945" s="129"/>
      <c r="G2945" s="129"/>
    </row>
    <row r="2946" spans="2:7" x14ac:dyDescent="0.2">
      <c r="B2946" s="129"/>
      <c r="C2946" s="129"/>
      <c r="D2946" s="129"/>
      <c r="E2946" s="129"/>
      <c r="F2946" s="129"/>
      <c r="G2946" s="129"/>
    </row>
    <row r="2947" spans="2:7" x14ac:dyDescent="0.2">
      <c r="B2947" s="129"/>
      <c r="C2947" s="129"/>
      <c r="D2947" s="129"/>
      <c r="E2947" s="129"/>
      <c r="F2947" s="129"/>
      <c r="G2947" s="129"/>
    </row>
    <row r="2948" spans="2:7" x14ac:dyDescent="0.2">
      <c r="B2948" s="129"/>
      <c r="C2948" s="129"/>
      <c r="D2948" s="129"/>
      <c r="E2948" s="129"/>
      <c r="F2948" s="129"/>
      <c r="G2948" s="129"/>
    </row>
    <row r="2949" spans="2:7" x14ac:dyDescent="0.2">
      <c r="B2949" s="129"/>
      <c r="C2949" s="129"/>
      <c r="D2949" s="129"/>
      <c r="E2949" s="129"/>
      <c r="F2949" s="129"/>
      <c r="G2949" s="129"/>
    </row>
    <row r="2950" spans="2:7" x14ac:dyDescent="0.2">
      <c r="B2950" s="129"/>
      <c r="C2950" s="129"/>
      <c r="D2950" s="129"/>
      <c r="E2950" s="129"/>
      <c r="F2950" s="129"/>
      <c r="G2950" s="129"/>
    </row>
    <row r="2951" spans="2:7" x14ac:dyDescent="0.2">
      <c r="B2951" s="129"/>
      <c r="C2951" s="129"/>
      <c r="D2951" s="129"/>
      <c r="E2951" s="129"/>
      <c r="F2951" s="129"/>
      <c r="G2951" s="129"/>
    </row>
    <row r="2952" spans="2:7" x14ac:dyDescent="0.2">
      <c r="B2952" s="129"/>
      <c r="C2952" s="129"/>
      <c r="D2952" s="129"/>
      <c r="E2952" s="129"/>
      <c r="F2952" s="129"/>
      <c r="G2952" s="129"/>
    </row>
    <row r="2953" spans="2:7" x14ac:dyDescent="0.2">
      <c r="B2953" s="129"/>
      <c r="C2953" s="129"/>
      <c r="D2953" s="129"/>
      <c r="E2953" s="129"/>
      <c r="F2953" s="129"/>
      <c r="G2953" s="129"/>
    </row>
    <row r="2954" spans="2:7" x14ac:dyDescent="0.2">
      <c r="B2954" s="129"/>
      <c r="C2954" s="129"/>
      <c r="D2954" s="129"/>
      <c r="E2954" s="129"/>
      <c r="F2954" s="129"/>
      <c r="G2954" s="129"/>
    </row>
    <row r="2955" spans="2:7" x14ac:dyDescent="0.2">
      <c r="B2955" s="129"/>
      <c r="C2955" s="129"/>
      <c r="D2955" s="129"/>
      <c r="E2955" s="129"/>
      <c r="F2955" s="129"/>
      <c r="G2955" s="129"/>
    </row>
    <row r="2956" spans="2:7" x14ac:dyDescent="0.2">
      <c r="B2956" s="129"/>
      <c r="C2956" s="129"/>
      <c r="D2956" s="129"/>
      <c r="E2956" s="129"/>
      <c r="F2956" s="129"/>
      <c r="G2956" s="129"/>
    </row>
    <row r="2957" spans="2:7" x14ac:dyDescent="0.2">
      <c r="B2957" s="129"/>
      <c r="C2957" s="129"/>
      <c r="D2957" s="129"/>
      <c r="E2957" s="129"/>
      <c r="F2957" s="129"/>
      <c r="G2957" s="129"/>
    </row>
    <row r="2958" spans="2:7" x14ac:dyDescent="0.2">
      <c r="B2958" s="129"/>
      <c r="C2958" s="129"/>
      <c r="D2958" s="129"/>
      <c r="E2958" s="129"/>
      <c r="F2958" s="129"/>
      <c r="G2958" s="129"/>
    </row>
    <row r="2959" spans="2:7" x14ac:dyDescent="0.2">
      <c r="B2959" s="129"/>
      <c r="C2959" s="129"/>
      <c r="D2959" s="129"/>
      <c r="E2959" s="129"/>
      <c r="F2959" s="129"/>
      <c r="G2959" s="129"/>
    </row>
    <row r="2960" spans="2:7" x14ac:dyDescent="0.2">
      <c r="B2960" s="129"/>
      <c r="C2960" s="129"/>
      <c r="D2960" s="129"/>
      <c r="E2960" s="129"/>
      <c r="F2960" s="129"/>
      <c r="G2960" s="129"/>
    </row>
    <row r="2961" spans="2:7" x14ac:dyDescent="0.2">
      <c r="B2961" s="129"/>
      <c r="C2961" s="129"/>
      <c r="D2961" s="129"/>
      <c r="E2961" s="129"/>
      <c r="F2961" s="129"/>
      <c r="G2961" s="129"/>
    </row>
    <row r="2962" spans="2:7" x14ac:dyDescent="0.2">
      <c r="B2962" s="129"/>
      <c r="C2962" s="129"/>
      <c r="D2962" s="129"/>
      <c r="E2962" s="129"/>
      <c r="F2962" s="129"/>
      <c r="G2962" s="129"/>
    </row>
    <row r="2963" spans="2:7" x14ac:dyDescent="0.2">
      <c r="B2963" s="129"/>
      <c r="C2963" s="129"/>
      <c r="D2963" s="129"/>
      <c r="E2963" s="129"/>
      <c r="F2963" s="129"/>
      <c r="G2963" s="129"/>
    </row>
    <row r="2964" spans="2:7" x14ac:dyDescent="0.2">
      <c r="B2964" s="129"/>
      <c r="C2964" s="129"/>
      <c r="D2964" s="129"/>
      <c r="E2964" s="129"/>
      <c r="F2964" s="129"/>
      <c r="G2964" s="129"/>
    </row>
    <row r="2965" spans="2:7" x14ac:dyDescent="0.2">
      <c r="B2965" s="129"/>
      <c r="C2965" s="129"/>
      <c r="D2965" s="129"/>
      <c r="E2965" s="129"/>
      <c r="F2965" s="129"/>
      <c r="G2965" s="129"/>
    </row>
    <row r="2966" spans="2:7" x14ac:dyDescent="0.2">
      <c r="B2966" s="129"/>
      <c r="C2966" s="129"/>
      <c r="D2966" s="129"/>
      <c r="E2966" s="129"/>
      <c r="F2966" s="129"/>
      <c r="G2966" s="129"/>
    </row>
    <row r="2967" spans="2:7" x14ac:dyDescent="0.2">
      <c r="B2967" s="129"/>
      <c r="C2967" s="129"/>
      <c r="D2967" s="129"/>
      <c r="E2967" s="129"/>
      <c r="F2967" s="129"/>
      <c r="G2967" s="129"/>
    </row>
    <row r="2968" spans="2:7" x14ac:dyDescent="0.2">
      <c r="B2968" s="129"/>
      <c r="C2968" s="129"/>
      <c r="D2968" s="129"/>
      <c r="E2968" s="129"/>
      <c r="F2968" s="129"/>
      <c r="G2968" s="129"/>
    </row>
    <row r="2969" spans="2:7" x14ac:dyDescent="0.2">
      <c r="B2969" s="129"/>
      <c r="C2969" s="129"/>
      <c r="D2969" s="129"/>
      <c r="E2969" s="129"/>
      <c r="F2969" s="129"/>
      <c r="G2969" s="129"/>
    </row>
    <row r="2970" spans="2:7" x14ac:dyDescent="0.2">
      <c r="B2970" s="129"/>
      <c r="C2970" s="129"/>
      <c r="D2970" s="129"/>
      <c r="E2970" s="129"/>
      <c r="F2970" s="129"/>
      <c r="G2970" s="129"/>
    </row>
    <row r="2971" spans="2:7" x14ac:dyDescent="0.2">
      <c r="B2971" s="129"/>
      <c r="C2971" s="129"/>
      <c r="D2971" s="129"/>
      <c r="E2971" s="129"/>
      <c r="F2971" s="129"/>
      <c r="G2971" s="129"/>
    </row>
    <row r="2972" spans="2:7" x14ac:dyDescent="0.2">
      <c r="B2972" s="129"/>
      <c r="C2972" s="129"/>
      <c r="D2972" s="129"/>
      <c r="E2972" s="129"/>
      <c r="F2972" s="129"/>
      <c r="G2972" s="129"/>
    </row>
    <row r="2973" spans="2:7" x14ac:dyDescent="0.2">
      <c r="B2973" s="129"/>
      <c r="C2973" s="129"/>
      <c r="D2973" s="129"/>
      <c r="E2973" s="129"/>
      <c r="F2973" s="129"/>
      <c r="G2973" s="129"/>
    </row>
    <row r="2974" spans="2:7" x14ac:dyDescent="0.2">
      <c r="B2974" s="129"/>
      <c r="C2974" s="129"/>
      <c r="D2974" s="129"/>
      <c r="E2974" s="129"/>
      <c r="F2974" s="129"/>
      <c r="G2974" s="129"/>
    </row>
    <row r="2975" spans="2:7" x14ac:dyDescent="0.2">
      <c r="B2975" s="129"/>
      <c r="C2975" s="129"/>
      <c r="D2975" s="129"/>
      <c r="E2975" s="129"/>
      <c r="F2975" s="129"/>
      <c r="G2975" s="129"/>
    </row>
    <row r="2976" spans="2:7" x14ac:dyDescent="0.2">
      <c r="B2976" s="129"/>
      <c r="C2976" s="129"/>
      <c r="D2976" s="129"/>
      <c r="E2976" s="129"/>
      <c r="F2976" s="129"/>
      <c r="G2976" s="129"/>
    </row>
    <row r="2977" spans="2:7" x14ac:dyDescent="0.2">
      <c r="B2977" s="129"/>
      <c r="C2977" s="129"/>
      <c r="D2977" s="129"/>
      <c r="E2977" s="129"/>
      <c r="F2977" s="129"/>
      <c r="G2977" s="129"/>
    </row>
    <row r="2978" spans="2:7" x14ac:dyDescent="0.2">
      <c r="B2978" s="129"/>
      <c r="C2978" s="129"/>
      <c r="D2978" s="129"/>
      <c r="E2978" s="129"/>
      <c r="F2978" s="129"/>
      <c r="G2978" s="129"/>
    </row>
    <row r="2979" spans="2:7" x14ac:dyDescent="0.2">
      <c r="B2979" s="129"/>
      <c r="C2979" s="129"/>
      <c r="D2979" s="129"/>
      <c r="E2979" s="129"/>
      <c r="F2979" s="129"/>
      <c r="G2979" s="129"/>
    </row>
    <row r="2980" spans="2:7" x14ac:dyDescent="0.2">
      <c r="B2980" s="129"/>
      <c r="C2980" s="129"/>
      <c r="D2980" s="129"/>
      <c r="E2980" s="129"/>
      <c r="F2980" s="129"/>
      <c r="G2980" s="129"/>
    </row>
    <row r="2981" spans="2:7" x14ac:dyDescent="0.2">
      <c r="B2981" s="129"/>
      <c r="C2981" s="129"/>
      <c r="D2981" s="129"/>
      <c r="E2981" s="129"/>
      <c r="F2981" s="129"/>
      <c r="G2981" s="129"/>
    </row>
    <row r="2982" spans="2:7" x14ac:dyDescent="0.2">
      <c r="B2982" s="129"/>
      <c r="C2982" s="129"/>
      <c r="D2982" s="129"/>
      <c r="E2982" s="129"/>
      <c r="F2982" s="129"/>
      <c r="G2982" s="129"/>
    </row>
    <row r="2983" spans="2:7" x14ac:dyDescent="0.2">
      <c r="B2983" s="129"/>
      <c r="C2983" s="129"/>
      <c r="D2983" s="129"/>
      <c r="E2983" s="129"/>
      <c r="F2983" s="129"/>
      <c r="G2983" s="129"/>
    </row>
    <row r="2984" spans="2:7" x14ac:dyDescent="0.2">
      <c r="B2984" s="129"/>
      <c r="C2984" s="129"/>
      <c r="D2984" s="129"/>
      <c r="E2984" s="129"/>
      <c r="F2984" s="129"/>
      <c r="G2984" s="129"/>
    </row>
    <row r="2985" spans="2:7" x14ac:dyDescent="0.2">
      <c r="B2985" s="129"/>
      <c r="C2985" s="129"/>
      <c r="D2985" s="129"/>
      <c r="E2985" s="129"/>
      <c r="F2985" s="129"/>
      <c r="G2985" s="129"/>
    </row>
    <row r="2986" spans="2:7" x14ac:dyDescent="0.2">
      <c r="B2986" s="129"/>
      <c r="C2986" s="129"/>
      <c r="D2986" s="129"/>
      <c r="E2986" s="129"/>
      <c r="F2986" s="129"/>
      <c r="G2986" s="129"/>
    </row>
    <row r="2987" spans="2:7" x14ac:dyDescent="0.2">
      <c r="B2987" s="129"/>
      <c r="C2987" s="129"/>
      <c r="D2987" s="129"/>
      <c r="E2987" s="129"/>
      <c r="F2987" s="129"/>
      <c r="G2987" s="129"/>
    </row>
    <row r="2988" spans="2:7" x14ac:dyDescent="0.2">
      <c r="B2988" s="129"/>
      <c r="C2988" s="129"/>
      <c r="D2988" s="129"/>
      <c r="E2988" s="129"/>
      <c r="F2988" s="129"/>
      <c r="G2988" s="129"/>
    </row>
    <row r="2989" spans="2:7" x14ac:dyDescent="0.2">
      <c r="B2989" s="129"/>
      <c r="C2989" s="129"/>
      <c r="D2989" s="129"/>
      <c r="E2989" s="129"/>
      <c r="F2989" s="129"/>
      <c r="G2989" s="129"/>
    </row>
    <row r="2990" spans="2:7" x14ac:dyDescent="0.2">
      <c r="B2990" s="129"/>
      <c r="C2990" s="129"/>
      <c r="D2990" s="129"/>
      <c r="E2990" s="129"/>
      <c r="F2990" s="129"/>
      <c r="G2990" s="129"/>
    </row>
    <row r="2991" spans="2:7" x14ac:dyDescent="0.2">
      <c r="B2991" s="129"/>
      <c r="C2991" s="129"/>
      <c r="D2991" s="129"/>
      <c r="E2991" s="129"/>
      <c r="F2991" s="129"/>
      <c r="G2991" s="129"/>
    </row>
    <row r="2992" spans="2:7" x14ac:dyDescent="0.2">
      <c r="B2992" s="129"/>
      <c r="C2992" s="129"/>
      <c r="D2992" s="129"/>
      <c r="E2992" s="129"/>
      <c r="F2992" s="129"/>
      <c r="G2992" s="129"/>
    </row>
    <row r="2993" spans="2:7" x14ac:dyDescent="0.2">
      <c r="B2993" s="129"/>
      <c r="C2993" s="129"/>
      <c r="D2993" s="129"/>
      <c r="E2993" s="129"/>
      <c r="F2993" s="129"/>
      <c r="G2993" s="129"/>
    </row>
    <row r="2994" spans="2:7" x14ac:dyDescent="0.2">
      <c r="B2994" s="129"/>
      <c r="C2994" s="129"/>
      <c r="D2994" s="129"/>
      <c r="E2994" s="129"/>
      <c r="F2994" s="129"/>
      <c r="G2994" s="129"/>
    </row>
    <row r="2995" spans="2:7" x14ac:dyDescent="0.2">
      <c r="B2995" s="129"/>
      <c r="C2995" s="129"/>
      <c r="D2995" s="129"/>
      <c r="E2995" s="129"/>
      <c r="F2995" s="129"/>
      <c r="G2995" s="129"/>
    </row>
    <row r="2996" spans="2:7" x14ac:dyDescent="0.2">
      <c r="B2996" s="129"/>
      <c r="C2996" s="129"/>
      <c r="D2996" s="129"/>
      <c r="E2996" s="129"/>
      <c r="F2996" s="129"/>
      <c r="G2996" s="129"/>
    </row>
    <row r="2997" spans="2:7" x14ac:dyDescent="0.2">
      <c r="B2997" s="129"/>
      <c r="C2997" s="129"/>
      <c r="D2997" s="129"/>
      <c r="E2997" s="129"/>
      <c r="F2997" s="129"/>
      <c r="G2997" s="129"/>
    </row>
    <row r="2998" spans="2:7" x14ac:dyDescent="0.2">
      <c r="B2998" s="129"/>
      <c r="C2998" s="129"/>
      <c r="D2998" s="129"/>
      <c r="E2998" s="129"/>
      <c r="F2998" s="129"/>
      <c r="G2998" s="129"/>
    </row>
    <row r="2999" spans="2:7" x14ac:dyDescent="0.2">
      <c r="B2999" s="129"/>
      <c r="C2999" s="129"/>
      <c r="D2999" s="129"/>
      <c r="E2999" s="129"/>
      <c r="F2999" s="129"/>
      <c r="G2999" s="129"/>
    </row>
    <row r="3000" spans="2:7" x14ac:dyDescent="0.2">
      <c r="B3000" s="129"/>
      <c r="C3000" s="129"/>
      <c r="D3000" s="129"/>
      <c r="E3000" s="129"/>
      <c r="F3000" s="129"/>
      <c r="G3000" s="129"/>
    </row>
    <row r="3001" spans="2:7" x14ac:dyDescent="0.2">
      <c r="B3001" s="129"/>
      <c r="C3001" s="129"/>
      <c r="D3001" s="129"/>
      <c r="E3001" s="129"/>
      <c r="F3001" s="129"/>
      <c r="G3001" s="129"/>
    </row>
    <row r="3002" spans="2:7" x14ac:dyDescent="0.2">
      <c r="B3002" s="129"/>
      <c r="C3002" s="129"/>
      <c r="D3002" s="129"/>
      <c r="E3002" s="129"/>
      <c r="F3002" s="129"/>
      <c r="G3002" s="129"/>
    </row>
    <row r="3003" spans="2:7" x14ac:dyDescent="0.2">
      <c r="B3003" s="129"/>
      <c r="C3003" s="129"/>
      <c r="D3003" s="129"/>
      <c r="E3003" s="129"/>
      <c r="F3003" s="129"/>
      <c r="G3003" s="129"/>
    </row>
    <row r="3004" spans="2:7" x14ac:dyDescent="0.2">
      <c r="B3004" s="129"/>
      <c r="C3004" s="129"/>
      <c r="D3004" s="129"/>
      <c r="E3004" s="129"/>
      <c r="F3004" s="129"/>
      <c r="G3004" s="129"/>
    </row>
    <row r="3005" spans="2:7" x14ac:dyDescent="0.2">
      <c r="B3005" s="129"/>
      <c r="C3005" s="129"/>
      <c r="D3005" s="129"/>
      <c r="E3005" s="129"/>
      <c r="F3005" s="129"/>
      <c r="G3005" s="129"/>
    </row>
    <row r="3006" spans="2:7" x14ac:dyDescent="0.2">
      <c r="B3006" s="129"/>
      <c r="C3006" s="129"/>
      <c r="D3006" s="129"/>
      <c r="E3006" s="129"/>
      <c r="F3006" s="129"/>
      <c r="G3006" s="129"/>
    </row>
    <row r="3007" spans="2:7" x14ac:dyDescent="0.2">
      <c r="B3007" s="129"/>
      <c r="C3007" s="129"/>
      <c r="D3007" s="129"/>
      <c r="E3007" s="129"/>
      <c r="F3007" s="129"/>
      <c r="G3007" s="129"/>
    </row>
    <row r="3008" spans="2:7" x14ac:dyDescent="0.2">
      <c r="B3008" s="129"/>
      <c r="C3008" s="129"/>
      <c r="D3008" s="129"/>
      <c r="E3008" s="129"/>
      <c r="F3008" s="129"/>
      <c r="G3008" s="129"/>
    </row>
    <row r="3009" spans="2:7" x14ac:dyDescent="0.2">
      <c r="B3009" s="129"/>
      <c r="C3009" s="129"/>
      <c r="D3009" s="129"/>
      <c r="E3009" s="129"/>
      <c r="F3009" s="129"/>
      <c r="G3009" s="129"/>
    </row>
    <row r="3010" spans="2:7" x14ac:dyDescent="0.2">
      <c r="B3010" s="129"/>
      <c r="C3010" s="129"/>
      <c r="D3010" s="129"/>
      <c r="E3010" s="129"/>
      <c r="F3010" s="129"/>
      <c r="G3010" s="129"/>
    </row>
    <row r="3011" spans="2:7" x14ac:dyDescent="0.2">
      <c r="B3011" s="129"/>
      <c r="C3011" s="129"/>
      <c r="D3011" s="129"/>
      <c r="E3011" s="129"/>
      <c r="F3011" s="129"/>
      <c r="G3011" s="129"/>
    </row>
    <row r="3012" spans="2:7" x14ac:dyDescent="0.2">
      <c r="B3012" s="129"/>
      <c r="C3012" s="129"/>
      <c r="D3012" s="129"/>
      <c r="E3012" s="129"/>
      <c r="F3012" s="129"/>
      <c r="G3012" s="129"/>
    </row>
    <row r="3013" spans="2:7" x14ac:dyDescent="0.2">
      <c r="B3013" s="129"/>
      <c r="C3013" s="129"/>
      <c r="D3013" s="129"/>
      <c r="E3013" s="129"/>
      <c r="F3013" s="129"/>
      <c r="G3013" s="129"/>
    </row>
    <row r="3014" spans="2:7" x14ac:dyDescent="0.2">
      <c r="B3014" s="129"/>
      <c r="C3014" s="129"/>
      <c r="D3014" s="129"/>
      <c r="E3014" s="129"/>
      <c r="F3014" s="129"/>
      <c r="G3014" s="129"/>
    </row>
    <row r="3015" spans="2:7" x14ac:dyDescent="0.2">
      <c r="B3015" s="129"/>
      <c r="C3015" s="129"/>
      <c r="D3015" s="129"/>
      <c r="E3015" s="129"/>
      <c r="F3015" s="129"/>
      <c r="G3015" s="129"/>
    </row>
    <row r="3016" spans="2:7" x14ac:dyDescent="0.2">
      <c r="B3016" s="129"/>
      <c r="C3016" s="129"/>
      <c r="D3016" s="129"/>
      <c r="E3016" s="129"/>
      <c r="F3016" s="129"/>
      <c r="G3016" s="129"/>
    </row>
    <row r="3017" spans="2:7" x14ac:dyDescent="0.2">
      <c r="B3017" s="129"/>
      <c r="C3017" s="129"/>
      <c r="D3017" s="129"/>
      <c r="E3017" s="129"/>
      <c r="F3017" s="129"/>
      <c r="G3017" s="129"/>
    </row>
    <row r="3018" spans="2:7" x14ac:dyDescent="0.2">
      <c r="B3018" s="129"/>
      <c r="C3018" s="129"/>
      <c r="D3018" s="129"/>
      <c r="E3018" s="129"/>
      <c r="F3018" s="129"/>
      <c r="G3018" s="129"/>
    </row>
    <row r="3019" spans="2:7" x14ac:dyDescent="0.2">
      <c r="B3019" s="129"/>
      <c r="C3019" s="129"/>
      <c r="D3019" s="129"/>
      <c r="E3019" s="129"/>
      <c r="F3019" s="129"/>
      <c r="G3019" s="129"/>
    </row>
    <row r="3020" spans="2:7" x14ac:dyDescent="0.2">
      <c r="B3020" s="129"/>
      <c r="C3020" s="129"/>
      <c r="D3020" s="129"/>
      <c r="E3020" s="129"/>
      <c r="F3020" s="129"/>
      <c r="G3020" s="129"/>
    </row>
    <row r="3021" spans="2:7" x14ac:dyDescent="0.2">
      <c r="B3021" s="129"/>
      <c r="C3021" s="129"/>
      <c r="D3021" s="129"/>
      <c r="E3021" s="129"/>
      <c r="F3021" s="129"/>
      <c r="G3021" s="129"/>
    </row>
    <row r="3022" spans="2:7" x14ac:dyDescent="0.2">
      <c r="B3022" s="129"/>
      <c r="C3022" s="129"/>
      <c r="D3022" s="129"/>
      <c r="E3022" s="129"/>
      <c r="F3022" s="129"/>
      <c r="G3022" s="129"/>
    </row>
    <row r="3023" spans="2:7" x14ac:dyDescent="0.2">
      <c r="B3023" s="129"/>
      <c r="C3023" s="129"/>
      <c r="D3023" s="129"/>
      <c r="E3023" s="129"/>
      <c r="F3023" s="129"/>
      <c r="G3023" s="129"/>
    </row>
    <row r="3024" spans="2:7" x14ac:dyDescent="0.2">
      <c r="B3024" s="129"/>
      <c r="C3024" s="129"/>
      <c r="D3024" s="129"/>
      <c r="E3024" s="129"/>
      <c r="F3024" s="129"/>
      <c r="G3024" s="129"/>
    </row>
    <row r="3025" spans="2:7" x14ac:dyDescent="0.2">
      <c r="B3025" s="129"/>
      <c r="C3025" s="129"/>
      <c r="D3025" s="129"/>
      <c r="E3025" s="129"/>
      <c r="F3025" s="129"/>
      <c r="G3025" s="129"/>
    </row>
    <row r="3026" spans="2:7" x14ac:dyDescent="0.2">
      <c r="B3026" s="129"/>
      <c r="C3026" s="129"/>
      <c r="D3026" s="129"/>
      <c r="E3026" s="129"/>
      <c r="F3026" s="129"/>
      <c r="G3026" s="129"/>
    </row>
    <row r="3027" spans="2:7" x14ac:dyDescent="0.2">
      <c r="B3027" s="129"/>
      <c r="C3027" s="129"/>
      <c r="D3027" s="129"/>
      <c r="E3027" s="129"/>
      <c r="F3027" s="129"/>
      <c r="G3027" s="129"/>
    </row>
    <row r="3028" spans="2:7" x14ac:dyDescent="0.2">
      <c r="B3028" s="129"/>
      <c r="C3028" s="129"/>
      <c r="D3028" s="129"/>
      <c r="E3028" s="129"/>
      <c r="F3028" s="129"/>
      <c r="G3028" s="129"/>
    </row>
    <row r="3029" spans="2:7" x14ac:dyDescent="0.2">
      <c r="B3029" s="129"/>
      <c r="C3029" s="129"/>
      <c r="D3029" s="129"/>
      <c r="E3029" s="129"/>
      <c r="F3029" s="129"/>
      <c r="G3029" s="129"/>
    </row>
    <row r="3030" spans="2:7" x14ac:dyDescent="0.2">
      <c r="B3030" s="129"/>
      <c r="C3030" s="129"/>
      <c r="D3030" s="129"/>
      <c r="E3030" s="129"/>
      <c r="F3030" s="129"/>
      <c r="G3030" s="129"/>
    </row>
    <row r="3031" spans="2:7" x14ac:dyDescent="0.2">
      <c r="B3031" s="129"/>
      <c r="C3031" s="129"/>
      <c r="D3031" s="129"/>
      <c r="E3031" s="129"/>
      <c r="F3031" s="129"/>
      <c r="G3031" s="129"/>
    </row>
    <row r="3032" spans="2:7" x14ac:dyDescent="0.2">
      <c r="B3032" s="129"/>
      <c r="C3032" s="129"/>
      <c r="D3032" s="129"/>
      <c r="E3032" s="129"/>
      <c r="F3032" s="129"/>
      <c r="G3032" s="129"/>
    </row>
    <row r="3033" spans="2:7" x14ac:dyDescent="0.2">
      <c r="B3033" s="129"/>
      <c r="C3033" s="129"/>
      <c r="D3033" s="129"/>
      <c r="E3033" s="129"/>
      <c r="F3033" s="129"/>
      <c r="G3033" s="129"/>
    </row>
    <row r="3034" spans="2:7" x14ac:dyDescent="0.2">
      <c r="B3034" s="129"/>
      <c r="C3034" s="129"/>
      <c r="D3034" s="129"/>
      <c r="E3034" s="129"/>
      <c r="F3034" s="129"/>
      <c r="G3034" s="129"/>
    </row>
    <row r="3035" spans="2:7" x14ac:dyDescent="0.2">
      <c r="B3035" s="129"/>
      <c r="C3035" s="129"/>
      <c r="D3035" s="129"/>
      <c r="E3035" s="129"/>
      <c r="F3035" s="129"/>
      <c r="G3035" s="129"/>
    </row>
    <row r="3036" spans="2:7" x14ac:dyDescent="0.2">
      <c r="B3036" s="129"/>
      <c r="C3036" s="129"/>
      <c r="D3036" s="129"/>
      <c r="E3036" s="129"/>
      <c r="F3036" s="129"/>
      <c r="G3036" s="129"/>
    </row>
    <row r="3037" spans="2:7" x14ac:dyDescent="0.2">
      <c r="B3037" s="129"/>
      <c r="C3037" s="129"/>
      <c r="D3037" s="129"/>
      <c r="E3037" s="129"/>
      <c r="F3037" s="129"/>
      <c r="G3037" s="129"/>
    </row>
    <row r="3038" spans="2:7" x14ac:dyDescent="0.2">
      <c r="B3038" s="129"/>
      <c r="C3038" s="129"/>
      <c r="D3038" s="129"/>
      <c r="E3038" s="129"/>
      <c r="F3038" s="129"/>
      <c r="G3038" s="129"/>
    </row>
    <row r="3039" spans="2:7" x14ac:dyDescent="0.2">
      <c r="B3039" s="129"/>
      <c r="C3039" s="129"/>
      <c r="D3039" s="129"/>
      <c r="E3039" s="129"/>
      <c r="F3039" s="129"/>
      <c r="G3039" s="129"/>
    </row>
    <row r="3040" spans="2:7" x14ac:dyDescent="0.2">
      <c r="B3040" s="129"/>
      <c r="C3040" s="129"/>
      <c r="D3040" s="129"/>
      <c r="E3040" s="129"/>
      <c r="F3040" s="129"/>
      <c r="G3040" s="129"/>
    </row>
    <row r="3041" spans="2:7" x14ac:dyDescent="0.2">
      <c r="B3041" s="129"/>
      <c r="C3041" s="129"/>
      <c r="D3041" s="129"/>
      <c r="E3041" s="129"/>
      <c r="F3041" s="129"/>
      <c r="G3041" s="129"/>
    </row>
    <row r="3042" spans="2:7" x14ac:dyDescent="0.2">
      <c r="B3042" s="129"/>
      <c r="C3042" s="129"/>
      <c r="D3042" s="129"/>
      <c r="E3042" s="129"/>
      <c r="F3042" s="129"/>
      <c r="G3042" s="129"/>
    </row>
    <row r="3043" spans="2:7" x14ac:dyDescent="0.2">
      <c r="B3043" s="129"/>
      <c r="C3043" s="129"/>
      <c r="D3043" s="129"/>
      <c r="E3043" s="129"/>
      <c r="F3043" s="129"/>
      <c r="G3043" s="129"/>
    </row>
    <row r="3044" spans="2:7" x14ac:dyDescent="0.2">
      <c r="B3044" s="129"/>
      <c r="C3044" s="129"/>
      <c r="D3044" s="129"/>
      <c r="E3044" s="129"/>
      <c r="F3044" s="129"/>
      <c r="G3044" s="129"/>
    </row>
    <row r="3045" spans="2:7" x14ac:dyDescent="0.2">
      <c r="B3045" s="129"/>
      <c r="C3045" s="129"/>
      <c r="D3045" s="129"/>
      <c r="E3045" s="129"/>
      <c r="F3045" s="129"/>
      <c r="G3045" s="129"/>
    </row>
    <row r="3046" spans="2:7" x14ac:dyDescent="0.2">
      <c r="B3046" s="129"/>
      <c r="C3046" s="129"/>
      <c r="D3046" s="129"/>
      <c r="E3046" s="129"/>
      <c r="F3046" s="129"/>
      <c r="G3046" s="129"/>
    </row>
    <row r="3047" spans="2:7" x14ac:dyDescent="0.2">
      <c r="B3047" s="129"/>
      <c r="C3047" s="129"/>
      <c r="D3047" s="129"/>
      <c r="E3047" s="129"/>
      <c r="F3047" s="129"/>
      <c r="G3047" s="129"/>
    </row>
    <row r="3048" spans="2:7" x14ac:dyDescent="0.2">
      <c r="B3048" s="129"/>
      <c r="C3048" s="129"/>
      <c r="D3048" s="129"/>
      <c r="E3048" s="129"/>
      <c r="F3048" s="129"/>
      <c r="G3048" s="129"/>
    </row>
    <row r="3049" spans="2:7" x14ac:dyDescent="0.2">
      <c r="B3049" s="129"/>
      <c r="C3049" s="129"/>
      <c r="D3049" s="129"/>
      <c r="E3049" s="129"/>
      <c r="F3049" s="129"/>
      <c r="G3049" s="129"/>
    </row>
    <row r="3050" spans="2:7" x14ac:dyDescent="0.2">
      <c r="B3050" s="129"/>
      <c r="C3050" s="129"/>
      <c r="D3050" s="129"/>
      <c r="E3050" s="129"/>
      <c r="F3050" s="129"/>
      <c r="G3050" s="129"/>
    </row>
    <row r="3051" spans="2:7" x14ac:dyDescent="0.2">
      <c r="B3051" s="129"/>
      <c r="C3051" s="129"/>
      <c r="D3051" s="129"/>
      <c r="E3051" s="129"/>
      <c r="F3051" s="129"/>
      <c r="G3051" s="129"/>
    </row>
    <row r="3052" spans="2:7" x14ac:dyDescent="0.2">
      <c r="B3052" s="129"/>
      <c r="C3052" s="129"/>
      <c r="D3052" s="129"/>
      <c r="E3052" s="129"/>
      <c r="F3052" s="129"/>
      <c r="G3052" s="129"/>
    </row>
    <row r="3053" spans="2:7" x14ac:dyDescent="0.2">
      <c r="B3053" s="129"/>
      <c r="C3053" s="129"/>
      <c r="D3053" s="129"/>
      <c r="E3053" s="129"/>
      <c r="F3053" s="129"/>
      <c r="G3053" s="129"/>
    </row>
    <row r="3054" spans="2:7" x14ac:dyDescent="0.2">
      <c r="B3054" s="129"/>
      <c r="C3054" s="129"/>
      <c r="D3054" s="129"/>
      <c r="E3054" s="129"/>
      <c r="F3054" s="129"/>
      <c r="G3054" s="129"/>
    </row>
    <row r="3055" spans="2:7" x14ac:dyDescent="0.2">
      <c r="B3055" s="129"/>
      <c r="C3055" s="129"/>
      <c r="D3055" s="129"/>
      <c r="E3055" s="129"/>
      <c r="F3055" s="129"/>
      <c r="G3055" s="129"/>
    </row>
    <row r="3056" spans="2:7" x14ac:dyDescent="0.2">
      <c r="B3056" s="129"/>
      <c r="C3056" s="129"/>
      <c r="D3056" s="129"/>
      <c r="E3056" s="129"/>
      <c r="F3056" s="129"/>
      <c r="G3056" s="129"/>
    </row>
    <row r="3057" spans="2:7" x14ac:dyDescent="0.2">
      <c r="B3057" s="129"/>
      <c r="C3057" s="129"/>
      <c r="D3057" s="129"/>
      <c r="E3057" s="129"/>
      <c r="F3057" s="129"/>
      <c r="G3057" s="129"/>
    </row>
    <row r="3058" spans="2:7" x14ac:dyDescent="0.2">
      <c r="B3058" s="129"/>
      <c r="C3058" s="129"/>
      <c r="D3058" s="129"/>
      <c r="E3058" s="129"/>
      <c r="F3058" s="129"/>
      <c r="G3058" s="129"/>
    </row>
    <row r="3059" spans="2:7" x14ac:dyDescent="0.2">
      <c r="B3059" s="129"/>
      <c r="C3059" s="129"/>
      <c r="D3059" s="129"/>
      <c r="E3059" s="129"/>
      <c r="F3059" s="129"/>
      <c r="G3059" s="129"/>
    </row>
    <row r="3060" spans="2:7" x14ac:dyDescent="0.2">
      <c r="B3060" s="129"/>
      <c r="C3060" s="129"/>
      <c r="D3060" s="129"/>
      <c r="E3060" s="129"/>
      <c r="F3060" s="129"/>
      <c r="G3060" s="129"/>
    </row>
    <row r="3061" spans="2:7" x14ac:dyDescent="0.2">
      <c r="B3061" s="129"/>
      <c r="C3061" s="129"/>
      <c r="D3061" s="129"/>
      <c r="E3061" s="129"/>
      <c r="F3061" s="129"/>
      <c r="G3061" s="129"/>
    </row>
    <row r="3062" spans="2:7" x14ac:dyDescent="0.2">
      <c r="B3062" s="129"/>
      <c r="C3062" s="129"/>
      <c r="D3062" s="129"/>
      <c r="E3062" s="129"/>
      <c r="F3062" s="129"/>
      <c r="G3062" s="129"/>
    </row>
    <row r="3063" spans="2:7" x14ac:dyDescent="0.2">
      <c r="B3063" s="129"/>
      <c r="C3063" s="129"/>
      <c r="D3063" s="129"/>
      <c r="E3063" s="129"/>
      <c r="F3063" s="129"/>
      <c r="G3063" s="129"/>
    </row>
    <row r="3064" spans="2:7" x14ac:dyDescent="0.2">
      <c r="B3064" s="129"/>
      <c r="C3064" s="129"/>
      <c r="D3064" s="129"/>
      <c r="E3064" s="129"/>
      <c r="F3064" s="129"/>
      <c r="G3064" s="129"/>
    </row>
    <row r="3065" spans="2:7" x14ac:dyDescent="0.2">
      <c r="B3065" s="129"/>
      <c r="C3065" s="129"/>
      <c r="D3065" s="129"/>
      <c r="E3065" s="129"/>
      <c r="F3065" s="129"/>
      <c r="G3065" s="129"/>
    </row>
    <row r="3066" spans="2:7" x14ac:dyDescent="0.2">
      <c r="B3066" s="129"/>
      <c r="C3066" s="129"/>
      <c r="D3066" s="129"/>
      <c r="E3066" s="129"/>
      <c r="F3066" s="129"/>
      <c r="G3066" s="129"/>
    </row>
    <row r="3067" spans="2:7" x14ac:dyDescent="0.2">
      <c r="B3067" s="129"/>
      <c r="C3067" s="129"/>
      <c r="D3067" s="129"/>
      <c r="E3067" s="129"/>
      <c r="F3067" s="129"/>
      <c r="G3067" s="129"/>
    </row>
    <row r="3068" spans="2:7" x14ac:dyDescent="0.2">
      <c r="B3068" s="129"/>
      <c r="C3068" s="129"/>
      <c r="D3068" s="129"/>
      <c r="E3068" s="129"/>
      <c r="F3068" s="129"/>
      <c r="G3068" s="129"/>
    </row>
    <row r="3069" spans="2:7" x14ac:dyDescent="0.2">
      <c r="B3069" s="129"/>
      <c r="C3069" s="129"/>
      <c r="D3069" s="129"/>
      <c r="E3069" s="129"/>
      <c r="F3069" s="129"/>
      <c r="G3069" s="129"/>
    </row>
    <row r="3070" spans="2:7" x14ac:dyDescent="0.2">
      <c r="B3070" s="129"/>
      <c r="C3070" s="129"/>
      <c r="D3070" s="129"/>
      <c r="E3070" s="129"/>
      <c r="F3070" s="129"/>
      <c r="G3070" s="129"/>
    </row>
    <row r="3071" spans="2:7" x14ac:dyDescent="0.2">
      <c r="B3071" s="129"/>
      <c r="C3071" s="129"/>
      <c r="D3071" s="129"/>
      <c r="E3071" s="129"/>
      <c r="F3071" s="129"/>
      <c r="G3071" s="129"/>
    </row>
    <row r="3072" spans="2:7" x14ac:dyDescent="0.2">
      <c r="B3072" s="129"/>
      <c r="C3072" s="129"/>
      <c r="D3072" s="129"/>
      <c r="E3072" s="129"/>
      <c r="F3072" s="129"/>
      <c r="G3072" s="129"/>
    </row>
    <row r="3073" spans="2:7" x14ac:dyDescent="0.2">
      <c r="B3073" s="129"/>
      <c r="C3073" s="129"/>
      <c r="D3073" s="129"/>
      <c r="E3073" s="129"/>
      <c r="F3073" s="129"/>
      <c r="G3073" s="129"/>
    </row>
    <row r="3074" spans="2:7" x14ac:dyDescent="0.2">
      <c r="B3074" s="129"/>
      <c r="C3074" s="129"/>
      <c r="D3074" s="129"/>
      <c r="E3074" s="129"/>
      <c r="F3074" s="129"/>
      <c r="G3074" s="129"/>
    </row>
    <row r="3075" spans="2:7" x14ac:dyDescent="0.2">
      <c r="B3075" s="129"/>
      <c r="C3075" s="129"/>
      <c r="D3075" s="129"/>
      <c r="E3075" s="129"/>
      <c r="F3075" s="129"/>
      <c r="G3075" s="129"/>
    </row>
    <row r="3076" spans="2:7" x14ac:dyDescent="0.2">
      <c r="B3076" s="129"/>
      <c r="C3076" s="129"/>
      <c r="D3076" s="129"/>
      <c r="E3076" s="129"/>
      <c r="F3076" s="129"/>
      <c r="G3076" s="129"/>
    </row>
    <row r="3077" spans="2:7" x14ac:dyDescent="0.2">
      <c r="B3077" s="129"/>
      <c r="C3077" s="129"/>
      <c r="D3077" s="129"/>
      <c r="E3077" s="129"/>
      <c r="F3077" s="129"/>
      <c r="G3077" s="129"/>
    </row>
    <row r="3078" spans="2:7" x14ac:dyDescent="0.2">
      <c r="B3078" s="129"/>
      <c r="C3078" s="129"/>
      <c r="D3078" s="129"/>
      <c r="E3078" s="129"/>
      <c r="F3078" s="129"/>
      <c r="G3078" s="129"/>
    </row>
    <row r="3079" spans="2:7" x14ac:dyDescent="0.2">
      <c r="B3079" s="129"/>
      <c r="C3079" s="129"/>
      <c r="D3079" s="129"/>
      <c r="E3079" s="129"/>
      <c r="F3079" s="129"/>
      <c r="G3079" s="129"/>
    </row>
    <row r="3080" spans="2:7" x14ac:dyDescent="0.2">
      <c r="B3080" s="129"/>
      <c r="C3080" s="129"/>
      <c r="D3080" s="129"/>
      <c r="E3080" s="129"/>
      <c r="F3080" s="129"/>
      <c r="G3080" s="129"/>
    </row>
    <row r="3081" spans="2:7" x14ac:dyDescent="0.2">
      <c r="B3081" s="129"/>
      <c r="C3081" s="129"/>
      <c r="D3081" s="129"/>
      <c r="E3081" s="129"/>
      <c r="F3081" s="129"/>
      <c r="G3081" s="129"/>
    </row>
    <row r="3082" spans="2:7" x14ac:dyDescent="0.2">
      <c r="B3082" s="129"/>
      <c r="C3082" s="129"/>
      <c r="D3082" s="129"/>
      <c r="E3082" s="129"/>
      <c r="F3082" s="129"/>
      <c r="G3082" s="129"/>
    </row>
    <row r="3083" spans="2:7" x14ac:dyDescent="0.2">
      <c r="B3083" s="129"/>
      <c r="C3083" s="129"/>
      <c r="D3083" s="129"/>
      <c r="E3083" s="129"/>
      <c r="F3083" s="129"/>
      <c r="G3083" s="129"/>
    </row>
    <row r="3084" spans="2:7" x14ac:dyDescent="0.2">
      <c r="B3084" s="129"/>
      <c r="C3084" s="129"/>
      <c r="D3084" s="129"/>
      <c r="E3084" s="129"/>
      <c r="F3084" s="129"/>
      <c r="G3084" s="129"/>
    </row>
    <row r="3085" spans="2:7" x14ac:dyDescent="0.2">
      <c r="B3085" s="129"/>
      <c r="C3085" s="129"/>
      <c r="D3085" s="129"/>
      <c r="E3085" s="129"/>
      <c r="F3085" s="129"/>
      <c r="G3085" s="129"/>
    </row>
    <row r="3086" spans="2:7" x14ac:dyDescent="0.2">
      <c r="B3086" s="129"/>
      <c r="C3086" s="129"/>
      <c r="D3086" s="129"/>
      <c r="E3086" s="129"/>
      <c r="F3086" s="129"/>
      <c r="G3086" s="129"/>
    </row>
    <row r="3087" spans="2:7" x14ac:dyDescent="0.2">
      <c r="B3087" s="129"/>
      <c r="C3087" s="129"/>
      <c r="D3087" s="129"/>
      <c r="E3087" s="129"/>
      <c r="F3087" s="129"/>
      <c r="G3087" s="129"/>
    </row>
    <row r="3088" spans="2:7" x14ac:dyDescent="0.2">
      <c r="B3088" s="129"/>
      <c r="C3088" s="129"/>
      <c r="D3088" s="129"/>
      <c r="E3088" s="129"/>
      <c r="F3088" s="129"/>
      <c r="G3088" s="129"/>
    </row>
    <row r="3089" spans="2:7" x14ac:dyDescent="0.2">
      <c r="B3089" s="129"/>
      <c r="C3089" s="129"/>
      <c r="D3089" s="129"/>
      <c r="E3089" s="129"/>
      <c r="F3089" s="129"/>
      <c r="G3089" s="129"/>
    </row>
    <row r="3090" spans="2:7" x14ac:dyDescent="0.2">
      <c r="B3090" s="129"/>
      <c r="C3090" s="129"/>
      <c r="D3090" s="129"/>
      <c r="E3090" s="129"/>
      <c r="F3090" s="129"/>
      <c r="G3090" s="129"/>
    </row>
    <row r="3091" spans="2:7" x14ac:dyDescent="0.2">
      <c r="B3091" s="129"/>
      <c r="C3091" s="129"/>
      <c r="D3091" s="129"/>
      <c r="E3091" s="129"/>
      <c r="F3091" s="129"/>
      <c r="G3091" s="129"/>
    </row>
    <row r="3092" spans="2:7" x14ac:dyDescent="0.2">
      <c r="B3092" s="129"/>
      <c r="C3092" s="129"/>
      <c r="D3092" s="129"/>
      <c r="E3092" s="129"/>
      <c r="F3092" s="129"/>
      <c r="G3092" s="129"/>
    </row>
    <row r="3093" spans="2:7" x14ac:dyDescent="0.2">
      <c r="B3093" s="129"/>
      <c r="C3093" s="129"/>
      <c r="D3093" s="129"/>
      <c r="E3093" s="129"/>
      <c r="F3093" s="129"/>
      <c r="G3093" s="129"/>
    </row>
    <row r="3094" spans="2:7" x14ac:dyDescent="0.2">
      <c r="B3094" s="129"/>
      <c r="C3094" s="129"/>
      <c r="D3094" s="129"/>
      <c r="E3094" s="129"/>
      <c r="F3094" s="129"/>
      <c r="G3094" s="129"/>
    </row>
    <row r="3095" spans="2:7" x14ac:dyDescent="0.2">
      <c r="B3095" s="129"/>
      <c r="C3095" s="129"/>
      <c r="D3095" s="129"/>
      <c r="E3095" s="129"/>
      <c r="F3095" s="129"/>
      <c r="G3095" s="129"/>
    </row>
    <row r="3096" spans="2:7" x14ac:dyDescent="0.2">
      <c r="B3096" s="129"/>
      <c r="C3096" s="129"/>
      <c r="D3096" s="129"/>
      <c r="E3096" s="129"/>
      <c r="F3096" s="129"/>
      <c r="G3096" s="129"/>
    </row>
    <row r="3097" spans="2:7" x14ac:dyDescent="0.2">
      <c r="B3097" s="129"/>
      <c r="C3097" s="129"/>
      <c r="D3097" s="129"/>
      <c r="E3097" s="129"/>
      <c r="F3097" s="129"/>
      <c r="G3097" s="129"/>
    </row>
    <row r="3098" spans="2:7" x14ac:dyDescent="0.2">
      <c r="B3098" s="129"/>
      <c r="C3098" s="129"/>
      <c r="D3098" s="129"/>
      <c r="E3098" s="129"/>
      <c r="F3098" s="129"/>
      <c r="G3098" s="129"/>
    </row>
    <row r="3099" spans="2:7" x14ac:dyDescent="0.2">
      <c r="B3099" s="129"/>
      <c r="C3099" s="129"/>
      <c r="D3099" s="129"/>
      <c r="E3099" s="129"/>
      <c r="F3099" s="129"/>
      <c r="G3099" s="129"/>
    </row>
    <row r="3100" spans="2:7" x14ac:dyDescent="0.2">
      <c r="B3100" s="129"/>
      <c r="C3100" s="129"/>
      <c r="D3100" s="129"/>
      <c r="E3100" s="129"/>
      <c r="F3100" s="129"/>
      <c r="G3100" s="129"/>
    </row>
    <row r="3101" spans="2:7" x14ac:dyDescent="0.2">
      <c r="B3101" s="129"/>
      <c r="C3101" s="129"/>
      <c r="D3101" s="129"/>
      <c r="E3101" s="129"/>
      <c r="F3101" s="129"/>
      <c r="G3101" s="129"/>
    </row>
    <row r="3102" spans="2:7" x14ac:dyDescent="0.2">
      <c r="B3102" s="129"/>
      <c r="C3102" s="129"/>
      <c r="D3102" s="129"/>
      <c r="E3102" s="129"/>
      <c r="F3102" s="129"/>
      <c r="G3102" s="129"/>
    </row>
    <row r="3103" spans="2:7" x14ac:dyDescent="0.2">
      <c r="B3103" s="129"/>
      <c r="C3103" s="129"/>
      <c r="D3103" s="129"/>
      <c r="E3103" s="129"/>
      <c r="F3103" s="129"/>
      <c r="G3103" s="129"/>
    </row>
    <row r="3104" spans="2:7" x14ac:dyDescent="0.2">
      <c r="B3104" s="129"/>
      <c r="C3104" s="129"/>
      <c r="D3104" s="129"/>
      <c r="E3104" s="129"/>
      <c r="F3104" s="129"/>
      <c r="G3104" s="129"/>
    </row>
    <row r="3105" spans="2:7" x14ac:dyDescent="0.2">
      <c r="B3105" s="129"/>
      <c r="C3105" s="129"/>
      <c r="D3105" s="129"/>
      <c r="E3105" s="129"/>
      <c r="F3105" s="129"/>
      <c r="G3105" s="129"/>
    </row>
    <row r="3106" spans="2:7" x14ac:dyDescent="0.2">
      <c r="B3106" s="129"/>
      <c r="C3106" s="129"/>
      <c r="D3106" s="129"/>
      <c r="E3106" s="129"/>
      <c r="F3106" s="129"/>
      <c r="G3106" s="129"/>
    </row>
    <row r="3107" spans="2:7" x14ac:dyDescent="0.2">
      <c r="B3107" s="129"/>
      <c r="C3107" s="129"/>
      <c r="D3107" s="129"/>
      <c r="E3107" s="129"/>
      <c r="F3107" s="129"/>
      <c r="G3107" s="129"/>
    </row>
    <row r="3108" spans="2:7" x14ac:dyDescent="0.2">
      <c r="B3108" s="129"/>
      <c r="C3108" s="129"/>
      <c r="D3108" s="129"/>
      <c r="E3108" s="129"/>
      <c r="F3108" s="129"/>
      <c r="G3108" s="129"/>
    </row>
    <row r="3109" spans="2:7" x14ac:dyDescent="0.2">
      <c r="B3109" s="129"/>
      <c r="C3109" s="129"/>
      <c r="D3109" s="129"/>
      <c r="E3109" s="129"/>
      <c r="F3109" s="129"/>
      <c r="G3109" s="129"/>
    </row>
    <row r="3110" spans="2:7" x14ac:dyDescent="0.2">
      <c r="B3110" s="129"/>
      <c r="C3110" s="129"/>
      <c r="D3110" s="129"/>
      <c r="E3110" s="129"/>
      <c r="F3110" s="129"/>
      <c r="G3110" s="129"/>
    </row>
    <row r="3111" spans="2:7" x14ac:dyDescent="0.2">
      <c r="B3111" s="129"/>
      <c r="C3111" s="129"/>
      <c r="D3111" s="129"/>
      <c r="E3111" s="129"/>
      <c r="F3111" s="129"/>
      <c r="G3111" s="129"/>
    </row>
    <row r="3112" spans="2:7" x14ac:dyDescent="0.2">
      <c r="B3112" s="129"/>
      <c r="C3112" s="129"/>
      <c r="D3112" s="129"/>
      <c r="E3112" s="129"/>
      <c r="F3112" s="129"/>
      <c r="G3112" s="129"/>
    </row>
    <row r="3113" spans="2:7" x14ac:dyDescent="0.2">
      <c r="B3113" s="129"/>
      <c r="C3113" s="129"/>
      <c r="D3113" s="129"/>
      <c r="E3113" s="129"/>
      <c r="F3113" s="129"/>
      <c r="G3113" s="129"/>
    </row>
    <row r="3114" spans="2:7" x14ac:dyDescent="0.2">
      <c r="B3114" s="129"/>
      <c r="C3114" s="129"/>
      <c r="D3114" s="129"/>
      <c r="E3114" s="129"/>
      <c r="F3114" s="129"/>
      <c r="G3114" s="129"/>
    </row>
    <row r="3115" spans="2:7" x14ac:dyDescent="0.2">
      <c r="B3115" s="129"/>
      <c r="C3115" s="129"/>
      <c r="D3115" s="129"/>
      <c r="E3115" s="129"/>
      <c r="F3115" s="129"/>
      <c r="G3115" s="129"/>
    </row>
    <row r="3116" spans="2:7" x14ac:dyDescent="0.2">
      <c r="B3116" s="129"/>
      <c r="C3116" s="129"/>
      <c r="D3116" s="129"/>
      <c r="E3116" s="129"/>
      <c r="F3116" s="129"/>
      <c r="G3116" s="129"/>
    </row>
    <row r="3117" spans="2:7" x14ac:dyDescent="0.2">
      <c r="B3117" s="129"/>
      <c r="C3117" s="129"/>
      <c r="D3117" s="129"/>
      <c r="E3117" s="129"/>
      <c r="F3117" s="129"/>
      <c r="G3117" s="129"/>
    </row>
    <row r="3118" spans="2:7" x14ac:dyDescent="0.2">
      <c r="B3118" s="129"/>
      <c r="C3118" s="129"/>
      <c r="D3118" s="129"/>
      <c r="E3118" s="129"/>
      <c r="F3118" s="129"/>
      <c r="G3118" s="129"/>
    </row>
    <row r="3119" spans="2:7" x14ac:dyDescent="0.2">
      <c r="B3119" s="129"/>
      <c r="C3119" s="129"/>
      <c r="D3119" s="129"/>
      <c r="E3119" s="129"/>
      <c r="F3119" s="129"/>
      <c r="G3119" s="129"/>
    </row>
    <row r="3120" spans="2:7" x14ac:dyDescent="0.2">
      <c r="B3120" s="129"/>
      <c r="C3120" s="129"/>
      <c r="D3120" s="129"/>
      <c r="E3120" s="129"/>
      <c r="F3120" s="129"/>
      <c r="G3120" s="129"/>
    </row>
    <row r="3121" spans="2:7" x14ac:dyDescent="0.2">
      <c r="B3121" s="129"/>
      <c r="C3121" s="129"/>
      <c r="D3121" s="129"/>
      <c r="E3121" s="129"/>
      <c r="F3121" s="129"/>
      <c r="G3121" s="129"/>
    </row>
    <row r="3122" spans="2:7" x14ac:dyDescent="0.2">
      <c r="B3122" s="129"/>
      <c r="C3122" s="129"/>
      <c r="D3122" s="129"/>
      <c r="E3122" s="129"/>
      <c r="F3122" s="129"/>
      <c r="G3122" s="129"/>
    </row>
    <row r="3123" spans="2:7" x14ac:dyDescent="0.2">
      <c r="B3123" s="129"/>
      <c r="C3123" s="129"/>
      <c r="D3123" s="129"/>
      <c r="E3123" s="129"/>
      <c r="F3123" s="129"/>
      <c r="G3123" s="129"/>
    </row>
    <row r="3124" spans="2:7" x14ac:dyDescent="0.2">
      <c r="B3124" s="129"/>
      <c r="C3124" s="129"/>
      <c r="D3124" s="129"/>
      <c r="E3124" s="129"/>
      <c r="F3124" s="129"/>
      <c r="G3124" s="129"/>
    </row>
    <row r="3125" spans="2:7" x14ac:dyDescent="0.2">
      <c r="B3125" s="129"/>
      <c r="C3125" s="129"/>
      <c r="D3125" s="129"/>
      <c r="E3125" s="129"/>
      <c r="F3125" s="129"/>
      <c r="G3125" s="129"/>
    </row>
    <row r="3126" spans="2:7" x14ac:dyDescent="0.2">
      <c r="B3126" s="129"/>
      <c r="C3126" s="129"/>
      <c r="D3126" s="129"/>
      <c r="E3126" s="129"/>
      <c r="F3126" s="129"/>
      <c r="G3126" s="129"/>
    </row>
    <row r="3127" spans="2:7" x14ac:dyDescent="0.2">
      <c r="B3127" s="129"/>
      <c r="C3127" s="129"/>
      <c r="D3127" s="129"/>
      <c r="E3127" s="129"/>
      <c r="F3127" s="129"/>
      <c r="G3127" s="129"/>
    </row>
    <row r="3128" spans="2:7" x14ac:dyDescent="0.2">
      <c r="B3128" s="129"/>
      <c r="C3128" s="129"/>
      <c r="D3128" s="129"/>
      <c r="E3128" s="129"/>
      <c r="F3128" s="129"/>
      <c r="G3128" s="129"/>
    </row>
    <row r="3129" spans="2:7" x14ac:dyDescent="0.2">
      <c r="B3129" s="129"/>
      <c r="C3129" s="129"/>
      <c r="D3129" s="129"/>
      <c r="E3129" s="129"/>
      <c r="F3129" s="129"/>
      <c r="G3129" s="129"/>
    </row>
    <row r="3130" spans="2:7" x14ac:dyDescent="0.2">
      <c r="B3130" s="129"/>
      <c r="C3130" s="129"/>
      <c r="D3130" s="129"/>
      <c r="E3130" s="129"/>
      <c r="F3130" s="129"/>
      <c r="G3130" s="129"/>
    </row>
    <row r="3131" spans="2:7" x14ac:dyDescent="0.2">
      <c r="B3131" s="129"/>
      <c r="C3131" s="129"/>
      <c r="D3131" s="129"/>
      <c r="E3131" s="129"/>
      <c r="F3131" s="129"/>
      <c r="G3131" s="129"/>
    </row>
    <row r="3132" spans="2:7" x14ac:dyDescent="0.2">
      <c r="B3132" s="129"/>
      <c r="C3132" s="129"/>
      <c r="D3132" s="129"/>
      <c r="E3132" s="129"/>
      <c r="F3132" s="129"/>
      <c r="G3132" s="129"/>
    </row>
    <row r="3133" spans="2:7" x14ac:dyDescent="0.2">
      <c r="B3133" s="129"/>
      <c r="C3133" s="129"/>
      <c r="D3133" s="129"/>
      <c r="E3133" s="129"/>
      <c r="F3133" s="129"/>
      <c r="G3133" s="129"/>
    </row>
    <row r="3134" spans="2:7" x14ac:dyDescent="0.2">
      <c r="B3134" s="129"/>
      <c r="C3134" s="129"/>
      <c r="D3134" s="129"/>
      <c r="E3134" s="129"/>
      <c r="F3134" s="129"/>
      <c r="G3134" s="129"/>
    </row>
    <row r="3135" spans="2:7" x14ac:dyDescent="0.2">
      <c r="B3135" s="129"/>
      <c r="C3135" s="129"/>
      <c r="D3135" s="129"/>
      <c r="E3135" s="129"/>
      <c r="F3135" s="129"/>
      <c r="G3135" s="129"/>
    </row>
    <row r="3136" spans="2:7" x14ac:dyDescent="0.2">
      <c r="B3136" s="129"/>
      <c r="C3136" s="129"/>
      <c r="D3136" s="129"/>
      <c r="E3136" s="129"/>
      <c r="F3136" s="129"/>
      <c r="G3136" s="129"/>
    </row>
    <row r="3137" spans="2:7" x14ac:dyDescent="0.2">
      <c r="B3137" s="129"/>
      <c r="C3137" s="129"/>
      <c r="D3137" s="129"/>
      <c r="E3137" s="129"/>
      <c r="F3137" s="129"/>
      <c r="G3137" s="129"/>
    </row>
    <row r="3138" spans="2:7" x14ac:dyDescent="0.2">
      <c r="B3138" s="129"/>
      <c r="C3138" s="129"/>
      <c r="D3138" s="129"/>
      <c r="E3138" s="129"/>
      <c r="F3138" s="129"/>
      <c r="G3138" s="129"/>
    </row>
    <row r="3139" spans="2:7" x14ac:dyDescent="0.2">
      <c r="B3139" s="129"/>
      <c r="C3139" s="129"/>
      <c r="D3139" s="129"/>
      <c r="E3139" s="129"/>
      <c r="F3139" s="129"/>
      <c r="G3139" s="129"/>
    </row>
    <row r="3140" spans="2:7" x14ac:dyDescent="0.2">
      <c r="B3140" s="129"/>
      <c r="C3140" s="129"/>
      <c r="D3140" s="129"/>
      <c r="E3140" s="129"/>
      <c r="F3140" s="129"/>
      <c r="G3140" s="129"/>
    </row>
    <row r="3141" spans="2:7" x14ac:dyDescent="0.2">
      <c r="B3141" s="129"/>
      <c r="C3141" s="129"/>
      <c r="D3141" s="129"/>
      <c r="E3141" s="129"/>
      <c r="F3141" s="129"/>
      <c r="G3141" s="129"/>
    </row>
    <row r="3142" spans="2:7" x14ac:dyDescent="0.2">
      <c r="B3142" s="129"/>
      <c r="C3142" s="129"/>
      <c r="D3142" s="129"/>
      <c r="E3142" s="129"/>
      <c r="F3142" s="129"/>
      <c r="G3142" s="129"/>
    </row>
    <row r="3143" spans="2:7" x14ac:dyDescent="0.2">
      <c r="B3143" s="129"/>
      <c r="C3143" s="129"/>
      <c r="D3143" s="129"/>
      <c r="E3143" s="129"/>
      <c r="F3143" s="129"/>
      <c r="G3143" s="129"/>
    </row>
    <row r="3144" spans="2:7" x14ac:dyDescent="0.2">
      <c r="B3144" s="129"/>
      <c r="C3144" s="129"/>
      <c r="D3144" s="129"/>
      <c r="E3144" s="129"/>
      <c r="F3144" s="129"/>
      <c r="G3144" s="129"/>
    </row>
    <row r="3145" spans="2:7" x14ac:dyDescent="0.2">
      <c r="B3145" s="129"/>
      <c r="C3145" s="129"/>
      <c r="D3145" s="129"/>
      <c r="E3145" s="129"/>
      <c r="F3145" s="129"/>
      <c r="G3145" s="129"/>
    </row>
    <row r="3146" spans="2:7" x14ac:dyDescent="0.2">
      <c r="B3146" s="129"/>
      <c r="C3146" s="129"/>
      <c r="D3146" s="129"/>
      <c r="E3146" s="129"/>
      <c r="F3146" s="129"/>
      <c r="G3146" s="129"/>
    </row>
    <row r="3147" spans="2:7" x14ac:dyDescent="0.2">
      <c r="B3147" s="129"/>
      <c r="C3147" s="129"/>
      <c r="D3147" s="129"/>
      <c r="E3147" s="129"/>
      <c r="F3147" s="129"/>
      <c r="G3147" s="129"/>
    </row>
    <row r="3148" spans="2:7" x14ac:dyDescent="0.2">
      <c r="B3148" s="129"/>
      <c r="C3148" s="129"/>
      <c r="D3148" s="129"/>
      <c r="E3148" s="129"/>
      <c r="F3148" s="129"/>
      <c r="G3148" s="129"/>
    </row>
    <row r="3149" spans="2:7" x14ac:dyDescent="0.2">
      <c r="B3149" s="129"/>
      <c r="C3149" s="129"/>
      <c r="D3149" s="129"/>
      <c r="E3149" s="129"/>
      <c r="F3149" s="129"/>
      <c r="G3149" s="129"/>
    </row>
    <row r="3150" spans="2:7" x14ac:dyDescent="0.2">
      <c r="B3150" s="129"/>
      <c r="C3150" s="129"/>
      <c r="D3150" s="129"/>
      <c r="E3150" s="129"/>
      <c r="F3150" s="129"/>
      <c r="G3150" s="129"/>
    </row>
    <row r="3151" spans="2:7" x14ac:dyDescent="0.2">
      <c r="B3151" s="129"/>
      <c r="C3151" s="129"/>
      <c r="D3151" s="129"/>
      <c r="E3151" s="129"/>
      <c r="F3151" s="129"/>
      <c r="G3151" s="129"/>
    </row>
    <row r="3152" spans="2:7" x14ac:dyDescent="0.2">
      <c r="B3152" s="129"/>
      <c r="C3152" s="129"/>
      <c r="D3152" s="129"/>
      <c r="E3152" s="129"/>
      <c r="F3152" s="129"/>
      <c r="G3152" s="129"/>
    </row>
    <row r="3153" spans="2:7" x14ac:dyDescent="0.2">
      <c r="B3153" s="129"/>
      <c r="C3153" s="129"/>
      <c r="D3153" s="129"/>
      <c r="E3153" s="129"/>
      <c r="F3153" s="129"/>
      <c r="G3153" s="129"/>
    </row>
    <row r="3154" spans="2:7" x14ac:dyDescent="0.2">
      <c r="B3154" s="129"/>
      <c r="C3154" s="129"/>
      <c r="D3154" s="129"/>
      <c r="E3154" s="129"/>
      <c r="F3154" s="129"/>
      <c r="G3154" s="129"/>
    </row>
    <row r="3155" spans="2:7" x14ac:dyDescent="0.2">
      <c r="B3155" s="129"/>
      <c r="C3155" s="129"/>
      <c r="D3155" s="129"/>
      <c r="E3155" s="129"/>
      <c r="F3155" s="129"/>
      <c r="G3155" s="129"/>
    </row>
    <row r="3156" spans="2:7" x14ac:dyDescent="0.2">
      <c r="B3156" s="129"/>
      <c r="C3156" s="129"/>
      <c r="D3156" s="129"/>
      <c r="E3156" s="129"/>
      <c r="F3156" s="129"/>
      <c r="G3156" s="129"/>
    </row>
    <row r="3157" spans="2:7" x14ac:dyDescent="0.2">
      <c r="B3157" s="129"/>
      <c r="C3157" s="129"/>
      <c r="D3157" s="129"/>
      <c r="E3157" s="129"/>
      <c r="F3157" s="129"/>
      <c r="G3157" s="129"/>
    </row>
    <row r="3158" spans="2:7" x14ac:dyDescent="0.2">
      <c r="B3158" s="129"/>
      <c r="C3158" s="129"/>
      <c r="D3158" s="129"/>
      <c r="E3158" s="129"/>
      <c r="F3158" s="129"/>
      <c r="G3158" s="129"/>
    </row>
    <row r="3159" spans="2:7" x14ac:dyDescent="0.2">
      <c r="B3159" s="129"/>
      <c r="C3159" s="129"/>
      <c r="D3159" s="129"/>
      <c r="E3159" s="129"/>
      <c r="F3159" s="129"/>
      <c r="G3159" s="129"/>
    </row>
    <row r="3160" spans="2:7" x14ac:dyDescent="0.2">
      <c r="B3160" s="129"/>
      <c r="C3160" s="129"/>
      <c r="D3160" s="129"/>
      <c r="E3160" s="129"/>
      <c r="F3160" s="129"/>
      <c r="G3160" s="129"/>
    </row>
    <row r="3161" spans="2:7" x14ac:dyDescent="0.2">
      <c r="B3161" s="129"/>
      <c r="C3161" s="129"/>
      <c r="D3161" s="129"/>
      <c r="E3161" s="129"/>
      <c r="F3161" s="129"/>
      <c r="G3161" s="129"/>
    </row>
    <row r="3162" spans="2:7" x14ac:dyDescent="0.2">
      <c r="B3162" s="129"/>
      <c r="C3162" s="129"/>
      <c r="D3162" s="129"/>
      <c r="E3162" s="129"/>
      <c r="F3162" s="129"/>
      <c r="G3162" s="129"/>
    </row>
    <row r="3163" spans="2:7" x14ac:dyDescent="0.2">
      <c r="B3163" s="129"/>
      <c r="C3163" s="129"/>
      <c r="D3163" s="129"/>
      <c r="E3163" s="129"/>
      <c r="F3163" s="129"/>
      <c r="G3163" s="129"/>
    </row>
    <row r="3164" spans="2:7" x14ac:dyDescent="0.2">
      <c r="B3164" s="129"/>
      <c r="C3164" s="129"/>
      <c r="D3164" s="129"/>
      <c r="E3164" s="129"/>
      <c r="F3164" s="129"/>
      <c r="G3164" s="129"/>
    </row>
    <row r="3165" spans="2:7" x14ac:dyDescent="0.2">
      <c r="B3165" s="129"/>
      <c r="C3165" s="129"/>
      <c r="D3165" s="129"/>
      <c r="E3165" s="129"/>
      <c r="F3165" s="129"/>
      <c r="G3165" s="129"/>
    </row>
    <row r="3166" spans="2:7" x14ac:dyDescent="0.2">
      <c r="B3166" s="129"/>
      <c r="C3166" s="129"/>
      <c r="D3166" s="129"/>
      <c r="E3166" s="129"/>
      <c r="F3166" s="129"/>
      <c r="G3166" s="129"/>
    </row>
    <row r="3167" spans="2:7" x14ac:dyDescent="0.2">
      <c r="B3167" s="129"/>
      <c r="C3167" s="129"/>
      <c r="D3167" s="129"/>
      <c r="E3167" s="129"/>
      <c r="F3167" s="129"/>
      <c r="G3167" s="129"/>
    </row>
    <row r="3168" spans="2:7" x14ac:dyDescent="0.2">
      <c r="B3168" s="129"/>
      <c r="C3168" s="129"/>
      <c r="D3168" s="129"/>
      <c r="E3168" s="129"/>
      <c r="F3168" s="129"/>
      <c r="G3168" s="129"/>
    </row>
    <row r="3169" spans="2:7" x14ac:dyDescent="0.2">
      <c r="B3169" s="129"/>
      <c r="C3169" s="129"/>
      <c r="D3169" s="129"/>
      <c r="E3169" s="129"/>
      <c r="F3169" s="129"/>
      <c r="G3169" s="129"/>
    </row>
    <row r="3170" spans="2:7" x14ac:dyDescent="0.2">
      <c r="B3170" s="129"/>
      <c r="C3170" s="129"/>
      <c r="D3170" s="129"/>
      <c r="E3170" s="129"/>
      <c r="F3170" s="129"/>
      <c r="G3170" s="129"/>
    </row>
    <row r="3171" spans="2:7" x14ac:dyDescent="0.2">
      <c r="B3171" s="129"/>
      <c r="C3171" s="129"/>
      <c r="D3171" s="129"/>
      <c r="E3171" s="129"/>
      <c r="F3171" s="129"/>
      <c r="G3171" s="129"/>
    </row>
    <row r="3172" spans="2:7" x14ac:dyDescent="0.2">
      <c r="B3172" s="129"/>
      <c r="C3172" s="129"/>
      <c r="D3172" s="129"/>
      <c r="E3172" s="129"/>
      <c r="F3172" s="129"/>
      <c r="G3172" s="129"/>
    </row>
    <row r="3173" spans="2:7" x14ac:dyDescent="0.2">
      <c r="B3173" s="129"/>
      <c r="C3173" s="129"/>
      <c r="D3173" s="129"/>
      <c r="E3173" s="129"/>
      <c r="F3173" s="129"/>
      <c r="G3173" s="129"/>
    </row>
    <row r="3174" spans="2:7" x14ac:dyDescent="0.2">
      <c r="B3174" s="129"/>
      <c r="C3174" s="129"/>
      <c r="D3174" s="129"/>
      <c r="E3174" s="129"/>
      <c r="F3174" s="129"/>
      <c r="G3174" s="129"/>
    </row>
    <row r="3175" spans="2:7" x14ac:dyDescent="0.2">
      <c r="B3175" s="129"/>
      <c r="C3175" s="129"/>
      <c r="D3175" s="129"/>
      <c r="E3175" s="129"/>
      <c r="F3175" s="129"/>
      <c r="G3175" s="129"/>
    </row>
    <row r="3176" spans="2:7" x14ac:dyDescent="0.2">
      <c r="B3176" s="129"/>
      <c r="C3176" s="129"/>
      <c r="D3176" s="129"/>
      <c r="E3176" s="129"/>
      <c r="F3176" s="129"/>
      <c r="G3176" s="129"/>
    </row>
    <row r="3177" spans="2:7" x14ac:dyDescent="0.2">
      <c r="B3177" s="129"/>
      <c r="C3177" s="129"/>
      <c r="D3177" s="129"/>
      <c r="E3177" s="129"/>
      <c r="F3177" s="129"/>
      <c r="G3177" s="129"/>
    </row>
    <row r="3178" spans="2:7" x14ac:dyDescent="0.2">
      <c r="B3178" s="129"/>
      <c r="C3178" s="129"/>
      <c r="D3178" s="129"/>
      <c r="E3178" s="129"/>
      <c r="F3178" s="129"/>
      <c r="G3178" s="129"/>
    </row>
    <row r="3179" spans="2:7" x14ac:dyDescent="0.2">
      <c r="B3179" s="129"/>
      <c r="C3179" s="129"/>
      <c r="D3179" s="129"/>
      <c r="E3179" s="129"/>
      <c r="F3179" s="129"/>
      <c r="G3179" s="129"/>
    </row>
    <row r="3180" spans="2:7" x14ac:dyDescent="0.2">
      <c r="B3180" s="129"/>
      <c r="C3180" s="129"/>
      <c r="D3180" s="129"/>
      <c r="E3180" s="129"/>
      <c r="F3180" s="129"/>
      <c r="G3180" s="129"/>
    </row>
    <row r="3181" spans="2:7" x14ac:dyDescent="0.2">
      <c r="B3181" s="129"/>
      <c r="C3181" s="129"/>
      <c r="D3181" s="129"/>
      <c r="E3181" s="129"/>
      <c r="F3181" s="129"/>
      <c r="G3181" s="129"/>
    </row>
    <row r="3182" spans="2:7" x14ac:dyDescent="0.2">
      <c r="B3182" s="129"/>
      <c r="C3182" s="129"/>
      <c r="D3182" s="129"/>
      <c r="E3182" s="129"/>
      <c r="F3182" s="129"/>
      <c r="G3182" s="129"/>
    </row>
    <row r="3183" spans="2:7" x14ac:dyDescent="0.2">
      <c r="B3183" s="129"/>
      <c r="C3183" s="129"/>
      <c r="D3183" s="129"/>
      <c r="E3183" s="129"/>
      <c r="F3183" s="129"/>
      <c r="G3183" s="129"/>
    </row>
    <row r="3184" spans="2:7" x14ac:dyDescent="0.2">
      <c r="B3184" s="129"/>
      <c r="C3184" s="129"/>
      <c r="D3184" s="129"/>
      <c r="E3184" s="129"/>
      <c r="F3184" s="129"/>
      <c r="G3184" s="129"/>
    </row>
    <row r="3185" spans="2:7" x14ac:dyDescent="0.2">
      <c r="B3185" s="129"/>
      <c r="C3185" s="129"/>
      <c r="D3185" s="129"/>
      <c r="E3185" s="129"/>
      <c r="F3185" s="129"/>
      <c r="G3185" s="129"/>
    </row>
    <row r="3186" spans="2:7" x14ac:dyDescent="0.2">
      <c r="B3186" s="129"/>
      <c r="C3186" s="129"/>
      <c r="D3186" s="129"/>
      <c r="E3186" s="129"/>
      <c r="F3186" s="129"/>
      <c r="G3186" s="129"/>
    </row>
    <row r="3187" spans="2:7" x14ac:dyDescent="0.2">
      <c r="B3187" s="129"/>
      <c r="C3187" s="129"/>
      <c r="D3187" s="129"/>
      <c r="E3187" s="129"/>
      <c r="F3187" s="129"/>
      <c r="G3187" s="129"/>
    </row>
    <row r="3188" spans="2:7" x14ac:dyDescent="0.2">
      <c r="B3188" s="129"/>
      <c r="C3188" s="129"/>
      <c r="D3188" s="129"/>
      <c r="E3188" s="129"/>
      <c r="F3188" s="129"/>
      <c r="G3188" s="129"/>
    </row>
    <row r="3189" spans="2:7" x14ac:dyDescent="0.2">
      <c r="B3189" s="129"/>
      <c r="C3189" s="129"/>
      <c r="D3189" s="129"/>
      <c r="E3189" s="129"/>
      <c r="F3189" s="129"/>
      <c r="G3189" s="129"/>
    </row>
    <row r="3190" spans="2:7" x14ac:dyDescent="0.2">
      <c r="B3190" s="129"/>
      <c r="C3190" s="129"/>
      <c r="D3190" s="129"/>
      <c r="E3190" s="129"/>
      <c r="F3190" s="129"/>
      <c r="G3190" s="129"/>
    </row>
    <row r="3191" spans="2:7" x14ac:dyDescent="0.2">
      <c r="B3191" s="129"/>
      <c r="C3191" s="129"/>
      <c r="D3191" s="129"/>
      <c r="E3191" s="129"/>
      <c r="F3191" s="129"/>
      <c r="G3191" s="129"/>
    </row>
    <row r="3192" spans="2:7" x14ac:dyDescent="0.2">
      <c r="B3192" s="129"/>
      <c r="C3192" s="129"/>
      <c r="D3192" s="129"/>
      <c r="E3192" s="129"/>
      <c r="F3192" s="129"/>
      <c r="G3192" s="129"/>
    </row>
    <row r="3193" spans="2:7" x14ac:dyDescent="0.2">
      <c r="B3193" s="129"/>
      <c r="C3193" s="129"/>
      <c r="D3193" s="129"/>
      <c r="E3193" s="129"/>
      <c r="F3193" s="129"/>
      <c r="G3193" s="129"/>
    </row>
    <row r="3194" spans="2:7" x14ac:dyDescent="0.2">
      <c r="B3194" s="129"/>
      <c r="C3194" s="129"/>
      <c r="D3194" s="129"/>
      <c r="E3194" s="129"/>
      <c r="F3194" s="129"/>
      <c r="G3194" s="129"/>
    </row>
    <row r="3195" spans="2:7" x14ac:dyDescent="0.2">
      <c r="B3195" s="129"/>
      <c r="C3195" s="129"/>
      <c r="D3195" s="129"/>
      <c r="E3195" s="129"/>
      <c r="F3195" s="129"/>
      <c r="G3195" s="129"/>
    </row>
    <row r="3196" spans="2:7" x14ac:dyDescent="0.2">
      <c r="B3196" s="129"/>
      <c r="C3196" s="129"/>
      <c r="D3196" s="129"/>
      <c r="E3196" s="129"/>
      <c r="F3196" s="129"/>
      <c r="G3196" s="129"/>
    </row>
    <row r="3197" spans="2:7" x14ac:dyDescent="0.2">
      <c r="B3197" s="129"/>
      <c r="C3197" s="129"/>
      <c r="D3197" s="129"/>
      <c r="E3197" s="129"/>
      <c r="F3197" s="129"/>
      <c r="G3197" s="129"/>
    </row>
    <row r="3198" spans="2:7" x14ac:dyDescent="0.2">
      <c r="B3198" s="129"/>
      <c r="C3198" s="129"/>
      <c r="D3198" s="129"/>
      <c r="E3198" s="129"/>
      <c r="F3198" s="129"/>
      <c r="G3198" s="129"/>
    </row>
    <row r="3199" spans="2:7" x14ac:dyDescent="0.2">
      <c r="B3199" s="129"/>
      <c r="C3199" s="129"/>
      <c r="D3199" s="129"/>
      <c r="E3199" s="129"/>
      <c r="F3199" s="129"/>
      <c r="G3199" s="129"/>
    </row>
    <row r="3200" spans="2:7" x14ac:dyDescent="0.2">
      <c r="B3200" s="129"/>
      <c r="C3200" s="129"/>
      <c r="D3200" s="129"/>
      <c r="E3200" s="129"/>
      <c r="F3200" s="129"/>
      <c r="G3200" s="129"/>
    </row>
    <row r="3201" spans="2:7" x14ac:dyDescent="0.2">
      <c r="B3201" s="129"/>
      <c r="C3201" s="129"/>
      <c r="D3201" s="129"/>
      <c r="E3201" s="129"/>
      <c r="F3201" s="129"/>
      <c r="G3201" s="129"/>
    </row>
    <row r="3202" spans="2:7" x14ac:dyDescent="0.2">
      <c r="B3202" s="129"/>
      <c r="C3202" s="129"/>
      <c r="D3202" s="129"/>
      <c r="E3202" s="129"/>
      <c r="F3202" s="129"/>
      <c r="G3202" s="129"/>
    </row>
    <row r="3203" spans="2:7" x14ac:dyDescent="0.2">
      <c r="B3203" s="129"/>
      <c r="C3203" s="129"/>
      <c r="D3203" s="129"/>
      <c r="E3203" s="129"/>
      <c r="F3203" s="129"/>
      <c r="G3203" s="129"/>
    </row>
    <row r="3204" spans="2:7" x14ac:dyDescent="0.2">
      <c r="B3204" s="129"/>
      <c r="C3204" s="129"/>
      <c r="D3204" s="129"/>
      <c r="E3204" s="129"/>
      <c r="F3204" s="129"/>
      <c r="G3204" s="129"/>
    </row>
    <row r="3205" spans="2:7" x14ac:dyDescent="0.2">
      <c r="B3205" s="129"/>
      <c r="C3205" s="129"/>
      <c r="D3205" s="129"/>
      <c r="E3205" s="129"/>
      <c r="F3205" s="129"/>
      <c r="G3205" s="129"/>
    </row>
    <row r="3206" spans="2:7" x14ac:dyDescent="0.2">
      <c r="B3206" s="129"/>
      <c r="C3206" s="129"/>
      <c r="D3206" s="129"/>
      <c r="E3206" s="129"/>
      <c r="F3206" s="129"/>
      <c r="G3206" s="129"/>
    </row>
    <row r="3207" spans="2:7" x14ac:dyDescent="0.2">
      <c r="B3207" s="129"/>
      <c r="C3207" s="129"/>
      <c r="D3207" s="129"/>
      <c r="E3207" s="129"/>
      <c r="F3207" s="129"/>
      <c r="G3207" s="129"/>
    </row>
    <row r="3208" spans="2:7" x14ac:dyDescent="0.2">
      <c r="B3208" s="129"/>
      <c r="C3208" s="129"/>
      <c r="D3208" s="129"/>
      <c r="E3208" s="129"/>
      <c r="F3208" s="129"/>
      <c r="G3208" s="129"/>
    </row>
    <row r="3209" spans="2:7" x14ac:dyDescent="0.2">
      <c r="B3209" s="129"/>
      <c r="C3209" s="129"/>
      <c r="D3209" s="129"/>
      <c r="E3209" s="129"/>
      <c r="F3209" s="129"/>
      <c r="G3209" s="129"/>
    </row>
    <row r="3210" spans="2:7" x14ac:dyDescent="0.2">
      <c r="B3210" s="129"/>
      <c r="C3210" s="129"/>
      <c r="D3210" s="129"/>
      <c r="E3210" s="129"/>
      <c r="F3210" s="129"/>
      <c r="G3210" s="129"/>
    </row>
    <row r="3211" spans="2:7" x14ac:dyDescent="0.2">
      <c r="B3211" s="129"/>
      <c r="C3211" s="129"/>
      <c r="D3211" s="129"/>
      <c r="E3211" s="129"/>
      <c r="F3211" s="129"/>
      <c r="G3211" s="129"/>
    </row>
    <row r="3212" spans="2:7" x14ac:dyDescent="0.2">
      <c r="B3212" s="129"/>
      <c r="C3212" s="129"/>
      <c r="D3212" s="129"/>
      <c r="E3212" s="129"/>
      <c r="F3212" s="129"/>
      <c r="G3212" s="129"/>
    </row>
    <row r="3213" spans="2:7" x14ac:dyDescent="0.2">
      <c r="B3213" s="129"/>
      <c r="C3213" s="129"/>
      <c r="D3213" s="129"/>
      <c r="E3213" s="129"/>
      <c r="F3213" s="129"/>
      <c r="G3213" s="129"/>
    </row>
    <row r="3214" spans="2:7" x14ac:dyDescent="0.2">
      <c r="B3214" s="129"/>
      <c r="C3214" s="129"/>
      <c r="D3214" s="129"/>
      <c r="E3214" s="129"/>
      <c r="F3214" s="129"/>
      <c r="G3214" s="129"/>
    </row>
    <row r="3215" spans="2:7" x14ac:dyDescent="0.2">
      <c r="B3215" s="129"/>
      <c r="C3215" s="129"/>
      <c r="D3215" s="129"/>
      <c r="E3215" s="129"/>
      <c r="F3215" s="129"/>
      <c r="G3215" s="129"/>
    </row>
    <row r="3216" spans="2:7" x14ac:dyDescent="0.2">
      <c r="B3216" s="129"/>
      <c r="C3216" s="129"/>
      <c r="D3216" s="129"/>
      <c r="E3216" s="129"/>
      <c r="F3216" s="129"/>
      <c r="G3216" s="129"/>
    </row>
    <row r="3217" spans="2:7" x14ac:dyDescent="0.2">
      <c r="B3217" s="129"/>
      <c r="C3217" s="129"/>
      <c r="D3217" s="129"/>
      <c r="E3217" s="129"/>
      <c r="F3217" s="129"/>
      <c r="G3217" s="129"/>
    </row>
    <row r="3218" spans="2:7" x14ac:dyDescent="0.2">
      <c r="B3218" s="129"/>
      <c r="C3218" s="129"/>
      <c r="D3218" s="129"/>
      <c r="E3218" s="129"/>
      <c r="F3218" s="129"/>
      <c r="G3218" s="129"/>
    </row>
    <row r="3219" spans="2:7" x14ac:dyDescent="0.2">
      <c r="B3219" s="129"/>
      <c r="C3219" s="129"/>
      <c r="D3219" s="129"/>
      <c r="E3219" s="129"/>
      <c r="F3219" s="129"/>
      <c r="G3219" s="129"/>
    </row>
    <row r="3220" spans="2:7" x14ac:dyDescent="0.2">
      <c r="B3220" s="129"/>
      <c r="C3220" s="129"/>
      <c r="D3220" s="129"/>
      <c r="E3220" s="129"/>
      <c r="F3220" s="129"/>
      <c r="G3220" s="129"/>
    </row>
    <row r="3221" spans="2:7" x14ac:dyDescent="0.2">
      <c r="B3221" s="129"/>
      <c r="C3221" s="129"/>
      <c r="D3221" s="129"/>
      <c r="E3221" s="129"/>
      <c r="F3221" s="129"/>
      <c r="G3221" s="129"/>
    </row>
    <row r="3222" spans="2:7" x14ac:dyDescent="0.2">
      <c r="B3222" s="129"/>
      <c r="C3222" s="129"/>
      <c r="D3222" s="129"/>
      <c r="E3222" s="129"/>
      <c r="F3222" s="129"/>
      <c r="G3222" s="129"/>
    </row>
    <row r="3223" spans="2:7" x14ac:dyDescent="0.2">
      <c r="B3223" s="129"/>
      <c r="C3223" s="129"/>
      <c r="D3223" s="129"/>
      <c r="E3223" s="129"/>
      <c r="F3223" s="129"/>
      <c r="G3223" s="129"/>
    </row>
    <row r="3224" spans="2:7" x14ac:dyDescent="0.2">
      <c r="B3224" s="129"/>
      <c r="C3224" s="129"/>
      <c r="D3224" s="129"/>
      <c r="E3224" s="129"/>
      <c r="F3224" s="129"/>
      <c r="G3224" s="129"/>
    </row>
    <row r="3225" spans="2:7" x14ac:dyDescent="0.2">
      <c r="B3225" s="129"/>
      <c r="C3225" s="129"/>
      <c r="D3225" s="129"/>
      <c r="E3225" s="129"/>
      <c r="F3225" s="129"/>
      <c r="G3225" s="129"/>
    </row>
    <row r="3226" spans="2:7" x14ac:dyDescent="0.2">
      <c r="B3226" s="129"/>
      <c r="C3226" s="129"/>
      <c r="D3226" s="129"/>
      <c r="E3226" s="129"/>
      <c r="F3226" s="129"/>
      <c r="G3226" s="129"/>
    </row>
    <row r="3227" spans="2:7" x14ac:dyDescent="0.2">
      <c r="B3227" s="129"/>
      <c r="C3227" s="129"/>
      <c r="D3227" s="129"/>
      <c r="E3227" s="129"/>
      <c r="F3227" s="129"/>
      <c r="G3227" s="129"/>
    </row>
    <row r="3228" spans="2:7" x14ac:dyDescent="0.2">
      <c r="B3228" s="129"/>
      <c r="C3228" s="129"/>
      <c r="D3228" s="129"/>
      <c r="E3228" s="129"/>
      <c r="F3228" s="129"/>
      <c r="G3228" s="129"/>
    </row>
    <row r="3229" spans="2:7" x14ac:dyDescent="0.2">
      <c r="B3229" s="129"/>
      <c r="C3229" s="129"/>
      <c r="D3229" s="129"/>
      <c r="E3229" s="129"/>
      <c r="F3229" s="129"/>
      <c r="G3229" s="129"/>
    </row>
    <row r="3230" spans="2:7" x14ac:dyDescent="0.2">
      <c r="B3230" s="129"/>
      <c r="C3230" s="129"/>
      <c r="D3230" s="129"/>
      <c r="E3230" s="129"/>
      <c r="F3230" s="129"/>
      <c r="G3230" s="129"/>
    </row>
    <row r="3231" spans="2:7" x14ac:dyDescent="0.2">
      <c r="B3231" s="129"/>
      <c r="C3231" s="129"/>
      <c r="D3231" s="129"/>
      <c r="E3231" s="129"/>
      <c r="F3231" s="129"/>
      <c r="G3231" s="129"/>
    </row>
    <row r="3232" spans="2:7" x14ac:dyDescent="0.2">
      <c r="B3232" s="129"/>
      <c r="C3232" s="129"/>
      <c r="D3232" s="129"/>
      <c r="E3232" s="129"/>
      <c r="F3232" s="129"/>
      <c r="G3232" s="129"/>
    </row>
    <row r="3233" spans="2:7" x14ac:dyDescent="0.2">
      <c r="B3233" s="129"/>
      <c r="C3233" s="129"/>
      <c r="D3233" s="129"/>
      <c r="E3233" s="129"/>
      <c r="F3233" s="129"/>
      <c r="G3233" s="129"/>
    </row>
    <row r="3234" spans="2:7" x14ac:dyDescent="0.2">
      <c r="B3234" s="129"/>
      <c r="C3234" s="129"/>
      <c r="D3234" s="129"/>
      <c r="E3234" s="129"/>
      <c r="F3234" s="129"/>
      <c r="G3234" s="129"/>
    </row>
    <row r="3235" spans="2:7" x14ac:dyDescent="0.2">
      <c r="B3235" s="129"/>
      <c r="C3235" s="129"/>
      <c r="D3235" s="129"/>
      <c r="E3235" s="129"/>
      <c r="F3235" s="129"/>
      <c r="G3235" s="129"/>
    </row>
    <row r="3236" spans="2:7" x14ac:dyDescent="0.2">
      <c r="B3236" s="129"/>
      <c r="C3236" s="129"/>
      <c r="D3236" s="129"/>
      <c r="E3236" s="129"/>
      <c r="F3236" s="129"/>
      <c r="G3236" s="129"/>
    </row>
    <row r="3237" spans="2:7" x14ac:dyDescent="0.2">
      <c r="B3237" s="129"/>
      <c r="C3237" s="129"/>
      <c r="D3237" s="129"/>
      <c r="E3237" s="129"/>
      <c r="F3237" s="129"/>
      <c r="G3237" s="129"/>
    </row>
    <row r="3238" spans="2:7" x14ac:dyDescent="0.2">
      <c r="B3238" s="129"/>
      <c r="C3238" s="129"/>
      <c r="D3238" s="129"/>
      <c r="E3238" s="129"/>
      <c r="F3238" s="129"/>
      <c r="G3238" s="129"/>
    </row>
    <row r="3239" spans="2:7" x14ac:dyDescent="0.2">
      <c r="B3239" s="129"/>
      <c r="C3239" s="129"/>
      <c r="D3239" s="129"/>
      <c r="E3239" s="129"/>
      <c r="F3239" s="129"/>
      <c r="G3239" s="129"/>
    </row>
    <row r="3240" spans="2:7" x14ac:dyDescent="0.2">
      <c r="B3240" s="129"/>
      <c r="C3240" s="129"/>
      <c r="D3240" s="129"/>
      <c r="E3240" s="129"/>
      <c r="F3240" s="129"/>
      <c r="G3240" s="129"/>
    </row>
    <row r="3241" spans="2:7" x14ac:dyDescent="0.2">
      <c r="B3241" s="129"/>
      <c r="C3241" s="129"/>
      <c r="D3241" s="129"/>
      <c r="E3241" s="129"/>
      <c r="F3241" s="129"/>
      <c r="G3241" s="129"/>
    </row>
    <row r="3242" spans="2:7" x14ac:dyDescent="0.2">
      <c r="B3242" s="129"/>
      <c r="C3242" s="129"/>
      <c r="D3242" s="129"/>
      <c r="E3242" s="129"/>
      <c r="F3242" s="129"/>
      <c r="G3242" s="129"/>
    </row>
    <row r="3243" spans="2:7" x14ac:dyDescent="0.2">
      <c r="B3243" s="129"/>
      <c r="C3243" s="129"/>
      <c r="D3243" s="129"/>
      <c r="E3243" s="129"/>
      <c r="F3243" s="129"/>
      <c r="G3243" s="129"/>
    </row>
    <row r="3244" spans="2:7" x14ac:dyDescent="0.2">
      <c r="B3244" s="129"/>
      <c r="C3244" s="129"/>
      <c r="D3244" s="129"/>
      <c r="E3244" s="129"/>
      <c r="F3244" s="129"/>
      <c r="G3244" s="129"/>
    </row>
    <row r="3245" spans="2:7" x14ac:dyDescent="0.2">
      <c r="B3245" s="129"/>
      <c r="C3245" s="129"/>
      <c r="D3245" s="129"/>
      <c r="E3245" s="129"/>
      <c r="F3245" s="129"/>
      <c r="G3245" s="129"/>
    </row>
    <row r="3246" spans="2:7" x14ac:dyDescent="0.2">
      <c r="B3246" s="129"/>
      <c r="C3246" s="129"/>
      <c r="D3246" s="129"/>
      <c r="E3246" s="129"/>
      <c r="F3246" s="129"/>
      <c r="G3246" s="129"/>
    </row>
    <row r="3247" spans="2:7" x14ac:dyDescent="0.2">
      <c r="B3247" s="129"/>
      <c r="C3247" s="129"/>
      <c r="D3247" s="129"/>
      <c r="E3247" s="129"/>
      <c r="F3247" s="129"/>
      <c r="G3247" s="129"/>
    </row>
    <row r="3248" spans="2:7" x14ac:dyDescent="0.2">
      <c r="B3248" s="129"/>
      <c r="C3248" s="129"/>
      <c r="D3248" s="129"/>
      <c r="E3248" s="129"/>
      <c r="F3248" s="129"/>
      <c r="G3248" s="129"/>
    </row>
    <row r="3249" spans="2:7" x14ac:dyDescent="0.2">
      <c r="B3249" s="129"/>
      <c r="C3249" s="129"/>
      <c r="D3249" s="129"/>
      <c r="E3249" s="129"/>
      <c r="F3249" s="129"/>
      <c r="G3249" s="129"/>
    </row>
    <row r="3250" spans="2:7" x14ac:dyDescent="0.2">
      <c r="B3250" s="129"/>
      <c r="C3250" s="129"/>
      <c r="D3250" s="129"/>
      <c r="E3250" s="129"/>
      <c r="F3250" s="129"/>
      <c r="G3250" s="129"/>
    </row>
    <row r="3251" spans="2:7" x14ac:dyDescent="0.2">
      <c r="B3251" s="129"/>
      <c r="C3251" s="129"/>
      <c r="D3251" s="129"/>
      <c r="E3251" s="129"/>
      <c r="F3251" s="129"/>
      <c r="G3251" s="129"/>
    </row>
    <row r="3252" spans="2:7" x14ac:dyDescent="0.2">
      <c r="B3252" s="129"/>
      <c r="C3252" s="129"/>
      <c r="D3252" s="129"/>
      <c r="E3252" s="129"/>
      <c r="F3252" s="129"/>
      <c r="G3252" s="129"/>
    </row>
    <row r="3253" spans="2:7" x14ac:dyDescent="0.2">
      <c r="B3253" s="129"/>
      <c r="C3253" s="129"/>
      <c r="D3253" s="129"/>
      <c r="E3253" s="129"/>
      <c r="F3253" s="129"/>
      <c r="G3253" s="129"/>
    </row>
    <row r="3254" spans="2:7" x14ac:dyDescent="0.2">
      <c r="B3254" s="129"/>
      <c r="C3254" s="129"/>
      <c r="D3254" s="129"/>
      <c r="E3254" s="129"/>
      <c r="F3254" s="129"/>
      <c r="G3254" s="129"/>
    </row>
    <row r="3255" spans="2:7" x14ac:dyDescent="0.2">
      <c r="B3255" s="129"/>
      <c r="C3255" s="129"/>
      <c r="D3255" s="129"/>
      <c r="E3255" s="129"/>
      <c r="F3255" s="129"/>
      <c r="G3255" s="129"/>
    </row>
    <row r="3256" spans="2:7" x14ac:dyDescent="0.2">
      <c r="B3256" s="129"/>
      <c r="C3256" s="129"/>
      <c r="D3256" s="129"/>
      <c r="E3256" s="129"/>
      <c r="F3256" s="129"/>
      <c r="G3256" s="129"/>
    </row>
    <row r="3257" spans="2:7" x14ac:dyDescent="0.2">
      <c r="B3257" s="129"/>
      <c r="C3257" s="129"/>
      <c r="D3257" s="129"/>
      <c r="E3257" s="129"/>
      <c r="F3257" s="129"/>
      <c r="G3257" s="129"/>
    </row>
    <row r="3258" spans="2:7" x14ac:dyDescent="0.2">
      <c r="B3258" s="129"/>
      <c r="C3258" s="129"/>
      <c r="D3258" s="129"/>
      <c r="E3258" s="129"/>
      <c r="F3258" s="129"/>
      <c r="G3258" s="129"/>
    </row>
    <row r="3259" spans="2:7" x14ac:dyDescent="0.2">
      <c r="B3259" s="129"/>
      <c r="C3259" s="129"/>
      <c r="D3259" s="129"/>
      <c r="E3259" s="129"/>
      <c r="F3259" s="129"/>
      <c r="G3259" s="129"/>
    </row>
    <row r="3260" spans="2:7" x14ac:dyDescent="0.2">
      <c r="B3260" s="129"/>
      <c r="C3260" s="129"/>
      <c r="D3260" s="129"/>
      <c r="E3260" s="129"/>
      <c r="F3260" s="129"/>
      <c r="G3260" s="129"/>
    </row>
    <row r="3261" spans="2:7" x14ac:dyDescent="0.2">
      <c r="B3261" s="129"/>
      <c r="C3261" s="129"/>
      <c r="D3261" s="129"/>
      <c r="E3261" s="129"/>
      <c r="F3261" s="129"/>
      <c r="G3261" s="129"/>
    </row>
    <row r="3262" spans="2:7" x14ac:dyDescent="0.2">
      <c r="B3262" s="129"/>
      <c r="C3262" s="129"/>
      <c r="D3262" s="129"/>
      <c r="E3262" s="129"/>
      <c r="F3262" s="129"/>
      <c r="G3262" s="129"/>
    </row>
    <row r="3263" spans="2:7" x14ac:dyDescent="0.2">
      <c r="B3263" s="129"/>
      <c r="C3263" s="129"/>
      <c r="D3263" s="129"/>
      <c r="E3263" s="129"/>
      <c r="F3263" s="129"/>
      <c r="G3263" s="129"/>
    </row>
    <row r="3264" spans="2:7" x14ac:dyDescent="0.2">
      <c r="B3264" s="129"/>
      <c r="C3264" s="129"/>
      <c r="D3264" s="129"/>
      <c r="E3264" s="129"/>
      <c r="F3264" s="129"/>
      <c r="G3264" s="129"/>
    </row>
    <row r="3265" spans="2:7" x14ac:dyDescent="0.2">
      <c r="B3265" s="129"/>
      <c r="C3265" s="129"/>
      <c r="D3265" s="129"/>
      <c r="E3265" s="129"/>
      <c r="F3265" s="129"/>
      <c r="G3265" s="129"/>
    </row>
    <row r="3266" spans="2:7" x14ac:dyDescent="0.2">
      <c r="B3266" s="129"/>
      <c r="C3266" s="129"/>
      <c r="D3266" s="129"/>
      <c r="E3266" s="129"/>
      <c r="F3266" s="129"/>
      <c r="G3266" s="129"/>
    </row>
    <row r="3267" spans="2:7" x14ac:dyDescent="0.2">
      <c r="B3267" s="129"/>
      <c r="C3267" s="129"/>
      <c r="D3267" s="129"/>
      <c r="E3267" s="129"/>
      <c r="F3267" s="129"/>
      <c r="G3267" s="129"/>
    </row>
    <row r="3268" spans="2:7" x14ac:dyDescent="0.2">
      <c r="B3268" s="129"/>
      <c r="C3268" s="129"/>
      <c r="D3268" s="129"/>
      <c r="E3268" s="129"/>
      <c r="F3268" s="129"/>
      <c r="G3268" s="129"/>
    </row>
    <row r="3269" spans="2:7" x14ac:dyDescent="0.2">
      <c r="B3269" s="129"/>
      <c r="C3269" s="129"/>
      <c r="D3269" s="129"/>
      <c r="E3269" s="129"/>
      <c r="F3269" s="129"/>
      <c r="G3269" s="129"/>
    </row>
    <row r="3270" spans="2:7" x14ac:dyDescent="0.2">
      <c r="B3270" s="129"/>
      <c r="C3270" s="129"/>
      <c r="D3270" s="129"/>
      <c r="E3270" s="129"/>
      <c r="F3270" s="129"/>
      <c r="G3270" s="129"/>
    </row>
    <row r="3271" spans="2:7" x14ac:dyDescent="0.2">
      <c r="B3271" s="129"/>
      <c r="C3271" s="129"/>
      <c r="D3271" s="129"/>
      <c r="E3271" s="129"/>
      <c r="F3271" s="129"/>
      <c r="G3271" s="129"/>
    </row>
    <row r="3272" spans="2:7" x14ac:dyDescent="0.2">
      <c r="B3272" s="129"/>
      <c r="C3272" s="129"/>
      <c r="D3272" s="129"/>
      <c r="E3272" s="129"/>
      <c r="F3272" s="129"/>
      <c r="G3272" s="129"/>
    </row>
    <row r="3273" spans="2:7" x14ac:dyDescent="0.2">
      <c r="B3273" s="129"/>
      <c r="C3273" s="129"/>
      <c r="D3273" s="129"/>
      <c r="E3273" s="129"/>
      <c r="F3273" s="129"/>
      <c r="G3273" s="129"/>
    </row>
    <row r="3274" spans="2:7" x14ac:dyDescent="0.2">
      <c r="B3274" s="129"/>
      <c r="C3274" s="129"/>
      <c r="D3274" s="129"/>
      <c r="E3274" s="129"/>
      <c r="F3274" s="129"/>
      <c r="G3274" s="129"/>
    </row>
    <row r="3275" spans="2:7" x14ac:dyDescent="0.2">
      <c r="B3275" s="129"/>
      <c r="C3275" s="129"/>
      <c r="D3275" s="129"/>
      <c r="E3275" s="129"/>
      <c r="F3275" s="129"/>
      <c r="G3275" s="129"/>
    </row>
    <row r="3276" spans="2:7" x14ac:dyDescent="0.2">
      <c r="B3276" s="129"/>
      <c r="C3276" s="129"/>
      <c r="D3276" s="129"/>
      <c r="E3276" s="129"/>
      <c r="F3276" s="129"/>
      <c r="G3276" s="129"/>
    </row>
    <row r="3277" spans="2:7" x14ac:dyDescent="0.2">
      <c r="B3277" s="129"/>
      <c r="C3277" s="129"/>
      <c r="D3277" s="129"/>
      <c r="E3277" s="129"/>
      <c r="F3277" s="129"/>
      <c r="G3277" s="129"/>
    </row>
    <row r="3278" spans="2:7" x14ac:dyDescent="0.2">
      <c r="B3278" s="129"/>
      <c r="C3278" s="129"/>
      <c r="D3278" s="129"/>
      <c r="E3278" s="129"/>
      <c r="F3278" s="129"/>
      <c r="G3278" s="129"/>
    </row>
    <row r="3279" spans="2:7" x14ac:dyDescent="0.2">
      <c r="B3279" s="129"/>
      <c r="C3279" s="129"/>
      <c r="D3279" s="129"/>
      <c r="E3279" s="129"/>
      <c r="F3279" s="129"/>
      <c r="G3279" s="129"/>
    </row>
    <row r="3280" spans="2:7" x14ac:dyDescent="0.2">
      <c r="B3280" s="129"/>
      <c r="C3280" s="129"/>
      <c r="D3280" s="129"/>
      <c r="E3280" s="129"/>
      <c r="F3280" s="129"/>
      <c r="G3280" s="129"/>
    </row>
    <row r="3281" spans="2:7" x14ac:dyDescent="0.2">
      <c r="B3281" s="129"/>
      <c r="C3281" s="129"/>
      <c r="D3281" s="129"/>
      <c r="E3281" s="129"/>
      <c r="F3281" s="129"/>
      <c r="G3281" s="129"/>
    </row>
    <row r="3282" spans="2:7" x14ac:dyDescent="0.2">
      <c r="B3282" s="129"/>
      <c r="C3282" s="129"/>
      <c r="D3282" s="129"/>
      <c r="E3282" s="129"/>
      <c r="F3282" s="129"/>
      <c r="G3282" s="129"/>
    </row>
    <row r="3283" spans="2:7" x14ac:dyDescent="0.2">
      <c r="B3283" s="129"/>
      <c r="C3283" s="129"/>
      <c r="D3283" s="129"/>
      <c r="E3283" s="129"/>
      <c r="F3283" s="129"/>
      <c r="G3283" s="129"/>
    </row>
    <row r="3284" spans="2:7" x14ac:dyDescent="0.2">
      <c r="B3284" s="129"/>
      <c r="C3284" s="129"/>
      <c r="D3284" s="129"/>
      <c r="E3284" s="129"/>
      <c r="F3284" s="129"/>
      <c r="G3284" s="129"/>
    </row>
    <row r="3285" spans="2:7" x14ac:dyDescent="0.2">
      <c r="B3285" s="129"/>
      <c r="C3285" s="129"/>
      <c r="D3285" s="129"/>
      <c r="E3285" s="129"/>
      <c r="F3285" s="129"/>
      <c r="G3285" s="129"/>
    </row>
    <row r="3286" spans="2:7" x14ac:dyDescent="0.2">
      <c r="B3286" s="129"/>
      <c r="C3286" s="129"/>
      <c r="D3286" s="129"/>
      <c r="E3286" s="129"/>
      <c r="F3286" s="129"/>
      <c r="G3286" s="129"/>
    </row>
    <row r="3287" spans="2:7" x14ac:dyDescent="0.2">
      <c r="B3287" s="129"/>
      <c r="C3287" s="129"/>
      <c r="D3287" s="129"/>
      <c r="E3287" s="129"/>
      <c r="F3287" s="129"/>
      <c r="G3287" s="129"/>
    </row>
    <row r="3288" spans="2:7" x14ac:dyDescent="0.2">
      <c r="B3288" s="129"/>
      <c r="C3288" s="129"/>
      <c r="D3288" s="129"/>
      <c r="E3288" s="129"/>
      <c r="F3288" s="129"/>
      <c r="G3288" s="129"/>
    </row>
    <row r="3289" spans="2:7" x14ac:dyDescent="0.2">
      <c r="B3289" s="129"/>
      <c r="C3289" s="129"/>
      <c r="D3289" s="129"/>
      <c r="E3289" s="129"/>
      <c r="F3289" s="129"/>
      <c r="G3289" s="129"/>
    </row>
    <row r="3290" spans="2:7" x14ac:dyDescent="0.2">
      <c r="B3290" s="129"/>
      <c r="C3290" s="129"/>
      <c r="D3290" s="129"/>
      <c r="E3290" s="129"/>
      <c r="F3290" s="129"/>
      <c r="G3290" s="129"/>
    </row>
    <row r="3291" spans="2:7" x14ac:dyDescent="0.2">
      <c r="B3291" s="129"/>
      <c r="C3291" s="129"/>
      <c r="D3291" s="129"/>
      <c r="E3291" s="129"/>
      <c r="F3291" s="129"/>
      <c r="G3291" s="129"/>
    </row>
    <row r="3292" spans="2:7" x14ac:dyDescent="0.2">
      <c r="B3292" s="129"/>
      <c r="C3292" s="129"/>
      <c r="D3292" s="129"/>
      <c r="E3292" s="129"/>
      <c r="F3292" s="129"/>
      <c r="G3292" s="129"/>
    </row>
    <row r="3293" spans="2:7" x14ac:dyDescent="0.2">
      <c r="B3293" s="129"/>
      <c r="C3293" s="129"/>
      <c r="D3293" s="129"/>
      <c r="E3293" s="129"/>
      <c r="F3293" s="129"/>
      <c r="G3293" s="129"/>
    </row>
    <row r="3294" spans="2:7" x14ac:dyDescent="0.2">
      <c r="B3294" s="129"/>
      <c r="C3294" s="129"/>
      <c r="D3294" s="129"/>
      <c r="E3294" s="129"/>
      <c r="F3294" s="129"/>
      <c r="G3294" s="129"/>
    </row>
    <row r="3295" spans="2:7" x14ac:dyDescent="0.2">
      <c r="B3295" s="129"/>
      <c r="C3295" s="129"/>
      <c r="D3295" s="129"/>
      <c r="E3295" s="129"/>
      <c r="F3295" s="129"/>
      <c r="G3295" s="129"/>
    </row>
    <row r="3296" spans="2:7" x14ac:dyDescent="0.2">
      <c r="B3296" s="129"/>
      <c r="C3296" s="129"/>
      <c r="D3296" s="129"/>
      <c r="E3296" s="129"/>
      <c r="F3296" s="129"/>
      <c r="G3296" s="129"/>
    </row>
    <row r="3297" spans="2:7" x14ac:dyDescent="0.2">
      <c r="B3297" s="129"/>
      <c r="C3297" s="129"/>
      <c r="D3297" s="129"/>
      <c r="E3297" s="129"/>
      <c r="F3297" s="129"/>
      <c r="G3297" s="129"/>
    </row>
    <row r="3298" spans="2:7" x14ac:dyDescent="0.2">
      <c r="B3298" s="129"/>
      <c r="C3298" s="129"/>
      <c r="D3298" s="129"/>
      <c r="E3298" s="129"/>
      <c r="F3298" s="129"/>
      <c r="G3298" s="129"/>
    </row>
    <row r="3299" spans="2:7" x14ac:dyDescent="0.2">
      <c r="B3299" s="129"/>
      <c r="C3299" s="129"/>
      <c r="D3299" s="129"/>
      <c r="E3299" s="129"/>
      <c r="F3299" s="129"/>
      <c r="G3299" s="129"/>
    </row>
    <row r="3300" spans="2:7" x14ac:dyDescent="0.2">
      <c r="B3300" s="129"/>
      <c r="C3300" s="129"/>
      <c r="D3300" s="129"/>
      <c r="E3300" s="129"/>
      <c r="F3300" s="129"/>
      <c r="G3300" s="129"/>
    </row>
    <row r="3301" spans="2:7" x14ac:dyDescent="0.2">
      <c r="B3301" s="129"/>
      <c r="C3301" s="129"/>
      <c r="D3301" s="129"/>
      <c r="E3301" s="129"/>
      <c r="F3301" s="129"/>
      <c r="G3301" s="129"/>
    </row>
    <row r="3302" spans="2:7" x14ac:dyDescent="0.2">
      <c r="B3302" s="129"/>
      <c r="C3302" s="129"/>
      <c r="D3302" s="129"/>
      <c r="E3302" s="129"/>
      <c r="F3302" s="129"/>
      <c r="G3302" s="129"/>
    </row>
    <row r="3303" spans="2:7" x14ac:dyDescent="0.2">
      <c r="B3303" s="129"/>
      <c r="C3303" s="129"/>
      <c r="D3303" s="129"/>
      <c r="E3303" s="129"/>
      <c r="F3303" s="129"/>
      <c r="G3303" s="129"/>
    </row>
    <row r="3304" spans="2:7" x14ac:dyDescent="0.2">
      <c r="B3304" s="129"/>
      <c r="C3304" s="129"/>
      <c r="D3304" s="129"/>
      <c r="E3304" s="129"/>
      <c r="F3304" s="129"/>
      <c r="G3304" s="129"/>
    </row>
    <row r="3305" spans="2:7" x14ac:dyDescent="0.2">
      <c r="B3305" s="129"/>
      <c r="C3305" s="129"/>
      <c r="D3305" s="129"/>
      <c r="E3305" s="129"/>
      <c r="F3305" s="129"/>
      <c r="G3305" s="129"/>
    </row>
    <row r="3306" spans="2:7" x14ac:dyDescent="0.2">
      <c r="B3306" s="129"/>
      <c r="C3306" s="129"/>
      <c r="D3306" s="129"/>
      <c r="E3306" s="129"/>
      <c r="F3306" s="129"/>
      <c r="G3306" s="129"/>
    </row>
    <row r="3307" spans="2:7" x14ac:dyDescent="0.2">
      <c r="B3307" s="129"/>
      <c r="C3307" s="129"/>
      <c r="D3307" s="129"/>
      <c r="E3307" s="129"/>
      <c r="F3307" s="129"/>
      <c r="G3307" s="129"/>
    </row>
    <row r="3308" spans="2:7" x14ac:dyDescent="0.2">
      <c r="B3308" s="129"/>
      <c r="C3308" s="129"/>
      <c r="D3308" s="129"/>
      <c r="E3308" s="129"/>
      <c r="F3308" s="129"/>
      <c r="G3308" s="129"/>
    </row>
    <row r="3309" spans="2:7" x14ac:dyDescent="0.2">
      <c r="B3309" s="129"/>
      <c r="C3309" s="129"/>
      <c r="D3309" s="129"/>
      <c r="E3309" s="129"/>
      <c r="F3309" s="129"/>
      <c r="G3309" s="129"/>
    </row>
    <row r="3310" spans="2:7" x14ac:dyDescent="0.2">
      <c r="B3310" s="129"/>
      <c r="C3310" s="129"/>
      <c r="D3310" s="129"/>
      <c r="E3310" s="129"/>
      <c r="F3310" s="129"/>
      <c r="G3310" s="129"/>
    </row>
    <row r="3311" spans="2:7" x14ac:dyDescent="0.2">
      <c r="B3311" s="129"/>
      <c r="C3311" s="129"/>
      <c r="D3311" s="129"/>
      <c r="E3311" s="129"/>
      <c r="F3311" s="129"/>
      <c r="G3311" s="129"/>
    </row>
    <row r="3312" spans="2:7" x14ac:dyDescent="0.2">
      <c r="B3312" s="129"/>
      <c r="C3312" s="129"/>
      <c r="D3312" s="129"/>
      <c r="E3312" s="129"/>
      <c r="F3312" s="129"/>
      <c r="G3312" s="129"/>
    </row>
    <row r="3313" spans="2:7" x14ac:dyDescent="0.2">
      <c r="B3313" s="129"/>
      <c r="C3313" s="129"/>
      <c r="D3313" s="129"/>
      <c r="E3313" s="129"/>
      <c r="F3313" s="129"/>
      <c r="G3313" s="129"/>
    </row>
    <row r="3314" spans="2:7" x14ac:dyDescent="0.2">
      <c r="B3314" s="129"/>
      <c r="C3314" s="129"/>
      <c r="D3314" s="129"/>
      <c r="E3314" s="129"/>
      <c r="F3314" s="129"/>
      <c r="G3314" s="129"/>
    </row>
    <row r="3315" spans="2:7" x14ac:dyDescent="0.2">
      <c r="B3315" s="129"/>
      <c r="C3315" s="129"/>
      <c r="D3315" s="129"/>
      <c r="E3315" s="129"/>
      <c r="F3315" s="129"/>
      <c r="G3315" s="129"/>
    </row>
    <row r="3316" spans="2:7" x14ac:dyDescent="0.2">
      <c r="B3316" s="129"/>
      <c r="C3316" s="129"/>
      <c r="D3316" s="129"/>
      <c r="E3316" s="129"/>
      <c r="F3316" s="129"/>
      <c r="G3316" s="129"/>
    </row>
    <row r="3317" spans="2:7" x14ac:dyDescent="0.2">
      <c r="B3317" s="129"/>
      <c r="C3317" s="129"/>
      <c r="D3317" s="129"/>
      <c r="E3317" s="129"/>
      <c r="F3317" s="129"/>
      <c r="G3317" s="129"/>
    </row>
    <row r="3318" spans="2:7" x14ac:dyDescent="0.2">
      <c r="B3318" s="129"/>
      <c r="C3318" s="129"/>
      <c r="D3318" s="129"/>
      <c r="E3318" s="129"/>
      <c r="F3318" s="129"/>
      <c r="G3318" s="129"/>
    </row>
    <row r="3319" spans="2:7" x14ac:dyDescent="0.2">
      <c r="B3319" s="129"/>
      <c r="C3319" s="129"/>
      <c r="D3319" s="129"/>
      <c r="E3319" s="129"/>
      <c r="F3319" s="129"/>
      <c r="G3319" s="129"/>
    </row>
    <row r="3320" spans="2:7" x14ac:dyDescent="0.2">
      <c r="B3320" s="129"/>
      <c r="C3320" s="129"/>
      <c r="D3320" s="129"/>
      <c r="E3320" s="129"/>
      <c r="F3320" s="129"/>
      <c r="G3320" s="129"/>
    </row>
    <row r="3321" spans="2:7" x14ac:dyDescent="0.2">
      <c r="B3321" s="129"/>
      <c r="C3321" s="129"/>
      <c r="D3321" s="129"/>
      <c r="E3321" s="129"/>
      <c r="F3321" s="129"/>
      <c r="G3321" s="129"/>
    </row>
    <row r="3322" spans="2:7" x14ac:dyDescent="0.2">
      <c r="B3322" s="129"/>
      <c r="C3322" s="129"/>
      <c r="D3322" s="129"/>
      <c r="E3322" s="129"/>
      <c r="F3322" s="129"/>
      <c r="G3322" s="129"/>
    </row>
    <row r="3323" spans="2:7" x14ac:dyDescent="0.2">
      <c r="B3323" s="129"/>
      <c r="C3323" s="129"/>
      <c r="D3323" s="129"/>
      <c r="E3323" s="129"/>
      <c r="F3323" s="129"/>
      <c r="G3323" s="129"/>
    </row>
    <row r="3324" spans="2:7" x14ac:dyDescent="0.2">
      <c r="B3324" s="129"/>
      <c r="C3324" s="129"/>
      <c r="D3324" s="129"/>
      <c r="E3324" s="129"/>
      <c r="F3324" s="129"/>
      <c r="G3324" s="129"/>
    </row>
    <row r="3325" spans="2:7" x14ac:dyDescent="0.2">
      <c r="B3325" s="129"/>
      <c r="C3325" s="129"/>
      <c r="D3325" s="129"/>
      <c r="E3325" s="129"/>
      <c r="F3325" s="129"/>
      <c r="G3325" s="129"/>
    </row>
    <row r="3326" spans="2:7" x14ac:dyDescent="0.2">
      <c r="B3326" s="129"/>
      <c r="C3326" s="129"/>
      <c r="D3326" s="129"/>
      <c r="E3326" s="129"/>
      <c r="F3326" s="129"/>
      <c r="G3326" s="129"/>
    </row>
    <row r="3327" spans="2:7" x14ac:dyDescent="0.2">
      <c r="B3327" s="129"/>
      <c r="C3327" s="129"/>
      <c r="D3327" s="129"/>
      <c r="E3327" s="129"/>
      <c r="F3327" s="129"/>
      <c r="G3327" s="129"/>
    </row>
    <row r="3328" spans="2:7" x14ac:dyDescent="0.2">
      <c r="B3328" s="129"/>
      <c r="C3328" s="129"/>
      <c r="D3328" s="129"/>
      <c r="E3328" s="129"/>
      <c r="F3328" s="129"/>
      <c r="G3328" s="129"/>
    </row>
    <row r="3329" spans="2:7" x14ac:dyDescent="0.2">
      <c r="B3329" s="129"/>
      <c r="C3329" s="129"/>
      <c r="D3329" s="129"/>
      <c r="E3329" s="129"/>
      <c r="F3329" s="129"/>
      <c r="G3329" s="129"/>
    </row>
    <row r="3330" spans="2:7" x14ac:dyDescent="0.2">
      <c r="B3330" s="129"/>
      <c r="C3330" s="129"/>
      <c r="D3330" s="129"/>
      <c r="E3330" s="129"/>
      <c r="F3330" s="129"/>
      <c r="G3330" s="129"/>
    </row>
    <row r="3331" spans="2:7" x14ac:dyDescent="0.2">
      <c r="B3331" s="129"/>
      <c r="C3331" s="129"/>
      <c r="D3331" s="129"/>
      <c r="E3331" s="129"/>
      <c r="F3331" s="129"/>
      <c r="G3331" s="129"/>
    </row>
    <row r="3332" spans="2:7" x14ac:dyDescent="0.2">
      <c r="B3332" s="129"/>
      <c r="C3332" s="129"/>
      <c r="D3332" s="129"/>
      <c r="E3332" s="129"/>
      <c r="F3332" s="129"/>
      <c r="G3332" s="129"/>
    </row>
    <row r="3333" spans="2:7" x14ac:dyDescent="0.2">
      <c r="B3333" s="129"/>
      <c r="C3333" s="129"/>
      <c r="D3333" s="129"/>
      <c r="E3333" s="129"/>
      <c r="F3333" s="129"/>
      <c r="G3333" s="129"/>
    </row>
    <row r="3334" spans="2:7" x14ac:dyDescent="0.2">
      <c r="B3334" s="129"/>
      <c r="C3334" s="129"/>
      <c r="D3334" s="129"/>
      <c r="E3334" s="129"/>
      <c r="F3334" s="129"/>
      <c r="G3334" s="129"/>
    </row>
    <row r="3335" spans="2:7" x14ac:dyDescent="0.2">
      <c r="B3335" s="129"/>
      <c r="C3335" s="129"/>
      <c r="D3335" s="129"/>
      <c r="E3335" s="129"/>
      <c r="F3335" s="129"/>
      <c r="G3335" s="129"/>
    </row>
    <row r="3336" spans="2:7" x14ac:dyDescent="0.2">
      <c r="B3336" s="129"/>
      <c r="C3336" s="129"/>
      <c r="D3336" s="129"/>
      <c r="E3336" s="129"/>
      <c r="F3336" s="129"/>
      <c r="G3336" s="129"/>
    </row>
    <row r="3337" spans="2:7" x14ac:dyDescent="0.2">
      <c r="B3337" s="129"/>
      <c r="C3337" s="129"/>
      <c r="D3337" s="129"/>
      <c r="E3337" s="129"/>
      <c r="F3337" s="129"/>
      <c r="G3337" s="129"/>
    </row>
    <row r="3338" spans="2:7" x14ac:dyDescent="0.2">
      <c r="B3338" s="129"/>
      <c r="C3338" s="129"/>
      <c r="D3338" s="129"/>
      <c r="E3338" s="129"/>
      <c r="F3338" s="129"/>
      <c r="G3338" s="129"/>
    </row>
    <row r="3339" spans="2:7" x14ac:dyDescent="0.2">
      <c r="B3339" s="129"/>
      <c r="C3339" s="129"/>
      <c r="D3339" s="129"/>
      <c r="E3339" s="129"/>
      <c r="F3339" s="129"/>
      <c r="G3339" s="129"/>
    </row>
    <row r="3340" spans="2:7" x14ac:dyDescent="0.2">
      <c r="B3340" s="129"/>
      <c r="C3340" s="129"/>
      <c r="D3340" s="129"/>
      <c r="E3340" s="129"/>
      <c r="F3340" s="129"/>
      <c r="G3340" s="129"/>
    </row>
    <row r="3341" spans="2:7" x14ac:dyDescent="0.2">
      <c r="B3341" s="129"/>
      <c r="C3341" s="129"/>
      <c r="D3341" s="129"/>
      <c r="E3341" s="129"/>
      <c r="F3341" s="129"/>
      <c r="G3341" s="129"/>
    </row>
    <row r="3342" spans="2:7" x14ac:dyDescent="0.2">
      <c r="B3342" s="129"/>
      <c r="C3342" s="129"/>
      <c r="D3342" s="129"/>
      <c r="E3342" s="129"/>
      <c r="F3342" s="129"/>
      <c r="G3342" s="129"/>
    </row>
    <row r="3343" spans="2:7" x14ac:dyDescent="0.2">
      <c r="B3343" s="129"/>
      <c r="C3343" s="129"/>
      <c r="D3343" s="129"/>
      <c r="E3343" s="129"/>
      <c r="F3343" s="129"/>
      <c r="G3343" s="129"/>
    </row>
    <row r="3344" spans="2:7" x14ac:dyDescent="0.2">
      <c r="B3344" s="129"/>
      <c r="C3344" s="129"/>
      <c r="D3344" s="129"/>
      <c r="E3344" s="129"/>
      <c r="F3344" s="129"/>
      <c r="G3344" s="129"/>
    </row>
    <row r="3345" spans="2:7" x14ac:dyDescent="0.2">
      <c r="B3345" s="129"/>
      <c r="C3345" s="129"/>
      <c r="D3345" s="129"/>
      <c r="E3345" s="129"/>
      <c r="F3345" s="129"/>
      <c r="G3345" s="129"/>
    </row>
    <row r="3346" spans="2:7" x14ac:dyDescent="0.2">
      <c r="B3346" s="129"/>
      <c r="C3346" s="129"/>
      <c r="D3346" s="129"/>
      <c r="E3346" s="129"/>
      <c r="F3346" s="129"/>
      <c r="G3346" s="129"/>
    </row>
    <row r="3347" spans="2:7" x14ac:dyDescent="0.2">
      <c r="B3347" s="129"/>
      <c r="C3347" s="129"/>
      <c r="D3347" s="129"/>
      <c r="E3347" s="129"/>
      <c r="F3347" s="129"/>
      <c r="G3347" s="129"/>
    </row>
    <row r="3348" spans="2:7" x14ac:dyDescent="0.2">
      <c r="B3348" s="129"/>
      <c r="C3348" s="129"/>
      <c r="D3348" s="129"/>
      <c r="E3348" s="129"/>
      <c r="F3348" s="129"/>
      <c r="G3348" s="129"/>
    </row>
    <row r="3349" spans="2:7" x14ac:dyDescent="0.2">
      <c r="B3349" s="129"/>
      <c r="C3349" s="129"/>
      <c r="D3349" s="129"/>
      <c r="E3349" s="129"/>
      <c r="F3349" s="129"/>
      <c r="G3349" s="129"/>
    </row>
    <row r="3350" spans="2:7" x14ac:dyDescent="0.2">
      <c r="B3350" s="129"/>
      <c r="C3350" s="129"/>
      <c r="D3350" s="129"/>
      <c r="E3350" s="129"/>
      <c r="F3350" s="129"/>
      <c r="G3350" s="129"/>
    </row>
    <row r="3351" spans="2:7" x14ac:dyDescent="0.2">
      <c r="B3351" s="129"/>
      <c r="C3351" s="129"/>
      <c r="D3351" s="129"/>
      <c r="E3351" s="129"/>
      <c r="F3351" s="129"/>
      <c r="G3351" s="129"/>
    </row>
    <row r="3352" spans="2:7" x14ac:dyDescent="0.2">
      <c r="B3352" s="129"/>
      <c r="C3352" s="129"/>
      <c r="D3352" s="129"/>
      <c r="E3352" s="129"/>
      <c r="F3352" s="129"/>
      <c r="G3352" s="129"/>
    </row>
    <row r="3353" spans="2:7" x14ac:dyDescent="0.2">
      <c r="B3353" s="129"/>
      <c r="C3353" s="129"/>
      <c r="D3353" s="129"/>
      <c r="E3353" s="129"/>
      <c r="F3353" s="129"/>
      <c r="G3353" s="129"/>
    </row>
    <row r="3354" spans="2:7" x14ac:dyDescent="0.2">
      <c r="B3354" s="129"/>
      <c r="C3354" s="129"/>
      <c r="D3354" s="129"/>
      <c r="E3354" s="129"/>
      <c r="F3354" s="129"/>
      <c r="G3354" s="129"/>
    </row>
    <row r="3355" spans="2:7" x14ac:dyDescent="0.2">
      <c r="B3355" s="129"/>
      <c r="C3355" s="129"/>
      <c r="D3355" s="129"/>
      <c r="E3355" s="129"/>
      <c r="F3355" s="129"/>
      <c r="G3355" s="129"/>
    </row>
    <row r="3356" spans="2:7" x14ac:dyDescent="0.2">
      <c r="B3356" s="129"/>
      <c r="C3356" s="129"/>
      <c r="D3356" s="129"/>
      <c r="E3356" s="129"/>
      <c r="F3356" s="129"/>
      <c r="G3356" s="129"/>
    </row>
    <row r="3357" spans="2:7" x14ac:dyDescent="0.2">
      <c r="B3357" s="129"/>
      <c r="C3357" s="129"/>
      <c r="D3357" s="129"/>
      <c r="E3357" s="129"/>
      <c r="F3357" s="129"/>
      <c r="G3357" s="129"/>
    </row>
    <row r="3358" spans="2:7" x14ac:dyDescent="0.2">
      <c r="B3358" s="129"/>
      <c r="C3358" s="129"/>
      <c r="D3358" s="129"/>
      <c r="E3358" s="129"/>
      <c r="F3358" s="129"/>
      <c r="G3358" s="129"/>
    </row>
    <row r="3359" spans="2:7" x14ac:dyDescent="0.2">
      <c r="B3359" s="129"/>
      <c r="C3359" s="129"/>
      <c r="D3359" s="129"/>
      <c r="E3359" s="129"/>
      <c r="F3359" s="129"/>
      <c r="G3359" s="129"/>
    </row>
    <row r="3360" spans="2:7" x14ac:dyDescent="0.2">
      <c r="B3360" s="129"/>
      <c r="C3360" s="129"/>
      <c r="D3360" s="129"/>
      <c r="E3360" s="129"/>
      <c r="F3360" s="129"/>
      <c r="G3360" s="129"/>
    </row>
    <row r="3361" spans="2:7" x14ac:dyDescent="0.2">
      <c r="B3361" s="129"/>
      <c r="C3361" s="129"/>
      <c r="D3361" s="129"/>
      <c r="E3361" s="129"/>
      <c r="F3361" s="129"/>
      <c r="G3361" s="129"/>
    </row>
    <row r="3362" spans="2:7" x14ac:dyDescent="0.2">
      <c r="B3362" s="129"/>
      <c r="C3362" s="129"/>
      <c r="D3362" s="129"/>
      <c r="E3362" s="129"/>
      <c r="F3362" s="129"/>
      <c r="G3362" s="129"/>
    </row>
    <row r="3363" spans="2:7" x14ac:dyDescent="0.2">
      <c r="B3363" s="129"/>
      <c r="C3363" s="129"/>
      <c r="D3363" s="129"/>
      <c r="E3363" s="129"/>
      <c r="F3363" s="129"/>
      <c r="G3363" s="129"/>
    </row>
    <row r="3364" spans="2:7" x14ac:dyDescent="0.2">
      <c r="B3364" s="129"/>
      <c r="C3364" s="129"/>
      <c r="D3364" s="129"/>
      <c r="E3364" s="129"/>
      <c r="F3364" s="129"/>
      <c r="G3364" s="129"/>
    </row>
    <row r="3365" spans="2:7" x14ac:dyDescent="0.2">
      <c r="B3365" s="129"/>
      <c r="C3365" s="129"/>
      <c r="D3365" s="129"/>
      <c r="E3365" s="129"/>
      <c r="F3365" s="129"/>
      <c r="G3365" s="129"/>
    </row>
    <row r="3366" spans="2:7" x14ac:dyDescent="0.2">
      <c r="B3366" s="129"/>
      <c r="C3366" s="129"/>
      <c r="D3366" s="129"/>
      <c r="E3366" s="129"/>
      <c r="F3366" s="129"/>
      <c r="G3366" s="129"/>
    </row>
    <row r="3367" spans="2:7" x14ac:dyDescent="0.2">
      <c r="B3367" s="129"/>
      <c r="C3367" s="129"/>
      <c r="D3367" s="129"/>
      <c r="E3367" s="129"/>
      <c r="F3367" s="129"/>
      <c r="G3367" s="129"/>
    </row>
    <row r="3368" spans="2:7" x14ac:dyDescent="0.2">
      <c r="B3368" s="129"/>
      <c r="C3368" s="129"/>
      <c r="D3368" s="129"/>
      <c r="E3368" s="129"/>
      <c r="F3368" s="129"/>
      <c r="G3368" s="129"/>
    </row>
    <row r="3369" spans="2:7" x14ac:dyDescent="0.2">
      <c r="B3369" s="129"/>
      <c r="C3369" s="129"/>
      <c r="D3369" s="129"/>
      <c r="E3369" s="129"/>
      <c r="F3369" s="129"/>
      <c r="G3369" s="129"/>
    </row>
    <row r="3370" spans="2:7" x14ac:dyDescent="0.2">
      <c r="B3370" s="129"/>
      <c r="C3370" s="129"/>
      <c r="D3370" s="129"/>
      <c r="E3370" s="129"/>
      <c r="F3370" s="129"/>
      <c r="G3370" s="129"/>
    </row>
    <row r="3371" spans="2:7" x14ac:dyDescent="0.2">
      <c r="B3371" s="129"/>
      <c r="C3371" s="129"/>
      <c r="D3371" s="129"/>
      <c r="E3371" s="129"/>
      <c r="F3371" s="129"/>
      <c r="G3371" s="129"/>
    </row>
    <row r="3372" spans="2:7" x14ac:dyDescent="0.2">
      <c r="B3372" s="129"/>
      <c r="C3372" s="129"/>
      <c r="D3372" s="129"/>
      <c r="E3372" s="129"/>
      <c r="F3372" s="129"/>
      <c r="G3372" s="129"/>
    </row>
    <row r="3373" spans="2:7" x14ac:dyDescent="0.2">
      <c r="B3373" s="129"/>
      <c r="C3373" s="129"/>
      <c r="D3373" s="129"/>
      <c r="E3373" s="129"/>
      <c r="F3373" s="129"/>
      <c r="G3373" s="129"/>
    </row>
    <row r="3374" spans="2:7" x14ac:dyDescent="0.2">
      <c r="B3374" s="129"/>
      <c r="C3374" s="129"/>
      <c r="D3374" s="129"/>
      <c r="E3374" s="129"/>
      <c r="F3374" s="129"/>
      <c r="G3374" s="129"/>
    </row>
    <row r="3375" spans="2:7" x14ac:dyDescent="0.2">
      <c r="B3375" s="129"/>
      <c r="C3375" s="129"/>
      <c r="D3375" s="129"/>
      <c r="E3375" s="129"/>
      <c r="F3375" s="129"/>
      <c r="G3375" s="129"/>
    </row>
    <row r="3376" spans="2:7" x14ac:dyDescent="0.2">
      <c r="B3376" s="129"/>
      <c r="C3376" s="129"/>
      <c r="D3376" s="129"/>
      <c r="E3376" s="129"/>
      <c r="F3376" s="129"/>
      <c r="G3376" s="129"/>
    </row>
    <row r="3377" spans="2:7" x14ac:dyDescent="0.2">
      <c r="B3377" s="129"/>
      <c r="C3377" s="129"/>
      <c r="D3377" s="129"/>
      <c r="E3377" s="129"/>
      <c r="F3377" s="129"/>
      <c r="G3377" s="129"/>
    </row>
    <row r="3378" spans="2:7" x14ac:dyDescent="0.2">
      <c r="B3378" s="129"/>
      <c r="C3378" s="129"/>
      <c r="D3378" s="129"/>
      <c r="E3378" s="129"/>
      <c r="F3378" s="129"/>
      <c r="G3378" s="129"/>
    </row>
    <row r="3379" spans="2:7" x14ac:dyDescent="0.2">
      <c r="B3379" s="129"/>
      <c r="C3379" s="129"/>
      <c r="D3379" s="129"/>
      <c r="E3379" s="129"/>
      <c r="F3379" s="129"/>
      <c r="G3379" s="129"/>
    </row>
    <row r="3380" spans="2:7" x14ac:dyDescent="0.2">
      <c r="B3380" s="129"/>
      <c r="C3380" s="129"/>
      <c r="D3380" s="129"/>
      <c r="E3380" s="129"/>
      <c r="F3380" s="129"/>
      <c r="G3380" s="129"/>
    </row>
    <row r="3381" spans="2:7" x14ac:dyDescent="0.2">
      <c r="B3381" s="129"/>
      <c r="C3381" s="129"/>
      <c r="D3381" s="129"/>
      <c r="E3381" s="129"/>
      <c r="F3381" s="129"/>
      <c r="G3381" s="129"/>
    </row>
    <row r="3382" spans="2:7" x14ac:dyDescent="0.2">
      <c r="B3382" s="129"/>
      <c r="C3382" s="129"/>
      <c r="D3382" s="129"/>
      <c r="E3382" s="129"/>
      <c r="F3382" s="129"/>
      <c r="G3382" s="129"/>
    </row>
    <row r="3383" spans="2:7" x14ac:dyDescent="0.2">
      <c r="B3383" s="129"/>
      <c r="C3383" s="129"/>
      <c r="D3383" s="129"/>
      <c r="E3383" s="129"/>
      <c r="F3383" s="129"/>
      <c r="G3383" s="129"/>
    </row>
    <row r="3384" spans="2:7" x14ac:dyDescent="0.2">
      <c r="B3384" s="129"/>
      <c r="C3384" s="129"/>
      <c r="D3384" s="129"/>
      <c r="E3384" s="129"/>
      <c r="F3384" s="129"/>
      <c r="G3384" s="129"/>
    </row>
    <row r="3385" spans="2:7" x14ac:dyDescent="0.2">
      <c r="B3385" s="129"/>
      <c r="C3385" s="129"/>
      <c r="D3385" s="129"/>
      <c r="E3385" s="129"/>
      <c r="F3385" s="129"/>
      <c r="G3385" s="129"/>
    </row>
    <row r="3386" spans="2:7" x14ac:dyDescent="0.2">
      <c r="B3386" s="129"/>
      <c r="C3386" s="129"/>
      <c r="D3386" s="129"/>
      <c r="E3386" s="129"/>
      <c r="F3386" s="129"/>
      <c r="G3386" s="129"/>
    </row>
    <row r="3387" spans="2:7" x14ac:dyDescent="0.2">
      <c r="B3387" s="129"/>
      <c r="C3387" s="129"/>
      <c r="D3387" s="129"/>
      <c r="E3387" s="129"/>
      <c r="F3387" s="129"/>
      <c r="G3387" s="129"/>
    </row>
    <row r="3388" spans="2:7" x14ac:dyDescent="0.2">
      <c r="B3388" s="129"/>
      <c r="C3388" s="129"/>
      <c r="D3388" s="129"/>
      <c r="E3388" s="129"/>
      <c r="F3388" s="129"/>
      <c r="G3388" s="129"/>
    </row>
    <row r="3389" spans="2:7" x14ac:dyDescent="0.2">
      <c r="B3389" s="129"/>
      <c r="C3389" s="129"/>
      <c r="D3389" s="129"/>
      <c r="E3389" s="129"/>
      <c r="F3389" s="129"/>
      <c r="G3389" s="129"/>
    </row>
    <row r="3390" spans="2:7" x14ac:dyDescent="0.2">
      <c r="B3390" s="129"/>
      <c r="C3390" s="129"/>
      <c r="D3390" s="129"/>
      <c r="E3390" s="129"/>
      <c r="F3390" s="129"/>
      <c r="G3390" s="129"/>
    </row>
    <row r="3391" spans="2:7" x14ac:dyDescent="0.2">
      <c r="B3391" s="129"/>
      <c r="C3391" s="129"/>
      <c r="D3391" s="129"/>
      <c r="E3391" s="129"/>
      <c r="F3391" s="129"/>
      <c r="G3391" s="129"/>
    </row>
    <row r="3392" spans="2:7" x14ac:dyDescent="0.2">
      <c r="B3392" s="129"/>
      <c r="C3392" s="129"/>
      <c r="D3392" s="129"/>
      <c r="E3392" s="129"/>
      <c r="F3392" s="129"/>
      <c r="G3392" s="129"/>
    </row>
    <row r="3393" spans="2:7" x14ac:dyDescent="0.2">
      <c r="B3393" s="129"/>
      <c r="C3393" s="129"/>
      <c r="D3393" s="129"/>
      <c r="E3393" s="129"/>
      <c r="F3393" s="129"/>
      <c r="G3393" s="129"/>
    </row>
    <row r="3394" spans="2:7" x14ac:dyDescent="0.2">
      <c r="B3394" s="129"/>
      <c r="C3394" s="129"/>
      <c r="D3394" s="129"/>
      <c r="E3394" s="129"/>
      <c r="F3394" s="129"/>
      <c r="G3394" s="129"/>
    </row>
    <row r="3395" spans="2:7" x14ac:dyDescent="0.2">
      <c r="B3395" s="129"/>
      <c r="C3395" s="129"/>
      <c r="D3395" s="129"/>
      <c r="E3395" s="129"/>
      <c r="F3395" s="129"/>
      <c r="G3395" s="129"/>
    </row>
    <row r="3396" spans="2:7" x14ac:dyDescent="0.2">
      <c r="B3396" s="129"/>
      <c r="C3396" s="129"/>
      <c r="D3396" s="129"/>
      <c r="E3396" s="129"/>
      <c r="F3396" s="129"/>
      <c r="G3396" s="129"/>
    </row>
    <row r="3397" spans="2:7" x14ac:dyDescent="0.2">
      <c r="B3397" s="129"/>
      <c r="C3397" s="129"/>
      <c r="D3397" s="129"/>
      <c r="E3397" s="129"/>
      <c r="F3397" s="129"/>
      <c r="G3397" s="129"/>
    </row>
    <row r="3398" spans="2:7" x14ac:dyDescent="0.2">
      <c r="B3398" s="129"/>
      <c r="C3398" s="129"/>
      <c r="D3398" s="129"/>
      <c r="E3398" s="129"/>
      <c r="F3398" s="129"/>
      <c r="G3398" s="129"/>
    </row>
    <row r="3399" spans="2:7" x14ac:dyDescent="0.2">
      <c r="B3399" s="129"/>
      <c r="C3399" s="129"/>
      <c r="D3399" s="129"/>
      <c r="E3399" s="129"/>
      <c r="F3399" s="129"/>
      <c r="G3399" s="129"/>
    </row>
    <row r="3400" spans="2:7" x14ac:dyDescent="0.2">
      <c r="B3400" s="129"/>
      <c r="C3400" s="129"/>
      <c r="D3400" s="129"/>
      <c r="E3400" s="129"/>
      <c r="F3400" s="129"/>
      <c r="G3400" s="129"/>
    </row>
    <row r="3401" spans="2:7" x14ac:dyDescent="0.2">
      <c r="B3401" s="129"/>
      <c r="C3401" s="129"/>
      <c r="D3401" s="129"/>
      <c r="E3401" s="129"/>
      <c r="F3401" s="129"/>
      <c r="G3401" s="129"/>
    </row>
    <row r="3402" spans="2:7" x14ac:dyDescent="0.2">
      <c r="B3402" s="129"/>
      <c r="C3402" s="129"/>
      <c r="D3402" s="129"/>
      <c r="E3402" s="129"/>
      <c r="F3402" s="129"/>
      <c r="G3402" s="129"/>
    </row>
    <row r="3403" spans="2:7" x14ac:dyDescent="0.2">
      <c r="B3403" s="129"/>
      <c r="C3403" s="129"/>
      <c r="D3403" s="129"/>
      <c r="E3403" s="129"/>
      <c r="F3403" s="129"/>
      <c r="G3403" s="129"/>
    </row>
    <row r="3404" spans="2:7" x14ac:dyDescent="0.2">
      <c r="B3404" s="129"/>
      <c r="C3404" s="129"/>
      <c r="D3404" s="129"/>
      <c r="E3404" s="129"/>
      <c r="F3404" s="129"/>
      <c r="G3404" s="129"/>
    </row>
    <row r="3405" spans="2:7" x14ac:dyDescent="0.2">
      <c r="B3405" s="129"/>
      <c r="C3405" s="129"/>
      <c r="D3405" s="129"/>
      <c r="E3405" s="129"/>
      <c r="F3405" s="129"/>
      <c r="G3405" s="129"/>
    </row>
    <row r="3406" spans="2:7" x14ac:dyDescent="0.2">
      <c r="B3406" s="129"/>
      <c r="C3406" s="129"/>
      <c r="D3406" s="129"/>
      <c r="E3406" s="129"/>
      <c r="F3406" s="129"/>
      <c r="G3406" s="129"/>
    </row>
    <row r="3407" spans="2:7" x14ac:dyDescent="0.2">
      <c r="B3407" s="129"/>
      <c r="C3407" s="129"/>
      <c r="D3407" s="129"/>
      <c r="E3407" s="129"/>
      <c r="F3407" s="129"/>
      <c r="G3407" s="129"/>
    </row>
    <row r="3408" spans="2:7" x14ac:dyDescent="0.2">
      <c r="B3408" s="129"/>
      <c r="C3408" s="129"/>
      <c r="D3408" s="129"/>
      <c r="E3408" s="129"/>
      <c r="F3408" s="129"/>
      <c r="G3408" s="129"/>
    </row>
    <row r="3409" spans="2:7" x14ac:dyDescent="0.2">
      <c r="B3409" s="129"/>
      <c r="C3409" s="129"/>
      <c r="D3409" s="129"/>
      <c r="E3409" s="129"/>
      <c r="F3409" s="129"/>
      <c r="G3409" s="129"/>
    </row>
    <row r="3410" spans="2:7" x14ac:dyDescent="0.2">
      <c r="B3410" s="129"/>
      <c r="C3410" s="129"/>
      <c r="D3410" s="129"/>
      <c r="E3410" s="129"/>
      <c r="F3410" s="129"/>
      <c r="G3410" s="129"/>
    </row>
    <row r="3411" spans="2:7" x14ac:dyDescent="0.2">
      <c r="B3411" s="129"/>
      <c r="C3411" s="129"/>
      <c r="D3411" s="129"/>
      <c r="E3411" s="129"/>
      <c r="F3411" s="129"/>
      <c r="G3411" s="129"/>
    </row>
    <row r="3412" spans="2:7" x14ac:dyDescent="0.2">
      <c r="B3412" s="129"/>
      <c r="C3412" s="129"/>
      <c r="D3412" s="129"/>
      <c r="E3412" s="129"/>
      <c r="F3412" s="129"/>
      <c r="G3412" s="129"/>
    </row>
    <row r="3413" spans="2:7" x14ac:dyDescent="0.2">
      <c r="B3413" s="129"/>
      <c r="C3413" s="129"/>
      <c r="D3413" s="129"/>
      <c r="E3413" s="129"/>
      <c r="F3413" s="129"/>
      <c r="G3413" s="129"/>
    </row>
    <row r="3414" spans="2:7" x14ac:dyDescent="0.2">
      <c r="B3414" s="129"/>
      <c r="C3414" s="129"/>
      <c r="D3414" s="129"/>
      <c r="E3414" s="129"/>
      <c r="F3414" s="129"/>
      <c r="G3414" s="129"/>
    </row>
    <row r="3415" spans="2:7" x14ac:dyDescent="0.2">
      <c r="B3415" s="129"/>
      <c r="C3415" s="129"/>
      <c r="D3415" s="129"/>
      <c r="E3415" s="129"/>
      <c r="F3415" s="129"/>
      <c r="G3415" s="129"/>
    </row>
    <row r="3416" spans="2:7" x14ac:dyDescent="0.2">
      <c r="B3416" s="129"/>
      <c r="C3416" s="129"/>
      <c r="D3416" s="129"/>
      <c r="E3416" s="129"/>
      <c r="F3416" s="129"/>
      <c r="G3416" s="129"/>
    </row>
    <row r="3417" spans="2:7" x14ac:dyDescent="0.2">
      <c r="B3417" s="129"/>
      <c r="C3417" s="129"/>
      <c r="D3417" s="129"/>
      <c r="E3417" s="129"/>
      <c r="F3417" s="129"/>
      <c r="G3417" s="129"/>
    </row>
    <row r="3418" spans="2:7" x14ac:dyDescent="0.2">
      <c r="B3418" s="129"/>
      <c r="C3418" s="129"/>
      <c r="D3418" s="129"/>
      <c r="E3418" s="129"/>
      <c r="F3418" s="129"/>
      <c r="G3418" s="129"/>
    </row>
    <row r="3419" spans="2:7" x14ac:dyDescent="0.2">
      <c r="B3419" s="129"/>
      <c r="C3419" s="129"/>
      <c r="D3419" s="129"/>
      <c r="E3419" s="129"/>
      <c r="F3419" s="129"/>
      <c r="G3419" s="129"/>
    </row>
    <row r="3420" spans="2:7" x14ac:dyDescent="0.2">
      <c r="B3420" s="129"/>
      <c r="C3420" s="129"/>
      <c r="D3420" s="129"/>
      <c r="E3420" s="129"/>
      <c r="F3420" s="129"/>
      <c r="G3420" s="129"/>
    </row>
    <row r="3421" spans="2:7" x14ac:dyDescent="0.2">
      <c r="B3421" s="129"/>
      <c r="C3421" s="129"/>
      <c r="D3421" s="129"/>
      <c r="E3421" s="129"/>
      <c r="F3421" s="129"/>
      <c r="G3421" s="129"/>
    </row>
    <row r="3422" spans="2:7" x14ac:dyDescent="0.2">
      <c r="B3422" s="129"/>
      <c r="C3422" s="129"/>
      <c r="D3422" s="129"/>
      <c r="E3422" s="129"/>
      <c r="F3422" s="129"/>
      <c r="G3422" s="129"/>
    </row>
    <row r="3423" spans="2:7" x14ac:dyDescent="0.2">
      <c r="B3423" s="129"/>
      <c r="C3423" s="129"/>
      <c r="D3423" s="129"/>
      <c r="E3423" s="129"/>
      <c r="F3423" s="129"/>
      <c r="G3423" s="129"/>
    </row>
    <row r="3424" spans="2:7" x14ac:dyDescent="0.2">
      <c r="B3424" s="129"/>
      <c r="C3424" s="129"/>
      <c r="D3424" s="129"/>
      <c r="E3424" s="129"/>
      <c r="F3424" s="129"/>
      <c r="G3424" s="129"/>
    </row>
    <row r="3425" spans="2:7" x14ac:dyDescent="0.2">
      <c r="B3425" s="129"/>
      <c r="C3425" s="129"/>
      <c r="D3425" s="129"/>
      <c r="E3425" s="129"/>
      <c r="F3425" s="129"/>
      <c r="G3425" s="129"/>
    </row>
    <row r="3426" spans="2:7" x14ac:dyDescent="0.2">
      <c r="B3426" s="129"/>
      <c r="C3426" s="129"/>
      <c r="D3426" s="129"/>
      <c r="E3426" s="129"/>
      <c r="F3426" s="129"/>
      <c r="G3426" s="129"/>
    </row>
    <row r="3427" spans="2:7" x14ac:dyDescent="0.2">
      <c r="B3427" s="129"/>
      <c r="C3427" s="129"/>
      <c r="D3427" s="129"/>
      <c r="E3427" s="129"/>
      <c r="F3427" s="129"/>
      <c r="G3427" s="129"/>
    </row>
    <row r="3428" spans="2:7" x14ac:dyDescent="0.2">
      <c r="B3428" s="129"/>
      <c r="C3428" s="129"/>
      <c r="D3428" s="129"/>
      <c r="E3428" s="129"/>
      <c r="F3428" s="129"/>
      <c r="G3428" s="129"/>
    </row>
    <row r="3429" spans="2:7" x14ac:dyDescent="0.2">
      <c r="B3429" s="129"/>
      <c r="C3429" s="129"/>
      <c r="D3429" s="129"/>
      <c r="E3429" s="129"/>
      <c r="F3429" s="129"/>
      <c r="G3429" s="129"/>
    </row>
    <row r="3430" spans="2:7" x14ac:dyDescent="0.2">
      <c r="B3430" s="129"/>
      <c r="C3430" s="129"/>
      <c r="D3430" s="129"/>
      <c r="E3430" s="129"/>
      <c r="F3430" s="129"/>
      <c r="G3430" s="129"/>
    </row>
    <row r="3431" spans="2:7" x14ac:dyDescent="0.2">
      <c r="B3431" s="129"/>
      <c r="C3431" s="129"/>
      <c r="D3431" s="129"/>
      <c r="E3431" s="129"/>
      <c r="F3431" s="129"/>
      <c r="G3431" s="129"/>
    </row>
    <row r="3432" spans="2:7" x14ac:dyDescent="0.2">
      <c r="B3432" s="129"/>
      <c r="C3432" s="129"/>
      <c r="D3432" s="129"/>
      <c r="E3432" s="129"/>
      <c r="F3432" s="129"/>
      <c r="G3432" s="129"/>
    </row>
    <row r="3433" spans="2:7" x14ac:dyDescent="0.2">
      <c r="B3433" s="129"/>
      <c r="C3433" s="129"/>
      <c r="D3433" s="129"/>
      <c r="E3433" s="129"/>
      <c r="F3433" s="129"/>
      <c r="G3433" s="129"/>
    </row>
    <row r="3434" spans="2:7" x14ac:dyDescent="0.2">
      <c r="B3434" s="129"/>
      <c r="C3434" s="129"/>
      <c r="D3434" s="129"/>
      <c r="E3434" s="129"/>
      <c r="F3434" s="129"/>
      <c r="G3434" s="129"/>
    </row>
    <row r="3435" spans="2:7" x14ac:dyDescent="0.2">
      <c r="B3435" s="129"/>
      <c r="C3435" s="129"/>
      <c r="D3435" s="129"/>
      <c r="E3435" s="129"/>
      <c r="F3435" s="129"/>
      <c r="G3435" s="129"/>
    </row>
    <row r="3436" spans="2:7" x14ac:dyDescent="0.2">
      <c r="B3436" s="129"/>
      <c r="C3436" s="129"/>
      <c r="D3436" s="129"/>
      <c r="E3436" s="129"/>
      <c r="F3436" s="129"/>
      <c r="G3436" s="129"/>
    </row>
    <row r="3437" spans="2:7" x14ac:dyDescent="0.2">
      <c r="B3437" s="129"/>
      <c r="C3437" s="129"/>
      <c r="D3437" s="129"/>
      <c r="E3437" s="129"/>
      <c r="F3437" s="129"/>
      <c r="G3437" s="129"/>
    </row>
    <row r="3438" spans="2:7" x14ac:dyDescent="0.2">
      <c r="B3438" s="129"/>
      <c r="C3438" s="129"/>
      <c r="D3438" s="129"/>
      <c r="E3438" s="129"/>
      <c r="F3438" s="129"/>
      <c r="G3438" s="129"/>
    </row>
    <row r="3439" spans="2:7" x14ac:dyDescent="0.2">
      <c r="B3439" s="129"/>
      <c r="C3439" s="129"/>
      <c r="D3439" s="129"/>
      <c r="E3439" s="129"/>
      <c r="F3439" s="129"/>
      <c r="G3439" s="129"/>
    </row>
    <row r="3440" spans="2:7" x14ac:dyDescent="0.2">
      <c r="B3440" s="129"/>
      <c r="C3440" s="129"/>
      <c r="D3440" s="129"/>
      <c r="E3440" s="129"/>
      <c r="F3440" s="129"/>
      <c r="G3440" s="129"/>
    </row>
    <row r="3441" spans="2:7" x14ac:dyDescent="0.2">
      <c r="B3441" s="129"/>
      <c r="C3441" s="129"/>
      <c r="D3441" s="129"/>
      <c r="E3441" s="129"/>
      <c r="F3441" s="129"/>
      <c r="G3441" s="129"/>
    </row>
    <row r="3442" spans="2:7" x14ac:dyDescent="0.2">
      <c r="B3442" s="129"/>
      <c r="C3442" s="129"/>
      <c r="D3442" s="129"/>
      <c r="E3442" s="129"/>
      <c r="F3442" s="129"/>
      <c r="G3442" s="129"/>
    </row>
    <row r="3443" spans="2:7" x14ac:dyDescent="0.2">
      <c r="B3443" s="129"/>
      <c r="C3443" s="129"/>
      <c r="D3443" s="129"/>
      <c r="E3443" s="129"/>
      <c r="F3443" s="129"/>
      <c r="G3443" s="129"/>
    </row>
    <row r="3444" spans="2:7" x14ac:dyDescent="0.2">
      <c r="B3444" s="129"/>
      <c r="C3444" s="129"/>
      <c r="D3444" s="129"/>
      <c r="E3444" s="129"/>
      <c r="F3444" s="129"/>
      <c r="G3444" s="129"/>
    </row>
    <row r="3445" spans="2:7" x14ac:dyDescent="0.2">
      <c r="B3445" s="129"/>
      <c r="C3445" s="129"/>
      <c r="D3445" s="129"/>
      <c r="E3445" s="129"/>
      <c r="F3445" s="129"/>
      <c r="G3445" s="129"/>
    </row>
    <row r="3446" spans="2:7" x14ac:dyDescent="0.2">
      <c r="B3446" s="129"/>
      <c r="C3446" s="129"/>
      <c r="D3446" s="129"/>
      <c r="E3446" s="129"/>
      <c r="F3446" s="129"/>
      <c r="G3446" s="129"/>
    </row>
    <row r="3447" spans="2:7" x14ac:dyDescent="0.2">
      <c r="B3447" s="129"/>
      <c r="C3447" s="129"/>
      <c r="D3447" s="129"/>
      <c r="E3447" s="129"/>
      <c r="F3447" s="129"/>
      <c r="G3447" s="129"/>
    </row>
    <row r="3448" spans="2:7" x14ac:dyDescent="0.2">
      <c r="B3448" s="129"/>
      <c r="C3448" s="129"/>
      <c r="D3448" s="129"/>
      <c r="E3448" s="129"/>
      <c r="F3448" s="129"/>
      <c r="G3448" s="129"/>
    </row>
    <row r="3449" spans="2:7" x14ac:dyDescent="0.2">
      <c r="B3449" s="129"/>
      <c r="C3449" s="129"/>
      <c r="D3449" s="129"/>
      <c r="E3449" s="129"/>
      <c r="F3449" s="129"/>
      <c r="G3449" s="129"/>
    </row>
    <row r="3450" spans="2:7" x14ac:dyDescent="0.2">
      <c r="B3450" s="129"/>
      <c r="C3450" s="129"/>
      <c r="D3450" s="129"/>
      <c r="E3450" s="129"/>
      <c r="F3450" s="129"/>
      <c r="G3450" s="129"/>
    </row>
    <row r="3451" spans="2:7" x14ac:dyDescent="0.2">
      <c r="B3451" s="129"/>
      <c r="C3451" s="129"/>
      <c r="D3451" s="129"/>
      <c r="E3451" s="129"/>
      <c r="F3451" s="129"/>
      <c r="G3451" s="129"/>
    </row>
    <row r="3452" spans="2:7" x14ac:dyDescent="0.2">
      <c r="B3452" s="129"/>
      <c r="C3452" s="129"/>
      <c r="D3452" s="129"/>
      <c r="E3452" s="129"/>
      <c r="F3452" s="129"/>
      <c r="G3452" s="129"/>
    </row>
    <row r="3453" spans="2:7" x14ac:dyDescent="0.2">
      <c r="B3453" s="129"/>
      <c r="C3453" s="129"/>
      <c r="D3453" s="129"/>
      <c r="E3453" s="129"/>
      <c r="F3453" s="129"/>
      <c r="G3453" s="129"/>
    </row>
    <row r="3454" spans="2:7" x14ac:dyDescent="0.2">
      <c r="B3454" s="129"/>
      <c r="C3454" s="129"/>
      <c r="D3454" s="129"/>
      <c r="E3454" s="129"/>
      <c r="F3454" s="129"/>
      <c r="G3454" s="129"/>
    </row>
    <row r="3455" spans="2:7" x14ac:dyDescent="0.2">
      <c r="B3455" s="129"/>
      <c r="C3455" s="129"/>
      <c r="D3455" s="129"/>
      <c r="E3455" s="129"/>
      <c r="F3455" s="129"/>
      <c r="G3455" s="129"/>
    </row>
    <row r="3456" spans="2:7" x14ac:dyDescent="0.2">
      <c r="B3456" s="129"/>
      <c r="C3456" s="129"/>
      <c r="D3456" s="129"/>
      <c r="E3456" s="129"/>
      <c r="F3456" s="129"/>
      <c r="G3456" s="129"/>
    </row>
    <row r="3457" spans="2:7" x14ac:dyDescent="0.2">
      <c r="B3457" s="129"/>
      <c r="C3457" s="129"/>
      <c r="D3457" s="129"/>
      <c r="E3457" s="129"/>
      <c r="F3457" s="129"/>
      <c r="G3457" s="129"/>
    </row>
    <row r="3458" spans="2:7" x14ac:dyDescent="0.2">
      <c r="B3458" s="129"/>
      <c r="C3458" s="129"/>
      <c r="D3458" s="129"/>
      <c r="E3458" s="129"/>
      <c r="F3458" s="129"/>
      <c r="G3458" s="129"/>
    </row>
    <row r="3459" spans="2:7" x14ac:dyDescent="0.2">
      <c r="B3459" s="129"/>
      <c r="C3459" s="129"/>
      <c r="D3459" s="129"/>
      <c r="E3459" s="129"/>
      <c r="F3459" s="129"/>
      <c r="G3459" s="129"/>
    </row>
    <row r="3460" spans="2:7" x14ac:dyDescent="0.2">
      <c r="B3460" s="129"/>
      <c r="C3460" s="129"/>
      <c r="D3460" s="129"/>
      <c r="E3460" s="129"/>
      <c r="F3460" s="129"/>
      <c r="G3460" s="129"/>
    </row>
    <row r="3461" spans="2:7" x14ac:dyDescent="0.2">
      <c r="B3461" s="129"/>
      <c r="C3461" s="129"/>
      <c r="D3461" s="129"/>
      <c r="E3461" s="129"/>
      <c r="F3461" s="129"/>
      <c r="G3461" s="129"/>
    </row>
    <row r="3462" spans="2:7" x14ac:dyDescent="0.2">
      <c r="B3462" s="129"/>
      <c r="C3462" s="129"/>
      <c r="D3462" s="129"/>
      <c r="E3462" s="129"/>
      <c r="F3462" s="129"/>
      <c r="G3462" s="129"/>
    </row>
    <row r="3463" spans="2:7" x14ac:dyDescent="0.2">
      <c r="B3463" s="129"/>
      <c r="C3463" s="129"/>
      <c r="D3463" s="129"/>
      <c r="E3463" s="129"/>
      <c r="F3463" s="129"/>
      <c r="G3463" s="129"/>
    </row>
    <row r="3464" spans="2:7" x14ac:dyDescent="0.2">
      <c r="B3464" s="129"/>
      <c r="C3464" s="129"/>
      <c r="D3464" s="129"/>
      <c r="E3464" s="129"/>
      <c r="F3464" s="129"/>
      <c r="G3464" s="129"/>
    </row>
    <row r="3465" spans="2:7" x14ac:dyDescent="0.2">
      <c r="B3465" s="129"/>
      <c r="C3465" s="129"/>
      <c r="D3465" s="129"/>
      <c r="E3465" s="129"/>
      <c r="F3465" s="129"/>
      <c r="G3465" s="129"/>
    </row>
    <row r="3466" spans="2:7" x14ac:dyDescent="0.2">
      <c r="B3466" s="129"/>
      <c r="C3466" s="129"/>
      <c r="D3466" s="129"/>
      <c r="E3466" s="129"/>
      <c r="F3466" s="129"/>
      <c r="G3466" s="129"/>
    </row>
    <row r="3467" spans="2:7" x14ac:dyDescent="0.2">
      <c r="B3467" s="129"/>
      <c r="C3467" s="129"/>
      <c r="D3467" s="129"/>
      <c r="E3467" s="129"/>
      <c r="F3467" s="129"/>
      <c r="G3467" s="129"/>
    </row>
    <row r="3468" spans="2:7" x14ac:dyDescent="0.2">
      <c r="B3468" s="129"/>
      <c r="C3468" s="129"/>
      <c r="D3468" s="129"/>
      <c r="E3468" s="129"/>
      <c r="F3468" s="129"/>
      <c r="G3468" s="129"/>
    </row>
    <row r="3469" spans="2:7" x14ac:dyDescent="0.2">
      <c r="B3469" s="129"/>
      <c r="C3469" s="129"/>
      <c r="D3469" s="129"/>
      <c r="E3469" s="129"/>
      <c r="F3469" s="129"/>
      <c r="G3469" s="129"/>
    </row>
    <row r="3470" spans="2:7" x14ac:dyDescent="0.2">
      <c r="B3470" s="129"/>
      <c r="C3470" s="129"/>
      <c r="D3470" s="129"/>
      <c r="E3470" s="129"/>
      <c r="F3470" s="129"/>
      <c r="G3470" s="129"/>
    </row>
    <row r="3471" spans="2:7" x14ac:dyDescent="0.2">
      <c r="B3471" s="129"/>
      <c r="C3471" s="129"/>
      <c r="D3471" s="129"/>
      <c r="E3471" s="129"/>
      <c r="F3471" s="129"/>
      <c r="G3471" s="129"/>
    </row>
    <row r="3472" spans="2:7" x14ac:dyDescent="0.2">
      <c r="B3472" s="129"/>
      <c r="C3472" s="129"/>
      <c r="D3472" s="129"/>
      <c r="E3472" s="129"/>
      <c r="F3472" s="129"/>
      <c r="G3472" s="129"/>
    </row>
    <row r="3473" spans="2:7" x14ac:dyDescent="0.2">
      <c r="B3473" s="129"/>
      <c r="C3473" s="129"/>
      <c r="D3473" s="129"/>
      <c r="E3473" s="129"/>
      <c r="F3473" s="129"/>
      <c r="G3473" s="129"/>
    </row>
    <row r="3474" spans="2:7" x14ac:dyDescent="0.2">
      <c r="B3474" s="129"/>
      <c r="C3474" s="129"/>
      <c r="D3474" s="129"/>
      <c r="E3474" s="129"/>
      <c r="F3474" s="129"/>
      <c r="G3474" s="129"/>
    </row>
    <row r="3475" spans="2:7" x14ac:dyDescent="0.2">
      <c r="B3475" s="129"/>
      <c r="C3475" s="129"/>
      <c r="D3475" s="129"/>
      <c r="E3475" s="129"/>
      <c r="F3475" s="129"/>
      <c r="G3475" s="129"/>
    </row>
    <row r="3476" spans="2:7" x14ac:dyDescent="0.2">
      <c r="B3476" s="129"/>
      <c r="C3476" s="129"/>
      <c r="D3476" s="129"/>
      <c r="E3476" s="129"/>
      <c r="F3476" s="129"/>
      <c r="G3476" s="129"/>
    </row>
    <row r="3477" spans="2:7" x14ac:dyDescent="0.2">
      <c r="B3477" s="129"/>
      <c r="C3477" s="129"/>
      <c r="D3477" s="129"/>
      <c r="E3477" s="129"/>
      <c r="F3477" s="129"/>
      <c r="G3477" s="129"/>
    </row>
    <row r="3478" spans="2:7" x14ac:dyDescent="0.2">
      <c r="B3478" s="129"/>
      <c r="C3478" s="129"/>
      <c r="D3478" s="129"/>
      <c r="E3478" s="129"/>
      <c r="F3478" s="129"/>
      <c r="G3478" s="129"/>
    </row>
    <row r="3479" spans="2:7" x14ac:dyDescent="0.2">
      <c r="B3479" s="129"/>
      <c r="C3479" s="129"/>
      <c r="D3479" s="129"/>
      <c r="E3479" s="129"/>
      <c r="F3479" s="129"/>
      <c r="G3479" s="129"/>
    </row>
    <row r="3480" spans="2:7" x14ac:dyDescent="0.2">
      <c r="B3480" s="129"/>
      <c r="C3480" s="129"/>
      <c r="D3480" s="129"/>
      <c r="E3480" s="129"/>
      <c r="F3480" s="129"/>
      <c r="G3480" s="129"/>
    </row>
    <row r="3481" spans="2:7" x14ac:dyDescent="0.2">
      <c r="B3481" s="129"/>
      <c r="C3481" s="129"/>
      <c r="D3481" s="129"/>
      <c r="E3481" s="129"/>
      <c r="F3481" s="129"/>
      <c r="G3481" s="129"/>
    </row>
    <row r="3482" spans="2:7" x14ac:dyDescent="0.2">
      <c r="B3482" s="129"/>
      <c r="C3482" s="129"/>
      <c r="D3482" s="129"/>
      <c r="E3482" s="129"/>
      <c r="F3482" s="129"/>
      <c r="G3482" s="129"/>
    </row>
    <row r="3483" spans="2:7" x14ac:dyDescent="0.2">
      <c r="B3483" s="129"/>
      <c r="C3483" s="129"/>
      <c r="D3483" s="129"/>
      <c r="E3483" s="129"/>
      <c r="F3483" s="129"/>
      <c r="G3483" s="129"/>
    </row>
    <row r="3484" spans="2:7" x14ac:dyDescent="0.2">
      <c r="B3484" s="129"/>
      <c r="C3484" s="129"/>
      <c r="D3484" s="129"/>
      <c r="E3484" s="129"/>
      <c r="F3484" s="129"/>
      <c r="G3484" s="129"/>
    </row>
    <row r="3485" spans="2:7" x14ac:dyDescent="0.2">
      <c r="B3485" s="129"/>
      <c r="C3485" s="129"/>
      <c r="D3485" s="129"/>
      <c r="E3485" s="129"/>
      <c r="F3485" s="129"/>
      <c r="G3485" s="129"/>
    </row>
    <row r="3486" spans="2:7" x14ac:dyDescent="0.2">
      <c r="B3486" s="129"/>
      <c r="C3486" s="129"/>
      <c r="D3486" s="129"/>
      <c r="E3486" s="129"/>
      <c r="F3486" s="129"/>
      <c r="G3486" s="129"/>
    </row>
    <row r="3487" spans="2:7" x14ac:dyDescent="0.2">
      <c r="B3487" s="129"/>
      <c r="C3487" s="129"/>
      <c r="D3487" s="129"/>
      <c r="E3487" s="129"/>
      <c r="F3487" s="129"/>
      <c r="G3487" s="129"/>
    </row>
    <row r="3488" spans="2:7" x14ac:dyDescent="0.2">
      <c r="B3488" s="129"/>
      <c r="C3488" s="129"/>
      <c r="D3488" s="129"/>
      <c r="E3488" s="129"/>
      <c r="F3488" s="129"/>
      <c r="G3488" s="129"/>
    </row>
    <row r="3489" spans="2:7" x14ac:dyDescent="0.2">
      <c r="B3489" s="129"/>
      <c r="C3489" s="129"/>
      <c r="D3489" s="129"/>
      <c r="E3489" s="129"/>
      <c r="F3489" s="129"/>
      <c r="G3489" s="129"/>
    </row>
    <row r="3490" spans="2:7" x14ac:dyDescent="0.2">
      <c r="B3490" s="129"/>
      <c r="C3490" s="129"/>
      <c r="D3490" s="129"/>
      <c r="E3490" s="129"/>
      <c r="F3490" s="129"/>
      <c r="G3490" s="129"/>
    </row>
    <row r="3491" spans="2:7" x14ac:dyDescent="0.2">
      <c r="B3491" s="129"/>
      <c r="C3491" s="129"/>
      <c r="D3491" s="129"/>
      <c r="E3491" s="129"/>
      <c r="F3491" s="129"/>
      <c r="G3491" s="129"/>
    </row>
    <row r="3492" spans="2:7" x14ac:dyDescent="0.2">
      <c r="B3492" s="129"/>
      <c r="C3492" s="129"/>
      <c r="D3492" s="129"/>
      <c r="E3492" s="129"/>
      <c r="F3492" s="129"/>
      <c r="G3492" s="129"/>
    </row>
    <row r="3493" spans="2:7" x14ac:dyDescent="0.2">
      <c r="B3493" s="129"/>
      <c r="C3493" s="129"/>
      <c r="D3493" s="129"/>
      <c r="E3493" s="129"/>
      <c r="F3493" s="129"/>
      <c r="G3493" s="129"/>
    </row>
    <row r="3494" spans="2:7" x14ac:dyDescent="0.2">
      <c r="B3494" s="129"/>
      <c r="C3494" s="129"/>
      <c r="D3494" s="129"/>
      <c r="E3494" s="129"/>
      <c r="F3494" s="129"/>
      <c r="G3494" s="129"/>
    </row>
    <row r="3495" spans="2:7" x14ac:dyDescent="0.2">
      <c r="B3495" s="129"/>
      <c r="C3495" s="129"/>
      <c r="D3495" s="129"/>
      <c r="E3495" s="129"/>
      <c r="F3495" s="129"/>
      <c r="G3495" s="129"/>
    </row>
    <row r="3496" spans="2:7" x14ac:dyDescent="0.2">
      <c r="B3496" s="129"/>
      <c r="C3496" s="129"/>
      <c r="D3496" s="129"/>
      <c r="E3496" s="129"/>
      <c r="F3496" s="129"/>
      <c r="G3496" s="129"/>
    </row>
    <row r="3497" spans="2:7" x14ac:dyDescent="0.2">
      <c r="B3497" s="129"/>
      <c r="C3497" s="129"/>
      <c r="D3497" s="129"/>
      <c r="E3497" s="129"/>
      <c r="F3497" s="129"/>
      <c r="G3497" s="129"/>
    </row>
    <row r="3498" spans="2:7" x14ac:dyDescent="0.2">
      <c r="B3498" s="129"/>
      <c r="C3498" s="129"/>
      <c r="D3498" s="129"/>
      <c r="E3498" s="129"/>
      <c r="F3498" s="129"/>
      <c r="G3498" s="129"/>
    </row>
    <row r="3499" spans="2:7" x14ac:dyDescent="0.2">
      <c r="B3499" s="129"/>
      <c r="C3499" s="129"/>
      <c r="D3499" s="129"/>
      <c r="E3499" s="129"/>
      <c r="F3499" s="129"/>
      <c r="G3499" s="129"/>
    </row>
    <row r="3500" spans="2:7" x14ac:dyDescent="0.2">
      <c r="B3500" s="129"/>
      <c r="C3500" s="129"/>
      <c r="D3500" s="129"/>
      <c r="E3500" s="129"/>
      <c r="F3500" s="129"/>
      <c r="G3500" s="129"/>
    </row>
    <row r="3501" spans="2:7" x14ac:dyDescent="0.2">
      <c r="B3501" s="129"/>
      <c r="C3501" s="129"/>
      <c r="D3501" s="129"/>
      <c r="E3501" s="129"/>
      <c r="F3501" s="129"/>
      <c r="G3501" s="129"/>
    </row>
    <row r="3502" spans="2:7" x14ac:dyDescent="0.2">
      <c r="B3502" s="129"/>
      <c r="C3502" s="129"/>
      <c r="D3502" s="129"/>
      <c r="E3502" s="129"/>
      <c r="F3502" s="129"/>
      <c r="G3502" s="129"/>
    </row>
    <row r="3503" spans="2:7" x14ac:dyDescent="0.2">
      <c r="B3503" s="129"/>
      <c r="C3503" s="129"/>
      <c r="D3503" s="129"/>
      <c r="E3503" s="129"/>
      <c r="F3503" s="129"/>
      <c r="G3503" s="129"/>
    </row>
    <row r="3504" spans="2:7" x14ac:dyDescent="0.2">
      <c r="B3504" s="129"/>
      <c r="C3504" s="129"/>
      <c r="D3504" s="129"/>
      <c r="E3504" s="129"/>
      <c r="F3504" s="129"/>
      <c r="G3504" s="129"/>
    </row>
    <row r="3505" spans="2:7" x14ac:dyDescent="0.2">
      <c r="B3505" s="129"/>
      <c r="C3505" s="129"/>
      <c r="D3505" s="129"/>
      <c r="E3505" s="129"/>
      <c r="F3505" s="129"/>
      <c r="G3505" s="129"/>
    </row>
    <row r="3506" spans="2:7" x14ac:dyDescent="0.2">
      <c r="B3506" s="129"/>
      <c r="C3506" s="129"/>
      <c r="D3506" s="129"/>
      <c r="E3506" s="129"/>
      <c r="F3506" s="129"/>
      <c r="G3506" s="129"/>
    </row>
    <row r="3507" spans="2:7" x14ac:dyDescent="0.2">
      <c r="B3507" s="129"/>
      <c r="C3507" s="129"/>
      <c r="D3507" s="129"/>
      <c r="E3507" s="129"/>
      <c r="F3507" s="129"/>
      <c r="G3507" s="129"/>
    </row>
    <row r="3508" spans="2:7" x14ac:dyDescent="0.2">
      <c r="B3508" s="129"/>
      <c r="C3508" s="129"/>
      <c r="D3508" s="129"/>
      <c r="E3508" s="129"/>
      <c r="F3508" s="129"/>
      <c r="G3508" s="129"/>
    </row>
    <row r="3509" spans="2:7" x14ac:dyDescent="0.2">
      <c r="B3509" s="129"/>
      <c r="C3509" s="129"/>
      <c r="D3509" s="129"/>
      <c r="E3509" s="129"/>
      <c r="F3509" s="129"/>
      <c r="G3509" s="129"/>
    </row>
    <row r="3510" spans="2:7" x14ac:dyDescent="0.2">
      <c r="B3510" s="129"/>
      <c r="C3510" s="129"/>
      <c r="D3510" s="129"/>
      <c r="E3510" s="129"/>
      <c r="F3510" s="129"/>
      <c r="G3510" s="129"/>
    </row>
    <row r="3511" spans="2:7" x14ac:dyDescent="0.2">
      <c r="B3511" s="129"/>
      <c r="C3511" s="129"/>
      <c r="D3511" s="129"/>
      <c r="E3511" s="129"/>
      <c r="F3511" s="129"/>
      <c r="G3511" s="129"/>
    </row>
    <row r="3512" spans="2:7" x14ac:dyDescent="0.2">
      <c r="B3512" s="129"/>
      <c r="C3512" s="129"/>
      <c r="D3512" s="129"/>
      <c r="E3512" s="129"/>
      <c r="F3512" s="129"/>
      <c r="G3512" s="129"/>
    </row>
    <row r="3513" spans="2:7" x14ac:dyDescent="0.2">
      <c r="B3513" s="129"/>
      <c r="C3513" s="129"/>
      <c r="D3513" s="129"/>
      <c r="E3513" s="129"/>
      <c r="F3513" s="129"/>
      <c r="G3513" s="129"/>
    </row>
    <row r="3514" spans="2:7" x14ac:dyDescent="0.2">
      <c r="B3514" s="129"/>
      <c r="C3514" s="129"/>
      <c r="D3514" s="129"/>
      <c r="E3514" s="129"/>
      <c r="F3514" s="129"/>
      <c r="G3514" s="129"/>
    </row>
    <row r="3515" spans="2:7" x14ac:dyDescent="0.2">
      <c r="B3515" s="129"/>
      <c r="C3515" s="129"/>
      <c r="D3515" s="129"/>
      <c r="E3515" s="129"/>
      <c r="F3515" s="129"/>
      <c r="G3515" s="129"/>
    </row>
    <row r="3516" spans="2:7" x14ac:dyDescent="0.2">
      <c r="B3516" s="129"/>
      <c r="C3516" s="129"/>
      <c r="D3516" s="129"/>
      <c r="E3516" s="129"/>
      <c r="F3516" s="129"/>
      <c r="G3516" s="129"/>
    </row>
    <row r="3517" spans="2:7" x14ac:dyDescent="0.2">
      <c r="B3517" s="129"/>
      <c r="C3517" s="129"/>
      <c r="D3517" s="129"/>
      <c r="E3517" s="129"/>
      <c r="F3517" s="129"/>
      <c r="G3517" s="129"/>
    </row>
    <row r="3518" spans="2:7" x14ac:dyDescent="0.2">
      <c r="B3518" s="129"/>
      <c r="C3518" s="129"/>
      <c r="D3518" s="129"/>
      <c r="E3518" s="129"/>
      <c r="F3518" s="129"/>
      <c r="G3518" s="129"/>
    </row>
    <row r="3519" spans="2:7" x14ac:dyDescent="0.2">
      <c r="B3519" s="129"/>
      <c r="C3519" s="129"/>
      <c r="D3519" s="129"/>
      <c r="E3519" s="129"/>
      <c r="F3519" s="129"/>
      <c r="G3519" s="129"/>
    </row>
    <row r="3520" spans="2:7" x14ac:dyDescent="0.2">
      <c r="B3520" s="129"/>
      <c r="C3520" s="129"/>
      <c r="D3520" s="129"/>
      <c r="E3520" s="129"/>
      <c r="F3520" s="129"/>
      <c r="G3520" s="129"/>
    </row>
    <row r="3521" spans="2:7" x14ac:dyDescent="0.2">
      <c r="B3521" s="129"/>
      <c r="C3521" s="129"/>
      <c r="D3521" s="129"/>
      <c r="E3521" s="129"/>
      <c r="F3521" s="129"/>
      <c r="G3521" s="129"/>
    </row>
    <row r="3522" spans="2:7" x14ac:dyDescent="0.2">
      <c r="B3522" s="129"/>
      <c r="C3522" s="129"/>
      <c r="D3522" s="129"/>
      <c r="E3522" s="129"/>
      <c r="F3522" s="129"/>
      <c r="G3522" s="129"/>
    </row>
    <row r="3523" spans="2:7" x14ac:dyDescent="0.2">
      <c r="B3523" s="129"/>
      <c r="C3523" s="129"/>
      <c r="D3523" s="129"/>
      <c r="E3523" s="129"/>
      <c r="F3523" s="129"/>
      <c r="G3523" s="129"/>
    </row>
    <row r="3524" spans="2:7" x14ac:dyDescent="0.2">
      <c r="B3524" s="129"/>
      <c r="C3524" s="129"/>
      <c r="D3524" s="129"/>
      <c r="E3524" s="129"/>
      <c r="F3524" s="129"/>
      <c r="G3524" s="129"/>
    </row>
    <row r="3525" spans="2:7" x14ac:dyDescent="0.2">
      <c r="B3525" s="129"/>
      <c r="C3525" s="129"/>
      <c r="D3525" s="129"/>
      <c r="E3525" s="129"/>
      <c r="F3525" s="129"/>
      <c r="G3525" s="129"/>
    </row>
    <row r="3526" spans="2:7" x14ac:dyDescent="0.2">
      <c r="B3526" s="129"/>
      <c r="C3526" s="129"/>
      <c r="D3526" s="129"/>
      <c r="E3526" s="129"/>
      <c r="F3526" s="129"/>
      <c r="G3526" s="129"/>
    </row>
    <row r="3527" spans="2:7" x14ac:dyDescent="0.2">
      <c r="B3527" s="129"/>
      <c r="C3527" s="129"/>
      <c r="D3527" s="129"/>
      <c r="E3527" s="129"/>
      <c r="F3527" s="129"/>
      <c r="G3527" s="129"/>
    </row>
    <row r="3528" spans="2:7" x14ac:dyDescent="0.2">
      <c r="B3528" s="129"/>
      <c r="C3528" s="129"/>
      <c r="D3528" s="129"/>
      <c r="E3528" s="129"/>
      <c r="F3528" s="129"/>
      <c r="G3528" s="129"/>
    </row>
    <row r="3529" spans="2:7" x14ac:dyDescent="0.2">
      <c r="B3529" s="129"/>
      <c r="C3529" s="129"/>
      <c r="D3529" s="129"/>
      <c r="E3529" s="129"/>
      <c r="F3529" s="129"/>
      <c r="G3529" s="129"/>
    </row>
    <row r="3530" spans="2:7" x14ac:dyDescent="0.2">
      <c r="B3530" s="129"/>
      <c r="C3530" s="129"/>
      <c r="D3530" s="129"/>
      <c r="E3530" s="129"/>
      <c r="F3530" s="129"/>
      <c r="G3530" s="129"/>
    </row>
    <row r="3531" spans="2:7" x14ac:dyDescent="0.2">
      <c r="B3531" s="129"/>
      <c r="C3531" s="129"/>
      <c r="D3531" s="129"/>
      <c r="E3531" s="129"/>
      <c r="F3531" s="129"/>
      <c r="G3531" s="129"/>
    </row>
    <row r="3532" spans="2:7" x14ac:dyDescent="0.2">
      <c r="B3532" s="129"/>
      <c r="C3532" s="129"/>
      <c r="D3532" s="129"/>
      <c r="E3532" s="129"/>
      <c r="F3532" s="129"/>
      <c r="G3532" s="129"/>
    </row>
    <row r="3533" spans="2:7" x14ac:dyDescent="0.2">
      <c r="B3533" s="129"/>
      <c r="C3533" s="129"/>
      <c r="D3533" s="129"/>
      <c r="E3533" s="129"/>
      <c r="F3533" s="129"/>
      <c r="G3533" s="129"/>
    </row>
    <row r="3534" spans="2:7" x14ac:dyDescent="0.2">
      <c r="B3534" s="129"/>
      <c r="C3534" s="129"/>
      <c r="D3534" s="129"/>
      <c r="E3534" s="129"/>
      <c r="F3534" s="129"/>
      <c r="G3534" s="129"/>
    </row>
    <row r="3535" spans="2:7" x14ac:dyDescent="0.2">
      <c r="B3535" s="129"/>
      <c r="C3535" s="129"/>
      <c r="D3535" s="129"/>
      <c r="E3535" s="129"/>
      <c r="F3535" s="129"/>
      <c r="G3535" s="129"/>
    </row>
    <row r="3536" spans="2:7" x14ac:dyDescent="0.2">
      <c r="B3536" s="129"/>
      <c r="C3536" s="129"/>
      <c r="D3536" s="129"/>
      <c r="E3536" s="129"/>
      <c r="F3536" s="129"/>
      <c r="G3536" s="129"/>
    </row>
    <row r="3537" spans="2:7" x14ac:dyDescent="0.2">
      <c r="B3537" s="129"/>
      <c r="C3537" s="129"/>
      <c r="D3537" s="129"/>
      <c r="E3537" s="129"/>
      <c r="F3537" s="129"/>
      <c r="G3537" s="129"/>
    </row>
    <row r="3538" spans="2:7" x14ac:dyDescent="0.2">
      <c r="B3538" s="129"/>
      <c r="C3538" s="129"/>
      <c r="D3538" s="129"/>
      <c r="E3538" s="129"/>
      <c r="F3538" s="129"/>
      <c r="G3538" s="129"/>
    </row>
    <row r="3539" spans="2:7" x14ac:dyDescent="0.2">
      <c r="B3539" s="129"/>
      <c r="C3539" s="129"/>
      <c r="D3539" s="129"/>
      <c r="E3539" s="129"/>
      <c r="F3539" s="129"/>
      <c r="G3539" s="129"/>
    </row>
    <row r="3540" spans="2:7" x14ac:dyDescent="0.2">
      <c r="B3540" s="129"/>
      <c r="C3540" s="129"/>
      <c r="D3540" s="129"/>
      <c r="E3540" s="129"/>
      <c r="F3540" s="129"/>
      <c r="G3540" s="129"/>
    </row>
    <row r="3541" spans="2:7" x14ac:dyDescent="0.2">
      <c r="B3541" s="129"/>
      <c r="C3541" s="129"/>
      <c r="D3541" s="129"/>
      <c r="E3541" s="129"/>
      <c r="F3541" s="129"/>
      <c r="G3541" s="129"/>
    </row>
    <row r="3542" spans="2:7" x14ac:dyDescent="0.2">
      <c r="B3542" s="129"/>
      <c r="C3542" s="129"/>
      <c r="D3542" s="129"/>
      <c r="E3542" s="129"/>
      <c r="F3542" s="129"/>
      <c r="G3542" s="129"/>
    </row>
    <row r="3543" spans="2:7" x14ac:dyDescent="0.2">
      <c r="B3543" s="129"/>
      <c r="C3543" s="129"/>
      <c r="D3543" s="129"/>
      <c r="E3543" s="129"/>
      <c r="F3543" s="129"/>
      <c r="G3543" s="129"/>
    </row>
    <row r="3544" spans="2:7" x14ac:dyDescent="0.2">
      <c r="B3544" s="129"/>
      <c r="C3544" s="129"/>
      <c r="D3544" s="129"/>
      <c r="E3544" s="129"/>
      <c r="F3544" s="129"/>
      <c r="G3544" s="129"/>
    </row>
    <row r="3545" spans="2:7" x14ac:dyDescent="0.2">
      <c r="B3545" s="129"/>
      <c r="C3545" s="129"/>
      <c r="D3545" s="129"/>
      <c r="E3545" s="129"/>
      <c r="F3545" s="129"/>
      <c r="G3545" s="129"/>
    </row>
    <row r="3546" spans="2:7" x14ac:dyDescent="0.2">
      <c r="B3546" s="129"/>
      <c r="C3546" s="129"/>
      <c r="D3546" s="129"/>
      <c r="E3546" s="129"/>
      <c r="F3546" s="129"/>
      <c r="G3546" s="129"/>
    </row>
    <row r="3547" spans="2:7" x14ac:dyDescent="0.2">
      <c r="B3547" s="129"/>
      <c r="C3547" s="129"/>
      <c r="D3547" s="129"/>
      <c r="E3547" s="129"/>
      <c r="F3547" s="129"/>
      <c r="G3547" s="129"/>
    </row>
    <row r="3548" spans="2:7" x14ac:dyDescent="0.2">
      <c r="B3548" s="129"/>
      <c r="C3548" s="129"/>
      <c r="D3548" s="129"/>
      <c r="E3548" s="129"/>
      <c r="F3548" s="129"/>
      <c r="G3548" s="129"/>
    </row>
    <row r="3549" spans="2:7" x14ac:dyDescent="0.2">
      <c r="B3549" s="129"/>
      <c r="C3549" s="129"/>
      <c r="D3549" s="129"/>
      <c r="E3549" s="129"/>
      <c r="F3549" s="129"/>
      <c r="G3549" s="129"/>
    </row>
    <row r="3550" spans="2:7" x14ac:dyDescent="0.2">
      <c r="B3550" s="129"/>
      <c r="C3550" s="129"/>
      <c r="D3550" s="129"/>
      <c r="E3550" s="129"/>
      <c r="F3550" s="129"/>
      <c r="G3550" s="129"/>
    </row>
    <row r="3551" spans="2:7" x14ac:dyDescent="0.2">
      <c r="B3551" s="129"/>
      <c r="C3551" s="129"/>
      <c r="D3551" s="129"/>
      <c r="E3551" s="129"/>
      <c r="F3551" s="129"/>
      <c r="G3551" s="129"/>
    </row>
    <row r="3552" spans="2:7" x14ac:dyDescent="0.2">
      <c r="B3552" s="129"/>
      <c r="C3552" s="129"/>
      <c r="D3552" s="129"/>
      <c r="E3552" s="129"/>
      <c r="F3552" s="129"/>
      <c r="G3552" s="129"/>
    </row>
    <row r="3553" spans="2:7" x14ac:dyDescent="0.2">
      <c r="B3553" s="129"/>
      <c r="C3553" s="129"/>
      <c r="D3553" s="129"/>
      <c r="E3553" s="129"/>
      <c r="F3553" s="129"/>
      <c r="G3553" s="129"/>
    </row>
    <row r="3554" spans="2:7" x14ac:dyDescent="0.2">
      <c r="B3554" s="129"/>
      <c r="C3554" s="129"/>
      <c r="D3554" s="129"/>
      <c r="E3554" s="129"/>
      <c r="F3554" s="129"/>
      <c r="G3554" s="129"/>
    </row>
    <row r="3555" spans="2:7" x14ac:dyDescent="0.2">
      <c r="B3555" s="129"/>
      <c r="C3555" s="129"/>
      <c r="D3555" s="129"/>
      <c r="E3555" s="129"/>
      <c r="F3555" s="129"/>
      <c r="G3555" s="129"/>
    </row>
    <row r="3556" spans="2:7" x14ac:dyDescent="0.2">
      <c r="B3556" s="129"/>
      <c r="C3556" s="129"/>
      <c r="D3556" s="129"/>
      <c r="E3556" s="129"/>
      <c r="F3556" s="129"/>
      <c r="G3556" s="129"/>
    </row>
    <row r="3557" spans="2:7" x14ac:dyDescent="0.2">
      <c r="B3557" s="129"/>
      <c r="C3557" s="129"/>
      <c r="D3557" s="129"/>
      <c r="E3557" s="129"/>
      <c r="F3557" s="129"/>
      <c r="G3557" s="129"/>
    </row>
    <row r="3558" spans="2:7" x14ac:dyDescent="0.2">
      <c r="B3558" s="129"/>
      <c r="C3558" s="129"/>
      <c r="D3558" s="129"/>
      <c r="E3558" s="129"/>
      <c r="F3558" s="129"/>
      <c r="G3558" s="129"/>
    </row>
    <row r="3559" spans="2:7" x14ac:dyDescent="0.2">
      <c r="B3559" s="129"/>
      <c r="C3559" s="129"/>
      <c r="D3559" s="129"/>
      <c r="E3559" s="129"/>
      <c r="F3559" s="129"/>
      <c r="G3559" s="129"/>
    </row>
    <row r="3560" spans="2:7" x14ac:dyDescent="0.2">
      <c r="B3560" s="129"/>
      <c r="C3560" s="129"/>
      <c r="D3560" s="129"/>
      <c r="E3560" s="129"/>
      <c r="F3560" s="129"/>
      <c r="G3560" s="129"/>
    </row>
    <row r="3561" spans="2:7" x14ac:dyDescent="0.2">
      <c r="B3561" s="129"/>
      <c r="C3561" s="129"/>
      <c r="D3561" s="129"/>
      <c r="E3561" s="129"/>
      <c r="F3561" s="129"/>
      <c r="G3561" s="129"/>
    </row>
    <row r="3562" spans="2:7" x14ac:dyDescent="0.2">
      <c r="B3562" s="129"/>
      <c r="C3562" s="129"/>
      <c r="D3562" s="129"/>
      <c r="E3562" s="129"/>
      <c r="F3562" s="129"/>
      <c r="G3562" s="129"/>
    </row>
    <row r="3563" spans="2:7" x14ac:dyDescent="0.2">
      <c r="B3563" s="129"/>
      <c r="C3563" s="129"/>
      <c r="D3563" s="129"/>
      <c r="E3563" s="129"/>
      <c r="F3563" s="129"/>
      <c r="G3563" s="129"/>
    </row>
    <row r="3564" spans="2:7" x14ac:dyDescent="0.2">
      <c r="B3564" s="129"/>
      <c r="C3564" s="129"/>
      <c r="D3564" s="129"/>
      <c r="E3564" s="129"/>
      <c r="F3564" s="129"/>
      <c r="G3564" s="129"/>
    </row>
    <row r="3565" spans="2:7" x14ac:dyDescent="0.2">
      <c r="B3565" s="129"/>
      <c r="C3565" s="129"/>
      <c r="D3565" s="129"/>
      <c r="E3565" s="129"/>
      <c r="F3565" s="129"/>
      <c r="G3565" s="129"/>
    </row>
    <row r="3566" spans="2:7" x14ac:dyDescent="0.2">
      <c r="B3566" s="129"/>
      <c r="C3566" s="129"/>
      <c r="D3566" s="129"/>
      <c r="E3566" s="129"/>
      <c r="F3566" s="129"/>
      <c r="G3566" s="129"/>
    </row>
    <row r="3567" spans="2:7" x14ac:dyDescent="0.2">
      <c r="B3567" s="129"/>
      <c r="C3567" s="129"/>
      <c r="D3567" s="129"/>
      <c r="E3567" s="129"/>
      <c r="F3567" s="129"/>
      <c r="G3567" s="129"/>
    </row>
    <row r="3568" spans="2:7" x14ac:dyDescent="0.2">
      <c r="B3568" s="129"/>
      <c r="C3568" s="129"/>
      <c r="D3568" s="129"/>
      <c r="E3568" s="129"/>
      <c r="F3568" s="129"/>
      <c r="G3568" s="129"/>
    </row>
    <row r="3569" spans="2:7" x14ac:dyDescent="0.2">
      <c r="B3569" s="129"/>
      <c r="C3569" s="129"/>
      <c r="D3569" s="129"/>
      <c r="E3569" s="129"/>
      <c r="F3569" s="129"/>
      <c r="G3569" s="129"/>
    </row>
    <row r="3570" spans="2:7" x14ac:dyDescent="0.2">
      <c r="B3570" s="129"/>
      <c r="C3570" s="129"/>
      <c r="D3570" s="129"/>
      <c r="E3570" s="129"/>
      <c r="F3570" s="129"/>
      <c r="G3570" s="129"/>
    </row>
    <row r="3571" spans="2:7" x14ac:dyDescent="0.2">
      <c r="B3571" s="129"/>
      <c r="C3571" s="129"/>
      <c r="D3571" s="129"/>
      <c r="E3571" s="129"/>
      <c r="F3571" s="129"/>
      <c r="G3571" s="129"/>
    </row>
    <row r="3572" spans="2:7" x14ac:dyDescent="0.2">
      <c r="B3572" s="129"/>
      <c r="C3572" s="129"/>
      <c r="D3572" s="129"/>
      <c r="E3572" s="129"/>
      <c r="F3572" s="129"/>
      <c r="G3572" s="129"/>
    </row>
    <row r="3573" spans="2:7" x14ac:dyDescent="0.2">
      <c r="B3573" s="129"/>
      <c r="C3573" s="129"/>
      <c r="D3573" s="129"/>
      <c r="E3573" s="129"/>
      <c r="F3573" s="129"/>
      <c r="G3573" s="129"/>
    </row>
    <row r="3574" spans="2:7" x14ac:dyDescent="0.2">
      <c r="B3574" s="129"/>
      <c r="C3574" s="129"/>
      <c r="D3574" s="129"/>
      <c r="E3574" s="129"/>
      <c r="F3574" s="129"/>
      <c r="G3574" s="129"/>
    </row>
    <row r="3575" spans="2:7" x14ac:dyDescent="0.2">
      <c r="B3575" s="129"/>
      <c r="C3575" s="129"/>
      <c r="D3575" s="129"/>
      <c r="E3575" s="129"/>
      <c r="F3575" s="129"/>
      <c r="G3575" s="129"/>
    </row>
    <row r="3576" spans="2:7" x14ac:dyDescent="0.2">
      <c r="B3576" s="129"/>
      <c r="C3576" s="129"/>
      <c r="D3576" s="129"/>
      <c r="E3576" s="129"/>
      <c r="F3576" s="129"/>
      <c r="G3576" s="129"/>
    </row>
    <row r="3577" spans="2:7" x14ac:dyDescent="0.2">
      <c r="B3577" s="129"/>
      <c r="C3577" s="129"/>
      <c r="D3577" s="129"/>
      <c r="E3577" s="129"/>
      <c r="F3577" s="129"/>
      <c r="G3577" s="129"/>
    </row>
    <row r="3578" spans="2:7" x14ac:dyDescent="0.2">
      <c r="B3578" s="129"/>
      <c r="C3578" s="129"/>
      <c r="D3578" s="129"/>
      <c r="E3578" s="129"/>
      <c r="F3578" s="129"/>
      <c r="G3578" s="129"/>
    </row>
    <row r="3579" spans="2:7" x14ac:dyDescent="0.2">
      <c r="B3579" s="129"/>
      <c r="C3579" s="129"/>
      <c r="D3579" s="129"/>
      <c r="E3579" s="129"/>
      <c r="F3579" s="129"/>
      <c r="G3579" s="129"/>
    </row>
    <row r="3580" spans="2:7" x14ac:dyDescent="0.2">
      <c r="B3580" s="129"/>
      <c r="C3580" s="129"/>
      <c r="D3580" s="129"/>
      <c r="E3580" s="129"/>
      <c r="F3580" s="129"/>
      <c r="G3580" s="129"/>
    </row>
    <row r="3581" spans="2:7" x14ac:dyDescent="0.2">
      <c r="B3581" s="129"/>
      <c r="C3581" s="129"/>
      <c r="D3581" s="129"/>
      <c r="E3581" s="129"/>
      <c r="F3581" s="129"/>
      <c r="G3581" s="129"/>
    </row>
    <row r="3582" spans="2:7" x14ac:dyDescent="0.2">
      <c r="B3582" s="129"/>
      <c r="C3582" s="129"/>
      <c r="D3582" s="129"/>
      <c r="E3582" s="129"/>
      <c r="F3582" s="129"/>
      <c r="G3582" s="129"/>
    </row>
    <row r="3583" spans="2:7" x14ac:dyDescent="0.2">
      <c r="B3583" s="129"/>
      <c r="C3583" s="129"/>
      <c r="D3583" s="129"/>
      <c r="E3583" s="129"/>
      <c r="F3583" s="129"/>
      <c r="G3583" s="129"/>
    </row>
    <row r="3584" spans="2:7" x14ac:dyDescent="0.2">
      <c r="B3584" s="129"/>
      <c r="C3584" s="129"/>
      <c r="D3584" s="129"/>
      <c r="E3584" s="129"/>
      <c r="F3584" s="129"/>
      <c r="G3584" s="129"/>
    </row>
    <row r="3585" spans="2:7" x14ac:dyDescent="0.2">
      <c r="B3585" s="129"/>
      <c r="C3585" s="129"/>
      <c r="D3585" s="129"/>
      <c r="E3585" s="129"/>
      <c r="F3585" s="129"/>
      <c r="G3585" s="129"/>
    </row>
    <row r="3586" spans="2:7" x14ac:dyDescent="0.2">
      <c r="B3586" s="129"/>
      <c r="C3586" s="129"/>
      <c r="D3586" s="129"/>
      <c r="E3586" s="129"/>
      <c r="F3586" s="129"/>
      <c r="G3586" s="129"/>
    </row>
    <row r="3587" spans="2:7" x14ac:dyDescent="0.2">
      <c r="B3587" s="129"/>
      <c r="C3587" s="129"/>
      <c r="D3587" s="129"/>
      <c r="E3587" s="129"/>
      <c r="F3587" s="129"/>
      <c r="G3587" s="129"/>
    </row>
    <row r="3588" spans="2:7" x14ac:dyDescent="0.2">
      <c r="B3588" s="129"/>
      <c r="C3588" s="129"/>
      <c r="D3588" s="129"/>
      <c r="E3588" s="129"/>
      <c r="F3588" s="129"/>
      <c r="G3588" s="129"/>
    </row>
    <row r="3589" spans="2:7" x14ac:dyDescent="0.2">
      <c r="B3589" s="129"/>
      <c r="C3589" s="129"/>
      <c r="D3589" s="129"/>
      <c r="E3589" s="129"/>
      <c r="F3589" s="129"/>
      <c r="G3589" s="129"/>
    </row>
    <row r="3590" spans="2:7" x14ac:dyDescent="0.2">
      <c r="B3590" s="129"/>
      <c r="C3590" s="129"/>
      <c r="D3590" s="129"/>
      <c r="E3590" s="129"/>
      <c r="F3590" s="129"/>
      <c r="G3590" s="129"/>
    </row>
    <row r="3591" spans="2:7" x14ac:dyDescent="0.2">
      <c r="B3591" s="129"/>
      <c r="C3591" s="129"/>
      <c r="D3591" s="129"/>
      <c r="E3591" s="129"/>
      <c r="F3591" s="129"/>
      <c r="G3591" s="129"/>
    </row>
    <row r="3592" spans="2:7" x14ac:dyDescent="0.2">
      <c r="B3592" s="129"/>
      <c r="C3592" s="129"/>
      <c r="D3592" s="129"/>
      <c r="E3592" s="129"/>
      <c r="F3592" s="129"/>
      <c r="G3592" s="129"/>
    </row>
    <row r="3593" spans="2:7" x14ac:dyDescent="0.2">
      <c r="B3593" s="129"/>
      <c r="C3593" s="129"/>
      <c r="D3593" s="129"/>
      <c r="E3593" s="129"/>
      <c r="F3593" s="129"/>
      <c r="G3593" s="129"/>
    </row>
    <row r="3594" spans="2:7" x14ac:dyDescent="0.2">
      <c r="B3594" s="129"/>
      <c r="C3594" s="129"/>
      <c r="D3594" s="129"/>
      <c r="E3594" s="129"/>
      <c r="F3594" s="129"/>
      <c r="G3594" s="129"/>
    </row>
    <row r="3595" spans="2:7" x14ac:dyDescent="0.2">
      <c r="B3595" s="129"/>
      <c r="C3595" s="129"/>
      <c r="D3595" s="129"/>
      <c r="E3595" s="129"/>
      <c r="F3595" s="129"/>
      <c r="G3595" s="129"/>
    </row>
    <row r="3596" spans="2:7" x14ac:dyDescent="0.2">
      <c r="B3596" s="129"/>
      <c r="C3596" s="129"/>
      <c r="D3596" s="129"/>
      <c r="E3596" s="129"/>
      <c r="F3596" s="129"/>
      <c r="G3596" s="129"/>
    </row>
    <row r="3597" spans="2:7" x14ac:dyDescent="0.2">
      <c r="B3597" s="129"/>
      <c r="C3597" s="129"/>
      <c r="D3597" s="129"/>
      <c r="E3597" s="129"/>
      <c r="F3597" s="129"/>
      <c r="G3597" s="129"/>
    </row>
    <row r="3598" spans="2:7" x14ac:dyDescent="0.2">
      <c r="B3598" s="129"/>
      <c r="C3598" s="129"/>
      <c r="D3598" s="129"/>
      <c r="E3598" s="129"/>
      <c r="F3598" s="129"/>
      <c r="G3598" s="129"/>
    </row>
    <row r="3599" spans="2:7" x14ac:dyDescent="0.2">
      <c r="B3599" s="129"/>
      <c r="C3599" s="129"/>
      <c r="D3599" s="129"/>
      <c r="E3599" s="129"/>
      <c r="F3599" s="129"/>
      <c r="G3599" s="129"/>
    </row>
    <row r="3600" spans="2:7" x14ac:dyDescent="0.2">
      <c r="B3600" s="129"/>
      <c r="C3600" s="129"/>
      <c r="D3600" s="129"/>
      <c r="E3600" s="129"/>
      <c r="F3600" s="129"/>
      <c r="G3600" s="129"/>
    </row>
    <row r="3601" spans="2:7" x14ac:dyDescent="0.2">
      <c r="B3601" s="129"/>
      <c r="C3601" s="129"/>
      <c r="D3601" s="129"/>
      <c r="E3601" s="129"/>
      <c r="F3601" s="129"/>
      <c r="G3601" s="129"/>
    </row>
    <row r="3602" spans="2:7" x14ac:dyDescent="0.2">
      <c r="B3602" s="129"/>
      <c r="C3602" s="129"/>
      <c r="D3602" s="129"/>
      <c r="E3602" s="129"/>
      <c r="F3602" s="129"/>
      <c r="G3602" s="129"/>
    </row>
    <row r="3603" spans="2:7" x14ac:dyDescent="0.2">
      <c r="B3603" s="129"/>
      <c r="C3603" s="129"/>
      <c r="D3603" s="129"/>
      <c r="E3603" s="129"/>
      <c r="F3603" s="129"/>
      <c r="G3603" s="129"/>
    </row>
    <row r="3604" spans="2:7" x14ac:dyDescent="0.2">
      <c r="B3604" s="129"/>
      <c r="C3604" s="129"/>
      <c r="D3604" s="129"/>
      <c r="E3604" s="129"/>
      <c r="F3604" s="129"/>
      <c r="G3604" s="129"/>
    </row>
    <row r="3605" spans="2:7" x14ac:dyDescent="0.2">
      <c r="B3605" s="129"/>
      <c r="C3605" s="129"/>
      <c r="D3605" s="129"/>
      <c r="E3605" s="129"/>
      <c r="F3605" s="129"/>
      <c r="G3605" s="129"/>
    </row>
    <row r="3606" spans="2:7" x14ac:dyDescent="0.2">
      <c r="B3606" s="129"/>
      <c r="C3606" s="129"/>
      <c r="D3606" s="129"/>
      <c r="E3606" s="129"/>
      <c r="F3606" s="129"/>
      <c r="G3606" s="129"/>
    </row>
    <row r="3607" spans="2:7" x14ac:dyDescent="0.2">
      <c r="B3607" s="129"/>
      <c r="C3607" s="129"/>
      <c r="D3607" s="129"/>
      <c r="E3607" s="129"/>
      <c r="F3607" s="129"/>
      <c r="G3607" s="129"/>
    </row>
    <row r="3608" spans="2:7" x14ac:dyDescent="0.2">
      <c r="B3608" s="129"/>
      <c r="C3608" s="129"/>
      <c r="D3608" s="129"/>
      <c r="E3608" s="129"/>
      <c r="F3608" s="129"/>
      <c r="G3608" s="129"/>
    </row>
    <row r="3609" spans="2:7" x14ac:dyDescent="0.2">
      <c r="B3609" s="129"/>
      <c r="C3609" s="129"/>
      <c r="D3609" s="129"/>
      <c r="E3609" s="129"/>
      <c r="F3609" s="129"/>
      <c r="G3609" s="129"/>
    </row>
    <row r="3610" spans="2:7" x14ac:dyDescent="0.2">
      <c r="B3610" s="129"/>
      <c r="C3610" s="129"/>
      <c r="D3610" s="129"/>
      <c r="E3610" s="129"/>
      <c r="F3610" s="129"/>
      <c r="G3610" s="129"/>
    </row>
    <row r="3611" spans="2:7" x14ac:dyDescent="0.2">
      <c r="B3611" s="129"/>
      <c r="C3611" s="129"/>
      <c r="D3611" s="129"/>
      <c r="E3611" s="129"/>
      <c r="F3611" s="129"/>
      <c r="G3611" s="129"/>
    </row>
    <row r="3612" spans="2:7" x14ac:dyDescent="0.2">
      <c r="B3612" s="129"/>
      <c r="C3612" s="129"/>
      <c r="D3612" s="129"/>
      <c r="E3612" s="129"/>
      <c r="F3612" s="129"/>
      <c r="G3612" s="129"/>
    </row>
    <row r="3613" spans="2:7" x14ac:dyDescent="0.2">
      <c r="B3613" s="129"/>
      <c r="C3613" s="129"/>
      <c r="D3613" s="129"/>
      <c r="E3613" s="129"/>
      <c r="F3613" s="129"/>
      <c r="G3613" s="129"/>
    </row>
    <row r="3614" spans="2:7" x14ac:dyDescent="0.2">
      <c r="B3614" s="129"/>
      <c r="C3614" s="129"/>
      <c r="D3614" s="129"/>
      <c r="E3614" s="129"/>
      <c r="F3614" s="129"/>
      <c r="G3614" s="129"/>
    </row>
    <row r="3615" spans="2:7" x14ac:dyDescent="0.2">
      <c r="B3615" s="129"/>
      <c r="C3615" s="129"/>
      <c r="D3615" s="129"/>
      <c r="E3615" s="129"/>
      <c r="F3615" s="129"/>
      <c r="G3615" s="129"/>
    </row>
    <row r="3616" spans="2:7" x14ac:dyDescent="0.2">
      <c r="B3616" s="129"/>
      <c r="C3616" s="129"/>
      <c r="D3616" s="129"/>
      <c r="E3616" s="129"/>
      <c r="F3616" s="129"/>
      <c r="G3616" s="129"/>
    </row>
    <row r="3617" spans="2:7" x14ac:dyDescent="0.2">
      <c r="B3617" s="129"/>
      <c r="C3617" s="129"/>
      <c r="D3617" s="129"/>
      <c r="E3617" s="129"/>
      <c r="F3617" s="129"/>
      <c r="G3617" s="129"/>
    </row>
    <row r="3618" spans="2:7" x14ac:dyDescent="0.2">
      <c r="B3618" s="129"/>
      <c r="C3618" s="129"/>
      <c r="D3618" s="129"/>
      <c r="E3618" s="129"/>
      <c r="F3618" s="129"/>
      <c r="G3618" s="129"/>
    </row>
    <row r="3619" spans="2:7" x14ac:dyDescent="0.2">
      <c r="B3619" s="129"/>
      <c r="C3619" s="129"/>
      <c r="D3619" s="129"/>
      <c r="E3619" s="129"/>
      <c r="F3619" s="129"/>
      <c r="G3619" s="129"/>
    </row>
    <row r="3620" spans="2:7" x14ac:dyDescent="0.2">
      <c r="B3620" s="129"/>
      <c r="C3620" s="129"/>
      <c r="D3620" s="129"/>
      <c r="E3620" s="129"/>
      <c r="F3620" s="129"/>
      <c r="G3620" s="129"/>
    </row>
    <row r="3621" spans="2:7" x14ac:dyDescent="0.2">
      <c r="B3621" s="129"/>
      <c r="C3621" s="129"/>
      <c r="D3621" s="129"/>
      <c r="E3621" s="129"/>
      <c r="F3621" s="129"/>
      <c r="G3621" s="129"/>
    </row>
    <row r="3622" spans="2:7" x14ac:dyDescent="0.2">
      <c r="B3622" s="129"/>
      <c r="C3622" s="129"/>
      <c r="D3622" s="129"/>
      <c r="E3622" s="129"/>
      <c r="F3622" s="129"/>
      <c r="G3622" s="129"/>
    </row>
    <row r="3623" spans="2:7" x14ac:dyDescent="0.2">
      <c r="B3623" s="129"/>
      <c r="C3623" s="129"/>
      <c r="D3623" s="129"/>
      <c r="E3623" s="129"/>
      <c r="F3623" s="129"/>
      <c r="G3623" s="129"/>
    </row>
    <row r="3624" spans="2:7" x14ac:dyDescent="0.2">
      <c r="B3624" s="129"/>
      <c r="C3624" s="129"/>
      <c r="D3624" s="129"/>
      <c r="E3624" s="129"/>
      <c r="F3624" s="129"/>
      <c r="G3624" s="129"/>
    </row>
    <row r="3625" spans="2:7" x14ac:dyDescent="0.2">
      <c r="B3625" s="129"/>
      <c r="C3625" s="129"/>
      <c r="D3625" s="129"/>
      <c r="E3625" s="129"/>
      <c r="F3625" s="129"/>
      <c r="G3625" s="129"/>
    </row>
    <row r="3626" spans="2:7" x14ac:dyDescent="0.2">
      <c r="B3626" s="129"/>
      <c r="C3626" s="129"/>
      <c r="D3626" s="129"/>
      <c r="E3626" s="129"/>
      <c r="F3626" s="129"/>
      <c r="G3626" s="129"/>
    </row>
    <row r="3627" spans="2:7" x14ac:dyDescent="0.2">
      <c r="B3627" s="129"/>
      <c r="C3627" s="129"/>
      <c r="D3627" s="129"/>
      <c r="E3627" s="129"/>
      <c r="F3627" s="129"/>
      <c r="G3627" s="129"/>
    </row>
    <row r="3628" spans="2:7" x14ac:dyDescent="0.2">
      <c r="B3628" s="129"/>
      <c r="C3628" s="129"/>
      <c r="D3628" s="129"/>
      <c r="E3628" s="129"/>
      <c r="F3628" s="129"/>
      <c r="G3628" s="129"/>
    </row>
    <row r="3629" spans="2:7" x14ac:dyDescent="0.2">
      <c r="B3629" s="129"/>
      <c r="C3629" s="129"/>
      <c r="D3629" s="129"/>
      <c r="E3629" s="129"/>
      <c r="F3629" s="129"/>
      <c r="G3629" s="129"/>
    </row>
    <row r="3630" spans="2:7" x14ac:dyDescent="0.2">
      <c r="B3630" s="129"/>
      <c r="C3630" s="129"/>
      <c r="D3630" s="129"/>
      <c r="E3630" s="129"/>
      <c r="F3630" s="129"/>
      <c r="G3630" s="129"/>
    </row>
    <row r="3631" spans="2:7" x14ac:dyDescent="0.2">
      <c r="B3631" s="129"/>
      <c r="C3631" s="129"/>
      <c r="D3631" s="129"/>
      <c r="E3631" s="129"/>
      <c r="F3631" s="129"/>
      <c r="G3631" s="129"/>
    </row>
    <row r="3632" spans="2:7" x14ac:dyDescent="0.2">
      <c r="B3632" s="129"/>
      <c r="C3632" s="129"/>
      <c r="D3632" s="129"/>
      <c r="E3632" s="129"/>
      <c r="F3632" s="129"/>
      <c r="G3632" s="129"/>
    </row>
    <row r="3633" spans="2:7" x14ac:dyDescent="0.2">
      <c r="B3633" s="129"/>
      <c r="C3633" s="129"/>
      <c r="D3633" s="129"/>
      <c r="E3633" s="129"/>
      <c r="F3633" s="129"/>
      <c r="G3633" s="129"/>
    </row>
    <row r="3634" spans="2:7" x14ac:dyDescent="0.2">
      <c r="B3634" s="129"/>
      <c r="C3634" s="129"/>
      <c r="D3634" s="129"/>
      <c r="E3634" s="129"/>
      <c r="F3634" s="129"/>
      <c r="G3634" s="129"/>
    </row>
    <row r="3635" spans="2:7" x14ac:dyDescent="0.2">
      <c r="B3635" s="129"/>
      <c r="C3635" s="129"/>
      <c r="D3635" s="129"/>
      <c r="E3635" s="129"/>
      <c r="F3635" s="129"/>
      <c r="G3635" s="129"/>
    </row>
    <row r="3636" spans="2:7" x14ac:dyDescent="0.2">
      <c r="B3636" s="129"/>
      <c r="C3636" s="129"/>
      <c r="D3636" s="129"/>
      <c r="E3636" s="129"/>
      <c r="F3636" s="129"/>
      <c r="G3636" s="129"/>
    </row>
    <row r="3637" spans="2:7" x14ac:dyDescent="0.2">
      <c r="B3637" s="129"/>
      <c r="C3637" s="129"/>
      <c r="D3637" s="129"/>
      <c r="E3637" s="129"/>
      <c r="F3637" s="129"/>
      <c r="G3637" s="129"/>
    </row>
    <row r="3638" spans="2:7" x14ac:dyDescent="0.2">
      <c r="B3638" s="129"/>
      <c r="C3638" s="129"/>
      <c r="D3638" s="129"/>
      <c r="E3638" s="129"/>
      <c r="F3638" s="129"/>
      <c r="G3638" s="129"/>
    </row>
    <row r="3639" spans="2:7" x14ac:dyDescent="0.2">
      <c r="B3639" s="129"/>
      <c r="C3639" s="129"/>
      <c r="D3639" s="129"/>
      <c r="E3639" s="129"/>
      <c r="F3639" s="129"/>
      <c r="G3639" s="129"/>
    </row>
    <row r="3640" spans="2:7" x14ac:dyDescent="0.2">
      <c r="B3640" s="129"/>
      <c r="C3640" s="129"/>
      <c r="D3640" s="129"/>
      <c r="E3640" s="129"/>
      <c r="F3640" s="129"/>
      <c r="G3640" s="129"/>
    </row>
    <row r="3641" spans="2:7" x14ac:dyDescent="0.2">
      <c r="B3641" s="129"/>
      <c r="C3641" s="129"/>
      <c r="D3641" s="129"/>
      <c r="E3641" s="129"/>
      <c r="F3641" s="129"/>
      <c r="G3641" s="129"/>
    </row>
    <row r="3642" spans="2:7" x14ac:dyDescent="0.2">
      <c r="B3642" s="129"/>
      <c r="C3642" s="129"/>
      <c r="D3642" s="129"/>
      <c r="E3642" s="129"/>
      <c r="F3642" s="129"/>
      <c r="G3642" s="129"/>
    </row>
    <row r="3643" spans="2:7" x14ac:dyDescent="0.2">
      <c r="B3643" s="129"/>
      <c r="C3643" s="129"/>
      <c r="D3643" s="129"/>
      <c r="E3643" s="129"/>
      <c r="F3643" s="129"/>
      <c r="G3643" s="129"/>
    </row>
    <row r="3644" spans="2:7" x14ac:dyDescent="0.2">
      <c r="B3644" s="129"/>
      <c r="C3644" s="129"/>
      <c r="D3644" s="129"/>
      <c r="E3644" s="129"/>
      <c r="F3644" s="129"/>
      <c r="G3644" s="129"/>
    </row>
    <row r="3645" spans="2:7" x14ac:dyDescent="0.2">
      <c r="B3645" s="129"/>
      <c r="C3645" s="129"/>
      <c r="D3645" s="129"/>
      <c r="E3645" s="129"/>
      <c r="F3645" s="129"/>
      <c r="G3645" s="129"/>
    </row>
    <row r="3646" spans="2:7" x14ac:dyDescent="0.2">
      <c r="B3646" s="129"/>
      <c r="C3646" s="129"/>
      <c r="D3646" s="129"/>
      <c r="E3646" s="129"/>
      <c r="F3646" s="129"/>
      <c r="G3646" s="129"/>
    </row>
    <row r="3647" spans="2:7" x14ac:dyDescent="0.2">
      <c r="B3647" s="129"/>
      <c r="C3647" s="129"/>
      <c r="D3647" s="129"/>
      <c r="E3647" s="129"/>
      <c r="F3647" s="129"/>
      <c r="G3647" s="129"/>
    </row>
    <row r="3648" spans="2:7" x14ac:dyDescent="0.2">
      <c r="B3648" s="129"/>
      <c r="C3648" s="129"/>
      <c r="D3648" s="129"/>
      <c r="E3648" s="129"/>
      <c r="F3648" s="129"/>
      <c r="G3648" s="129"/>
    </row>
    <row r="3649" spans="2:7" x14ac:dyDescent="0.2">
      <c r="B3649" s="129"/>
      <c r="C3649" s="129"/>
      <c r="D3649" s="129"/>
      <c r="E3649" s="129"/>
      <c r="F3649" s="129"/>
      <c r="G3649" s="129"/>
    </row>
    <row r="3650" spans="2:7" x14ac:dyDescent="0.2">
      <c r="B3650" s="129"/>
      <c r="C3650" s="129"/>
      <c r="D3650" s="129"/>
      <c r="E3650" s="129"/>
      <c r="F3650" s="129"/>
      <c r="G3650" s="129"/>
    </row>
    <row r="3651" spans="2:7" x14ac:dyDescent="0.2">
      <c r="B3651" s="129"/>
      <c r="C3651" s="129"/>
      <c r="D3651" s="129"/>
      <c r="E3651" s="129"/>
      <c r="F3651" s="129"/>
      <c r="G3651" s="129"/>
    </row>
    <row r="3652" spans="2:7" x14ac:dyDescent="0.2">
      <c r="B3652" s="129"/>
      <c r="C3652" s="129"/>
      <c r="D3652" s="129"/>
      <c r="E3652" s="129"/>
      <c r="F3652" s="129"/>
      <c r="G3652" s="129"/>
    </row>
    <row r="3653" spans="2:7" x14ac:dyDescent="0.2">
      <c r="B3653" s="129"/>
      <c r="C3653" s="129"/>
      <c r="D3653" s="129"/>
      <c r="E3653" s="129"/>
      <c r="F3653" s="129"/>
      <c r="G3653" s="129"/>
    </row>
    <row r="3654" spans="2:7" x14ac:dyDescent="0.2">
      <c r="B3654" s="129"/>
      <c r="C3654" s="129"/>
      <c r="D3654" s="129"/>
      <c r="E3654" s="129"/>
      <c r="F3654" s="129"/>
      <c r="G3654" s="129"/>
    </row>
    <row r="3655" spans="2:7" x14ac:dyDescent="0.2">
      <c r="B3655" s="129"/>
      <c r="C3655" s="129"/>
      <c r="D3655" s="129"/>
      <c r="E3655" s="129"/>
      <c r="F3655" s="129"/>
      <c r="G3655" s="129"/>
    </row>
    <row r="3656" spans="2:7" x14ac:dyDescent="0.2">
      <c r="B3656" s="129"/>
      <c r="C3656" s="129"/>
      <c r="D3656" s="129"/>
      <c r="E3656" s="129"/>
      <c r="F3656" s="129"/>
      <c r="G3656" s="129"/>
    </row>
    <row r="3657" spans="2:7" x14ac:dyDescent="0.2">
      <c r="B3657" s="129"/>
      <c r="C3657" s="129"/>
      <c r="D3657" s="129"/>
      <c r="E3657" s="129"/>
      <c r="F3657" s="129"/>
      <c r="G3657" s="129"/>
    </row>
    <row r="3658" spans="2:7" x14ac:dyDescent="0.2">
      <c r="B3658" s="129"/>
      <c r="C3658" s="129"/>
      <c r="D3658" s="129"/>
      <c r="E3658" s="129"/>
      <c r="F3658" s="129"/>
      <c r="G3658" s="129"/>
    </row>
    <row r="3659" spans="2:7" x14ac:dyDescent="0.2">
      <c r="B3659" s="129"/>
      <c r="C3659" s="129"/>
      <c r="D3659" s="129"/>
      <c r="E3659" s="129"/>
      <c r="F3659" s="129"/>
      <c r="G3659" s="129"/>
    </row>
    <row r="3660" spans="2:7" x14ac:dyDescent="0.2">
      <c r="B3660" s="129"/>
      <c r="C3660" s="129"/>
      <c r="D3660" s="129"/>
      <c r="E3660" s="129"/>
      <c r="F3660" s="129"/>
      <c r="G3660" s="129"/>
    </row>
    <row r="3661" spans="2:7" x14ac:dyDescent="0.2">
      <c r="B3661" s="129"/>
      <c r="C3661" s="129"/>
      <c r="D3661" s="129"/>
      <c r="E3661" s="129"/>
      <c r="F3661" s="129"/>
      <c r="G3661" s="129"/>
    </row>
    <row r="3662" spans="2:7" x14ac:dyDescent="0.2">
      <c r="B3662" s="129"/>
      <c r="C3662" s="129"/>
      <c r="D3662" s="129"/>
      <c r="E3662" s="129"/>
      <c r="F3662" s="129"/>
      <c r="G3662" s="129"/>
    </row>
    <row r="3663" spans="2:7" x14ac:dyDescent="0.2">
      <c r="B3663" s="129"/>
      <c r="C3663" s="129"/>
      <c r="D3663" s="129"/>
      <c r="E3663" s="129"/>
      <c r="F3663" s="129"/>
      <c r="G3663" s="129"/>
    </row>
    <row r="3664" spans="2:7" x14ac:dyDescent="0.2">
      <c r="B3664" s="129"/>
      <c r="C3664" s="129"/>
      <c r="D3664" s="129"/>
      <c r="E3664" s="129"/>
      <c r="F3664" s="129"/>
      <c r="G3664" s="129"/>
    </row>
    <row r="3665" spans="2:7" x14ac:dyDescent="0.2">
      <c r="B3665" s="129"/>
      <c r="C3665" s="129"/>
      <c r="D3665" s="129"/>
      <c r="E3665" s="129"/>
      <c r="F3665" s="129"/>
      <c r="G3665" s="129"/>
    </row>
    <row r="3666" spans="2:7" x14ac:dyDescent="0.2">
      <c r="B3666" s="129"/>
      <c r="C3666" s="129"/>
      <c r="D3666" s="129"/>
      <c r="E3666" s="129"/>
      <c r="F3666" s="129"/>
      <c r="G3666" s="129"/>
    </row>
    <row r="3667" spans="2:7" x14ac:dyDescent="0.2">
      <c r="B3667" s="129"/>
      <c r="C3667" s="129"/>
      <c r="D3667" s="129"/>
      <c r="E3667" s="129"/>
      <c r="F3667" s="129"/>
      <c r="G3667" s="129"/>
    </row>
    <row r="3668" spans="2:7" x14ac:dyDescent="0.2">
      <c r="B3668" s="129"/>
      <c r="C3668" s="129"/>
      <c r="D3668" s="129"/>
      <c r="E3668" s="129"/>
      <c r="F3668" s="129"/>
      <c r="G3668" s="129"/>
    </row>
    <row r="3669" spans="2:7" x14ac:dyDescent="0.2">
      <c r="B3669" s="129"/>
      <c r="C3669" s="129"/>
      <c r="D3669" s="129"/>
      <c r="E3669" s="129"/>
      <c r="F3669" s="129"/>
      <c r="G3669" s="129"/>
    </row>
    <row r="3670" spans="2:7" x14ac:dyDescent="0.2">
      <c r="B3670" s="129"/>
      <c r="C3670" s="129"/>
      <c r="D3670" s="129"/>
      <c r="E3670" s="129"/>
      <c r="F3670" s="129"/>
      <c r="G3670" s="129"/>
    </row>
    <row r="3671" spans="2:7" x14ac:dyDescent="0.2">
      <c r="B3671" s="129"/>
      <c r="C3671" s="129"/>
      <c r="D3671" s="129"/>
      <c r="E3671" s="129"/>
      <c r="F3671" s="129"/>
      <c r="G3671" s="129"/>
    </row>
    <row r="3672" spans="2:7" x14ac:dyDescent="0.2">
      <c r="B3672" s="129"/>
      <c r="C3672" s="129"/>
      <c r="D3672" s="129"/>
      <c r="E3672" s="129"/>
      <c r="F3672" s="129"/>
      <c r="G3672" s="129"/>
    </row>
    <row r="3673" spans="2:7" x14ac:dyDescent="0.2">
      <c r="B3673" s="129"/>
      <c r="C3673" s="129"/>
      <c r="D3673" s="129"/>
      <c r="E3673" s="129"/>
      <c r="F3673" s="129"/>
      <c r="G3673" s="129"/>
    </row>
    <row r="3674" spans="2:7" x14ac:dyDescent="0.2">
      <c r="B3674" s="129"/>
      <c r="C3674" s="129"/>
      <c r="D3674" s="129"/>
      <c r="E3674" s="129"/>
      <c r="F3674" s="129"/>
      <c r="G3674" s="129"/>
    </row>
    <row r="3675" spans="2:7" x14ac:dyDescent="0.2">
      <c r="B3675" s="129"/>
      <c r="C3675" s="129"/>
      <c r="D3675" s="129"/>
      <c r="E3675" s="129"/>
      <c r="F3675" s="129"/>
      <c r="G3675" s="129"/>
    </row>
    <row r="3676" spans="2:7" x14ac:dyDescent="0.2">
      <c r="B3676" s="129"/>
      <c r="C3676" s="129"/>
      <c r="D3676" s="129"/>
      <c r="E3676" s="129"/>
      <c r="F3676" s="129"/>
      <c r="G3676" s="129"/>
    </row>
    <row r="3677" spans="2:7" x14ac:dyDescent="0.2">
      <c r="B3677" s="129"/>
      <c r="C3677" s="129"/>
      <c r="D3677" s="129"/>
      <c r="E3677" s="129"/>
      <c r="F3677" s="129"/>
      <c r="G3677" s="129"/>
    </row>
    <row r="3678" spans="2:7" x14ac:dyDescent="0.2">
      <c r="B3678" s="129"/>
      <c r="C3678" s="129"/>
      <c r="D3678" s="129"/>
      <c r="E3678" s="129"/>
      <c r="F3678" s="129"/>
      <c r="G3678" s="129"/>
    </row>
    <row r="3679" spans="2:7" x14ac:dyDescent="0.2">
      <c r="B3679" s="129"/>
      <c r="C3679" s="129"/>
      <c r="D3679" s="129"/>
      <c r="E3679" s="129"/>
      <c r="F3679" s="129"/>
      <c r="G3679" s="129"/>
    </row>
    <row r="3680" spans="2:7" x14ac:dyDescent="0.2">
      <c r="B3680" s="129"/>
      <c r="C3680" s="129"/>
      <c r="D3680" s="129"/>
      <c r="E3680" s="129"/>
      <c r="F3680" s="129"/>
      <c r="G3680" s="129"/>
    </row>
    <row r="3681" spans="2:7" x14ac:dyDescent="0.2">
      <c r="B3681" s="129"/>
      <c r="C3681" s="129"/>
      <c r="D3681" s="129"/>
      <c r="E3681" s="129"/>
      <c r="F3681" s="129"/>
      <c r="G3681" s="129"/>
    </row>
    <row r="3682" spans="2:7" x14ac:dyDescent="0.2">
      <c r="B3682" s="129"/>
      <c r="C3682" s="129"/>
      <c r="D3682" s="129"/>
      <c r="E3682" s="129"/>
      <c r="F3682" s="129"/>
      <c r="G3682" s="129"/>
    </row>
    <row r="3683" spans="2:7" x14ac:dyDescent="0.2">
      <c r="B3683" s="129"/>
      <c r="C3683" s="129"/>
      <c r="D3683" s="129"/>
      <c r="E3683" s="129"/>
      <c r="F3683" s="129"/>
      <c r="G3683" s="129"/>
    </row>
    <row r="3684" spans="2:7" x14ac:dyDescent="0.2">
      <c r="B3684" s="129"/>
      <c r="C3684" s="129"/>
      <c r="D3684" s="129"/>
      <c r="E3684" s="129"/>
      <c r="F3684" s="129"/>
      <c r="G3684" s="129"/>
    </row>
    <row r="3685" spans="2:7" x14ac:dyDescent="0.2">
      <c r="B3685" s="129"/>
      <c r="C3685" s="129"/>
      <c r="D3685" s="129"/>
      <c r="E3685" s="129"/>
      <c r="F3685" s="129"/>
      <c r="G3685" s="129"/>
    </row>
    <row r="3686" spans="2:7" x14ac:dyDescent="0.2">
      <c r="B3686" s="129"/>
      <c r="C3686" s="129"/>
      <c r="D3686" s="129"/>
      <c r="E3686" s="129"/>
      <c r="F3686" s="129"/>
      <c r="G3686" s="129"/>
    </row>
    <row r="3687" spans="2:7" x14ac:dyDescent="0.2">
      <c r="B3687" s="129"/>
      <c r="C3687" s="129"/>
      <c r="D3687" s="129"/>
      <c r="E3687" s="129"/>
      <c r="F3687" s="129"/>
      <c r="G3687" s="129"/>
    </row>
    <row r="3688" spans="2:7" x14ac:dyDescent="0.2">
      <c r="B3688" s="129"/>
      <c r="C3688" s="129"/>
      <c r="D3688" s="129"/>
      <c r="E3688" s="129"/>
      <c r="F3688" s="129"/>
      <c r="G3688" s="129"/>
    </row>
    <row r="3689" spans="2:7" x14ac:dyDescent="0.2">
      <c r="B3689" s="129"/>
      <c r="C3689" s="129"/>
      <c r="D3689" s="129"/>
      <c r="E3689" s="129"/>
      <c r="F3689" s="129"/>
      <c r="G3689" s="129"/>
    </row>
    <row r="3690" spans="2:7" x14ac:dyDescent="0.2">
      <c r="B3690" s="129"/>
      <c r="C3690" s="129"/>
      <c r="D3690" s="129"/>
      <c r="E3690" s="129"/>
      <c r="F3690" s="129"/>
      <c r="G3690" s="129"/>
    </row>
    <row r="3691" spans="2:7" x14ac:dyDescent="0.2">
      <c r="B3691" s="129"/>
      <c r="C3691" s="129"/>
      <c r="D3691" s="129"/>
      <c r="E3691" s="129"/>
      <c r="F3691" s="129"/>
      <c r="G3691" s="129"/>
    </row>
    <row r="3692" spans="2:7" x14ac:dyDescent="0.2">
      <c r="B3692" s="129"/>
      <c r="C3692" s="129"/>
      <c r="D3692" s="129"/>
      <c r="E3692" s="129"/>
      <c r="F3692" s="129"/>
      <c r="G3692" s="129"/>
    </row>
    <row r="3693" spans="2:7" x14ac:dyDescent="0.2">
      <c r="B3693" s="129"/>
      <c r="C3693" s="129"/>
      <c r="D3693" s="129"/>
      <c r="E3693" s="129"/>
      <c r="F3693" s="129"/>
      <c r="G3693" s="129"/>
    </row>
    <row r="3694" spans="2:7" x14ac:dyDescent="0.2">
      <c r="B3694" s="129"/>
      <c r="C3694" s="129"/>
      <c r="D3694" s="129"/>
      <c r="E3694" s="129"/>
      <c r="F3694" s="129"/>
      <c r="G3694" s="129"/>
    </row>
    <row r="3695" spans="2:7" x14ac:dyDescent="0.2">
      <c r="B3695" s="129"/>
      <c r="C3695" s="129"/>
      <c r="D3695" s="129"/>
      <c r="E3695" s="129"/>
      <c r="F3695" s="129"/>
      <c r="G3695" s="129"/>
    </row>
    <row r="3696" spans="2:7" x14ac:dyDescent="0.2">
      <c r="B3696" s="129"/>
      <c r="C3696" s="129"/>
      <c r="D3696" s="129"/>
      <c r="E3696" s="129"/>
      <c r="F3696" s="129"/>
      <c r="G3696" s="129"/>
    </row>
    <row r="3697" spans="2:7" x14ac:dyDescent="0.2">
      <c r="B3697" s="129"/>
      <c r="C3697" s="129"/>
      <c r="D3697" s="129"/>
      <c r="E3697" s="129"/>
      <c r="F3697" s="129"/>
      <c r="G3697" s="129"/>
    </row>
    <row r="3698" spans="2:7" x14ac:dyDescent="0.2">
      <c r="B3698" s="129"/>
      <c r="C3698" s="129"/>
      <c r="D3698" s="129"/>
      <c r="E3698" s="129"/>
      <c r="F3698" s="129"/>
      <c r="G3698" s="129"/>
    </row>
    <row r="3699" spans="2:7" x14ac:dyDescent="0.2">
      <c r="B3699" s="129"/>
      <c r="C3699" s="129"/>
      <c r="D3699" s="129"/>
      <c r="E3699" s="129"/>
      <c r="F3699" s="129"/>
      <c r="G3699" s="129"/>
    </row>
    <row r="3700" spans="2:7" x14ac:dyDescent="0.2">
      <c r="B3700" s="129"/>
      <c r="C3700" s="129"/>
      <c r="D3700" s="129"/>
      <c r="E3700" s="129"/>
      <c r="F3700" s="129"/>
      <c r="G3700" s="129"/>
    </row>
    <row r="3701" spans="2:7" x14ac:dyDescent="0.2">
      <c r="B3701" s="129"/>
      <c r="C3701" s="129"/>
      <c r="D3701" s="129"/>
      <c r="E3701" s="129"/>
      <c r="F3701" s="129"/>
      <c r="G3701" s="129"/>
    </row>
    <row r="3702" spans="2:7" x14ac:dyDescent="0.2">
      <c r="B3702" s="129"/>
      <c r="C3702" s="129"/>
      <c r="D3702" s="129"/>
      <c r="E3702" s="129"/>
      <c r="F3702" s="129"/>
      <c r="G3702" s="129"/>
    </row>
    <row r="3703" spans="2:7" x14ac:dyDescent="0.2">
      <c r="B3703" s="129"/>
      <c r="C3703" s="129"/>
      <c r="D3703" s="129"/>
      <c r="E3703" s="129"/>
      <c r="F3703" s="129"/>
      <c r="G3703" s="129"/>
    </row>
    <row r="3704" spans="2:7" x14ac:dyDescent="0.2">
      <c r="B3704" s="129"/>
      <c r="C3704" s="129"/>
      <c r="D3704" s="129"/>
      <c r="E3704" s="129"/>
      <c r="F3704" s="129"/>
      <c r="G3704" s="129"/>
    </row>
    <row r="3705" spans="2:7" x14ac:dyDescent="0.2">
      <c r="B3705" s="129"/>
      <c r="C3705" s="129"/>
      <c r="D3705" s="129"/>
      <c r="E3705" s="129"/>
      <c r="F3705" s="129"/>
      <c r="G3705" s="129"/>
    </row>
    <row r="3706" spans="2:7" x14ac:dyDescent="0.2">
      <c r="B3706" s="129"/>
      <c r="C3706" s="129"/>
      <c r="D3706" s="129"/>
      <c r="E3706" s="129"/>
      <c r="F3706" s="129"/>
      <c r="G3706" s="129"/>
    </row>
    <row r="3707" spans="2:7" x14ac:dyDescent="0.2">
      <c r="B3707" s="129"/>
      <c r="C3707" s="129"/>
      <c r="D3707" s="129"/>
      <c r="E3707" s="129"/>
      <c r="F3707" s="129"/>
      <c r="G3707" s="129"/>
    </row>
    <row r="3708" spans="2:7" x14ac:dyDescent="0.2">
      <c r="B3708" s="129"/>
      <c r="C3708" s="129"/>
      <c r="D3708" s="129"/>
      <c r="E3708" s="129"/>
      <c r="F3708" s="129"/>
      <c r="G3708" s="129"/>
    </row>
    <row r="3709" spans="2:7" x14ac:dyDescent="0.2">
      <c r="B3709" s="129"/>
      <c r="C3709" s="129"/>
      <c r="D3709" s="129"/>
      <c r="E3709" s="129"/>
      <c r="F3709" s="129"/>
      <c r="G3709" s="129"/>
    </row>
    <row r="3710" spans="2:7" x14ac:dyDescent="0.2">
      <c r="B3710" s="129"/>
      <c r="C3710" s="129"/>
      <c r="D3710" s="129"/>
      <c r="E3710" s="129"/>
      <c r="F3710" s="129"/>
      <c r="G3710" s="129"/>
    </row>
    <row r="3711" spans="2:7" x14ac:dyDescent="0.2">
      <c r="B3711" s="129"/>
      <c r="C3711" s="129"/>
      <c r="D3711" s="129"/>
      <c r="E3711" s="129"/>
      <c r="F3711" s="129"/>
      <c r="G3711" s="129"/>
    </row>
    <row r="3712" spans="2:7" x14ac:dyDescent="0.2">
      <c r="B3712" s="129"/>
      <c r="C3712" s="129"/>
      <c r="D3712" s="129"/>
      <c r="E3712" s="129"/>
      <c r="F3712" s="129"/>
      <c r="G3712" s="129"/>
    </row>
    <row r="3713" spans="2:7" x14ac:dyDescent="0.2">
      <c r="B3713" s="129"/>
      <c r="C3713" s="129"/>
      <c r="D3713" s="129"/>
      <c r="E3713" s="129"/>
      <c r="F3713" s="129"/>
      <c r="G3713" s="129"/>
    </row>
    <row r="3714" spans="2:7" x14ac:dyDescent="0.2">
      <c r="B3714" s="129"/>
      <c r="C3714" s="129"/>
      <c r="D3714" s="129"/>
      <c r="E3714" s="129"/>
      <c r="F3714" s="129"/>
      <c r="G3714" s="129"/>
    </row>
    <row r="3715" spans="2:7" x14ac:dyDescent="0.2">
      <c r="B3715" s="129"/>
      <c r="C3715" s="129"/>
      <c r="D3715" s="129"/>
      <c r="E3715" s="129"/>
      <c r="F3715" s="129"/>
      <c r="G3715" s="129"/>
    </row>
    <row r="3716" spans="2:7" x14ac:dyDescent="0.2">
      <c r="B3716" s="129"/>
      <c r="C3716" s="129"/>
      <c r="D3716" s="129"/>
      <c r="E3716" s="129"/>
      <c r="F3716" s="129"/>
      <c r="G3716" s="129"/>
    </row>
    <row r="3717" spans="2:7" x14ac:dyDescent="0.2">
      <c r="B3717" s="129"/>
      <c r="C3717" s="129"/>
      <c r="D3717" s="129"/>
      <c r="E3717" s="129"/>
      <c r="F3717" s="129"/>
      <c r="G3717" s="129"/>
    </row>
    <row r="3718" spans="2:7" x14ac:dyDescent="0.2">
      <c r="B3718" s="129"/>
      <c r="C3718" s="129"/>
      <c r="D3718" s="129"/>
      <c r="E3718" s="129"/>
      <c r="F3718" s="129"/>
      <c r="G3718" s="129"/>
    </row>
    <row r="3719" spans="2:7" x14ac:dyDescent="0.2">
      <c r="B3719" s="129"/>
      <c r="C3719" s="129"/>
      <c r="D3719" s="129"/>
      <c r="E3719" s="129"/>
      <c r="F3719" s="129"/>
      <c r="G3719" s="129"/>
    </row>
    <row r="3720" spans="2:7" x14ac:dyDescent="0.2">
      <c r="B3720" s="129"/>
      <c r="C3720" s="129"/>
      <c r="D3720" s="129"/>
      <c r="E3720" s="129"/>
      <c r="F3720" s="129"/>
      <c r="G3720" s="129"/>
    </row>
    <row r="3721" spans="2:7" x14ac:dyDescent="0.2">
      <c r="B3721" s="129"/>
      <c r="C3721" s="129"/>
      <c r="D3721" s="129"/>
      <c r="E3721" s="129"/>
      <c r="F3721" s="129"/>
      <c r="G3721" s="129"/>
    </row>
    <row r="3722" spans="2:7" x14ac:dyDescent="0.2">
      <c r="B3722" s="129"/>
      <c r="C3722" s="129"/>
      <c r="D3722" s="129"/>
      <c r="E3722" s="129"/>
      <c r="F3722" s="129"/>
      <c r="G3722" s="129"/>
    </row>
    <row r="3723" spans="2:7" x14ac:dyDescent="0.2">
      <c r="B3723" s="129"/>
      <c r="C3723" s="129"/>
      <c r="D3723" s="129"/>
      <c r="E3723" s="129"/>
      <c r="F3723" s="129"/>
      <c r="G3723" s="129"/>
    </row>
    <row r="3724" spans="2:7" x14ac:dyDescent="0.2">
      <c r="B3724" s="129"/>
      <c r="C3724" s="129"/>
      <c r="D3724" s="129"/>
      <c r="E3724" s="129"/>
      <c r="F3724" s="129"/>
      <c r="G3724" s="129"/>
    </row>
    <row r="3725" spans="2:7" x14ac:dyDescent="0.2">
      <c r="B3725" s="129"/>
      <c r="C3725" s="129"/>
      <c r="D3725" s="129"/>
      <c r="E3725" s="129"/>
      <c r="F3725" s="129"/>
      <c r="G3725" s="129"/>
    </row>
    <row r="3726" spans="2:7" x14ac:dyDescent="0.2">
      <c r="B3726" s="129"/>
      <c r="C3726" s="129"/>
      <c r="D3726" s="129"/>
      <c r="E3726" s="129"/>
      <c r="F3726" s="129"/>
      <c r="G3726" s="129"/>
    </row>
    <row r="3727" spans="2:7" x14ac:dyDescent="0.2">
      <c r="B3727" s="129"/>
      <c r="C3727" s="129"/>
      <c r="D3727" s="129"/>
      <c r="E3727" s="129"/>
      <c r="F3727" s="129"/>
      <c r="G3727" s="129"/>
    </row>
    <row r="3728" spans="2:7" x14ac:dyDescent="0.2">
      <c r="B3728" s="129"/>
      <c r="C3728" s="129"/>
      <c r="D3728" s="129"/>
      <c r="E3728" s="129"/>
      <c r="F3728" s="129"/>
      <c r="G3728" s="129"/>
    </row>
    <row r="3729" spans="2:7" x14ac:dyDescent="0.2">
      <c r="B3729" s="129"/>
      <c r="C3729" s="129"/>
      <c r="D3729" s="129"/>
      <c r="E3729" s="129"/>
      <c r="F3729" s="129"/>
      <c r="G3729" s="129"/>
    </row>
    <row r="3730" spans="2:7" x14ac:dyDescent="0.2">
      <c r="B3730" s="129"/>
      <c r="C3730" s="129"/>
      <c r="D3730" s="129"/>
      <c r="E3730" s="129"/>
      <c r="F3730" s="129"/>
      <c r="G3730" s="129"/>
    </row>
    <row r="3731" spans="2:7" x14ac:dyDescent="0.2">
      <c r="B3731" s="129"/>
      <c r="C3731" s="129"/>
      <c r="D3731" s="129"/>
      <c r="E3731" s="129"/>
      <c r="F3731" s="129"/>
      <c r="G3731" s="129"/>
    </row>
    <row r="3732" spans="2:7" x14ac:dyDescent="0.2">
      <c r="B3732" s="129"/>
      <c r="C3732" s="129"/>
      <c r="D3732" s="129"/>
      <c r="E3732" s="129"/>
      <c r="F3732" s="129"/>
      <c r="G3732" s="129"/>
    </row>
    <row r="3733" spans="2:7" x14ac:dyDescent="0.2">
      <c r="B3733" s="129"/>
      <c r="C3733" s="129"/>
      <c r="D3733" s="129"/>
      <c r="E3733" s="129"/>
      <c r="F3733" s="129"/>
      <c r="G3733" s="129"/>
    </row>
    <row r="3734" spans="2:7" x14ac:dyDescent="0.2">
      <c r="B3734" s="129"/>
      <c r="C3734" s="129"/>
      <c r="D3734" s="129"/>
      <c r="E3734" s="129"/>
      <c r="F3734" s="129"/>
      <c r="G3734" s="129"/>
    </row>
    <row r="3735" spans="2:7" x14ac:dyDescent="0.2">
      <c r="B3735" s="129"/>
      <c r="C3735" s="129"/>
      <c r="D3735" s="129"/>
      <c r="E3735" s="129"/>
      <c r="F3735" s="129"/>
      <c r="G3735" s="129"/>
    </row>
    <row r="3736" spans="2:7" x14ac:dyDescent="0.2">
      <c r="B3736" s="129"/>
      <c r="C3736" s="129"/>
      <c r="D3736" s="129"/>
      <c r="E3736" s="129"/>
      <c r="F3736" s="129"/>
      <c r="G3736" s="129"/>
    </row>
    <row r="3737" spans="2:7" x14ac:dyDescent="0.2">
      <c r="B3737" s="129"/>
      <c r="C3737" s="129"/>
      <c r="D3737" s="129"/>
      <c r="E3737" s="129"/>
      <c r="F3737" s="129"/>
      <c r="G3737" s="129"/>
    </row>
    <row r="3738" spans="2:7" x14ac:dyDescent="0.2">
      <c r="B3738" s="129"/>
      <c r="C3738" s="129"/>
      <c r="D3738" s="129"/>
      <c r="E3738" s="129"/>
      <c r="F3738" s="129"/>
      <c r="G3738" s="129"/>
    </row>
    <row r="3739" spans="2:7" x14ac:dyDescent="0.2">
      <c r="B3739" s="129"/>
      <c r="C3739" s="129"/>
      <c r="D3739" s="129"/>
      <c r="E3739" s="129"/>
      <c r="F3739" s="129"/>
      <c r="G3739" s="129"/>
    </row>
    <row r="3740" spans="2:7" x14ac:dyDescent="0.2">
      <c r="B3740" s="129"/>
      <c r="C3740" s="129"/>
      <c r="D3740" s="129"/>
      <c r="E3740" s="129"/>
      <c r="F3740" s="129"/>
      <c r="G3740" s="129"/>
    </row>
    <row r="3741" spans="2:7" x14ac:dyDescent="0.2">
      <c r="B3741" s="129"/>
      <c r="C3741" s="129"/>
      <c r="D3741" s="129"/>
      <c r="E3741" s="129"/>
      <c r="F3741" s="129"/>
      <c r="G3741" s="129"/>
    </row>
    <row r="3742" spans="2:7" x14ac:dyDescent="0.2">
      <c r="B3742" s="129"/>
      <c r="C3742" s="129"/>
      <c r="D3742" s="129"/>
      <c r="E3742" s="129"/>
      <c r="F3742" s="129"/>
      <c r="G3742" s="129"/>
    </row>
    <row r="3743" spans="2:7" x14ac:dyDescent="0.2">
      <c r="B3743" s="129"/>
      <c r="C3743" s="129"/>
      <c r="D3743" s="129"/>
      <c r="E3743" s="129"/>
      <c r="F3743" s="129"/>
      <c r="G3743" s="129"/>
    </row>
    <row r="3744" spans="2:7" x14ac:dyDescent="0.2">
      <c r="B3744" s="129"/>
      <c r="C3744" s="129"/>
      <c r="D3744" s="129"/>
      <c r="E3744" s="129"/>
      <c r="F3744" s="129"/>
      <c r="G3744" s="129"/>
    </row>
    <row r="3745" spans="2:7" x14ac:dyDescent="0.2">
      <c r="B3745" s="129"/>
      <c r="C3745" s="129"/>
      <c r="D3745" s="129"/>
      <c r="E3745" s="129"/>
      <c r="F3745" s="129"/>
      <c r="G3745" s="129"/>
    </row>
    <row r="3746" spans="2:7" x14ac:dyDescent="0.2">
      <c r="B3746" s="129"/>
      <c r="C3746" s="129"/>
      <c r="D3746" s="129"/>
      <c r="E3746" s="129"/>
      <c r="F3746" s="129"/>
      <c r="G3746" s="129"/>
    </row>
    <row r="3747" spans="2:7" x14ac:dyDescent="0.2">
      <c r="B3747" s="129"/>
      <c r="C3747" s="129"/>
      <c r="D3747" s="129"/>
      <c r="E3747" s="129"/>
      <c r="F3747" s="129"/>
      <c r="G3747" s="129"/>
    </row>
    <row r="3748" spans="2:7" x14ac:dyDescent="0.2">
      <c r="B3748" s="129"/>
      <c r="C3748" s="129"/>
      <c r="D3748" s="129"/>
      <c r="E3748" s="129"/>
      <c r="F3748" s="129"/>
      <c r="G3748" s="129"/>
    </row>
    <row r="3749" spans="2:7" x14ac:dyDescent="0.2">
      <c r="B3749" s="129"/>
      <c r="C3749" s="129"/>
      <c r="D3749" s="129"/>
      <c r="E3749" s="129"/>
      <c r="F3749" s="129"/>
      <c r="G3749" s="129"/>
    </row>
    <row r="3750" spans="2:7" x14ac:dyDescent="0.2">
      <c r="B3750" s="129"/>
      <c r="C3750" s="129"/>
      <c r="D3750" s="129"/>
      <c r="E3750" s="129"/>
      <c r="F3750" s="129"/>
      <c r="G3750" s="129"/>
    </row>
    <row r="3751" spans="2:7" x14ac:dyDescent="0.2">
      <c r="B3751" s="129"/>
      <c r="C3751" s="129"/>
      <c r="D3751" s="129"/>
      <c r="E3751" s="129"/>
      <c r="F3751" s="129"/>
      <c r="G3751" s="129"/>
    </row>
    <row r="3752" spans="2:7" x14ac:dyDescent="0.2">
      <c r="B3752" s="129"/>
      <c r="C3752" s="129"/>
      <c r="D3752" s="129"/>
      <c r="E3752" s="129"/>
      <c r="F3752" s="129"/>
      <c r="G3752" s="129"/>
    </row>
    <row r="3753" spans="2:7" x14ac:dyDescent="0.2">
      <c r="B3753" s="129"/>
      <c r="C3753" s="129"/>
      <c r="D3753" s="129"/>
      <c r="E3753" s="129"/>
      <c r="F3753" s="129"/>
      <c r="G3753" s="129"/>
    </row>
    <row r="3754" spans="2:7" x14ac:dyDescent="0.2">
      <c r="B3754" s="129"/>
      <c r="C3754" s="129"/>
      <c r="D3754" s="129"/>
      <c r="E3754" s="129"/>
      <c r="F3754" s="129"/>
      <c r="G3754" s="129"/>
    </row>
    <row r="3755" spans="2:7" x14ac:dyDescent="0.2">
      <c r="B3755" s="129"/>
      <c r="C3755" s="129"/>
      <c r="D3755" s="129"/>
      <c r="E3755" s="129"/>
      <c r="F3755" s="129"/>
      <c r="G3755" s="129"/>
    </row>
    <row r="3756" spans="2:7" x14ac:dyDescent="0.2">
      <c r="B3756" s="129"/>
      <c r="C3756" s="129"/>
      <c r="D3756" s="129"/>
      <c r="E3756" s="129"/>
      <c r="F3756" s="129"/>
      <c r="G3756" s="129"/>
    </row>
    <row r="3757" spans="2:7" x14ac:dyDescent="0.2">
      <c r="B3757" s="129"/>
      <c r="C3757" s="129"/>
      <c r="D3757" s="129"/>
      <c r="E3757" s="129"/>
      <c r="F3757" s="129"/>
      <c r="G3757" s="129"/>
    </row>
    <row r="3758" spans="2:7" x14ac:dyDescent="0.2">
      <c r="B3758" s="129"/>
      <c r="C3758" s="129"/>
      <c r="D3758" s="129"/>
      <c r="E3758" s="129"/>
      <c r="F3758" s="129"/>
      <c r="G3758" s="129"/>
    </row>
    <row r="3759" spans="2:7" x14ac:dyDescent="0.2">
      <c r="B3759" s="129"/>
      <c r="C3759" s="129"/>
      <c r="D3759" s="129"/>
      <c r="E3759" s="129"/>
      <c r="F3759" s="129"/>
      <c r="G3759" s="129"/>
    </row>
    <row r="3760" spans="2:7" x14ac:dyDescent="0.2">
      <c r="B3760" s="129"/>
      <c r="C3760" s="129"/>
      <c r="D3760" s="129"/>
      <c r="E3760" s="129"/>
      <c r="F3760" s="129"/>
      <c r="G3760" s="129"/>
    </row>
    <row r="3761" spans="2:7" x14ac:dyDescent="0.2">
      <c r="B3761" s="129"/>
      <c r="C3761" s="129"/>
      <c r="D3761" s="129"/>
      <c r="E3761" s="129"/>
      <c r="F3761" s="129"/>
      <c r="G3761" s="129"/>
    </row>
    <row r="3762" spans="2:7" x14ac:dyDescent="0.2">
      <c r="B3762" s="129"/>
      <c r="C3762" s="129"/>
      <c r="D3762" s="129"/>
      <c r="E3762" s="129"/>
      <c r="F3762" s="129"/>
      <c r="G3762" s="129"/>
    </row>
    <row r="3763" spans="2:7" x14ac:dyDescent="0.2">
      <c r="B3763" s="129"/>
      <c r="C3763" s="129"/>
      <c r="D3763" s="129"/>
      <c r="E3763" s="129"/>
      <c r="F3763" s="129"/>
      <c r="G3763" s="129"/>
    </row>
    <row r="3764" spans="2:7" x14ac:dyDescent="0.2">
      <c r="B3764" s="129"/>
      <c r="C3764" s="129"/>
      <c r="D3764" s="129"/>
      <c r="E3764" s="129"/>
      <c r="F3764" s="129"/>
      <c r="G3764" s="129"/>
    </row>
    <row r="3765" spans="2:7" x14ac:dyDescent="0.2">
      <c r="B3765" s="129"/>
      <c r="C3765" s="129"/>
      <c r="D3765" s="129"/>
      <c r="E3765" s="129"/>
      <c r="F3765" s="129"/>
      <c r="G3765" s="129"/>
    </row>
    <row r="3766" spans="2:7" x14ac:dyDescent="0.2">
      <c r="B3766" s="129"/>
      <c r="C3766" s="129"/>
      <c r="D3766" s="129"/>
      <c r="E3766" s="129"/>
      <c r="F3766" s="129"/>
      <c r="G3766" s="129"/>
    </row>
    <row r="3767" spans="2:7" x14ac:dyDescent="0.2">
      <c r="B3767" s="129"/>
      <c r="C3767" s="129"/>
      <c r="D3767" s="129"/>
      <c r="E3767" s="129"/>
      <c r="F3767" s="129"/>
      <c r="G3767" s="129"/>
    </row>
    <row r="3768" spans="2:7" x14ac:dyDescent="0.2">
      <c r="B3768" s="129"/>
      <c r="C3768" s="129"/>
      <c r="D3768" s="129"/>
      <c r="E3768" s="129"/>
      <c r="F3768" s="129"/>
      <c r="G3768" s="129"/>
    </row>
    <row r="3769" spans="2:7" x14ac:dyDescent="0.2">
      <c r="B3769" s="129"/>
      <c r="C3769" s="129"/>
      <c r="D3769" s="129"/>
      <c r="E3769" s="129"/>
      <c r="F3769" s="129"/>
      <c r="G3769" s="129"/>
    </row>
    <row r="3770" spans="2:7" x14ac:dyDescent="0.2">
      <c r="B3770" s="129"/>
      <c r="C3770" s="129"/>
      <c r="D3770" s="129"/>
      <c r="E3770" s="129"/>
      <c r="F3770" s="129"/>
      <c r="G3770" s="129"/>
    </row>
    <row r="3771" spans="2:7" x14ac:dyDescent="0.2">
      <c r="B3771" s="129"/>
      <c r="C3771" s="129"/>
      <c r="D3771" s="129"/>
      <c r="E3771" s="129"/>
      <c r="F3771" s="129"/>
      <c r="G3771" s="129"/>
    </row>
    <row r="3772" spans="2:7" x14ac:dyDescent="0.2">
      <c r="B3772" s="129"/>
      <c r="C3772" s="129"/>
      <c r="D3772" s="129"/>
      <c r="E3772" s="129"/>
      <c r="F3772" s="129"/>
      <c r="G3772" s="129"/>
    </row>
    <row r="3773" spans="2:7" x14ac:dyDescent="0.2">
      <c r="B3773" s="129"/>
      <c r="C3773" s="129"/>
      <c r="D3773" s="129"/>
      <c r="E3773" s="129"/>
      <c r="F3773" s="129"/>
      <c r="G3773" s="129"/>
    </row>
    <row r="3774" spans="2:7" x14ac:dyDescent="0.2">
      <c r="B3774" s="129"/>
      <c r="C3774" s="129"/>
      <c r="D3774" s="129"/>
      <c r="E3774" s="129"/>
      <c r="F3774" s="129"/>
      <c r="G3774" s="129"/>
    </row>
    <row r="3775" spans="2:7" x14ac:dyDescent="0.2">
      <c r="B3775" s="129"/>
      <c r="C3775" s="129"/>
      <c r="D3775" s="129"/>
      <c r="E3775" s="129"/>
      <c r="F3775" s="129"/>
      <c r="G3775" s="129"/>
    </row>
    <row r="3776" spans="2:7" x14ac:dyDescent="0.2">
      <c r="B3776" s="129"/>
      <c r="C3776" s="129"/>
      <c r="D3776" s="129"/>
      <c r="E3776" s="129"/>
      <c r="F3776" s="129"/>
      <c r="G3776" s="129"/>
    </row>
    <row r="3777" spans="2:7" x14ac:dyDescent="0.2">
      <c r="B3777" s="129"/>
      <c r="C3777" s="129"/>
      <c r="D3777" s="129"/>
      <c r="E3777" s="129"/>
      <c r="F3777" s="129"/>
      <c r="G3777" s="129"/>
    </row>
    <row r="3778" spans="2:7" x14ac:dyDescent="0.2">
      <c r="B3778" s="129"/>
      <c r="C3778" s="129"/>
      <c r="D3778" s="129"/>
      <c r="E3778" s="129"/>
      <c r="F3778" s="129"/>
      <c r="G3778" s="129"/>
    </row>
    <row r="3779" spans="2:7" x14ac:dyDescent="0.2">
      <c r="B3779" s="129"/>
      <c r="C3779" s="129"/>
      <c r="D3779" s="129"/>
      <c r="E3779" s="129"/>
      <c r="F3779" s="129"/>
      <c r="G3779" s="129"/>
    </row>
    <row r="3780" spans="2:7" x14ac:dyDescent="0.2">
      <c r="B3780" s="129"/>
      <c r="C3780" s="129"/>
      <c r="D3780" s="129"/>
      <c r="E3780" s="129"/>
      <c r="F3780" s="129"/>
      <c r="G3780" s="129"/>
    </row>
    <row r="3781" spans="2:7" x14ac:dyDescent="0.2">
      <c r="B3781" s="129"/>
      <c r="C3781" s="129"/>
      <c r="D3781" s="129"/>
      <c r="E3781" s="129"/>
      <c r="F3781" s="129"/>
      <c r="G3781" s="129"/>
    </row>
    <row r="3782" spans="2:7" x14ac:dyDescent="0.2">
      <c r="B3782" s="129"/>
      <c r="C3782" s="129"/>
      <c r="D3782" s="129"/>
      <c r="E3782" s="129"/>
      <c r="F3782" s="129"/>
      <c r="G3782" s="129"/>
    </row>
    <row r="3783" spans="2:7" x14ac:dyDescent="0.2">
      <c r="B3783" s="129"/>
      <c r="C3783" s="129"/>
      <c r="D3783" s="129"/>
      <c r="E3783" s="129"/>
      <c r="F3783" s="129"/>
      <c r="G3783" s="129"/>
    </row>
    <row r="3784" spans="2:7" x14ac:dyDescent="0.2">
      <c r="B3784" s="129"/>
      <c r="C3784" s="129"/>
      <c r="D3784" s="129"/>
      <c r="E3784" s="129"/>
      <c r="F3784" s="129"/>
      <c r="G3784" s="129"/>
    </row>
    <row r="3785" spans="2:7" x14ac:dyDescent="0.2">
      <c r="B3785" s="129"/>
      <c r="C3785" s="129"/>
      <c r="D3785" s="129"/>
      <c r="E3785" s="129"/>
      <c r="F3785" s="129"/>
      <c r="G3785" s="129"/>
    </row>
    <row r="3786" spans="2:7" x14ac:dyDescent="0.2">
      <c r="B3786" s="129"/>
      <c r="C3786" s="129"/>
      <c r="D3786" s="129"/>
      <c r="E3786" s="129"/>
      <c r="F3786" s="129"/>
      <c r="G3786" s="129"/>
    </row>
    <row r="3787" spans="2:7" x14ac:dyDescent="0.2">
      <c r="B3787" s="129"/>
      <c r="C3787" s="129"/>
      <c r="D3787" s="129"/>
      <c r="E3787" s="129"/>
      <c r="F3787" s="129"/>
      <c r="G3787" s="129"/>
    </row>
    <row r="3788" spans="2:7" x14ac:dyDescent="0.2">
      <c r="B3788" s="129"/>
      <c r="C3788" s="129"/>
      <c r="D3788" s="129"/>
      <c r="E3788" s="129"/>
      <c r="F3788" s="129"/>
      <c r="G3788" s="129"/>
    </row>
    <row r="3789" spans="2:7" x14ac:dyDescent="0.2">
      <c r="B3789" s="129"/>
      <c r="C3789" s="129"/>
      <c r="D3789" s="129"/>
      <c r="E3789" s="129"/>
      <c r="F3789" s="129"/>
      <c r="G3789" s="129"/>
    </row>
    <row r="3790" spans="2:7" x14ac:dyDescent="0.2">
      <c r="B3790" s="129"/>
      <c r="C3790" s="129"/>
      <c r="D3790" s="129"/>
      <c r="E3790" s="129"/>
      <c r="F3790" s="129"/>
      <c r="G3790" s="129"/>
    </row>
    <row r="3791" spans="2:7" x14ac:dyDescent="0.2">
      <c r="B3791" s="129"/>
      <c r="C3791" s="129"/>
      <c r="D3791" s="129"/>
      <c r="E3791" s="129"/>
      <c r="F3791" s="129"/>
      <c r="G3791" s="129"/>
    </row>
    <row r="3792" spans="2:7" x14ac:dyDescent="0.2">
      <c r="B3792" s="129"/>
      <c r="C3792" s="129"/>
      <c r="D3792" s="129"/>
      <c r="E3792" s="129"/>
      <c r="F3792" s="129"/>
      <c r="G3792" s="129"/>
    </row>
    <row r="3793" spans="2:7" x14ac:dyDescent="0.2">
      <c r="B3793" s="129"/>
      <c r="C3793" s="129"/>
      <c r="D3793" s="129"/>
      <c r="E3793" s="129"/>
      <c r="F3793" s="129"/>
      <c r="G3793" s="129"/>
    </row>
    <row r="3794" spans="2:7" x14ac:dyDescent="0.2">
      <c r="B3794" s="129"/>
      <c r="C3794" s="129"/>
      <c r="D3794" s="129"/>
      <c r="E3794" s="129"/>
      <c r="F3794" s="129"/>
      <c r="G3794" s="129"/>
    </row>
    <row r="3795" spans="2:7" x14ac:dyDescent="0.2">
      <c r="B3795" s="129"/>
      <c r="C3795" s="129"/>
      <c r="D3795" s="129"/>
      <c r="E3795" s="129"/>
      <c r="F3795" s="129"/>
      <c r="G3795" s="129"/>
    </row>
    <row r="3796" spans="2:7" x14ac:dyDescent="0.2">
      <c r="B3796" s="129"/>
      <c r="C3796" s="129"/>
      <c r="D3796" s="129"/>
      <c r="E3796" s="129"/>
      <c r="F3796" s="129"/>
      <c r="G3796" s="129"/>
    </row>
    <row r="3797" spans="2:7" x14ac:dyDescent="0.2">
      <c r="B3797" s="129"/>
      <c r="C3797" s="129"/>
      <c r="D3797" s="129"/>
      <c r="E3797" s="129"/>
      <c r="F3797" s="129"/>
      <c r="G3797" s="129"/>
    </row>
    <row r="3798" spans="2:7" x14ac:dyDescent="0.2">
      <c r="B3798" s="129"/>
      <c r="C3798" s="129"/>
      <c r="D3798" s="129"/>
      <c r="E3798" s="129"/>
      <c r="F3798" s="129"/>
      <c r="G3798" s="129"/>
    </row>
    <row r="3799" spans="2:7" x14ac:dyDescent="0.2">
      <c r="B3799" s="129"/>
      <c r="C3799" s="129"/>
      <c r="D3799" s="129"/>
      <c r="E3799" s="129"/>
      <c r="F3799" s="129"/>
      <c r="G3799" s="129"/>
    </row>
    <row r="3800" spans="2:7" x14ac:dyDescent="0.2">
      <c r="B3800" s="129"/>
      <c r="C3800" s="129"/>
      <c r="D3800" s="129"/>
      <c r="E3800" s="129"/>
      <c r="F3800" s="129"/>
      <c r="G3800" s="129"/>
    </row>
    <row r="3801" spans="2:7" x14ac:dyDescent="0.2">
      <c r="B3801" s="129"/>
      <c r="C3801" s="129"/>
      <c r="D3801" s="129"/>
      <c r="E3801" s="129"/>
      <c r="F3801" s="129"/>
      <c r="G3801" s="129"/>
    </row>
    <row r="3802" spans="2:7" x14ac:dyDescent="0.2">
      <c r="B3802" s="129"/>
      <c r="C3802" s="129"/>
      <c r="D3802" s="129"/>
      <c r="E3802" s="129"/>
      <c r="F3802" s="129"/>
      <c r="G3802" s="129"/>
    </row>
    <row r="3803" spans="2:7" x14ac:dyDescent="0.2">
      <c r="B3803" s="129"/>
      <c r="C3803" s="129"/>
      <c r="D3803" s="129"/>
      <c r="E3803" s="129"/>
      <c r="F3803" s="129"/>
      <c r="G3803" s="129"/>
    </row>
    <row r="3804" spans="2:7" x14ac:dyDescent="0.2">
      <c r="B3804" s="129"/>
      <c r="C3804" s="129"/>
      <c r="D3804" s="129"/>
      <c r="E3804" s="129"/>
      <c r="F3804" s="129"/>
      <c r="G3804" s="129"/>
    </row>
    <row r="3805" spans="2:7" x14ac:dyDescent="0.2">
      <c r="B3805" s="129"/>
      <c r="C3805" s="129"/>
      <c r="D3805" s="129"/>
      <c r="E3805" s="129"/>
      <c r="F3805" s="129"/>
      <c r="G3805" s="129"/>
    </row>
    <row r="3806" spans="2:7" x14ac:dyDescent="0.2">
      <c r="B3806" s="129"/>
      <c r="C3806" s="129"/>
      <c r="D3806" s="129"/>
      <c r="E3806" s="129"/>
      <c r="F3806" s="129"/>
      <c r="G3806" s="129"/>
    </row>
    <row r="3807" spans="2:7" x14ac:dyDescent="0.2">
      <c r="B3807" s="129"/>
      <c r="C3807" s="129"/>
      <c r="D3807" s="129"/>
      <c r="E3807" s="129"/>
      <c r="F3807" s="129"/>
      <c r="G3807" s="129"/>
    </row>
    <row r="3808" spans="2:7" x14ac:dyDescent="0.2">
      <c r="B3808" s="129"/>
      <c r="C3808" s="129"/>
      <c r="D3808" s="129"/>
      <c r="E3808" s="129"/>
      <c r="F3808" s="129"/>
      <c r="G3808" s="129"/>
    </row>
    <row r="3809" spans="2:7" x14ac:dyDescent="0.2">
      <c r="B3809" s="129"/>
      <c r="C3809" s="129"/>
      <c r="D3809" s="129"/>
      <c r="E3809" s="129"/>
      <c r="F3809" s="129"/>
      <c r="G3809" s="129"/>
    </row>
    <row r="3810" spans="2:7" x14ac:dyDescent="0.2">
      <c r="B3810" s="129"/>
      <c r="C3810" s="129"/>
      <c r="D3810" s="129"/>
      <c r="E3810" s="129"/>
      <c r="F3810" s="129"/>
      <c r="G3810" s="129"/>
    </row>
    <row r="3811" spans="2:7" x14ac:dyDescent="0.2">
      <c r="B3811" s="129"/>
      <c r="C3811" s="129"/>
      <c r="D3811" s="129"/>
      <c r="E3811" s="129"/>
      <c r="F3811" s="129"/>
      <c r="G3811" s="129"/>
    </row>
    <row r="3812" spans="2:7" x14ac:dyDescent="0.2">
      <c r="B3812" s="129"/>
      <c r="C3812" s="129"/>
      <c r="D3812" s="129"/>
      <c r="E3812" s="129"/>
      <c r="F3812" s="129"/>
      <c r="G3812" s="129"/>
    </row>
    <row r="3813" spans="2:7" x14ac:dyDescent="0.2">
      <c r="B3813" s="129"/>
      <c r="C3813" s="129"/>
      <c r="D3813" s="129"/>
      <c r="E3813" s="129"/>
      <c r="F3813" s="129"/>
      <c r="G3813" s="129"/>
    </row>
    <row r="3814" spans="2:7" x14ac:dyDescent="0.2">
      <c r="B3814" s="129"/>
      <c r="C3814" s="129"/>
      <c r="D3814" s="129"/>
      <c r="E3814" s="129"/>
      <c r="F3814" s="129"/>
      <c r="G3814" s="129"/>
    </row>
    <row r="3815" spans="2:7" x14ac:dyDescent="0.2">
      <c r="B3815" s="129"/>
      <c r="C3815" s="129"/>
      <c r="D3815" s="129"/>
      <c r="E3815" s="129"/>
      <c r="F3815" s="129"/>
      <c r="G3815" s="129"/>
    </row>
    <row r="3816" spans="2:7" x14ac:dyDescent="0.2">
      <c r="B3816" s="129"/>
      <c r="C3816" s="129"/>
      <c r="D3816" s="129"/>
      <c r="E3816" s="129"/>
      <c r="F3816" s="129"/>
      <c r="G3816" s="129"/>
    </row>
    <row r="3817" spans="2:7" x14ac:dyDescent="0.2">
      <c r="B3817" s="129"/>
      <c r="C3817" s="129"/>
      <c r="D3817" s="129"/>
      <c r="E3817" s="129"/>
      <c r="F3817" s="129"/>
      <c r="G3817" s="129"/>
    </row>
    <row r="3818" spans="2:7" x14ac:dyDescent="0.2">
      <c r="B3818" s="129"/>
      <c r="C3818" s="129"/>
      <c r="D3818" s="129"/>
      <c r="E3818" s="129"/>
      <c r="F3818" s="129"/>
      <c r="G3818" s="129"/>
    </row>
    <row r="3819" spans="2:7" x14ac:dyDescent="0.2">
      <c r="B3819" s="129"/>
      <c r="C3819" s="129"/>
      <c r="D3819" s="129"/>
      <c r="E3819" s="129"/>
      <c r="F3819" s="129"/>
      <c r="G3819" s="129"/>
    </row>
    <row r="3820" spans="2:7" x14ac:dyDescent="0.2">
      <c r="B3820" s="129"/>
      <c r="C3820" s="129"/>
      <c r="D3820" s="129"/>
      <c r="E3820" s="129"/>
      <c r="F3820" s="129"/>
      <c r="G3820" s="129"/>
    </row>
    <row r="3821" spans="2:7" x14ac:dyDescent="0.2">
      <c r="B3821" s="129"/>
      <c r="C3821" s="129"/>
      <c r="D3821" s="129"/>
      <c r="E3821" s="129"/>
      <c r="F3821" s="129"/>
      <c r="G3821" s="129"/>
    </row>
    <row r="3822" spans="2:7" x14ac:dyDescent="0.2">
      <c r="B3822" s="129"/>
      <c r="C3822" s="129"/>
      <c r="D3822" s="129"/>
      <c r="E3822" s="129"/>
      <c r="F3822" s="129"/>
      <c r="G3822" s="129"/>
    </row>
    <row r="3823" spans="2:7" x14ac:dyDescent="0.2">
      <c r="B3823" s="129"/>
      <c r="C3823" s="129"/>
      <c r="D3823" s="129"/>
      <c r="E3823" s="129"/>
      <c r="F3823" s="129"/>
      <c r="G3823" s="129"/>
    </row>
    <row r="3824" spans="2:7" x14ac:dyDescent="0.2">
      <c r="B3824" s="129"/>
      <c r="C3824" s="129"/>
      <c r="D3824" s="129"/>
      <c r="E3824" s="129"/>
      <c r="F3824" s="129"/>
      <c r="G3824" s="129"/>
    </row>
    <row r="3825" spans="2:7" x14ac:dyDescent="0.2">
      <c r="B3825" s="129"/>
      <c r="C3825" s="129"/>
      <c r="D3825" s="129"/>
      <c r="E3825" s="129"/>
      <c r="F3825" s="129"/>
      <c r="G3825" s="129"/>
    </row>
    <row r="3826" spans="2:7" x14ac:dyDescent="0.2">
      <c r="B3826" s="129"/>
      <c r="C3826" s="129"/>
      <c r="D3826" s="129"/>
      <c r="E3826" s="129"/>
      <c r="F3826" s="129"/>
      <c r="G3826" s="129"/>
    </row>
    <row r="3827" spans="2:7" x14ac:dyDescent="0.2">
      <c r="B3827" s="129"/>
      <c r="C3827" s="129"/>
      <c r="D3827" s="129"/>
      <c r="E3827" s="129"/>
      <c r="F3827" s="129"/>
      <c r="G3827" s="129"/>
    </row>
    <row r="3828" spans="2:7" x14ac:dyDescent="0.2">
      <c r="B3828" s="129"/>
      <c r="C3828" s="129"/>
      <c r="D3828" s="129"/>
      <c r="E3828" s="129"/>
      <c r="F3828" s="129"/>
      <c r="G3828" s="129"/>
    </row>
    <row r="3829" spans="2:7" x14ac:dyDescent="0.2">
      <c r="B3829" s="129"/>
      <c r="C3829" s="129"/>
      <c r="D3829" s="129"/>
      <c r="E3829" s="129"/>
      <c r="F3829" s="129"/>
      <c r="G3829" s="129"/>
    </row>
    <row r="3830" spans="2:7" x14ac:dyDescent="0.2">
      <c r="B3830" s="129"/>
      <c r="C3830" s="129"/>
      <c r="D3830" s="129"/>
      <c r="E3830" s="129"/>
      <c r="F3830" s="129"/>
      <c r="G3830" s="129"/>
    </row>
    <row r="3831" spans="2:7" x14ac:dyDescent="0.2">
      <c r="B3831" s="129"/>
      <c r="C3831" s="129"/>
      <c r="D3831" s="129"/>
      <c r="E3831" s="129"/>
      <c r="F3831" s="129"/>
      <c r="G3831" s="129"/>
    </row>
    <row r="3832" spans="2:7" x14ac:dyDescent="0.2">
      <c r="B3832" s="129"/>
      <c r="C3832" s="129"/>
      <c r="D3832" s="129"/>
      <c r="E3832" s="129"/>
      <c r="F3832" s="129"/>
      <c r="G3832" s="129"/>
    </row>
    <row r="3833" spans="2:7" x14ac:dyDescent="0.2">
      <c r="B3833" s="129"/>
      <c r="C3833" s="129"/>
      <c r="D3833" s="129"/>
      <c r="E3833" s="129"/>
      <c r="F3833" s="129"/>
      <c r="G3833" s="129"/>
    </row>
    <row r="3834" spans="2:7" x14ac:dyDescent="0.2">
      <c r="B3834" s="129"/>
      <c r="C3834" s="129"/>
      <c r="D3834" s="129"/>
      <c r="E3834" s="129"/>
      <c r="F3834" s="129"/>
      <c r="G3834" s="129"/>
    </row>
    <row r="3835" spans="2:7" x14ac:dyDescent="0.2">
      <c r="B3835" s="129"/>
      <c r="C3835" s="129"/>
      <c r="D3835" s="129"/>
      <c r="E3835" s="129"/>
      <c r="F3835" s="129"/>
      <c r="G3835" s="129"/>
    </row>
    <row r="3836" spans="2:7" x14ac:dyDescent="0.2">
      <c r="B3836" s="129"/>
      <c r="C3836" s="129"/>
      <c r="D3836" s="129"/>
      <c r="E3836" s="129"/>
      <c r="F3836" s="129"/>
      <c r="G3836" s="129"/>
    </row>
    <row r="3837" spans="2:7" x14ac:dyDescent="0.2">
      <c r="B3837" s="129"/>
      <c r="C3837" s="129"/>
      <c r="D3837" s="129"/>
      <c r="E3837" s="129"/>
      <c r="F3837" s="129"/>
      <c r="G3837" s="129"/>
    </row>
    <row r="3838" spans="2:7" x14ac:dyDescent="0.2">
      <c r="B3838" s="129"/>
      <c r="C3838" s="129"/>
      <c r="D3838" s="129"/>
      <c r="E3838" s="129"/>
      <c r="F3838" s="129"/>
      <c r="G3838" s="129"/>
    </row>
    <row r="3839" spans="2:7" x14ac:dyDescent="0.2">
      <c r="B3839" s="129"/>
      <c r="C3839" s="129"/>
      <c r="D3839" s="129"/>
      <c r="E3839" s="129"/>
      <c r="F3839" s="129"/>
      <c r="G3839" s="129"/>
    </row>
    <row r="3840" spans="2:7" x14ac:dyDescent="0.2">
      <c r="B3840" s="129"/>
      <c r="C3840" s="129"/>
      <c r="D3840" s="129"/>
      <c r="E3840" s="129"/>
      <c r="F3840" s="129"/>
      <c r="G3840" s="129"/>
    </row>
    <row r="3841" spans="2:7" x14ac:dyDescent="0.2">
      <c r="B3841" s="129"/>
      <c r="C3841" s="129"/>
      <c r="D3841" s="129"/>
      <c r="E3841" s="129"/>
      <c r="F3841" s="129"/>
      <c r="G3841" s="129"/>
    </row>
    <row r="3842" spans="2:7" x14ac:dyDescent="0.2">
      <c r="B3842" s="129"/>
      <c r="C3842" s="129"/>
      <c r="D3842" s="129"/>
      <c r="E3842" s="129"/>
      <c r="F3842" s="129"/>
      <c r="G3842" s="129"/>
    </row>
    <row r="3843" spans="2:7" x14ac:dyDescent="0.2">
      <c r="B3843" s="129"/>
      <c r="C3843" s="129"/>
      <c r="D3843" s="129"/>
      <c r="E3843" s="129"/>
      <c r="F3843" s="129"/>
      <c r="G3843" s="129"/>
    </row>
    <row r="3844" spans="2:7" x14ac:dyDescent="0.2">
      <c r="B3844" s="129"/>
      <c r="C3844" s="129"/>
      <c r="D3844" s="129"/>
      <c r="E3844" s="129"/>
      <c r="F3844" s="129"/>
      <c r="G3844" s="129"/>
    </row>
    <row r="3845" spans="2:7" x14ac:dyDescent="0.2">
      <c r="B3845" s="129"/>
      <c r="C3845" s="129"/>
      <c r="D3845" s="129"/>
      <c r="E3845" s="129"/>
      <c r="F3845" s="129"/>
      <c r="G3845" s="129"/>
    </row>
    <row r="3846" spans="2:7" x14ac:dyDescent="0.2">
      <c r="B3846" s="129"/>
      <c r="C3846" s="129"/>
      <c r="D3846" s="129"/>
      <c r="E3846" s="129"/>
      <c r="F3846" s="129"/>
      <c r="G3846" s="129"/>
    </row>
    <row r="3847" spans="2:7" x14ac:dyDescent="0.2">
      <c r="B3847" s="129"/>
      <c r="C3847" s="129"/>
      <c r="D3847" s="129"/>
      <c r="E3847" s="129"/>
      <c r="F3847" s="129"/>
      <c r="G3847" s="129"/>
    </row>
    <row r="3848" spans="2:7" x14ac:dyDescent="0.2">
      <c r="B3848" s="129"/>
      <c r="C3848" s="129"/>
      <c r="D3848" s="129"/>
      <c r="E3848" s="129"/>
      <c r="F3848" s="129"/>
      <c r="G3848" s="129"/>
    </row>
    <row r="3849" spans="2:7" x14ac:dyDescent="0.2">
      <c r="B3849" s="129"/>
      <c r="C3849" s="129"/>
      <c r="D3849" s="129"/>
      <c r="E3849" s="129"/>
      <c r="F3849" s="129"/>
      <c r="G3849" s="129"/>
    </row>
    <row r="3850" spans="2:7" x14ac:dyDescent="0.2">
      <c r="B3850" s="129"/>
      <c r="C3850" s="129"/>
      <c r="D3850" s="129"/>
      <c r="E3850" s="129"/>
      <c r="F3850" s="129"/>
      <c r="G3850" s="129"/>
    </row>
    <row r="3851" spans="2:7" x14ac:dyDescent="0.2">
      <c r="B3851" s="129"/>
      <c r="C3851" s="129"/>
      <c r="D3851" s="129"/>
      <c r="E3851" s="129"/>
      <c r="F3851" s="129"/>
      <c r="G3851" s="129"/>
    </row>
    <row r="3852" spans="2:7" x14ac:dyDescent="0.2">
      <c r="B3852" s="129"/>
      <c r="C3852" s="129"/>
      <c r="D3852" s="129"/>
      <c r="E3852" s="129"/>
      <c r="F3852" s="129"/>
      <c r="G3852" s="129"/>
    </row>
    <row r="3853" spans="2:7" x14ac:dyDescent="0.2">
      <c r="B3853" s="129"/>
      <c r="C3853" s="129"/>
      <c r="D3853" s="129"/>
      <c r="E3853" s="129"/>
      <c r="F3853" s="129"/>
      <c r="G3853" s="129"/>
    </row>
    <row r="3854" spans="2:7" x14ac:dyDescent="0.2">
      <c r="B3854" s="129"/>
      <c r="C3854" s="129"/>
      <c r="D3854" s="129"/>
      <c r="E3854" s="129"/>
      <c r="F3854" s="129"/>
      <c r="G3854" s="129"/>
    </row>
    <row r="3855" spans="2:7" x14ac:dyDescent="0.2">
      <c r="B3855" s="129"/>
      <c r="C3855" s="129"/>
      <c r="D3855" s="129"/>
      <c r="E3855" s="129"/>
      <c r="F3855" s="129"/>
      <c r="G3855" s="129"/>
    </row>
    <row r="3856" spans="2:7" x14ac:dyDescent="0.2">
      <c r="B3856" s="129"/>
      <c r="C3856" s="129"/>
      <c r="D3856" s="129"/>
      <c r="E3856" s="129"/>
      <c r="F3856" s="129"/>
      <c r="G3856" s="129"/>
    </row>
    <row r="3857" spans="2:7" x14ac:dyDescent="0.2">
      <c r="B3857" s="129"/>
      <c r="C3857" s="129"/>
      <c r="D3857" s="129"/>
      <c r="E3857" s="129"/>
      <c r="F3857" s="129"/>
      <c r="G3857" s="129"/>
    </row>
    <row r="3858" spans="2:7" x14ac:dyDescent="0.2">
      <c r="B3858" s="129"/>
      <c r="C3858" s="129"/>
      <c r="D3858" s="129"/>
      <c r="E3858" s="129"/>
      <c r="F3858" s="129"/>
      <c r="G3858" s="129"/>
    </row>
    <row r="3859" spans="2:7" x14ac:dyDescent="0.2">
      <c r="B3859" s="129"/>
      <c r="C3859" s="129"/>
      <c r="D3859" s="129"/>
      <c r="E3859" s="129"/>
      <c r="F3859" s="129"/>
      <c r="G3859" s="129"/>
    </row>
    <row r="3860" spans="2:7" x14ac:dyDescent="0.2">
      <c r="B3860" s="129"/>
      <c r="C3860" s="129"/>
      <c r="D3860" s="129"/>
      <c r="E3860" s="129"/>
      <c r="F3860" s="129"/>
      <c r="G3860" s="129"/>
    </row>
    <row r="3861" spans="2:7" x14ac:dyDescent="0.2">
      <c r="B3861" s="129"/>
      <c r="C3861" s="129"/>
      <c r="D3861" s="129"/>
      <c r="E3861" s="129"/>
      <c r="F3861" s="129"/>
      <c r="G3861" s="129"/>
    </row>
    <row r="3862" spans="2:7" x14ac:dyDescent="0.2">
      <c r="B3862" s="129"/>
      <c r="C3862" s="129"/>
      <c r="D3862" s="129"/>
      <c r="E3862" s="129"/>
      <c r="F3862" s="129"/>
      <c r="G3862" s="129"/>
    </row>
    <row r="3863" spans="2:7" x14ac:dyDescent="0.2">
      <c r="B3863" s="129"/>
      <c r="C3863" s="129"/>
      <c r="D3863" s="129"/>
      <c r="E3863" s="129"/>
      <c r="F3863" s="129"/>
      <c r="G3863" s="129"/>
    </row>
    <row r="3864" spans="2:7" x14ac:dyDescent="0.2">
      <c r="B3864" s="129"/>
      <c r="C3864" s="129"/>
      <c r="D3864" s="129"/>
      <c r="E3864" s="129"/>
      <c r="F3864" s="129"/>
      <c r="G3864" s="129"/>
    </row>
    <row r="3865" spans="2:7" x14ac:dyDescent="0.2">
      <c r="B3865" s="129"/>
      <c r="C3865" s="129"/>
      <c r="D3865" s="129"/>
      <c r="E3865" s="129"/>
      <c r="F3865" s="129"/>
      <c r="G3865" s="129"/>
    </row>
    <row r="3866" spans="2:7" x14ac:dyDescent="0.2">
      <c r="B3866" s="129"/>
      <c r="C3866" s="129"/>
      <c r="D3866" s="129"/>
      <c r="E3866" s="129"/>
      <c r="F3866" s="129"/>
      <c r="G3866" s="129"/>
    </row>
    <row r="3867" spans="2:7" x14ac:dyDescent="0.2">
      <c r="B3867" s="129"/>
      <c r="C3867" s="129"/>
      <c r="D3867" s="129"/>
      <c r="E3867" s="129"/>
      <c r="F3867" s="129"/>
      <c r="G3867" s="129"/>
    </row>
    <row r="3868" spans="2:7" x14ac:dyDescent="0.2">
      <c r="B3868" s="129"/>
      <c r="C3868" s="129"/>
      <c r="D3868" s="129"/>
      <c r="E3868" s="129"/>
      <c r="F3868" s="129"/>
      <c r="G3868" s="129"/>
    </row>
    <row r="3869" spans="2:7" x14ac:dyDescent="0.2">
      <c r="B3869" s="129"/>
      <c r="C3869" s="129"/>
      <c r="D3869" s="129"/>
      <c r="E3869" s="129"/>
      <c r="F3869" s="129"/>
      <c r="G3869" s="129"/>
    </row>
    <row r="3870" spans="2:7" x14ac:dyDescent="0.2">
      <c r="B3870" s="129"/>
      <c r="C3870" s="129"/>
      <c r="D3870" s="129"/>
      <c r="E3870" s="129"/>
      <c r="F3870" s="129"/>
      <c r="G3870" s="129"/>
    </row>
    <row r="3871" spans="2:7" x14ac:dyDescent="0.2">
      <c r="B3871" s="129"/>
      <c r="C3871" s="129"/>
      <c r="D3871" s="129"/>
      <c r="E3871" s="129"/>
      <c r="F3871" s="129"/>
      <c r="G3871" s="129"/>
    </row>
    <row r="3872" spans="2:7" x14ac:dyDescent="0.2">
      <c r="B3872" s="129"/>
      <c r="C3872" s="129"/>
      <c r="D3872" s="129"/>
      <c r="E3872" s="129"/>
      <c r="F3872" s="129"/>
      <c r="G3872" s="129"/>
    </row>
    <row r="3873" spans="2:7" x14ac:dyDescent="0.2">
      <c r="B3873" s="129"/>
      <c r="C3873" s="129"/>
      <c r="D3873" s="129"/>
      <c r="E3873" s="129"/>
      <c r="F3873" s="129"/>
      <c r="G3873" s="129"/>
    </row>
    <row r="3874" spans="2:7" x14ac:dyDescent="0.2">
      <c r="B3874" s="129"/>
      <c r="C3874" s="129"/>
      <c r="D3874" s="129"/>
      <c r="E3874" s="129"/>
      <c r="F3874" s="129"/>
      <c r="G3874" s="129"/>
    </row>
    <row r="3875" spans="2:7" x14ac:dyDescent="0.2">
      <c r="B3875" s="129"/>
      <c r="C3875" s="129"/>
      <c r="D3875" s="129"/>
      <c r="E3875" s="129"/>
      <c r="F3875" s="129"/>
      <c r="G3875" s="129"/>
    </row>
    <row r="3876" spans="2:7" x14ac:dyDescent="0.2">
      <c r="B3876" s="129"/>
      <c r="C3876" s="129"/>
      <c r="D3876" s="129"/>
      <c r="E3876" s="129"/>
      <c r="F3876" s="129"/>
      <c r="G3876" s="129"/>
    </row>
    <row r="3877" spans="2:7" x14ac:dyDescent="0.2">
      <c r="B3877" s="129"/>
      <c r="C3877" s="129"/>
      <c r="D3877" s="129"/>
      <c r="E3877" s="129"/>
      <c r="F3877" s="129"/>
      <c r="G3877" s="129"/>
    </row>
    <row r="3878" spans="2:7" x14ac:dyDescent="0.2">
      <c r="B3878" s="129"/>
      <c r="C3878" s="129"/>
      <c r="D3878" s="129"/>
      <c r="E3878" s="129"/>
      <c r="F3878" s="129"/>
      <c r="G3878" s="129"/>
    </row>
    <row r="3879" spans="2:7" x14ac:dyDescent="0.2">
      <c r="B3879" s="129"/>
      <c r="C3879" s="129"/>
      <c r="D3879" s="129"/>
      <c r="E3879" s="129"/>
      <c r="F3879" s="129"/>
      <c r="G3879" s="129"/>
    </row>
    <row r="3880" spans="2:7" x14ac:dyDescent="0.2">
      <c r="B3880" s="129"/>
      <c r="C3880" s="129"/>
      <c r="D3880" s="129"/>
      <c r="E3880" s="129"/>
      <c r="F3880" s="129"/>
      <c r="G3880" s="129"/>
    </row>
    <row r="3881" spans="2:7" x14ac:dyDescent="0.2">
      <c r="B3881" s="129"/>
      <c r="C3881" s="129"/>
      <c r="D3881" s="129"/>
      <c r="E3881" s="129"/>
      <c r="F3881" s="129"/>
      <c r="G3881" s="129"/>
    </row>
    <row r="3882" spans="2:7" x14ac:dyDescent="0.2">
      <c r="B3882" s="129"/>
      <c r="C3882" s="129"/>
      <c r="D3882" s="129"/>
      <c r="E3882" s="129"/>
      <c r="F3882" s="129"/>
      <c r="G3882" s="129"/>
    </row>
    <row r="3883" spans="2:7" x14ac:dyDescent="0.2">
      <c r="B3883" s="129"/>
      <c r="C3883" s="129"/>
      <c r="D3883" s="129"/>
      <c r="E3883" s="129"/>
      <c r="F3883" s="129"/>
      <c r="G3883" s="129"/>
    </row>
    <row r="3884" spans="2:7" x14ac:dyDescent="0.2">
      <c r="B3884" s="129"/>
      <c r="C3884" s="129"/>
      <c r="D3884" s="129"/>
      <c r="E3884" s="129"/>
      <c r="F3884" s="129"/>
      <c r="G3884" s="129"/>
    </row>
    <row r="3885" spans="2:7" x14ac:dyDescent="0.2">
      <c r="B3885" s="129"/>
      <c r="C3885" s="129"/>
      <c r="D3885" s="129"/>
      <c r="E3885" s="129"/>
      <c r="F3885" s="129"/>
      <c r="G3885" s="129"/>
    </row>
    <row r="3886" spans="2:7" x14ac:dyDescent="0.2">
      <c r="B3886" s="129"/>
      <c r="C3886" s="129"/>
      <c r="D3886" s="129"/>
      <c r="E3886" s="129"/>
      <c r="F3886" s="129"/>
      <c r="G3886" s="129"/>
    </row>
    <row r="3887" spans="2:7" x14ac:dyDescent="0.2">
      <c r="B3887" s="129"/>
      <c r="C3887" s="129"/>
      <c r="D3887" s="129"/>
      <c r="E3887" s="129"/>
      <c r="F3887" s="129"/>
      <c r="G3887" s="129"/>
    </row>
    <row r="3888" spans="2:7" x14ac:dyDescent="0.2">
      <c r="B3888" s="129"/>
      <c r="C3888" s="129"/>
      <c r="D3888" s="129"/>
      <c r="E3888" s="129"/>
      <c r="F3888" s="129"/>
      <c r="G3888" s="129"/>
    </row>
    <row r="3889" spans="2:7" x14ac:dyDescent="0.2">
      <c r="B3889" s="129"/>
      <c r="C3889" s="129"/>
      <c r="D3889" s="129"/>
      <c r="E3889" s="129"/>
      <c r="F3889" s="129"/>
      <c r="G3889" s="129"/>
    </row>
    <row r="3890" spans="2:7" x14ac:dyDescent="0.2">
      <c r="B3890" s="129"/>
      <c r="C3890" s="129"/>
      <c r="D3890" s="129"/>
      <c r="E3890" s="129"/>
      <c r="F3890" s="129"/>
      <c r="G3890" s="129"/>
    </row>
    <row r="3891" spans="2:7" x14ac:dyDescent="0.2">
      <c r="B3891" s="129"/>
      <c r="C3891" s="129"/>
      <c r="D3891" s="129"/>
      <c r="E3891" s="129"/>
      <c r="F3891" s="129"/>
      <c r="G3891" s="129"/>
    </row>
    <row r="3892" spans="2:7" x14ac:dyDescent="0.2">
      <c r="B3892" s="129"/>
      <c r="C3892" s="129"/>
      <c r="D3892" s="129"/>
      <c r="E3892" s="129"/>
      <c r="F3892" s="129"/>
      <c r="G3892" s="129"/>
    </row>
    <row r="3893" spans="2:7" x14ac:dyDescent="0.2">
      <c r="B3893" s="129"/>
      <c r="C3893" s="129"/>
      <c r="D3893" s="129"/>
      <c r="E3893" s="129"/>
      <c r="F3893" s="129"/>
      <c r="G3893" s="129"/>
    </row>
    <row r="3894" spans="2:7" x14ac:dyDescent="0.2">
      <c r="B3894" s="129"/>
      <c r="C3894" s="129"/>
      <c r="D3894" s="129"/>
      <c r="E3894" s="129"/>
      <c r="F3894" s="129"/>
      <c r="G3894" s="129"/>
    </row>
    <row r="3895" spans="2:7" x14ac:dyDescent="0.2">
      <c r="B3895" s="129"/>
      <c r="C3895" s="129"/>
      <c r="D3895" s="129"/>
      <c r="E3895" s="129"/>
      <c r="F3895" s="129"/>
      <c r="G3895" s="129"/>
    </row>
    <row r="3896" spans="2:7" x14ac:dyDescent="0.2">
      <c r="B3896" s="129"/>
      <c r="C3896" s="129"/>
      <c r="D3896" s="129"/>
      <c r="E3896" s="129"/>
      <c r="F3896" s="129"/>
      <c r="G3896" s="129"/>
    </row>
    <row r="3897" spans="2:7" x14ac:dyDescent="0.2">
      <c r="B3897" s="129"/>
      <c r="C3897" s="129"/>
      <c r="D3897" s="129"/>
      <c r="E3897" s="129"/>
      <c r="F3897" s="129"/>
      <c r="G3897" s="129"/>
    </row>
    <row r="3898" spans="2:7" x14ac:dyDescent="0.2">
      <c r="B3898" s="129"/>
      <c r="C3898" s="129"/>
      <c r="D3898" s="129"/>
      <c r="E3898" s="129"/>
      <c r="F3898" s="129"/>
      <c r="G3898" s="129"/>
    </row>
    <row r="3899" spans="2:7" x14ac:dyDescent="0.2">
      <c r="B3899" s="129"/>
      <c r="C3899" s="129"/>
      <c r="D3899" s="129"/>
      <c r="E3899" s="129"/>
      <c r="F3899" s="129"/>
      <c r="G3899" s="129"/>
    </row>
    <row r="3900" spans="2:7" x14ac:dyDescent="0.2">
      <c r="B3900" s="129"/>
      <c r="C3900" s="129"/>
      <c r="D3900" s="129"/>
      <c r="E3900" s="129"/>
      <c r="F3900" s="129"/>
      <c r="G3900" s="129"/>
    </row>
    <row r="3901" spans="2:7" x14ac:dyDescent="0.2">
      <c r="B3901" s="129"/>
      <c r="C3901" s="129"/>
      <c r="D3901" s="129"/>
      <c r="E3901" s="129"/>
      <c r="F3901" s="129"/>
      <c r="G3901" s="129"/>
    </row>
    <row r="3902" spans="2:7" x14ac:dyDescent="0.2">
      <c r="B3902" s="129"/>
      <c r="C3902" s="129"/>
      <c r="D3902" s="129"/>
      <c r="E3902" s="129"/>
      <c r="F3902" s="129"/>
      <c r="G3902" s="129"/>
    </row>
    <row r="3903" spans="2:7" x14ac:dyDescent="0.2">
      <c r="B3903" s="129"/>
      <c r="C3903" s="129"/>
      <c r="D3903" s="129"/>
      <c r="E3903" s="129"/>
      <c r="F3903" s="129"/>
      <c r="G3903" s="129"/>
    </row>
    <row r="3904" spans="2:7" x14ac:dyDescent="0.2">
      <c r="B3904" s="129"/>
      <c r="C3904" s="129"/>
      <c r="D3904" s="129"/>
      <c r="E3904" s="129"/>
      <c r="F3904" s="129"/>
      <c r="G3904" s="129"/>
    </row>
    <row r="3905" spans="2:7" x14ac:dyDescent="0.2">
      <c r="B3905" s="129"/>
      <c r="C3905" s="129"/>
      <c r="D3905" s="129"/>
      <c r="E3905" s="129"/>
      <c r="F3905" s="129"/>
      <c r="G3905" s="129"/>
    </row>
    <row r="3906" spans="2:7" x14ac:dyDescent="0.2">
      <c r="B3906" s="129"/>
      <c r="C3906" s="129"/>
      <c r="D3906" s="129"/>
      <c r="E3906" s="129"/>
      <c r="F3906" s="129"/>
      <c r="G3906" s="129"/>
    </row>
    <row r="3907" spans="2:7" x14ac:dyDescent="0.2">
      <c r="B3907" s="129"/>
      <c r="C3907" s="129"/>
      <c r="D3907" s="129"/>
      <c r="E3907" s="129"/>
      <c r="F3907" s="129"/>
      <c r="G3907" s="129"/>
    </row>
    <row r="3908" spans="2:7" x14ac:dyDescent="0.2">
      <c r="B3908" s="129"/>
      <c r="C3908" s="129"/>
      <c r="D3908" s="129"/>
      <c r="E3908" s="129"/>
      <c r="F3908" s="129"/>
      <c r="G3908" s="129"/>
    </row>
    <row r="3909" spans="2:7" x14ac:dyDescent="0.2">
      <c r="B3909" s="129"/>
      <c r="C3909" s="129"/>
      <c r="D3909" s="129"/>
      <c r="E3909" s="129"/>
      <c r="F3909" s="129"/>
      <c r="G3909" s="129"/>
    </row>
    <row r="3910" spans="2:7" x14ac:dyDescent="0.2">
      <c r="B3910" s="129"/>
      <c r="C3910" s="129"/>
      <c r="D3910" s="129"/>
      <c r="E3910" s="129"/>
      <c r="F3910" s="129"/>
      <c r="G3910" s="129"/>
    </row>
    <row r="3911" spans="2:7" x14ac:dyDescent="0.2">
      <c r="B3911" s="129"/>
      <c r="C3911" s="129"/>
      <c r="D3911" s="129"/>
      <c r="E3911" s="129"/>
      <c r="F3911" s="129"/>
      <c r="G3911" s="129"/>
    </row>
    <row r="3912" spans="2:7" x14ac:dyDescent="0.2">
      <c r="B3912" s="129"/>
      <c r="C3912" s="129"/>
      <c r="D3912" s="129"/>
      <c r="E3912" s="129"/>
      <c r="F3912" s="129"/>
      <c r="G3912" s="129"/>
    </row>
    <row r="3913" spans="2:7" x14ac:dyDescent="0.2">
      <c r="B3913" s="129"/>
      <c r="C3913" s="129"/>
      <c r="D3913" s="129"/>
      <c r="E3913" s="129"/>
      <c r="F3913" s="129"/>
      <c r="G3913" s="129"/>
    </row>
    <row r="3914" spans="2:7" x14ac:dyDescent="0.2">
      <c r="B3914" s="129"/>
      <c r="C3914" s="129"/>
      <c r="D3914" s="129"/>
      <c r="E3914" s="129"/>
      <c r="F3914" s="129"/>
      <c r="G3914" s="129"/>
    </row>
    <row r="3915" spans="2:7" x14ac:dyDescent="0.2">
      <c r="B3915" s="129"/>
      <c r="C3915" s="129"/>
      <c r="D3915" s="129"/>
      <c r="E3915" s="129"/>
      <c r="F3915" s="129"/>
      <c r="G3915" s="129"/>
    </row>
    <row r="3916" spans="2:7" x14ac:dyDescent="0.2">
      <c r="B3916" s="129"/>
      <c r="C3916" s="129"/>
      <c r="D3916" s="129"/>
      <c r="E3916" s="129"/>
      <c r="F3916" s="129"/>
      <c r="G3916" s="129"/>
    </row>
    <row r="3917" spans="2:7" x14ac:dyDescent="0.2">
      <c r="B3917" s="129"/>
      <c r="C3917" s="129"/>
      <c r="D3917" s="129"/>
      <c r="E3917" s="129"/>
      <c r="F3917" s="129"/>
      <c r="G3917" s="129"/>
    </row>
    <row r="3918" spans="2:7" x14ac:dyDescent="0.2">
      <c r="B3918" s="129"/>
      <c r="C3918" s="129"/>
      <c r="D3918" s="129"/>
      <c r="E3918" s="129"/>
      <c r="F3918" s="129"/>
      <c r="G3918" s="129"/>
    </row>
    <row r="3919" spans="2:7" x14ac:dyDescent="0.2">
      <c r="B3919" s="129"/>
      <c r="C3919" s="129"/>
      <c r="D3919" s="129"/>
      <c r="E3919" s="129"/>
      <c r="F3919" s="129"/>
      <c r="G3919" s="129"/>
    </row>
    <row r="3920" spans="2:7" x14ac:dyDescent="0.2">
      <c r="B3920" s="129"/>
      <c r="C3920" s="129"/>
      <c r="D3920" s="129"/>
      <c r="E3920" s="129"/>
      <c r="F3920" s="129"/>
      <c r="G3920" s="129"/>
    </row>
    <row r="3921" spans="2:7" x14ac:dyDescent="0.2">
      <c r="B3921" s="129"/>
      <c r="C3921" s="129"/>
      <c r="D3921" s="129"/>
      <c r="E3921" s="129"/>
      <c r="F3921" s="129"/>
      <c r="G3921" s="129"/>
    </row>
    <row r="3922" spans="2:7" x14ac:dyDescent="0.2">
      <c r="B3922" s="129"/>
      <c r="C3922" s="129"/>
      <c r="D3922" s="129"/>
      <c r="E3922" s="129"/>
      <c r="F3922" s="129"/>
      <c r="G3922" s="129"/>
    </row>
    <row r="3923" spans="2:7" x14ac:dyDescent="0.2">
      <c r="B3923" s="129"/>
      <c r="C3923" s="129"/>
      <c r="D3923" s="129"/>
      <c r="E3923" s="129"/>
      <c r="F3923" s="129"/>
      <c r="G3923" s="129"/>
    </row>
    <row r="3924" spans="2:7" x14ac:dyDescent="0.2">
      <c r="B3924" s="129"/>
      <c r="C3924" s="129"/>
      <c r="D3924" s="129"/>
      <c r="E3924" s="129"/>
      <c r="F3924" s="129"/>
      <c r="G3924" s="129"/>
    </row>
    <row r="3925" spans="2:7" x14ac:dyDescent="0.2">
      <c r="B3925" s="129"/>
      <c r="C3925" s="129"/>
      <c r="D3925" s="129"/>
      <c r="E3925" s="129"/>
      <c r="F3925" s="129"/>
      <c r="G3925" s="129"/>
    </row>
    <row r="3926" spans="2:7" x14ac:dyDescent="0.2">
      <c r="B3926" s="129"/>
      <c r="C3926" s="129"/>
      <c r="D3926" s="129"/>
      <c r="E3926" s="129"/>
      <c r="F3926" s="129"/>
      <c r="G3926" s="129"/>
    </row>
    <row r="3927" spans="2:7" x14ac:dyDescent="0.2">
      <c r="B3927" s="129"/>
      <c r="C3927" s="129"/>
      <c r="D3927" s="129"/>
      <c r="E3927" s="129"/>
      <c r="F3927" s="129"/>
      <c r="G3927" s="129"/>
    </row>
    <row r="3928" spans="2:7" x14ac:dyDescent="0.2">
      <c r="B3928" s="129"/>
      <c r="C3928" s="129"/>
      <c r="D3928" s="129"/>
      <c r="E3928" s="129"/>
      <c r="F3928" s="129"/>
      <c r="G3928" s="129"/>
    </row>
    <row r="3929" spans="2:7" x14ac:dyDescent="0.2">
      <c r="B3929" s="129"/>
      <c r="C3929" s="129"/>
      <c r="D3929" s="129"/>
      <c r="E3929" s="129"/>
      <c r="F3929" s="129"/>
      <c r="G3929" s="129"/>
    </row>
    <row r="3930" spans="2:7" x14ac:dyDescent="0.2">
      <c r="B3930" s="129"/>
      <c r="C3930" s="129"/>
      <c r="D3930" s="129"/>
      <c r="E3930" s="129"/>
      <c r="F3930" s="129"/>
      <c r="G3930" s="129"/>
    </row>
    <row r="3931" spans="2:7" x14ac:dyDescent="0.2">
      <c r="B3931" s="129"/>
      <c r="C3931" s="129"/>
      <c r="D3931" s="129"/>
      <c r="E3931" s="129"/>
      <c r="F3931" s="129"/>
      <c r="G3931" s="129"/>
    </row>
    <row r="3932" spans="2:7" x14ac:dyDescent="0.2">
      <c r="B3932" s="129"/>
      <c r="C3932" s="129"/>
      <c r="D3932" s="129"/>
      <c r="E3932" s="129"/>
      <c r="F3932" s="129"/>
      <c r="G3932" s="129"/>
    </row>
    <row r="3933" spans="2:7" x14ac:dyDescent="0.2">
      <c r="B3933" s="129"/>
      <c r="C3933" s="129"/>
      <c r="D3933" s="129"/>
      <c r="E3933" s="129"/>
      <c r="F3933" s="129"/>
      <c r="G3933" s="129"/>
    </row>
    <row r="3934" spans="2:7" x14ac:dyDescent="0.2">
      <c r="B3934" s="129"/>
      <c r="C3934" s="129"/>
      <c r="D3934" s="129"/>
      <c r="E3934" s="129"/>
      <c r="F3934" s="129"/>
      <c r="G3934" s="129"/>
    </row>
    <row r="3935" spans="2:7" x14ac:dyDescent="0.2">
      <c r="B3935" s="129"/>
      <c r="C3935" s="129"/>
      <c r="D3935" s="129"/>
      <c r="E3935" s="129"/>
      <c r="F3935" s="129"/>
      <c r="G3935" s="129"/>
    </row>
    <row r="3936" spans="2:7" x14ac:dyDescent="0.2">
      <c r="B3936" s="129"/>
      <c r="C3936" s="129"/>
      <c r="D3936" s="129"/>
      <c r="E3936" s="129"/>
      <c r="F3936" s="129"/>
      <c r="G3936" s="129"/>
    </row>
    <row r="3937" spans="2:7" x14ac:dyDescent="0.2">
      <c r="B3937" s="129"/>
      <c r="C3937" s="129"/>
      <c r="D3937" s="129"/>
      <c r="E3937" s="129"/>
      <c r="F3937" s="129"/>
      <c r="G3937" s="129"/>
    </row>
    <row r="3938" spans="2:7" x14ac:dyDescent="0.2">
      <c r="B3938" s="129"/>
      <c r="C3938" s="129"/>
      <c r="D3938" s="129"/>
      <c r="E3938" s="129"/>
      <c r="F3938" s="129"/>
      <c r="G3938" s="129"/>
    </row>
    <row r="3939" spans="2:7" x14ac:dyDescent="0.2">
      <c r="B3939" s="129"/>
      <c r="C3939" s="129"/>
      <c r="D3939" s="129"/>
      <c r="E3939" s="129"/>
      <c r="F3939" s="129"/>
      <c r="G3939" s="129"/>
    </row>
    <row r="3940" spans="2:7" x14ac:dyDescent="0.2">
      <c r="B3940" s="129"/>
      <c r="C3940" s="129"/>
      <c r="D3940" s="129"/>
      <c r="E3940" s="129"/>
      <c r="F3940" s="129"/>
      <c r="G3940" s="129"/>
    </row>
    <row r="3941" spans="2:7" x14ac:dyDescent="0.2">
      <c r="B3941" s="129"/>
      <c r="C3941" s="129"/>
      <c r="D3941" s="129"/>
      <c r="E3941" s="129"/>
      <c r="F3941" s="129"/>
      <c r="G3941" s="129"/>
    </row>
    <row r="3942" spans="2:7" x14ac:dyDescent="0.2">
      <c r="B3942" s="129"/>
      <c r="C3942" s="129"/>
      <c r="D3942" s="129"/>
      <c r="E3942" s="129"/>
      <c r="F3942" s="129"/>
      <c r="G3942" s="129"/>
    </row>
    <row r="3943" spans="2:7" x14ac:dyDescent="0.2">
      <c r="B3943" s="129"/>
      <c r="C3943" s="129"/>
      <c r="D3943" s="129"/>
      <c r="E3943" s="129"/>
      <c r="F3943" s="129"/>
      <c r="G3943" s="129"/>
    </row>
    <row r="3944" spans="2:7" x14ac:dyDescent="0.2">
      <c r="B3944" s="129"/>
      <c r="C3944" s="129"/>
      <c r="D3944" s="129"/>
      <c r="E3944" s="129"/>
      <c r="F3944" s="129"/>
      <c r="G3944" s="129"/>
    </row>
    <row r="3945" spans="2:7" x14ac:dyDescent="0.2">
      <c r="B3945" s="129"/>
      <c r="C3945" s="129"/>
      <c r="D3945" s="129"/>
      <c r="E3945" s="129"/>
      <c r="F3945" s="129"/>
      <c r="G3945" s="129"/>
    </row>
    <row r="3946" spans="2:7" x14ac:dyDescent="0.2">
      <c r="B3946" s="129"/>
      <c r="C3946" s="129"/>
      <c r="D3946" s="129"/>
      <c r="E3946" s="129"/>
      <c r="F3946" s="129"/>
      <c r="G3946" s="129"/>
    </row>
    <row r="3947" spans="2:7" x14ac:dyDescent="0.2">
      <c r="B3947" s="129"/>
      <c r="C3947" s="129"/>
      <c r="D3947" s="129"/>
      <c r="E3947" s="129"/>
      <c r="F3947" s="129"/>
      <c r="G3947" s="129"/>
    </row>
    <row r="3948" spans="2:7" x14ac:dyDescent="0.2">
      <c r="B3948" s="129"/>
      <c r="C3948" s="129"/>
      <c r="D3948" s="129"/>
      <c r="E3948" s="129"/>
      <c r="F3948" s="129"/>
      <c r="G3948" s="129"/>
    </row>
    <row r="3949" spans="2:7" x14ac:dyDescent="0.2">
      <c r="B3949" s="129"/>
      <c r="C3949" s="129"/>
      <c r="D3949" s="129"/>
      <c r="E3949" s="129"/>
      <c r="F3949" s="129"/>
      <c r="G3949" s="129"/>
    </row>
    <row r="3950" spans="2:7" x14ac:dyDescent="0.2">
      <c r="B3950" s="129"/>
      <c r="C3950" s="129"/>
      <c r="D3950" s="129"/>
      <c r="E3950" s="129"/>
      <c r="F3950" s="129"/>
      <c r="G3950" s="129"/>
    </row>
    <row r="3951" spans="2:7" x14ac:dyDescent="0.2">
      <c r="B3951" s="129"/>
      <c r="C3951" s="129"/>
      <c r="D3951" s="129"/>
      <c r="E3951" s="129"/>
      <c r="F3951" s="129"/>
      <c r="G3951" s="129"/>
    </row>
    <row r="3952" spans="2:7" x14ac:dyDescent="0.2">
      <c r="B3952" s="129"/>
      <c r="C3952" s="129"/>
      <c r="D3952" s="129"/>
      <c r="E3952" s="129"/>
      <c r="F3952" s="129"/>
      <c r="G3952" s="129"/>
    </row>
    <row r="3953" spans="2:7" x14ac:dyDescent="0.2">
      <c r="B3953" s="129"/>
      <c r="C3953" s="129"/>
      <c r="D3953" s="129"/>
      <c r="E3953" s="129"/>
      <c r="F3953" s="129"/>
      <c r="G3953" s="129"/>
    </row>
    <row r="3954" spans="2:7" x14ac:dyDescent="0.2">
      <c r="B3954" s="129"/>
      <c r="C3954" s="129"/>
      <c r="D3954" s="129"/>
      <c r="E3954" s="129"/>
      <c r="F3954" s="129"/>
      <c r="G3954" s="129"/>
    </row>
    <row r="3955" spans="2:7" x14ac:dyDescent="0.2">
      <c r="B3955" s="129"/>
      <c r="C3955" s="129"/>
      <c r="D3955" s="129"/>
      <c r="E3955" s="129"/>
      <c r="F3955" s="129"/>
      <c r="G3955" s="129"/>
    </row>
    <row r="3956" spans="2:7" x14ac:dyDescent="0.2">
      <c r="B3956" s="129"/>
      <c r="C3956" s="129"/>
      <c r="D3956" s="129"/>
      <c r="E3956" s="129"/>
      <c r="F3956" s="129"/>
      <c r="G3956" s="129"/>
    </row>
    <row r="3957" spans="2:7" x14ac:dyDescent="0.2">
      <c r="B3957" s="129"/>
      <c r="C3957" s="129"/>
      <c r="D3957" s="129"/>
      <c r="E3957" s="129"/>
      <c r="F3957" s="129"/>
      <c r="G3957" s="129"/>
    </row>
    <row r="3958" spans="2:7" x14ac:dyDescent="0.2">
      <c r="B3958" s="129"/>
      <c r="C3958" s="129"/>
      <c r="D3958" s="129"/>
      <c r="E3958" s="129"/>
      <c r="F3958" s="129"/>
      <c r="G3958" s="129"/>
    </row>
    <row r="3959" spans="2:7" x14ac:dyDescent="0.2">
      <c r="B3959" s="129"/>
      <c r="C3959" s="129"/>
      <c r="D3959" s="129"/>
      <c r="E3959" s="129"/>
      <c r="F3959" s="129"/>
      <c r="G3959" s="129"/>
    </row>
    <row r="3960" spans="2:7" x14ac:dyDescent="0.2">
      <c r="B3960" s="129"/>
      <c r="C3960" s="129"/>
      <c r="D3960" s="129"/>
      <c r="E3960" s="129"/>
      <c r="F3960" s="129"/>
      <c r="G3960" s="129"/>
    </row>
    <row r="3961" spans="2:7" x14ac:dyDescent="0.2">
      <c r="B3961" s="129"/>
      <c r="C3961" s="129"/>
      <c r="D3961" s="129"/>
      <c r="E3961" s="129"/>
      <c r="F3961" s="129"/>
      <c r="G3961" s="129"/>
    </row>
    <row r="3962" spans="2:7" x14ac:dyDescent="0.2">
      <c r="B3962" s="129"/>
      <c r="C3962" s="129"/>
      <c r="D3962" s="129"/>
      <c r="E3962" s="129"/>
      <c r="F3962" s="129"/>
      <c r="G3962" s="129"/>
    </row>
    <row r="3963" spans="2:7" x14ac:dyDescent="0.2">
      <c r="B3963" s="129"/>
      <c r="C3963" s="129"/>
      <c r="D3963" s="129"/>
      <c r="E3963" s="129"/>
      <c r="F3963" s="129"/>
      <c r="G3963" s="129"/>
    </row>
    <row r="3964" spans="2:7" x14ac:dyDescent="0.2">
      <c r="B3964" s="129"/>
      <c r="C3964" s="129"/>
      <c r="D3964" s="129"/>
      <c r="E3964" s="129"/>
      <c r="F3964" s="129"/>
      <c r="G3964" s="129"/>
    </row>
    <row r="3965" spans="2:7" x14ac:dyDescent="0.2">
      <c r="B3965" s="129"/>
      <c r="C3965" s="129"/>
      <c r="D3965" s="129"/>
      <c r="E3965" s="129"/>
      <c r="F3965" s="129"/>
      <c r="G3965" s="129"/>
    </row>
    <row r="3966" spans="2:7" x14ac:dyDescent="0.2">
      <c r="B3966" s="129"/>
      <c r="C3966" s="129"/>
      <c r="D3966" s="129"/>
      <c r="E3966" s="129"/>
      <c r="F3966" s="129"/>
      <c r="G3966" s="129"/>
    </row>
    <row r="3967" spans="2:7" x14ac:dyDescent="0.2">
      <c r="B3967" s="129"/>
      <c r="C3967" s="129"/>
      <c r="D3967" s="129"/>
      <c r="E3967" s="129"/>
      <c r="F3967" s="129"/>
      <c r="G3967" s="129"/>
    </row>
    <row r="3968" spans="2:7" x14ac:dyDescent="0.2">
      <c r="B3968" s="129"/>
      <c r="C3968" s="129"/>
      <c r="D3968" s="129"/>
      <c r="E3968" s="129"/>
      <c r="F3968" s="129"/>
      <c r="G3968" s="129"/>
    </row>
    <row r="3969" spans="2:7" x14ac:dyDescent="0.2">
      <c r="B3969" s="129"/>
      <c r="C3969" s="129"/>
      <c r="D3969" s="129"/>
      <c r="E3969" s="129"/>
      <c r="F3969" s="129"/>
      <c r="G3969" s="129"/>
    </row>
    <row r="3970" spans="2:7" x14ac:dyDescent="0.2">
      <c r="B3970" s="129"/>
      <c r="C3970" s="129"/>
      <c r="D3970" s="129"/>
      <c r="E3970" s="129"/>
      <c r="F3970" s="129"/>
      <c r="G3970" s="129"/>
    </row>
    <row r="3971" spans="2:7" x14ac:dyDescent="0.2">
      <c r="B3971" s="129"/>
      <c r="C3971" s="129"/>
      <c r="D3971" s="129"/>
      <c r="E3971" s="129"/>
      <c r="F3971" s="129"/>
      <c r="G3971" s="129"/>
    </row>
    <row r="3972" spans="2:7" x14ac:dyDescent="0.2">
      <c r="B3972" s="129"/>
      <c r="C3972" s="129"/>
      <c r="D3972" s="129"/>
      <c r="E3972" s="129"/>
      <c r="F3972" s="129"/>
      <c r="G3972" s="129"/>
    </row>
    <row r="3973" spans="2:7" x14ac:dyDescent="0.2">
      <c r="B3973" s="129"/>
      <c r="C3973" s="129"/>
      <c r="D3973" s="129"/>
      <c r="E3973" s="129"/>
      <c r="F3973" s="129"/>
      <c r="G3973" s="129"/>
    </row>
    <row r="3974" spans="2:7" x14ac:dyDescent="0.2">
      <c r="B3974" s="129"/>
      <c r="C3974" s="129"/>
      <c r="D3974" s="129"/>
      <c r="E3974" s="129"/>
      <c r="F3974" s="129"/>
      <c r="G3974" s="129"/>
    </row>
    <row r="3975" spans="2:7" x14ac:dyDescent="0.2">
      <c r="B3975" s="129"/>
      <c r="C3975" s="129"/>
      <c r="D3975" s="129"/>
      <c r="E3975" s="129"/>
      <c r="F3975" s="129"/>
      <c r="G3975" s="129"/>
    </row>
    <row r="3976" spans="2:7" x14ac:dyDescent="0.2">
      <c r="B3976" s="129"/>
      <c r="C3976" s="129"/>
      <c r="D3976" s="129"/>
      <c r="E3976" s="129"/>
      <c r="F3976" s="129"/>
      <c r="G3976" s="129"/>
    </row>
    <row r="3977" spans="2:7" x14ac:dyDescent="0.2">
      <c r="B3977" s="129"/>
      <c r="C3977" s="129"/>
      <c r="D3977" s="129"/>
      <c r="E3977" s="129"/>
      <c r="F3977" s="129"/>
      <c r="G3977" s="129"/>
    </row>
    <row r="3978" spans="2:7" x14ac:dyDescent="0.2">
      <c r="B3978" s="129"/>
      <c r="C3978" s="129"/>
      <c r="D3978" s="129"/>
      <c r="E3978" s="129"/>
      <c r="F3978" s="129"/>
      <c r="G3978" s="129"/>
    </row>
    <row r="3979" spans="2:7" x14ac:dyDescent="0.2">
      <c r="B3979" s="129"/>
      <c r="C3979" s="129"/>
      <c r="D3979" s="129"/>
      <c r="E3979" s="129"/>
      <c r="F3979" s="129"/>
      <c r="G3979" s="129"/>
    </row>
    <row r="3980" spans="2:7" x14ac:dyDescent="0.2">
      <c r="B3980" s="129"/>
      <c r="C3980" s="129"/>
      <c r="D3980" s="129"/>
      <c r="E3980" s="129"/>
      <c r="F3980" s="129"/>
      <c r="G3980" s="129"/>
    </row>
    <row r="3981" spans="2:7" x14ac:dyDescent="0.2">
      <c r="B3981" s="129"/>
      <c r="C3981" s="129"/>
      <c r="D3981" s="129"/>
      <c r="E3981" s="129"/>
      <c r="F3981" s="129"/>
      <c r="G3981" s="129"/>
    </row>
    <row r="3982" spans="2:7" x14ac:dyDescent="0.2">
      <c r="B3982" s="129"/>
      <c r="C3982" s="129"/>
      <c r="D3982" s="129"/>
      <c r="E3982" s="129"/>
      <c r="F3982" s="129"/>
      <c r="G3982" s="129"/>
    </row>
    <row r="3983" spans="2:7" x14ac:dyDescent="0.2">
      <c r="B3983" s="129"/>
      <c r="C3983" s="129"/>
      <c r="D3983" s="129"/>
      <c r="E3983" s="129"/>
      <c r="F3983" s="129"/>
      <c r="G3983" s="129"/>
    </row>
    <row r="3984" spans="2:7" x14ac:dyDescent="0.2">
      <c r="B3984" s="129"/>
      <c r="C3984" s="129"/>
      <c r="D3984" s="129"/>
      <c r="E3984" s="129"/>
      <c r="F3984" s="129"/>
      <c r="G3984" s="129"/>
    </row>
    <row r="3985" spans="2:7" x14ac:dyDescent="0.2">
      <c r="B3985" s="129"/>
      <c r="C3985" s="129"/>
      <c r="D3985" s="129"/>
      <c r="E3985" s="129"/>
      <c r="F3985" s="129"/>
      <c r="G3985" s="129"/>
    </row>
    <row r="3986" spans="2:7" x14ac:dyDescent="0.2">
      <c r="B3986" s="129"/>
      <c r="C3986" s="129"/>
      <c r="D3986" s="129"/>
      <c r="E3986" s="129"/>
      <c r="F3986" s="129"/>
      <c r="G3986" s="129"/>
    </row>
    <row r="3987" spans="2:7" x14ac:dyDescent="0.2">
      <c r="B3987" s="129"/>
      <c r="C3987" s="129"/>
      <c r="D3987" s="129"/>
      <c r="E3987" s="129"/>
      <c r="F3987" s="129"/>
      <c r="G3987" s="129"/>
    </row>
    <row r="3988" spans="2:7" x14ac:dyDescent="0.2">
      <c r="B3988" s="129"/>
      <c r="C3988" s="129"/>
      <c r="D3988" s="129"/>
      <c r="E3988" s="129"/>
      <c r="F3988" s="129"/>
      <c r="G3988" s="129"/>
    </row>
    <row r="3989" spans="2:7" x14ac:dyDescent="0.2">
      <c r="B3989" s="129"/>
      <c r="C3989" s="129"/>
      <c r="D3989" s="129"/>
      <c r="E3989" s="129"/>
      <c r="F3989" s="129"/>
      <c r="G3989" s="129"/>
    </row>
    <row r="3990" spans="2:7" x14ac:dyDescent="0.2">
      <c r="B3990" s="129"/>
      <c r="C3990" s="129"/>
      <c r="D3990" s="129"/>
      <c r="E3990" s="129"/>
      <c r="F3990" s="129"/>
      <c r="G3990" s="129"/>
    </row>
    <row r="3991" spans="2:7" x14ac:dyDescent="0.2">
      <c r="B3991" s="129"/>
      <c r="C3991" s="129"/>
      <c r="D3991" s="129"/>
      <c r="E3991" s="129"/>
      <c r="F3991" s="129"/>
      <c r="G3991" s="129"/>
    </row>
    <row r="3992" spans="2:7" x14ac:dyDescent="0.2">
      <c r="B3992" s="129"/>
      <c r="C3992" s="129"/>
      <c r="D3992" s="129"/>
      <c r="E3992" s="129"/>
      <c r="F3992" s="129"/>
      <c r="G3992" s="129"/>
    </row>
    <row r="3993" spans="2:7" x14ac:dyDescent="0.2">
      <c r="B3993" s="129"/>
      <c r="C3993" s="129"/>
      <c r="D3993" s="129"/>
      <c r="E3993" s="129"/>
      <c r="F3993" s="129"/>
      <c r="G3993" s="129"/>
    </row>
    <row r="3994" spans="2:7" x14ac:dyDescent="0.2">
      <c r="B3994" s="129"/>
      <c r="C3994" s="129"/>
      <c r="D3994" s="129"/>
      <c r="E3994" s="129"/>
      <c r="F3994" s="129"/>
      <c r="G3994" s="129"/>
    </row>
    <row r="3995" spans="2:7" x14ac:dyDescent="0.2">
      <c r="B3995" s="129"/>
      <c r="C3995" s="129"/>
      <c r="D3995" s="129"/>
      <c r="E3995" s="129"/>
      <c r="F3995" s="129"/>
      <c r="G3995" s="129"/>
    </row>
    <row r="3996" spans="2:7" x14ac:dyDescent="0.2">
      <c r="B3996" s="129"/>
      <c r="C3996" s="129"/>
      <c r="D3996" s="129"/>
      <c r="E3996" s="129"/>
      <c r="F3996" s="129"/>
      <c r="G3996" s="129"/>
    </row>
    <row r="3997" spans="2:7" x14ac:dyDescent="0.2">
      <c r="B3997" s="129"/>
      <c r="C3997" s="129"/>
      <c r="D3997" s="129"/>
      <c r="E3997" s="129"/>
      <c r="F3997" s="129"/>
      <c r="G3997" s="129"/>
    </row>
    <row r="3998" spans="2:7" x14ac:dyDescent="0.2">
      <c r="B3998" s="129"/>
      <c r="C3998" s="129"/>
      <c r="D3998" s="129"/>
      <c r="E3998" s="129"/>
      <c r="F3998" s="129"/>
      <c r="G3998" s="129"/>
    </row>
    <row r="3999" spans="2:7" x14ac:dyDescent="0.2">
      <c r="B3999" s="129"/>
      <c r="C3999" s="129"/>
      <c r="D3999" s="129"/>
      <c r="E3999" s="129"/>
      <c r="F3999" s="129"/>
      <c r="G3999" s="129"/>
    </row>
    <row r="4000" spans="2:7" x14ac:dyDescent="0.2">
      <c r="B4000" s="129"/>
      <c r="C4000" s="129"/>
      <c r="D4000" s="129"/>
      <c r="E4000" s="129"/>
      <c r="F4000" s="129"/>
      <c r="G4000" s="129"/>
    </row>
    <row r="4001" spans="2:7" x14ac:dyDescent="0.2">
      <c r="B4001" s="129"/>
      <c r="C4001" s="129"/>
      <c r="D4001" s="129"/>
      <c r="E4001" s="129"/>
      <c r="F4001" s="129"/>
      <c r="G4001" s="129"/>
    </row>
    <row r="4002" spans="2:7" x14ac:dyDescent="0.2">
      <c r="B4002" s="129"/>
      <c r="C4002" s="129"/>
      <c r="D4002" s="129"/>
      <c r="E4002" s="129"/>
      <c r="F4002" s="129"/>
      <c r="G4002" s="129"/>
    </row>
    <row r="4003" spans="2:7" x14ac:dyDescent="0.2">
      <c r="B4003" s="129"/>
      <c r="C4003" s="129"/>
      <c r="D4003" s="129"/>
      <c r="E4003" s="129"/>
      <c r="F4003" s="129"/>
      <c r="G4003" s="129"/>
    </row>
    <row r="4004" spans="2:7" x14ac:dyDescent="0.2">
      <c r="B4004" s="129"/>
      <c r="C4004" s="129"/>
      <c r="D4004" s="129"/>
      <c r="E4004" s="129"/>
      <c r="F4004" s="129"/>
      <c r="G4004" s="129"/>
    </row>
    <row r="4005" spans="2:7" x14ac:dyDescent="0.2">
      <c r="B4005" s="129"/>
      <c r="C4005" s="129"/>
      <c r="D4005" s="129"/>
      <c r="E4005" s="129"/>
      <c r="F4005" s="129"/>
      <c r="G4005" s="129"/>
    </row>
    <row r="4006" spans="2:7" x14ac:dyDescent="0.2">
      <c r="B4006" s="129"/>
      <c r="C4006" s="129"/>
      <c r="D4006" s="129"/>
      <c r="E4006" s="129"/>
      <c r="F4006" s="129"/>
      <c r="G4006" s="129"/>
    </row>
    <row r="4007" spans="2:7" x14ac:dyDescent="0.2">
      <c r="B4007" s="129"/>
      <c r="C4007" s="129"/>
      <c r="D4007" s="129"/>
      <c r="E4007" s="129"/>
      <c r="F4007" s="129"/>
      <c r="G4007" s="129"/>
    </row>
    <row r="4008" spans="2:7" x14ac:dyDescent="0.2">
      <c r="B4008" s="129"/>
      <c r="C4008" s="129"/>
      <c r="D4008" s="129"/>
      <c r="E4008" s="129"/>
      <c r="F4008" s="129"/>
      <c r="G4008" s="129"/>
    </row>
    <row r="4009" spans="2:7" x14ac:dyDescent="0.2">
      <c r="B4009" s="129"/>
      <c r="C4009" s="129"/>
      <c r="D4009" s="129"/>
      <c r="E4009" s="129"/>
      <c r="F4009" s="129"/>
      <c r="G4009" s="129"/>
    </row>
    <row r="4010" spans="2:7" x14ac:dyDescent="0.2">
      <c r="B4010" s="129"/>
      <c r="C4010" s="129"/>
      <c r="D4010" s="129"/>
      <c r="E4010" s="129"/>
      <c r="F4010" s="129"/>
      <c r="G4010" s="129"/>
    </row>
    <row r="4011" spans="2:7" x14ac:dyDescent="0.2">
      <c r="B4011" s="129"/>
      <c r="C4011" s="129"/>
      <c r="D4011" s="129"/>
      <c r="E4011" s="129"/>
      <c r="F4011" s="129"/>
      <c r="G4011" s="129"/>
    </row>
    <row r="4012" spans="2:7" x14ac:dyDescent="0.2">
      <c r="B4012" s="129"/>
      <c r="C4012" s="129"/>
      <c r="D4012" s="129"/>
      <c r="E4012" s="129"/>
      <c r="F4012" s="129"/>
      <c r="G4012" s="129"/>
    </row>
    <row r="4013" spans="2:7" x14ac:dyDescent="0.2">
      <c r="B4013" s="129"/>
      <c r="C4013" s="129"/>
      <c r="D4013" s="129"/>
      <c r="E4013" s="129"/>
      <c r="F4013" s="129"/>
      <c r="G4013" s="129"/>
    </row>
    <row r="4014" spans="2:7" x14ac:dyDescent="0.2">
      <c r="B4014" s="129"/>
      <c r="C4014" s="129"/>
      <c r="D4014" s="129"/>
      <c r="E4014" s="129"/>
      <c r="F4014" s="129"/>
      <c r="G4014" s="129"/>
    </row>
    <row r="4015" spans="2:7" x14ac:dyDescent="0.2">
      <c r="B4015" s="129"/>
      <c r="C4015" s="129"/>
      <c r="D4015" s="129"/>
      <c r="E4015" s="129"/>
      <c r="F4015" s="129"/>
      <c r="G4015" s="129"/>
    </row>
    <row r="4016" spans="2:7" x14ac:dyDescent="0.2">
      <c r="B4016" s="129"/>
      <c r="C4016" s="129"/>
      <c r="D4016" s="129"/>
      <c r="E4016" s="129"/>
      <c r="F4016" s="129"/>
      <c r="G4016" s="129"/>
    </row>
    <row r="4017" spans="2:7" x14ac:dyDescent="0.2">
      <c r="B4017" s="129"/>
      <c r="C4017" s="129"/>
      <c r="D4017" s="129"/>
      <c r="E4017" s="129"/>
      <c r="F4017" s="129"/>
      <c r="G4017" s="129"/>
    </row>
    <row r="4018" spans="2:7" x14ac:dyDescent="0.2">
      <c r="B4018" s="129"/>
      <c r="C4018" s="129"/>
      <c r="D4018" s="129"/>
      <c r="E4018" s="129"/>
      <c r="F4018" s="129"/>
      <c r="G4018" s="129"/>
    </row>
    <row r="4019" spans="2:7" x14ac:dyDescent="0.2">
      <c r="B4019" s="129"/>
      <c r="C4019" s="129"/>
      <c r="D4019" s="129"/>
      <c r="E4019" s="129"/>
      <c r="F4019" s="129"/>
      <c r="G4019" s="129"/>
    </row>
    <row r="4020" spans="2:7" x14ac:dyDescent="0.2">
      <c r="B4020" s="129"/>
      <c r="C4020" s="129"/>
      <c r="D4020" s="129"/>
      <c r="E4020" s="129"/>
      <c r="F4020" s="129"/>
      <c r="G4020" s="129"/>
    </row>
    <row r="4021" spans="2:7" x14ac:dyDescent="0.2">
      <c r="B4021" s="129"/>
      <c r="C4021" s="129"/>
      <c r="D4021" s="129"/>
      <c r="E4021" s="129"/>
      <c r="F4021" s="129"/>
      <c r="G4021" s="129"/>
    </row>
    <row r="4022" spans="2:7" x14ac:dyDescent="0.2">
      <c r="B4022" s="129"/>
      <c r="C4022" s="129"/>
      <c r="D4022" s="129"/>
      <c r="E4022" s="129"/>
      <c r="F4022" s="129"/>
      <c r="G4022" s="129"/>
    </row>
    <row r="4023" spans="2:7" x14ac:dyDescent="0.2">
      <c r="B4023" s="129"/>
      <c r="C4023" s="129"/>
      <c r="D4023" s="129"/>
      <c r="E4023" s="129"/>
      <c r="F4023" s="129"/>
      <c r="G4023" s="129"/>
    </row>
    <row r="4024" spans="2:7" x14ac:dyDescent="0.2">
      <c r="B4024" s="129"/>
      <c r="C4024" s="129"/>
      <c r="D4024" s="129"/>
      <c r="E4024" s="129"/>
      <c r="F4024" s="129"/>
      <c r="G4024" s="129"/>
    </row>
    <row r="4025" spans="2:7" x14ac:dyDescent="0.2">
      <c r="B4025" s="129"/>
      <c r="C4025" s="129"/>
      <c r="D4025" s="129"/>
      <c r="E4025" s="129"/>
      <c r="F4025" s="129"/>
      <c r="G4025" s="129"/>
    </row>
    <row r="4026" spans="2:7" x14ac:dyDescent="0.2">
      <c r="B4026" s="129"/>
      <c r="C4026" s="129"/>
      <c r="D4026" s="129"/>
      <c r="E4026" s="129"/>
      <c r="F4026" s="129"/>
      <c r="G4026" s="129"/>
    </row>
    <row r="4027" spans="2:7" x14ac:dyDescent="0.2">
      <c r="B4027" s="129"/>
      <c r="C4027" s="129"/>
      <c r="D4027" s="129"/>
      <c r="E4027" s="129"/>
      <c r="F4027" s="129"/>
      <c r="G4027" s="129"/>
    </row>
    <row r="4028" spans="2:7" x14ac:dyDescent="0.2">
      <c r="B4028" s="129"/>
      <c r="C4028" s="129"/>
      <c r="D4028" s="129"/>
      <c r="E4028" s="129"/>
      <c r="F4028" s="129"/>
      <c r="G4028" s="129"/>
    </row>
    <row r="4029" spans="2:7" x14ac:dyDescent="0.2">
      <c r="B4029" s="129"/>
      <c r="C4029" s="129"/>
      <c r="D4029" s="129"/>
      <c r="E4029" s="129"/>
      <c r="F4029" s="129"/>
      <c r="G4029" s="129"/>
    </row>
    <row r="4030" spans="2:7" x14ac:dyDescent="0.2">
      <c r="B4030" s="129"/>
      <c r="C4030" s="129"/>
      <c r="D4030" s="129"/>
      <c r="E4030" s="129"/>
      <c r="F4030" s="129"/>
      <c r="G4030" s="129"/>
    </row>
    <row r="4031" spans="2:7" x14ac:dyDescent="0.2">
      <c r="B4031" s="129"/>
      <c r="C4031" s="129"/>
      <c r="D4031" s="129"/>
      <c r="E4031" s="129"/>
      <c r="F4031" s="129"/>
      <c r="G4031" s="129"/>
    </row>
    <row r="4032" spans="2:7" x14ac:dyDescent="0.2">
      <c r="B4032" s="129"/>
      <c r="C4032" s="129"/>
      <c r="D4032" s="129"/>
      <c r="E4032" s="129"/>
      <c r="F4032" s="129"/>
      <c r="G4032" s="129"/>
    </row>
    <row r="4033" spans="2:7" x14ac:dyDescent="0.2">
      <c r="B4033" s="129"/>
      <c r="C4033" s="129"/>
      <c r="D4033" s="129"/>
      <c r="E4033" s="129"/>
      <c r="F4033" s="129"/>
      <c r="G4033" s="129"/>
    </row>
    <row r="4034" spans="2:7" x14ac:dyDescent="0.2">
      <c r="B4034" s="129"/>
      <c r="C4034" s="129"/>
      <c r="D4034" s="129"/>
      <c r="E4034" s="129"/>
      <c r="F4034" s="129"/>
      <c r="G4034" s="129"/>
    </row>
    <row r="4035" spans="2:7" x14ac:dyDescent="0.2">
      <c r="B4035" s="129"/>
      <c r="C4035" s="129"/>
      <c r="D4035" s="129"/>
      <c r="E4035" s="129"/>
      <c r="F4035" s="129"/>
      <c r="G4035" s="129"/>
    </row>
    <row r="4036" spans="2:7" x14ac:dyDescent="0.2">
      <c r="B4036" s="129"/>
      <c r="C4036" s="129"/>
      <c r="D4036" s="129"/>
      <c r="E4036" s="129"/>
      <c r="F4036" s="129"/>
      <c r="G4036" s="129"/>
    </row>
    <row r="4037" spans="2:7" x14ac:dyDescent="0.2">
      <c r="B4037" s="129"/>
      <c r="C4037" s="129"/>
      <c r="D4037" s="129"/>
      <c r="E4037" s="129"/>
      <c r="F4037" s="129"/>
      <c r="G4037" s="129"/>
    </row>
    <row r="4038" spans="2:7" x14ac:dyDescent="0.2">
      <c r="B4038" s="129"/>
      <c r="C4038" s="129"/>
      <c r="D4038" s="129"/>
      <c r="E4038" s="129"/>
      <c r="F4038" s="129"/>
      <c r="G4038" s="129"/>
    </row>
    <row r="4039" spans="2:7" x14ac:dyDescent="0.2">
      <c r="B4039" s="129"/>
      <c r="C4039" s="129"/>
      <c r="D4039" s="129"/>
      <c r="E4039" s="129"/>
      <c r="F4039" s="129"/>
      <c r="G4039" s="129"/>
    </row>
    <row r="4040" spans="2:7" x14ac:dyDescent="0.2">
      <c r="B4040" s="129"/>
      <c r="C4040" s="129"/>
      <c r="D4040" s="129"/>
      <c r="E4040" s="129"/>
      <c r="F4040" s="129"/>
      <c r="G4040" s="129"/>
    </row>
    <row r="4041" spans="2:7" x14ac:dyDescent="0.2">
      <c r="B4041" s="129"/>
      <c r="C4041" s="129"/>
      <c r="D4041" s="129"/>
      <c r="E4041" s="129"/>
      <c r="F4041" s="129"/>
      <c r="G4041" s="129"/>
    </row>
    <row r="4042" spans="2:7" x14ac:dyDescent="0.2">
      <c r="B4042" s="129"/>
      <c r="C4042" s="129"/>
      <c r="D4042" s="129"/>
      <c r="E4042" s="129"/>
      <c r="F4042" s="129"/>
      <c r="G4042" s="129"/>
    </row>
    <row r="4043" spans="2:7" x14ac:dyDescent="0.2">
      <c r="B4043" s="129"/>
      <c r="C4043" s="129"/>
      <c r="D4043" s="129"/>
      <c r="E4043" s="129"/>
      <c r="F4043" s="129"/>
      <c r="G4043" s="129"/>
    </row>
    <row r="4044" spans="2:7" x14ac:dyDescent="0.2">
      <c r="B4044" s="129"/>
      <c r="C4044" s="129"/>
      <c r="D4044" s="129"/>
      <c r="E4044" s="129"/>
      <c r="F4044" s="129"/>
      <c r="G4044" s="129"/>
    </row>
    <row r="4045" spans="2:7" x14ac:dyDescent="0.2">
      <c r="B4045" s="129"/>
      <c r="C4045" s="129"/>
      <c r="D4045" s="129"/>
      <c r="E4045" s="129"/>
      <c r="F4045" s="129"/>
      <c r="G4045" s="129"/>
    </row>
    <row r="4046" spans="2:7" x14ac:dyDescent="0.2">
      <c r="B4046" s="129"/>
      <c r="C4046" s="129"/>
      <c r="D4046" s="129"/>
      <c r="E4046" s="129"/>
      <c r="F4046" s="129"/>
      <c r="G4046" s="129"/>
    </row>
    <row r="4047" spans="2:7" x14ac:dyDescent="0.2">
      <c r="B4047" s="129"/>
      <c r="C4047" s="129"/>
      <c r="D4047" s="129"/>
      <c r="E4047" s="129"/>
      <c r="F4047" s="129"/>
      <c r="G4047" s="129"/>
    </row>
    <row r="4048" spans="2:7" x14ac:dyDescent="0.2">
      <c r="B4048" s="129"/>
      <c r="C4048" s="129"/>
      <c r="D4048" s="129"/>
      <c r="E4048" s="129"/>
      <c r="F4048" s="129"/>
      <c r="G4048" s="129"/>
    </row>
    <row r="4049" spans="2:7" x14ac:dyDescent="0.2">
      <c r="B4049" s="129"/>
      <c r="C4049" s="129"/>
      <c r="D4049" s="129"/>
      <c r="E4049" s="129"/>
      <c r="F4049" s="129"/>
      <c r="G4049" s="129"/>
    </row>
    <row r="4050" spans="2:7" x14ac:dyDescent="0.2">
      <c r="B4050" s="129"/>
      <c r="C4050" s="129"/>
      <c r="D4050" s="129"/>
      <c r="E4050" s="129"/>
      <c r="F4050" s="129"/>
      <c r="G4050" s="129"/>
    </row>
    <row r="4051" spans="2:7" x14ac:dyDescent="0.2">
      <c r="B4051" s="129"/>
      <c r="C4051" s="129"/>
      <c r="D4051" s="129"/>
      <c r="E4051" s="129"/>
      <c r="F4051" s="129"/>
      <c r="G4051" s="129"/>
    </row>
    <row r="4052" spans="2:7" x14ac:dyDescent="0.2">
      <c r="B4052" s="129"/>
      <c r="C4052" s="129"/>
      <c r="D4052" s="129"/>
      <c r="E4052" s="129"/>
      <c r="F4052" s="129"/>
      <c r="G4052" s="129"/>
    </row>
    <row r="4053" spans="2:7" x14ac:dyDescent="0.2">
      <c r="B4053" s="129"/>
      <c r="C4053" s="129"/>
      <c r="D4053" s="129"/>
      <c r="E4053" s="129"/>
      <c r="F4053" s="129"/>
      <c r="G4053" s="129"/>
    </row>
    <row r="4054" spans="2:7" x14ac:dyDescent="0.2">
      <c r="B4054" s="129"/>
      <c r="C4054" s="129"/>
      <c r="D4054" s="129"/>
      <c r="E4054" s="129"/>
      <c r="F4054" s="129"/>
      <c r="G4054" s="129"/>
    </row>
    <row r="4055" spans="2:7" x14ac:dyDescent="0.2">
      <c r="B4055" s="129"/>
      <c r="C4055" s="129"/>
      <c r="D4055" s="129"/>
      <c r="E4055" s="129"/>
      <c r="F4055" s="129"/>
      <c r="G4055" s="129"/>
    </row>
    <row r="4056" spans="2:7" x14ac:dyDescent="0.2">
      <c r="B4056" s="129"/>
      <c r="C4056" s="129"/>
      <c r="D4056" s="129"/>
      <c r="E4056" s="129"/>
      <c r="F4056" s="129"/>
      <c r="G4056" s="129"/>
    </row>
    <row r="4057" spans="2:7" x14ac:dyDescent="0.2">
      <c r="B4057" s="129"/>
      <c r="C4057" s="129"/>
      <c r="D4057" s="129"/>
      <c r="E4057" s="129"/>
      <c r="F4057" s="129"/>
      <c r="G4057" s="129"/>
    </row>
    <row r="4058" spans="2:7" x14ac:dyDescent="0.2">
      <c r="B4058" s="129"/>
      <c r="C4058" s="129"/>
      <c r="D4058" s="129"/>
      <c r="E4058" s="129"/>
      <c r="F4058" s="129"/>
      <c r="G4058" s="129"/>
    </row>
    <row r="4059" spans="2:7" x14ac:dyDescent="0.2">
      <c r="B4059" s="129"/>
      <c r="C4059" s="129"/>
      <c r="D4059" s="129"/>
      <c r="E4059" s="129"/>
      <c r="F4059" s="129"/>
      <c r="G4059" s="129"/>
    </row>
    <row r="4060" spans="2:7" x14ac:dyDescent="0.2">
      <c r="B4060" s="129"/>
      <c r="C4060" s="129"/>
      <c r="D4060" s="129"/>
      <c r="E4060" s="129"/>
      <c r="F4060" s="129"/>
      <c r="G4060" s="129"/>
    </row>
    <row r="4061" spans="2:7" x14ac:dyDescent="0.2">
      <c r="B4061" s="129"/>
      <c r="C4061" s="129"/>
      <c r="D4061" s="129"/>
      <c r="E4061" s="129"/>
      <c r="F4061" s="129"/>
      <c r="G4061" s="129"/>
    </row>
    <row r="4062" spans="2:7" x14ac:dyDescent="0.2">
      <c r="B4062" s="129"/>
      <c r="C4062" s="129"/>
      <c r="D4062" s="129"/>
      <c r="E4062" s="129"/>
      <c r="F4062" s="129"/>
      <c r="G4062" s="129"/>
    </row>
    <row r="4063" spans="2:7" x14ac:dyDescent="0.2">
      <c r="B4063" s="129"/>
      <c r="C4063" s="129"/>
      <c r="D4063" s="129"/>
      <c r="E4063" s="129"/>
      <c r="F4063" s="129"/>
      <c r="G4063" s="129"/>
    </row>
    <row r="4064" spans="2:7" x14ac:dyDescent="0.2">
      <c r="B4064" s="129"/>
      <c r="C4064" s="129"/>
      <c r="D4064" s="129"/>
      <c r="E4064" s="129"/>
      <c r="F4064" s="129"/>
      <c r="G4064" s="129"/>
    </row>
    <row r="4065" spans="2:7" x14ac:dyDescent="0.2">
      <c r="B4065" s="129"/>
      <c r="C4065" s="129"/>
      <c r="D4065" s="129"/>
      <c r="E4065" s="129"/>
      <c r="F4065" s="129"/>
      <c r="G4065" s="129"/>
    </row>
    <row r="4066" spans="2:7" x14ac:dyDescent="0.2">
      <c r="B4066" s="129"/>
      <c r="C4066" s="129"/>
      <c r="D4066" s="129"/>
      <c r="E4066" s="129"/>
      <c r="F4066" s="129"/>
      <c r="G4066" s="129"/>
    </row>
    <row r="4067" spans="2:7" x14ac:dyDescent="0.2">
      <c r="B4067" s="129"/>
      <c r="C4067" s="129"/>
      <c r="D4067" s="129"/>
      <c r="E4067" s="129"/>
      <c r="F4067" s="129"/>
      <c r="G4067" s="129"/>
    </row>
    <row r="4068" spans="2:7" x14ac:dyDescent="0.2">
      <c r="B4068" s="129"/>
      <c r="C4068" s="129"/>
      <c r="D4068" s="129"/>
      <c r="E4068" s="129"/>
      <c r="F4068" s="129"/>
      <c r="G4068" s="129"/>
    </row>
    <row r="4069" spans="2:7" x14ac:dyDescent="0.2">
      <c r="B4069" s="129"/>
      <c r="C4069" s="129"/>
      <c r="D4069" s="129"/>
      <c r="E4069" s="129"/>
      <c r="F4069" s="129"/>
      <c r="G4069" s="129"/>
    </row>
    <row r="4070" spans="2:7" x14ac:dyDescent="0.2">
      <c r="B4070" s="129"/>
      <c r="C4070" s="129"/>
      <c r="D4070" s="129"/>
      <c r="E4070" s="129"/>
      <c r="F4070" s="129"/>
      <c r="G4070" s="129"/>
    </row>
    <row r="4071" spans="2:7" x14ac:dyDescent="0.2">
      <c r="B4071" s="129"/>
      <c r="C4071" s="129"/>
      <c r="D4071" s="129"/>
      <c r="E4071" s="129"/>
      <c r="F4071" s="129"/>
      <c r="G4071" s="129"/>
    </row>
    <row r="4072" spans="2:7" x14ac:dyDescent="0.2">
      <c r="B4072" s="129"/>
      <c r="C4072" s="129"/>
      <c r="D4072" s="129"/>
      <c r="E4072" s="129"/>
      <c r="F4072" s="129"/>
      <c r="G4072" s="129"/>
    </row>
    <row r="4073" spans="2:7" x14ac:dyDescent="0.2">
      <c r="B4073" s="129"/>
      <c r="C4073" s="129"/>
      <c r="D4073" s="129"/>
      <c r="E4073" s="129"/>
      <c r="F4073" s="129"/>
      <c r="G4073" s="129"/>
    </row>
    <row r="4074" spans="2:7" x14ac:dyDescent="0.2">
      <c r="B4074" s="129"/>
      <c r="C4074" s="129"/>
      <c r="D4074" s="129"/>
      <c r="E4074" s="129"/>
      <c r="F4074" s="129"/>
      <c r="G4074" s="129"/>
    </row>
    <row r="4075" spans="2:7" x14ac:dyDescent="0.2">
      <c r="B4075" s="129"/>
      <c r="C4075" s="129"/>
      <c r="D4075" s="129"/>
      <c r="E4075" s="129"/>
      <c r="F4075" s="129"/>
      <c r="G4075" s="129"/>
    </row>
    <row r="4076" spans="2:7" x14ac:dyDescent="0.2">
      <c r="B4076" s="129"/>
      <c r="C4076" s="129"/>
      <c r="D4076" s="129"/>
      <c r="E4076" s="129"/>
      <c r="F4076" s="129"/>
      <c r="G4076" s="129"/>
    </row>
    <row r="4077" spans="2:7" x14ac:dyDescent="0.2">
      <c r="B4077" s="129"/>
      <c r="C4077" s="129"/>
      <c r="D4077" s="129"/>
      <c r="E4077" s="129"/>
      <c r="F4077" s="129"/>
      <c r="G4077" s="129"/>
    </row>
    <row r="4078" spans="2:7" x14ac:dyDescent="0.2">
      <c r="B4078" s="129"/>
      <c r="C4078" s="129"/>
      <c r="D4078" s="129"/>
      <c r="E4078" s="129"/>
      <c r="F4078" s="129"/>
      <c r="G4078" s="129"/>
    </row>
    <row r="4079" spans="2:7" x14ac:dyDescent="0.2">
      <c r="B4079" s="129"/>
      <c r="C4079" s="129"/>
      <c r="D4079" s="129"/>
      <c r="E4079" s="129"/>
      <c r="F4079" s="129"/>
      <c r="G4079" s="129"/>
    </row>
    <row r="4080" spans="2:7" x14ac:dyDescent="0.2">
      <c r="B4080" s="129"/>
      <c r="C4080" s="129"/>
      <c r="D4080" s="129"/>
      <c r="E4080" s="129"/>
      <c r="F4080" s="129"/>
      <c r="G4080" s="129"/>
    </row>
    <row r="4081" spans="2:7" x14ac:dyDescent="0.2">
      <c r="B4081" s="129"/>
      <c r="C4081" s="129"/>
      <c r="D4081" s="129"/>
      <c r="E4081" s="129"/>
      <c r="F4081" s="129"/>
      <c r="G4081" s="129"/>
    </row>
    <row r="4082" spans="2:7" x14ac:dyDescent="0.2">
      <c r="B4082" s="129"/>
      <c r="C4082" s="129"/>
      <c r="D4082" s="129"/>
      <c r="E4082" s="129"/>
      <c r="F4082" s="129"/>
      <c r="G4082" s="129"/>
    </row>
    <row r="4083" spans="2:7" x14ac:dyDescent="0.2">
      <c r="B4083" s="129"/>
      <c r="C4083" s="129"/>
      <c r="D4083" s="129"/>
      <c r="E4083" s="129"/>
      <c r="F4083" s="129"/>
      <c r="G4083" s="129"/>
    </row>
    <row r="4084" spans="2:7" x14ac:dyDescent="0.2">
      <c r="B4084" s="129"/>
      <c r="C4084" s="129"/>
      <c r="D4084" s="129"/>
      <c r="E4084" s="129"/>
      <c r="F4084" s="129"/>
      <c r="G4084" s="129"/>
    </row>
    <row r="4085" spans="2:7" x14ac:dyDescent="0.2">
      <c r="B4085" s="129"/>
      <c r="C4085" s="129"/>
      <c r="D4085" s="129"/>
      <c r="E4085" s="129"/>
      <c r="F4085" s="129"/>
      <c r="G4085" s="129"/>
    </row>
    <row r="4086" spans="2:7" x14ac:dyDescent="0.2">
      <c r="B4086" s="129"/>
      <c r="C4086" s="129"/>
      <c r="D4086" s="129"/>
      <c r="E4086" s="129"/>
      <c r="F4086" s="129"/>
      <c r="G4086" s="129"/>
    </row>
    <row r="4087" spans="2:7" x14ac:dyDescent="0.2">
      <c r="B4087" s="129"/>
      <c r="C4087" s="129"/>
      <c r="D4087" s="129"/>
      <c r="E4087" s="129"/>
      <c r="F4087" s="129"/>
      <c r="G4087" s="129"/>
    </row>
    <row r="4088" spans="2:7" x14ac:dyDescent="0.2">
      <c r="B4088" s="129"/>
      <c r="C4088" s="129"/>
      <c r="D4088" s="129"/>
      <c r="E4088" s="129"/>
      <c r="F4088" s="129"/>
      <c r="G4088" s="129"/>
    </row>
    <row r="4089" spans="2:7" x14ac:dyDescent="0.2">
      <c r="B4089" s="129"/>
      <c r="C4089" s="129"/>
      <c r="D4089" s="129"/>
      <c r="E4089" s="129"/>
      <c r="F4089" s="129"/>
      <c r="G4089" s="129"/>
    </row>
    <row r="4090" spans="2:7" x14ac:dyDescent="0.2">
      <c r="B4090" s="129"/>
      <c r="C4090" s="129"/>
      <c r="D4090" s="129"/>
      <c r="E4090" s="129"/>
      <c r="F4090" s="129"/>
      <c r="G4090" s="129"/>
    </row>
    <row r="4091" spans="2:7" x14ac:dyDescent="0.2">
      <c r="B4091" s="129"/>
      <c r="C4091" s="129"/>
      <c r="D4091" s="129"/>
      <c r="E4091" s="129"/>
      <c r="F4091" s="129"/>
      <c r="G4091" s="129"/>
    </row>
    <row r="4092" spans="2:7" x14ac:dyDescent="0.2">
      <c r="B4092" s="129"/>
      <c r="C4092" s="129"/>
      <c r="D4092" s="129"/>
      <c r="E4092" s="129"/>
      <c r="F4092" s="129"/>
      <c r="G4092" s="129"/>
    </row>
    <row r="4093" spans="2:7" x14ac:dyDescent="0.2">
      <c r="B4093" s="129"/>
      <c r="C4093" s="129"/>
      <c r="D4093" s="129"/>
      <c r="E4093" s="129"/>
      <c r="F4093" s="129"/>
      <c r="G4093" s="129"/>
    </row>
    <row r="4094" spans="2:7" x14ac:dyDescent="0.2">
      <c r="B4094" s="129"/>
      <c r="C4094" s="129"/>
      <c r="D4094" s="129"/>
      <c r="E4094" s="129"/>
      <c r="F4094" s="129"/>
      <c r="G4094" s="129"/>
    </row>
    <row r="4095" spans="2:7" x14ac:dyDescent="0.2">
      <c r="B4095" s="129"/>
      <c r="C4095" s="129"/>
      <c r="D4095" s="129"/>
      <c r="E4095" s="129"/>
      <c r="F4095" s="129"/>
      <c r="G4095" s="129"/>
    </row>
    <row r="4096" spans="2:7" x14ac:dyDescent="0.2">
      <c r="B4096" s="129"/>
      <c r="C4096" s="129"/>
      <c r="D4096" s="129"/>
      <c r="E4096" s="129"/>
      <c r="F4096" s="129"/>
      <c r="G4096" s="129"/>
    </row>
    <row r="4097" spans="2:7" x14ac:dyDescent="0.2">
      <c r="B4097" s="129"/>
      <c r="C4097" s="129"/>
      <c r="D4097" s="129"/>
      <c r="E4097" s="129"/>
      <c r="F4097" s="129"/>
      <c r="G4097" s="129"/>
    </row>
    <row r="4098" spans="2:7" x14ac:dyDescent="0.2">
      <c r="B4098" s="129"/>
      <c r="C4098" s="129"/>
      <c r="D4098" s="129"/>
      <c r="E4098" s="129"/>
      <c r="F4098" s="129"/>
      <c r="G4098" s="129"/>
    </row>
    <row r="4099" spans="2:7" x14ac:dyDescent="0.2">
      <c r="B4099" s="129"/>
      <c r="C4099" s="129"/>
      <c r="D4099" s="129"/>
      <c r="E4099" s="129"/>
      <c r="F4099" s="129"/>
      <c r="G4099" s="129"/>
    </row>
    <row r="4100" spans="2:7" x14ac:dyDescent="0.2">
      <c r="B4100" s="129"/>
      <c r="C4100" s="129"/>
      <c r="D4100" s="129"/>
      <c r="E4100" s="129"/>
      <c r="F4100" s="129"/>
      <c r="G4100" s="129"/>
    </row>
    <row r="4101" spans="2:7" x14ac:dyDescent="0.2">
      <c r="B4101" s="129"/>
      <c r="C4101" s="129"/>
      <c r="D4101" s="129"/>
      <c r="E4101" s="129"/>
      <c r="F4101" s="129"/>
      <c r="G4101" s="129"/>
    </row>
    <row r="4102" spans="2:7" x14ac:dyDescent="0.2">
      <c r="B4102" s="129"/>
      <c r="C4102" s="129"/>
      <c r="D4102" s="129"/>
      <c r="E4102" s="129"/>
      <c r="F4102" s="129"/>
      <c r="G4102" s="129"/>
    </row>
    <row r="4103" spans="2:7" x14ac:dyDescent="0.2">
      <c r="B4103" s="129"/>
      <c r="C4103" s="129"/>
      <c r="D4103" s="129"/>
      <c r="E4103" s="129"/>
      <c r="F4103" s="129"/>
      <c r="G4103" s="129"/>
    </row>
    <row r="4104" spans="2:7" x14ac:dyDescent="0.2">
      <c r="B4104" s="129"/>
      <c r="C4104" s="129"/>
      <c r="D4104" s="129"/>
      <c r="E4104" s="129"/>
      <c r="F4104" s="129"/>
      <c r="G4104" s="129"/>
    </row>
    <row r="4105" spans="2:7" x14ac:dyDescent="0.2">
      <c r="B4105" s="129"/>
      <c r="C4105" s="129"/>
      <c r="D4105" s="129"/>
      <c r="E4105" s="129"/>
      <c r="F4105" s="129"/>
      <c r="G4105" s="129"/>
    </row>
    <row r="4106" spans="2:7" x14ac:dyDescent="0.2">
      <c r="B4106" s="129"/>
      <c r="C4106" s="129"/>
      <c r="D4106" s="129"/>
      <c r="E4106" s="129"/>
      <c r="F4106" s="129"/>
      <c r="G4106" s="129"/>
    </row>
    <row r="4107" spans="2:7" x14ac:dyDescent="0.2">
      <c r="B4107" s="129"/>
      <c r="C4107" s="129"/>
      <c r="D4107" s="129"/>
      <c r="E4107" s="129"/>
      <c r="F4107" s="129"/>
      <c r="G4107" s="129"/>
    </row>
    <row r="4108" spans="2:7" x14ac:dyDescent="0.2">
      <c r="B4108" s="129"/>
      <c r="C4108" s="129"/>
      <c r="D4108" s="129"/>
      <c r="E4108" s="129"/>
      <c r="F4108" s="129"/>
      <c r="G4108" s="129"/>
    </row>
    <row r="4109" spans="2:7" x14ac:dyDescent="0.2">
      <c r="B4109" s="129"/>
      <c r="C4109" s="129"/>
      <c r="D4109" s="129"/>
      <c r="E4109" s="129"/>
      <c r="F4109" s="129"/>
      <c r="G4109" s="129"/>
    </row>
    <row r="4110" spans="2:7" x14ac:dyDescent="0.2">
      <c r="B4110" s="129"/>
      <c r="C4110" s="129"/>
      <c r="D4110" s="129"/>
      <c r="E4110" s="129"/>
      <c r="F4110" s="129"/>
      <c r="G4110" s="129"/>
    </row>
    <row r="4111" spans="2:7" x14ac:dyDescent="0.2">
      <c r="B4111" s="129"/>
      <c r="C4111" s="129"/>
      <c r="D4111" s="129"/>
      <c r="E4111" s="129"/>
      <c r="F4111" s="129"/>
      <c r="G4111" s="129"/>
    </row>
    <row r="4112" spans="2:7" x14ac:dyDescent="0.2">
      <c r="B4112" s="129"/>
      <c r="C4112" s="129"/>
      <c r="D4112" s="129"/>
      <c r="E4112" s="129"/>
      <c r="F4112" s="129"/>
      <c r="G4112" s="129"/>
    </row>
    <row r="4113" spans="2:7" x14ac:dyDescent="0.2">
      <c r="B4113" s="129"/>
      <c r="C4113" s="129"/>
      <c r="D4113" s="129"/>
      <c r="E4113" s="129"/>
      <c r="F4113" s="129"/>
      <c r="G4113" s="129"/>
    </row>
    <row r="4114" spans="2:7" x14ac:dyDescent="0.2">
      <c r="B4114" s="129"/>
      <c r="C4114" s="129"/>
      <c r="D4114" s="129"/>
      <c r="E4114" s="129"/>
      <c r="F4114" s="129"/>
      <c r="G4114" s="129"/>
    </row>
    <row r="4115" spans="2:7" x14ac:dyDescent="0.2">
      <c r="B4115" s="129"/>
      <c r="C4115" s="129"/>
      <c r="D4115" s="129"/>
      <c r="E4115" s="129"/>
      <c r="F4115" s="129"/>
      <c r="G4115" s="129"/>
    </row>
    <row r="4116" spans="2:7" x14ac:dyDescent="0.2">
      <c r="B4116" s="129"/>
      <c r="C4116" s="129"/>
      <c r="D4116" s="129"/>
      <c r="E4116" s="129"/>
      <c r="F4116" s="129"/>
      <c r="G4116" s="129"/>
    </row>
    <row r="4117" spans="2:7" x14ac:dyDescent="0.2">
      <c r="B4117" s="129"/>
      <c r="C4117" s="129"/>
      <c r="D4117" s="129"/>
      <c r="E4117" s="129"/>
      <c r="F4117" s="129"/>
      <c r="G4117" s="129"/>
    </row>
    <row r="4118" spans="2:7" x14ac:dyDescent="0.2">
      <c r="B4118" s="129"/>
      <c r="C4118" s="129"/>
      <c r="D4118" s="129"/>
      <c r="E4118" s="129"/>
      <c r="F4118" s="129"/>
      <c r="G4118" s="129"/>
    </row>
    <row r="4119" spans="2:7" x14ac:dyDescent="0.2">
      <c r="B4119" s="129"/>
      <c r="C4119" s="129"/>
      <c r="D4119" s="129"/>
      <c r="E4119" s="129"/>
      <c r="F4119" s="129"/>
      <c r="G4119" s="129"/>
    </row>
    <row r="4120" spans="2:7" x14ac:dyDescent="0.2">
      <c r="B4120" s="129"/>
      <c r="C4120" s="129"/>
      <c r="D4120" s="129"/>
      <c r="E4120" s="129"/>
      <c r="F4120" s="129"/>
      <c r="G4120" s="129"/>
    </row>
    <row r="4121" spans="2:7" x14ac:dyDescent="0.2">
      <c r="B4121" s="129"/>
      <c r="C4121" s="129"/>
      <c r="D4121" s="129"/>
      <c r="E4121" s="129"/>
      <c r="F4121" s="129"/>
      <c r="G4121" s="129"/>
    </row>
    <row r="4122" spans="2:7" x14ac:dyDescent="0.2">
      <c r="B4122" s="129"/>
      <c r="C4122" s="129"/>
      <c r="D4122" s="129"/>
      <c r="E4122" s="129"/>
      <c r="F4122" s="129"/>
      <c r="G4122" s="129"/>
    </row>
    <row r="4123" spans="2:7" x14ac:dyDescent="0.2">
      <c r="B4123" s="129"/>
      <c r="C4123" s="129"/>
      <c r="D4123" s="129"/>
      <c r="E4123" s="129"/>
      <c r="F4123" s="129"/>
      <c r="G4123" s="129"/>
    </row>
    <row r="4124" spans="2:7" x14ac:dyDescent="0.2">
      <c r="B4124" s="129"/>
      <c r="C4124" s="129"/>
      <c r="D4124" s="129"/>
      <c r="E4124" s="129"/>
      <c r="F4124" s="129"/>
      <c r="G4124" s="129"/>
    </row>
    <row r="4125" spans="2:7" x14ac:dyDescent="0.2">
      <c r="B4125" s="129"/>
      <c r="C4125" s="129"/>
      <c r="D4125" s="129"/>
      <c r="E4125" s="129"/>
      <c r="F4125" s="129"/>
      <c r="G4125" s="129"/>
    </row>
    <row r="4126" spans="2:7" x14ac:dyDescent="0.2">
      <c r="B4126" s="129"/>
      <c r="C4126" s="129"/>
      <c r="D4126" s="129"/>
      <c r="E4126" s="129"/>
      <c r="F4126" s="129"/>
      <c r="G4126" s="129"/>
    </row>
    <row r="4127" spans="2:7" x14ac:dyDescent="0.2">
      <c r="B4127" s="129"/>
      <c r="C4127" s="129"/>
      <c r="D4127" s="129"/>
      <c r="E4127" s="129"/>
      <c r="F4127" s="129"/>
      <c r="G4127" s="129"/>
    </row>
    <row r="4128" spans="2:7" x14ac:dyDescent="0.2">
      <c r="B4128" s="129"/>
      <c r="C4128" s="129"/>
      <c r="D4128" s="129"/>
      <c r="E4128" s="129"/>
      <c r="F4128" s="129"/>
      <c r="G4128" s="129"/>
    </row>
    <row r="4129" spans="2:7" x14ac:dyDescent="0.2">
      <c r="B4129" s="129"/>
      <c r="C4129" s="129"/>
      <c r="D4129" s="129"/>
      <c r="E4129" s="129"/>
      <c r="F4129" s="129"/>
      <c r="G4129" s="129"/>
    </row>
    <row r="4130" spans="2:7" x14ac:dyDescent="0.2">
      <c r="B4130" s="129"/>
      <c r="C4130" s="129"/>
      <c r="D4130" s="129"/>
      <c r="E4130" s="129"/>
      <c r="F4130" s="129"/>
      <c r="G4130" s="129"/>
    </row>
    <row r="4131" spans="2:7" x14ac:dyDescent="0.2">
      <c r="B4131" s="129"/>
      <c r="C4131" s="129"/>
      <c r="D4131" s="129"/>
      <c r="E4131" s="129"/>
      <c r="F4131" s="129"/>
      <c r="G4131" s="129"/>
    </row>
    <row r="4132" spans="2:7" x14ac:dyDescent="0.2">
      <c r="B4132" s="129"/>
      <c r="C4132" s="129"/>
      <c r="D4132" s="129"/>
      <c r="E4132" s="129"/>
      <c r="F4132" s="129"/>
      <c r="G4132" s="129"/>
    </row>
    <row r="4133" spans="2:7" x14ac:dyDescent="0.2">
      <c r="B4133" s="129"/>
      <c r="C4133" s="129"/>
      <c r="D4133" s="129"/>
      <c r="E4133" s="129"/>
      <c r="F4133" s="129"/>
      <c r="G4133" s="129"/>
    </row>
    <row r="4134" spans="2:7" x14ac:dyDescent="0.2">
      <c r="B4134" s="129"/>
      <c r="C4134" s="129"/>
      <c r="D4134" s="129"/>
      <c r="E4134" s="129"/>
      <c r="F4134" s="129"/>
      <c r="G4134" s="129"/>
    </row>
    <row r="4135" spans="2:7" x14ac:dyDescent="0.2">
      <c r="B4135" s="129"/>
      <c r="C4135" s="129"/>
      <c r="D4135" s="129"/>
      <c r="E4135" s="129"/>
      <c r="F4135" s="129"/>
      <c r="G4135" s="129"/>
    </row>
    <row r="4136" spans="2:7" x14ac:dyDescent="0.2">
      <c r="B4136" s="129"/>
      <c r="C4136" s="129"/>
      <c r="D4136" s="129"/>
      <c r="E4136" s="129"/>
      <c r="F4136" s="129"/>
      <c r="G4136" s="129"/>
    </row>
    <row r="4137" spans="2:7" x14ac:dyDescent="0.2">
      <c r="B4137" s="129"/>
      <c r="C4137" s="129"/>
      <c r="D4137" s="129"/>
      <c r="E4137" s="129"/>
      <c r="F4137" s="129"/>
      <c r="G4137" s="129"/>
    </row>
    <row r="4138" spans="2:7" x14ac:dyDescent="0.2">
      <c r="B4138" s="129"/>
      <c r="C4138" s="129"/>
      <c r="D4138" s="129"/>
      <c r="E4138" s="129"/>
      <c r="F4138" s="129"/>
      <c r="G4138" s="129"/>
    </row>
    <row r="4139" spans="2:7" x14ac:dyDescent="0.2">
      <c r="B4139" s="129"/>
      <c r="C4139" s="129"/>
      <c r="D4139" s="129"/>
      <c r="E4139" s="129"/>
      <c r="F4139" s="129"/>
      <c r="G4139" s="129"/>
    </row>
    <row r="4140" spans="2:7" x14ac:dyDescent="0.2">
      <c r="B4140" s="129"/>
      <c r="C4140" s="129"/>
      <c r="D4140" s="129"/>
      <c r="E4140" s="129"/>
      <c r="F4140" s="129"/>
      <c r="G4140" s="129"/>
    </row>
    <row r="4141" spans="2:7" x14ac:dyDescent="0.2">
      <c r="B4141" s="129"/>
      <c r="C4141" s="129"/>
      <c r="D4141" s="129"/>
      <c r="E4141" s="129"/>
      <c r="F4141" s="129"/>
      <c r="G4141" s="129"/>
    </row>
    <row r="4142" spans="2:7" x14ac:dyDescent="0.2">
      <c r="B4142" s="129"/>
      <c r="C4142" s="129"/>
      <c r="D4142" s="129"/>
      <c r="E4142" s="129"/>
      <c r="F4142" s="129"/>
      <c r="G4142" s="129"/>
    </row>
    <row r="4143" spans="2:7" x14ac:dyDescent="0.2">
      <c r="B4143" s="129"/>
      <c r="C4143" s="129"/>
      <c r="D4143" s="129"/>
      <c r="E4143" s="129"/>
      <c r="F4143" s="129"/>
      <c r="G4143" s="129"/>
    </row>
    <row r="4144" spans="2:7" x14ac:dyDescent="0.2">
      <c r="B4144" s="129"/>
      <c r="C4144" s="129"/>
      <c r="D4144" s="129"/>
      <c r="E4144" s="129"/>
      <c r="F4144" s="129"/>
      <c r="G4144" s="129"/>
    </row>
    <row r="4145" spans="2:7" x14ac:dyDescent="0.2">
      <c r="B4145" s="129"/>
      <c r="C4145" s="129"/>
      <c r="D4145" s="129"/>
      <c r="E4145" s="129"/>
      <c r="F4145" s="129"/>
      <c r="G4145" s="129"/>
    </row>
    <row r="4146" spans="2:7" x14ac:dyDescent="0.2">
      <c r="B4146" s="129"/>
      <c r="C4146" s="129"/>
      <c r="D4146" s="129"/>
      <c r="E4146" s="129"/>
      <c r="F4146" s="129"/>
      <c r="G4146" s="129"/>
    </row>
    <row r="4147" spans="2:7" x14ac:dyDescent="0.2">
      <c r="B4147" s="129"/>
      <c r="C4147" s="129"/>
      <c r="D4147" s="129"/>
      <c r="E4147" s="129"/>
      <c r="F4147" s="129"/>
      <c r="G4147" s="129"/>
    </row>
    <row r="4148" spans="2:7" x14ac:dyDescent="0.2">
      <c r="B4148" s="129"/>
      <c r="C4148" s="129"/>
      <c r="D4148" s="129"/>
      <c r="E4148" s="129"/>
      <c r="F4148" s="129"/>
      <c r="G4148" s="129"/>
    </row>
    <row r="4149" spans="2:7" x14ac:dyDescent="0.2">
      <c r="B4149" s="129"/>
      <c r="C4149" s="129"/>
      <c r="D4149" s="129"/>
      <c r="E4149" s="129"/>
      <c r="F4149" s="129"/>
      <c r="G4149" s="129"/>
    </row>
    <row r="4150" spans="2:7" x14ac:dyDescent="0.2">
      <c r="B4150" s="129"/>
      <c r="C4150" s="129"/>
      <c r="D4150" s="129"/>
      <c r="E4150" s="129"/>
      <c r="F4150" s="129"/>
      <c r="G4150" s="129"/>
    </row>
    <row r="4151" spans="2:7" x14ac:dyDescent="0.2">
      <c r="B4151" s="129"/>
      <c r="C4151" s="129"/>
      <c r="D4151" s="129"/>
      <c r="E4151" s="129"/>
      <c r="F4151" s="129"/>
      <c r="G4151" s="129"/>
    </row>
    <row r="4152" spans="2:7" x14ac:dyDescent="0.2">
      <c r="B4152" s="129"/>
      <c r="C4152" s="129"/>
      <c r="D4152" s="129"/>
      <c r="E4152" s="129"/>
      <c r="F4152" s="129"/>
      <c r="G4152" s="129"/>
    </row>
    <row r="4153" spans="2:7" x14ac:dyDescent="0.2">
      <c r="B4153" s="129"/>
      <c r="C4153" s="129"/>
      <c r="D4153" s="129"/>
      <c r="E4153" s="129"/>
      <c r="F4153" s="129"/>
      <c r="G4153" s="129"/>
    </row>
    <row r="4154" spans="2:7" x14ac:dyDescent="0.2">
      <c r="B4154" s="129"/>
      <c r="C4154" s="129"/>
      <c r="D4154" s="129"/>
      <c r="E4154" s="129"/>
      <c r="F4154" s="129"/>
      <c r="G4154" s="129"/>
    </row>
    <row r="4155" spans="2:7" x14ac:dyDescent="0.2">
      <c r="B4155" s="129"/>
      <c r="C4155" s="129"/>
      <c r="D4155" s="129"/>
      <c r="E4155" s="129"/>
      <c r="F4155" s="129"/>
      <c r="G4155" s="129"/>
    </row>
    <row r="4156" spans="2:7" x14ac:dyDescent="0.2">
      <c r="B4156" s="129"/>
      <c r="C4156" s="129"/>
      <c r="D4156" s="129"/>
      <c r="E4156" s="129"/>
      <c r="F4156" s="129"/>
      <c r="G4156" s="129"/>
    </row>
    <row r="4157" spans="2:7" x14ac:dyDescent="0.2">
      <c r="B4157" s="129"/>
      <c r="C4157" s="129"/>
      <c r="D4157" s="129"/>
      <c r="E4157" s="129"/>
      <c r="F4157" s="129"/>
      <c r="G4157" s="129"/>
    </row>
    <row r="4158" spans="2:7" x14ac:dyDescent="0.2">
      <c r="B4158" s="129"/>
      <c r="C4158" s="129"/>
      <c r="D4158" s="129"/>
      <c r="E4158" s="129"/>
      <c r="F4158" s="129"/>
      <c r="G4158" s="129"/>
    </row>
    <row r="4159" spans="2:7" x14ac:dyDescent="0.2">
      <c r="B4159" s="129"/>
      <c r="C4159" s="129"/>
      <c r="D4159" s="129"/>
      <c r="E4159" s="129"/>
      <c r="F4159" s="129"/>
      <c r="G4159" s="129"/>
    </row>
    <row r="4160" spans="2:7" x14ac:dyDescent="0.2">
      <c r="B4160" s="129"/>
      <c r="C4160" s="129"/>
      <c r="D4160" s="129"/>
      <c r="E4160" s="129"/>
      <c r="F4160" s="129"/>
      <c r="G4160" s="129"/>
    </row>
    <row r="4161" spans="2:7" x14ac:dyDescent="0.2">
      <c r="B4161" s="129"/>
      <c r="C4161" s="129"/>
      <c r="D4161" s="129"/>
      <c r="E4161" s="129"/>
      <c r="F4161" s="129"/>
      <c r="G4161" s="129"/>
    </row>
    <row r="4162" spans="2:7" x14ac:dyDescent="0.2">
      <c r="B4162" s="129"/>
      <c r="C4162" s="129"/>
      <c r="D4162" s="129"/>
      <c r="E4162" s="129"/>
      <c r="F4162" s="129"/>
      <c r="G4162" s="129"/>
    </row>
    <row r="4163" spans="2:7" x14ac:dyDescent="0.2">
      <c r="B4163" s="129"/>
      <c r="C4163" s="129"/>
      <c r="D4163" s="129"/>
      <c r="E4163" s="129"/>
      <c r="F4163" s="129"/>
      <c r="G4163" s="129"/>
    </row>
    <row r="4164" spans="2:7" x14ac:dyDescent="0.2">
      <c r="B4164" s="129"/>
      <c r="C4164" s="129"/>
      <c r="D4164" s="129"/>
      <c r="E4164" s="129"/>
      <c r="F4164" s="129"/>
      <c r="G4164" s="129"/>
    </row>
    <row r="4165" spans="2:7" x14ac:dyDescent="0.2">
      <c r="B4165" s="129"/>
      <c r="C4165" s="129"/>
      <c r="D4165" s="129"/>
      <c r="E4165" s="129"/>
      <c r="F4165" s="129"/>
      <c r="G4165" s="129"/>
    </row>
    <row r="4166" spans="2:7" x14ac:dyDescent="0.2">
      <c r="B4166" s="129"/>
      <c r="C4166" s="129"/>
      <c r="D4166" s="129"/>
      <c r="E4166" s="129"/>
      <c r="F4166" s="129"/>
      <c r="G4166" s="129"/>
    </row>
    <row r="4167" spans="2:7" x14ac:dyDescent="0.2">
      <c r="B4167" s="129"/>
      <c r="C4167" s="129"/>
      <c r="D4167" s="129"/>
      <c r="E4167" s="129"/>
      <c r="F4167" s="129"/>
      <c r="G4167" s="129"/>
    </row>
    <row r="4168" spans="2:7" x14ac:dyDescent="0.2">
      <c r="B4168" s="129"/>
      <c r="C4168" s="129"/>
      <c r="D4168" s="129"/>
      <c r="E4168" s="129"/>
      <c r="F4168" s="129"/>
      <c r="G4168" s="129"/>
    </row>
    <row r="4169" spans="2:7" x14ac:dyDescent="0.2">
      <c r="B4169" s="129"/>
      <c r="C4169" s="129"/>
      <c r="D4169" s="129"/>
      <c r="E4169" s="129"/>
      <c r="F4169" s="129"/>
      <c r="G4169" s="129"/>
    </row>
    <row r="4170" spans="2:7" x14ac:dyDescent="0.2">
      <c r="B4170" s="129"/>
      <c r="C4170" s="129"/>
      <c r="D4170" s="129"/>
      <c r="E4170" s="129"/>
      <c r="F4170" s="129"/>
      <c r="G4170" s="129"/>
    </row>
    <row r="4171" spans="2:7" x14ac:dyDescent="0.2">
      <c r="B4171" s="129"/>
      <c r="C4171" s="129"/>
      <c r="D4171" s="129"/>
      <c r="E4171" s="129"/>
      <c r="F4171" s="129"/>
      <c r="G4171" s="129"/>
    </row>
    <row r="4172" spans="2:7" x14ac:dyDescent="0.2">
      <c r="B4172" s="129"/>
      <c r="C4172" s="129"/>
      <c r="D4172" s="129"/>
      <c r="E4172" s="129"/>
      <c r="F4172" s="129"/>
      <c r="G4172" s="129"/>
    </row>
    <row r="4173" spans="2:7" x14ac:dyDescent="0.2">
      <c r="B4173" s="129"/>
      <c r="C4173" s="129"/>
      <c r="D4173" s="129"/>
      <c r="E4173" s="129"/>
      <c r="F4173" s="129"/>
      <c r="G4173" s="129"/>
    </row>
    <row r="4174" spans="2:7" x14ac:dyDescent="0.2">
      <c r="B4174" s="129"/>
      <c r="C4174" s="129"/>
      <c r="D4174" s="129"/>
      <c r="E4174" s="129"/>
      <c r="F4174" s="129"/>
      <c r="G4174" s="129"/>
    </row>
    <row r="4175" spans="2:7" x14ac:dyDescent="0.2">
      <c r="B4175" s="129"/>
      <c r="C4175" s="129"/>
      <c r="D4175" s="129"/>
      <c r="E4175" s="129"/>
      <c r="F4175" s="129"/>
      <c r="G4175" s="129"/>
    </row>
    <row r="4176" spans="2:7" x14ac:dyDescent="0.2">
      <c r="B4176" s="129"/>
      <c r="C4176" s="129"/>
      <c r="D4176" s="129"/>
      <c r="E4176" s="129"/>
      <c r="F4176" s="129"/>
      <c r="G4176" s="129"/>
    </row>
    <row r="4177" spans="2:7" x14ac:dyDescent="0.2">
      <c r="B4177" s="129"/>
      <c r="C4177" s="129"/>
      <c r="D4177" s="129"/>
      <c r="E4177" s="129"/>
      <c r="F4177" s="129"/>
      <c r="G4177" s="129"/>
    </row>
    <row r="4178" spans="2:7" x14ac:dyDescent="0.2">
      <c r="B4178" s="129"/>
      <c r="C4178" s="129"/>
      <c r="D4178" s="129"/>
      <c r="E4178" s="129"/>
      <c r="F4178" s="129"/>
      <c r="G4178" s="129"/>
    </row>
    <row r="4179" spans="2:7" x14ac:dyDescent="0.2">
      <c r="B4179" s="129"/>
      <c r="C4179" s="129"/>
      <c r="D4179" s="129"/>
      <c r="E4179" s="129"/>
      <c r="F4179" s="129"/>
      <c r="G4179" s="129"/>
    </row>
    <row r="4180" spans="2:7" x14ac:dyDescent="0.2">
      <c r="B4180" s="129"/>
      <c r="C4180" s="129"/>
      <c r="D4180" s="129"/>
      <c r="E4180" s="129"/>
      <c r="F4180" s="129"/>
      <c r="G4180" s="129"/>
    </row>
    <row r="4181" spans="2:7" x14ac:dyDescent="0.2">
      <c r="B4181" s="129"/>
      <c r="C4181" s="129"/>
      <c r="D4181" s="129"/>
      <c r="E4181" s="129"/>
      <c r="F4181" s="129"/>
      <c r="G4181" s="129"/>
    </row>
    <row r="4182" spans="2:7" x14ac:dyDescent="0.2">
      <c r="B4182" s="129"/>
      <c r="C4182" s="129"/>
      <c r="D4182" s="129"/>
      <c r="E4182" s="129"/>
      <c r="F4182" s="129"/>
      <c r="G4182" s="129"/>
    </row>
    <row r="4183" spans="2:7" x14ac:dyDescent="0.2">
      <c r="B4183" s="129"/>
      <c r="C4183" s="129"/>
      <c r="D4183" s="129"/>
      <c r="E4183" s="129"/>
      <c r="F4183" s="129"/>
      <c r="G4183" s="129"/>
    </row>
    <row r="4184" spans="2:7" x14ac:dyDescent="0.2">
      <c r="B4184" s="129"/>
      <c r="C4184" s="129"/>
      <c r="D4184" s="129"/>
      <c r="E4184" s="129"/>
      <c r="F4184" s="129"/>
      <c r="G4184" s="129"/>
    </row>
    <row r="4185" spans="2:7" x14ac:dyDescent="0.2">
      <c r="B4185" s="129"/>
      <c r="C4185" s="129"/>
      <c r="D4185" s="129"/>
      <c r="E4185" s="129"/>
      <c r="F4185" s="129"/>
      <c r="G4185" s="129"/>
    </row>
    <row r="4186" spans="2:7" x14ac:dyDescent="0.2">
      <c r="B4186" s="129"/>
      <c r="C4186" s="129"/>
      <c r="D4186" s="129"/>
      <c r="E4186" s="129"/>
      <c r="F4186" s="129"/>
      <c r="G4186" s="129"/>
    </row>
    <row r="4187" spans="2:7" x14ac:dyDescent="0.2">
      <c r="B4187" s="129"/>
      <c r="C4187" s="129"/>
      <c r="D4187" s="129"/>
      <c r="E4187" s="129"/>
      <c r="F4187" s="129"/>
      <c r="G4187" s="129"/>
    </row>
    <row r="4188" spans="2:7" x14ac:dyDescent="0.2">
      <c r="B4188" s="129"/>
      <c r="C4188" s="129"/>
      <c r="D4188" s="129"/>
      <c r="E4188" s="129"/>
      <c r="F4188" s="129"/>
      <c r="G4188" s="129"/>
    </row>
    <row r="4189" spans="2:7" x14ac:dyDescent="0.2">
      <c r="B4189" s="129"/>
      <c r="C4189" s="129"/>
      <c r="D4189" s="129"/>
      <c r="E4189" s="129"/>
      <c r="F4189" s="129"/>
      <c r="G4189" s="129"/>
    </row>
    <row r="4190" spans="2:7" x14ac:dyDescent="0.2">
      <c r="B4190" s="129"/>
      <c r="C4190" s="129"/>
      <c r="D4190" s="129"/>
      <c r="E4190" s="129"/>
      <c r="F4190" s="129"/>
      <c r="G4190" s="129"/>
    </row>
    <row r="4191" spans="2:7" x14ac:dyDescent="0.2">
      <c r="B4191" s="129"/>
      <c r="C4191" s="129"/>
      <c r="D4191" s="129"/>
      <c r="E4191" s="129"/>
      <c r="F4191" s="129"/>
      <c r="G4191" s="129"/>
    </row>
    <row r="4192" spans="2:7" x14ac:dyDescent="0.2">
      <c r="B4192" s="129"/>
      <c r="C4192" s="129"/>
      <c r="D4192" s="129"/>
      <c r="E4192" s="129"/>
      <c r="F4192" s="129"/>
      <c r="G4192" s="129"/>
    </row>
    <row r="4193" spans="2:7" x14ac:dyDescent="0.2">
      <c r="B4193" s="129"/>
      <c r="C4193" s="129"/>
      <c r="D4193" s="129"/>
      <c r="E4193" s="129"/>
      <c r="F4193" s="129"/>
      <c r="G4193" s="129"/>
    </row>
    <row r="4194" spans="2:7" x14ac:dyDescent="0.2">
      <c r="B4194" s="129"/>
      <c r="C4194" s="129"/>
      <c r="D4194" s="129"/>
      <c r="E4194" s="129"/>
      <c r="F4194" s="129"/>
      <c r="G4194" s="129"/>
    </row>
    <row r="4195" spans="2:7" x14ac:dyDescent="0.2">
      <c r="B4195" s="129"/>
      <c r="C4195" s="129"/>
      <c r="D4195" s="129"/>
      <c r="E4195" s="129"/>
      <c r="F4195" s="129"/>
      <c r="G4195" s="129"/>
    </row>
    <row r="4196" spans="2:7" x14ac:dyDescent="0.2">
      <c r="B4196" s="129"/>
      <c r="C4196" s="129"/>
      <c r="D4196" s="129"/>
      <c r="E4196" s="129"/>
      <c r="F4196" s="129"/>
      <c r="G4196" s="129"/>
    </row>
    <row r="4197" spans="2:7" x14ac:dyDescent="0.2">
      <c r="B4197" s="129"/>
      <c r="C4197" s="129"/>
      <c r="D4197" s="129"/>
      <c r="E4197" s="129"/>
      <c r="F4197" s="129"/>
      <c r="G4197" s="129"/>
    </row>
    <row r="4198" spans="2:7" x14ac:dyDescent="0.2">
      <c r="B4198" s="129"/>
      <c r="C4198" s="129"/>
      <c r="D4198" s="129"/>
      <c r="E4198" s="129"/>
      <c r="F4198" s="129"/>
      <c r="G4198" s="129"/>
    </row>
    <row r="4199" spans="2:7" x14ac:dyDescent="0.2">
      <c r="B4199" s="129"/>
      <c r="C4199" s="129"/>
      <c r="D4199" s="129"/>
      <c r="E4199" s="129"/>
      <c r="F4199" s="129"/>
      <c r="G4199" s="129"/>
    </row>
    <row r="4200" spans="2:7" x14ac:dyDescent="0.2">
      <c r="B4200" s="129"/>
      <c r="C4200" s="129"/>
      <c r="D4200" s="129"/>
      <c r="E4200" s="129"/>
      <c r="F4200" s="129"/>
      <c r="G4200" s="129"/>
    </row>
    <row r="4201" spans="2:7" x14ac:dyDescent="0.2">
      <c r="B4201" s="129"/>
      <c r="C4201" s="129"/>
      <c r="D4201" s="129"/>
      <c r="E4201" s="129"/>
      <c r="F4201" s="129"/>
      <c r="G4201" s="129"/>
    </row>
    <row r="4202" spans="2:7" x14ac:dyDescent="0.2">
      <c r="B4202" s="129"/>
      <c r="C4202" s="129"/>
      <c r="D4202" s="129"/>
      <c r="E4202" s="129"/>
      <c r="F4202" s="129"/>
      <c r="G4202" s="129"/>
    </row>
    <row r="4203" spans="2:7" x14ac:dyDescent="0.2">
      <c r="B4203" s="129"/>
      <c r="C4203" s="129"/>
      <c r="D4203" s="129"/>
      <c r="E4203" s="129"/>
      <c r="F4203" s="129"/>
      <c r="G4203" s="129"/>
    </row>
    <row r="4204" spans="2:7" x14ac:dyDescent="0.2">
      <c r="B4204" s="129"/>
      <c r="C4204" s="129"/>
      <c r="D4204" s="129"/>
      <c r="E4204" s="129"/>
      <c r="F4204" s="129"/>
      <c r="G4204" s="129"/>
    </row>
    <row r="4205" spans="2:7" x14ac:dyDescent="0.2">
      <c r="B4205" s="129"/>
      <c r="C4205" s="129"/>
      <c r="D4205" s="129"/>
      <c r="E4205" s="129"/>
      <c r="F4205" s="129"/>
      <c r="G4205" s="129"/>
    </row>
    <row r="4206" spans="2:7" x14ac:dyDescent="0.2">
      <c r="B4206" s="129"/>
      <c r="C4206" s="129"/>
      <c r="D4206" s="129"/>
      <c r="E4206" s="129"/>
      <c r="F4206" s="129"/>
      <c r="G4206" s="129"/>
    </row>
    <row r="4207" spans="2:7" x14ac:dyDescent="0.2">
      <c r="B4207" s="129"/>
      <c r="C4207" s="129"/>
      <c r="D4207" s="129"/>
      <c r="E4207" s="129"/>
      <c r="F4207" s="129"/>
      <c r="G4207" s="129"/>
    </row>
    <row r="4208" spans="2:7" x14ac:dyDescent="0.2">
      <c r="B4208" s="129"/>
      <c r="C4208" s="129"/>
      <c r="D4208" s="129"/>
      <c r="E4208" s="129"/>
      <c r="F4208" s="129"/>
      <c r="G4208" s="129"/>
    </row>
    <row r="4209" spans="2:7" x14ac:dyDescent="0.2">
      <c r="B4209" s="129"/>
      <c r="C4209" s="129"/>
      <c r="D4209" s="129"/>
      <c r="E4209" s="129"/>
      <c r="F4209" s="129"/>
      <c r="G4209" s="129"/>
    </row>
    <row r="4210" spans="2:7" x14ac:dyDescent="0.2">
      <c r="B4210" s="129"/>
      <c r="C4210" s="129"/>
      <c r="D4210" s="129"/>
      <c r="E4210" s="129"/>
      <c r="F4210" s="129"/>
      <c r="G4210" s="129"/>
    </row>
    <row r="4211" spans="2:7" x14ac:dyDescent="0.2">
      <c r="B4211" s="129"/>
      <c r="C4211" s="129"/>
      <c r="D4211" s="129"/>
      <c r="E4211" s="129"/>
      <c r="F4211" s="129"/>
      <c r="G4211" s="129"/>
    </row>
    <row r="4212" spans="2:7" x14ac:dyDescent="0.2">
      <c r="B4212" s="129"/>
      <c r="C4212" s="129"/>
      <c r="D4212" s="129"/>
      <c r="E4212" s="129"/>
      <c r="F4212" s="129"/>
      <c r="G4212" s="129"/>
    </row>
    <row r="4213" spans="2:7" x14ac:dyDescent="0.2">
      <c r="B4213" s="129"/>
      <c r="C4213" s="129"/>
      <c r="D4213" s="129"/>
      <c r="E4213" s="129"/>
      <c r="F4213" s="129"/>
      <c r="G4213" s="129"/>
    </row>
    <row r="4214" spans="2:7" x14ac:dyDescent="0.2">
      <c r="B4214" s="129"/>
      <c r="C4214" s="129"/>
      <c r="D4214" s="129"/>
      <c r="E4214" s="129"/>
      <c r="F4214" s="129"/>
      <c r="G4214" s="129"/>
    </row>
    <row r="4215" spans="2:7" x14ac:dyDescent="0.2">
      <c r="B4215" s="129"/>
      <c r="C4215" s="129"/>
      <c r="D4215" s="129"/>
      <c r="E4215" s="129"/>
      <c r="F4215" s="129"/>
      <c r="G4215" s="129"/>
    </row>
    <row r="4216" spans="2:7" x14ac:dyDescent="0.2">
      <c r="B4216" s="129"/>
      <c r="C4216" s="129"/>
      <c r="D4216" s="129"/>
      <c r="E4216" s="129"/>
      <c r="F4216" s="129"/>
      <c r="G4216" s="129"/>
    </row>
    <row r="4217" spans="2:7" x14ac:dyDescent="0.2">
      <c r="B4217" s="129"/>
      <c r="C4217" s="129"/>
      <c r="D4217" s="129"/>
      <c r="E4217" s="129"/>
      <c r="F4217" s="129"/>
      <c r="G4217" s="129"/>
    </row>
    <row r="4218" spans="2:7" x14ac:dyDescent="0.2">
      <c r="B4218" s="129"/>
      <c r="C4218" s="129"/>
      <c r="D4218" s="129"/>
      <c r="E4218" s="129"/>
      <c r="F4218" s="129"/>
      <c r="G4218" s="129"/>
    </row>
    <row r="4219" spans="2:7" x14ac:dyDescent="0.2">
      <c r="B4219" s="129"/>
      <c r="C4219" s="129"/>
      <c r="D4219" s="129"/>
      <c r="E4219" s="129"/>
      <c r="F4219" s="129"/>
      <c r="G4219" s="129"/>
    </row>
    <row r="4220" spans="2:7" x14ac:dyDescent="0.2">
      <c r="B4220" s="129"/>
      <c r="C4220" s="129"/>
      <c r="D4220" s="129"/>
      <c r="E4220" s="129"/>
      <c r="F4220" s="129"/>
      <c r="G4220" s="129"/>
    </row>
    <row r="4221" spans="2:7" x14ac:dyDescent="0.2">
      <c r="B4221" s="129"/>
      <c r="C4221" s="129"/>
      <c r="D4221" s="129"/>
      <c r="E4221" s="129"/>
      <c r="F4221" s="129"/>
      <c r="G4221" s="129"/>
    </row>
    <row r="4222" spans="2:7" x14ac:dyDescent="0.2">
      <c r="B4222" s="129"/>
      <c r="C4222" s="129"/>
      <c r="D4222" s="129"/>
      <c r="E4222" s="129"/>
      <c r="F4222" s="129"/>
      <c r="G4222" s="129"/>
    </row>
    <row r="4223" spans="2:7" x14ac:dyDescent="0.2">
      <c r="B4223" s="129"/>
      <c r="C4223" s="129"/>
      <c r="D4223" s="129"/>
      <c r="E4223" s="129"/>
      <c r="F4223" s="129"/>
      <c r="G4223" s="129"/>
    </row>
    <row r="4224" spans="2:7" x14ac:dyDescent="0.2">
      <c r="B4224" s="129"/>
      <c r="C4224" s="129"/>
      <c r="D4224" s="129"/>
      <c r="E4224" s="129"/>
      <c r="F4224" s="129"/>
      <c r="G4224" s="129"/>
    </row>
    <row r="4225" spans="2:7" x14ac:dyDescent="0.2">
      <c r="B4225" s="129"/>
      <c r="C4225" s="129"/>
      <c r="D4225" s="129"/>
      <c r="E4225" s="129"/>
      <c r="F4225" s="129"/>
      <c r="G4225" s="129"/>
    </row>
    <row r="4226" spans="2:7" x14ac:dyDescent="0.2">
      <c r="B4226" s="129"/>
      <c r="C4226" s="129"/>
      <c r="D4226" s="129"/>
      <c r="E4226" s="129"/>
      <c r="F4226" s="129"/>
      <c r="G4226" s="129"/>
    </row>
    <row r="4227" spans="2:7" x14ac:dyDescent="0.2">
      <c r="B4227" s="129"/>
      <c r="C4227" s="129"/>
      <c r="D4227" s="129"/>
      <c r="E4227" s="129"/>
      <c r="F4227" s="129"/>
      <c r="G4227" s="129"/>
    </row>
    <row r="4228" spans="2:7" x14ac:dyDescent="0.2">
      <c r="B4228" s="129"/>
      <c r="C4228" s="129"/>
      <c r="D4228" s="129"/>
      <c r="E4228" s="129"/>
      <c r="F4228" s="129"/>
      <c r="G4228" s="129"/>
    </row>
    <row r="4229" spans="2:7" x14ac:dyDescent="0.2">
      <c r="B4229" s="129"/>
      <c r="C4229" s="129"/>
      <c r="D4229" s="129"/>
      <c r="E4229" s="129"/>
      <c r="F4229" s="129"/>
      <c r="G4229" s="129"/>
    </row>
    <row r="4230" spans="2:7" x14ac:dyDescent="0.2">
      <c r="B4230" s="129"/>
      <c r="C4230" s="129"/>
      <c r="D4230" s="129"/>
      <c r="E4230" s="129"/>
      <c r="F4230" s="129"/>
      <c r="G4230" s="129"/>
    </row>
    <row r="4231" spans="2:7" x14ac:dyDescent="0.2">
      <c r="B4231" s="129"/>
      <c r="C4231" s="129"/>
      <c r="D4231" s="129"/>
      <c r="E4231" s="129"/>
      <c r="F4231" s="129"/>
      <c r="G4231" s="129"/>
    </row>
    <row r="4232" spans="2:7" x14ac:dyDescent="0.2">
      <c r="B4232" s="129"/>
      <c r="C4232" s="129"/>
      <c r="D4232" s="129"/>
      <c r="E4232" s="129"/>
      <c r="F4232" s="129"/>
      <c r="G4232" s="129"/>
    </row>
    <row r="4233" spans="2:7" x14ac:dyDescent="0.2">
      <c r="B4233" s="129"/>
      <c r="C4233" s="129"/>
      <c r="D4233" s="129"/>
      <c r="E4233" s="129"/>
      <c r="F4233" s="129"/>
      <c r="G4233" s="129"/>
    </row>
    <row r="4234" spans="2:7" x14ac:dyDescent="0.2">
      <c r="B4234" s="129"/>
      <c r="C4234" s="129"/>
      <c r="D4234" s="129"/>
      <c r="E4234" s="129"/>
      <c r="F4234" s="129"/>
      <c r="G4234" s="129"/>
    </row>
    <row r="4235" spans="2:7" x14ac:dyDescent="0.2">
      <c r="B4235" s="129"/>
      <c r="C4235" s="129"/>
      <c r="D4235" s="129"/>
      <c r="E4235" s="129"/>
      <c r="F4235" s="129"/>
      <c r="G4235" s="129"/>
    </row>
    <row r="4236" spans="2:7" x14ac:dyDescent="0.2">
      <c r="B4236" s="129"/>
      <c r="C4236" s="129"/>
      <c r="D4236" s="129"/>
      <c r="E4236" s="129"/>
      <c r="F4236" s="129"/>
      <c r="G4236" s="129"/>
    </row>
    <row r="4237" spans="2:7" x14ac:dyDescent="0.2">
      <c r="B4237" s="129"/>
      <c r="C4237" s="129"/>
      <c r="D4237" s="129"/>
      <c r="E4237" s="129"/>
      <c r="F4237" s="129"/>
      <c r="G4237" s="129"/>
    </row>
    <row r="4238" spans="2:7" x14ac:dyDescent="0.2">
      <c r="B4238" s="129"/>
      <c r="C4238" s="129"/>
      <c r="D4238" s="129"/>
      <c r="E4238" s="129"/>
      <c r="F4238" s="129"/>
      <c r="G4238" s="129"/>
    </row>
    <row r="4239" spans="2:7" x14ac:dyDescent="0.2">
      <c r="B4239" s="129"/>
      <c r="C4239" s="129"/>
      <c r="D4239" s="129"/>
      <c r="E4239" s="129"/>
      <c r="F4239" s="129"/>
      <c r="G4239" s="129"/>
    </row>
    <row r="4240" spans="2:7" x14ac:dyDescent="0.2">
      <c r="B4240" s="129"/>
      <c r="C4240" s="129"/>
      <c r="D4240" s="129"/>
      <c r="E4240" s="129"/>
      <c r="F4240" s="129"/>
      <c r="G4240" s="129"/>
    </row>
    <row r="4241" spans="2:7" x14ac:dyDescent="0.2">
      <c r="B4241" s="129"/>
      <c r="C4241" s="129"/>
      <c r="D4241" s="129"/>
      <c r="E4241" s="129"/>
      <c r="F4241" s="129"/>
      <c r="G4241" s="129"/>
    </row>
    <row r="4242" spans="2:7" x14ac:dyDescent="0.2">
      <c r="B4242" s="129"/>
      <c r="C4242" s="129"/>
      <c r="D4242" s="129"/>
      <c r="E4242" s="129"/>
      <c r="F4242" s="129"/>
      <c r="G4242" s="129"/>
    </row>
    <row r="4243" spans="2:7" x14ac:dyDescent="0.2">
      <c r="B4243" s="129"/>
      <c r="C4243" s="129"/>
      <c r="D4243" s="129"/>
      <c r="E4243" s="129"/>
      <c r="F4243" s="129"/>
      <c r="G4243" s="129"/>
    </row>
    <row r="4244" spans="2:7" x14ac:dyDescent="0.2">
      <c r="B4244" s="129"/>
      <c r="C4244" s="129"/>
      <c r="D4244" s="129"/>
      <c r="E4244" s="129"/>
      <c r="F4244" s="129"/>
      <c r="G4244" s="129"/>
    </row>
    <row r="4245" spans="2:7" x14ac:dyDescent="0.2">
      <c r="B4245" s="129"/>
      <c r="C4245" s="129"/>
      <c r="D4245" s="129"/>
      <c r="E4245" s="129"/>
      <c r="F4245" s="129"/>
      <c r="G4245" s="129"/>
    </row>
    <row r="4246" spans="2:7" x14ac:dyDescent="0.2">
      <c r="B4246" s="129"/>
      <c r="C4246" s="129"/>
      <c r="D4246" s="129"/>
      <c r="E4246" s="129"/>
      <c r="F4246" s="129"/>
      <c r="G4246" s="129"/>
    </row>
    <row r="4247" spans="2:7" x14ac:dyDescent="0.2">
      <c r="B4247" s="129"/>
      <c r="C4247" s="129"/>
      <c r="D4247" s="129"/>
      <c r="E4247" s="129"/>
      <c r="F4247" s="129"/>
      <c r="G4247" s="129"/>
    </row>
    <row r="4248" spans="2:7" x14ac:dyDescent="0.2">
      <c r="B4248" s="129"/>
      <c r="C4248" s="129"/>
      <c r="D4248" s="129"/>
      <c r="E4248" s="129"/>
      <c r="F4248" s="129"/>
      <c r="G4248" s="129"/>
    </row>
    <row r="4249" spans="2:7" x14ac:dyDescent="0.2">
      <c r="B4249" s="129"/>
      <c r="C4249" s="129"/>
      <c r="D4249" s="129"/>
      <c r="E4249" s="129"/>
      <c r="F4249" s="129"/>
      <c r="G4249" s="129"/>
    </row>
    <row r="4250" spans="2:7" x14ac:dyDescent="0.2">
      <c r="B4250" s="129"/>
      <c r="C4250" s="129"/>
      <c r="D4250" s="129"/>
      <c r="E4250" s="129"/>
      <c r="F4250" s="129"/>
      <c r="G4250" s="129"/>
    </row>
    <row r="4251" spans="2:7" x14ac:dyDescent="0.2">
      <c r="B4251" s="129"/>
      <c r="C4251" s="129"/>
      <c r="D4251" s="129"/>
      <c r="E4251" s="129"/>
      <c r="F4251" s="129"/>
      <c r="G4251" s="129"/>
    </row>
    <row r="4252" spans="2:7" x14ac:dyDescent="0.2">
      <c r="B4252" s="129"/>
      <c r="C4252" s="129"/>
      <c r="D4252" s="129"/>
      <c r="E4252" s="129"/>
      <c r="F4252" s="129"/>
      <c r="G4252" s="129"/>
    </row>
    <row r="4253" spans="2:7" x14ac:dyDescent="0.2">
      <c r="B4253" s="129"/>
      <c r="C4253" s="129"/>
      <c r="D4253" s="129"/>
      <c r="E4253" s="129"/>
      <c r="F4253" s="129"/>
      <c r="G4253" s="129"/>
    </row>
    <row r="4254" spans="2:7" x14ac:dyDescent="0.2">
      <c r="B4254" s="129"/>
      <c r="C4254" s="129"/>
      <c r="D4254" s="129"/>
      <c r="E4254" s="129"/>
      <c r="F4254" s="129"/>
      <c r="G4254" s="129"/>
    </row>
    <row r="4255" spans="2:7" x14ac:dyDescent="0.2">
      <c r="B4255" s="129"/>
      <c r="C4255" s="129"/>
      <c r="D4255" s="129"/>
      <c r="E4255" s="129"/>
      <c r="F4255" s="129"/>
      <c r="G4255" s="129"/>
    </row>
    <row r="4256" spans="2:7" x14ac:dyDescent="0.2">
      <c r="B4256" s="129"/>
      <c r="C4256" s="129"/>
      <c r="D4256" s="129"/>
      <c r="E4256" s="129"/>
      <c r="F4256" s="129"/>
      <c r="G4256" s="129"/>
    </row>
    <row r="4257" spans="2:7" x14ac:dyDescent="0.2">
      <c r="B4257" s="129"/>
      <c r="C4257" s="129"/>
      <c r="D4257" s="129"/>
      <c r="E4257" s="129"/>
      <c r="F4257" s="129"/>
      <c r="G4257" s="129"/>
    </row>
    <row r="4258" spans="2:7" x14ac:dyDescent="0.2">
      <c r="B4258" s="129"/>
      <c r="C4258" s="129"/>
      <c r="D4258" s="129"/>
      <c r="E4258" s="129"/>
      <c r="F4258" s="129"/>
      <c r="G4258" s="129"/>
    </row>
    <row r="4259" spans="2:7" x14ac:dyDescent="0.2">
      <c r="B4259" s="129"/>
      <c r="C4259" s="129"/>
      <c r="D4259" s="129"/>
      <c r="E4259" s="129"/>
      <c r="F4259" s="129"/>
      <c r="G4259" s="129"/>
    </row>
    <row r="4260" spans="2:7" x14ac:dyDescent="0.2">
      <c r="B4260" s="129"/>
      <c r="C4260" s="129"/>
      <c r="D4260" s="129"/>
      <c r="E4260" s="129"/>
      <c r="F4260" s="129"/>
      <c r="G4260" s="129"/>
    </row>
    <row r="4261" spans="2:7" x14ac:dyDescent="0.2">
      <c r="B4261" s="129"/>
      <c r="C4261" s="129"/>
      <c r="D4261" s="129"/>
      <c r="E4261" s="129"/>
      <c r="F4261" s="129"/>
      <c r="G4261" s="129"/>
    </row>
    <row r="4262" spans="2:7" x14ac:dyDescent="0.2">
      <c r="B4262" s="129"/>
      <c r="C4262" s="129"/>
      <c r="D4262" s="129"/>
      <c r="E4262" s="129"/>
      <c r="F4262" s="129"/>
      <c r="G4262" s="129"/>
    </row>
    <row r="4263" spans="2:7" x14ac:dyDescent="0.2">
      <c r="B4263" s="129"/>
      <c r="C4263" s="129"/>
      <c r="D4263" s="129"/>
      <c r="E4263" s="129"/>
      <c r="F4263" s="129"/>
      <c r="G4263" s="129"/>
    </row>
    <row r="4264" spans="2:7" x14ac:dyDescent="0.2">
      <c r="B4264" s="129"/>
      <c r="C4264" s="129"/>
      <c r="D4264" s="129"/>
      <c r="E4264" s="129"/>
      <c r="F4264" s="129"/>
      <c r="G4264" s="129"/>
    </row>
    <row r="4265" spans="2:7" x14ac:dyDescent="0.2">
      <c r="B4265" s="129"/>
      <c r="C4265" s="129"/>
      <c r="D4265" s="129"/>
      <c r="E4265" s="129"/>
      <c r="F4265" s="129"/>
      <c r="G4265" s="129"/>
    </row>
    <row r="4266" spans="2:7" x14ac:dyDescent="0.2">
      <c r="B4266" s="129"/>
      <c r="C4266" s="129"/>
      <c r="D4266" s="129"/>
      <c r="E4266" s="129"/>
      <c r="F4266" s="129"/>
      <c r="G4266" s="129"/>
    </row>
    <row r="4267" spans="2:7" x14ac:dyDescent="0.2">
      <c r="B4267" s="129"/>
      <c r="C4267" s="129"/>
      <c r="D4267" s="129"/>
      <c r="E4267" s="129"/>
      <c r="F4267" s="129"/>
      <c r="G4267" s="129"/>
    </row>
    <row r="4268" spans="2:7" x14ac:dyDescent="0.2">
      <c r="B4268" s="129"/>
      <c r="C4268" s="129"/>
      <c r="D4268" s="129"/>
      <c r="E4268" s="129"/>
      <c r="F4268" s="129"/>
      <c r="G4268" s="129"/>
    </row>
    <row r="4269" spans="2:7" x14ac:dyDescent="0.2">
      <c r="B4269" s="129"/>
      <c r="C4269" s="129"/>
      <c r="D4269" s="129"/>
      <c r="E4269" s="129"/>
      <c r="F4269" s="129"/>
      <c r="G4269" s="129"/>
    </row>
    <row r="4270" spans="2:7" x14ac:dyDescent="0.2">
      <c r="B4270" s="129"/>
      <c r="C4270" s="129"/>
      <c r="D4270" s="129"/>
      <c r="E4270" s="129"/>
      <c r="F4270" s="129"/>
      <c r="G4270" s="129"/>
    </row>
    <row r="4271" spans="2:7" x14ac:dyDescent="0.2">
      <c r="B4271" s="129"/>
      <c r="C4271" s="129"/>
      <c r="D4271" s="129"/>
      <c r="E4271" s="129"/>
      <c r="F4271" s="129"/>
      <c r="G4271" s="129"/>
    </row>
    <row r="4272" spans="2:7" x14ac:dyDescent="0.2">
      <c r="B4272" s="129"/>
      <c r="C4272" s="129"/>
      <c r="D4272" s="129"/>
      <c r="E4272" s="129"/>
      <c r="F4272" s="129"/>
      <c r="G4272" s="129"/>
    </row>
    <row r="4273" spans="2:7" x14ac:dyDescent="0.2">
      <c r="B4273" s="129"/>
      <c r="C4273" s="129"/>
      <c r="D4273" s="129"/>
      <c r="E4273" s="129"/>
      <c r="F4273" s="129"/>
      <c r="G4273" s="129"/>
    </row>
    <row r="4274" spans="2:7" x14ac:dyDescent="0.2">
      <c r="B4274" s="129"/>
      <c r="C4274" s="129"/>
      <c r="D4274" s="129"/>
      <c r="E4274" s="129"/>
      <c r="F4274" s="129"/>
      <c r="G4274" s="129"/>
    </row>
    <row r="4275" spans="2:7" x14ac:dyDescent="0.2">
      <c r="B4275" s="129"/>
      <c r="C4275" s="129"/>
      <c r="D4275" s="129"/>
      <c r="E4275" s="129"/>
      <c r="F4275" s="129"/>
      <c r="G4275" s="129"/>
    </row>
    <row r="4276" spans="2:7" x14ac:dyDescent="0.2">
      <c r="B4276" s="129"/>
      <c r="C4276" s="129"/>
      <c r="D4276" s="129"/>
      <c r="E4276" s="129"/>
      <c r="F4276" s="129"/>
      <c r="G4276" s="129"/>
    </row>
    <row r="4277" spans="2:7" x14ac:dyDescent="0.2">
      <c r="B4277" s="129"/>
      <c r="C4277" s="129"/>
      <c r="D4277" s="129"/>
      <c r="E4277" s="129"/>
      <c r="F4277" s="129"/>
      <c r="G4277" s="129"/>
    </row>
    <row r="4278" spans="2:7" x14ac:dyDescent="0.2">
      <c r="B4278" s="129"/>
      <c r="C4278" s="129"/>
      <c r="D4278" s="129"/>
      <c r="E4278" s="129"/>
      <c r="F4278" s="129"/>
      <c r="G4278" s="129"/>
    </row>
    <row r="4279" spans="2:7" x14ac:dyDescent="0.2">
      <c r="B4279" s="129"/>
      <c r="C4279" s="129"/>
      <c r="D4279" s="129"/>
      <c r="E4279" s="129"/>
      <c r="F4279" s="129"/>
      <c r="G4279" s="129"/>
    </row>
    <row r="4280" spans="2:7" x14ac:dyDescent="0.2">
      <c r="B4280" s="129"/>
      <c r="C4280" s="129"/>
      <c r="D4280" s="129"/>
      <c r="E4280" s="129"/>
      <c r="F4280" s="129"/>
      <c r="G4280" s="129"/>
    </row>
    <row r="4281" spans="2:7" x14ac:dyDescent="0.2">
      <c r="B4281" s="129"/>
      <c r="C4281" s="129"/>
      <c r="D4281" s="129"/>
      <c r="E4281" s="129"/>
      <c r="F4281" s="129"/>
      <c r="G4281" s="129"/>
    </row>
    <row r="4282" spans="2:7" x14ac:dyDescent="0.2">
      <c r="B4282" s="129"/>
      <c r="C4282" s="129"/>
      <c r="D4282" s="129"/>
      <c r="E4282" s="129"/>
      <c r="F4282" s="129"/>
      <c r="G4282" s="129"/>
    </row>
    <row r="4283" spans="2:7" x14ac:dyDescent="0.2">
      <c r="B4283" s="129"/>
      <c r="C4283" s="129"/>
      <c r="D4283" s="129"/>
      <c r="E4283" s="129"/>
      <c r="F4283" s="129"/>
      <c r="G4283" s="129"/>
    </row>
    <row r="4284" spans="2:7" x14ac:dyDescent="0.2">
      <c r="B4284" s="129"/>
      <c r="C4284" s="129"/>
      <c r="D4284" s="129"/>
      <c r="E4284" s="129"/>
      <c r="F4284" s="129"/>
      <c r="G4284" s="129"/>
    </row>
    <row r="4285" spans="2:7" x14ac:dyDescent="0.2">
      <c r="B4285" s="129"/>
      <c r="C4285" s="129"/>
      <c r="D4285" s="129"/>
      <c r="E4285" s="129"/>
      <c r="F4285" s="129"/>
      <c r="G4285" s="129"/>
    </row>
    <row r="4286" spans="2:7" x14ac:dyDescent="0.2">
      <c r="B4286" s="129"/>
      <c r="C4286" s="129"/>
      <c r="D4286" s="129"/>
      <c r="E4286" s="129"/>
      <c r="F4286" s="129"/>
      <c r="G4286" s="129"/>
    </row>
    <row r="4287" spans="2:7" x14ac:dyDescent="0.2">
      <c r="B4287" s="129"/>
      <c r="C4287" s="129"/>
      <c r="D4287" s="129"/>
      <c r="E4287" s="129"/>
      <c r="F4287" s="129"/>
      <c r="G4287" s="129"/>
    </row>
    <row r="4288" spans="2:7" x14ac:dyDescent="0.2">
      <c r="B4288" s="129"/>
      <c r="C4288" s="129"/>
      <c r="D4288" s="129"/>
      <c r="E4288" s="129"/>
      <c r="F4288" s="129"/>
      <c r="G4288" s="129"/>
    </row>
    <row r="4289" spans="2:7" x14ac:dyDescent="0.2">
      <c r="B4289" s="129"/>
      <c r="C4289" s="129"/>
      <c r="D4289" s="129"/>
      <c r="E4289" s="129"/>
      <c r="F4289" s="129"/>
      <c r="G4289" s="129"/>
    </row>
    <row r="4290" spans="2:7" x14ac:dyDescent="0.2">
      <c r="B4290" s="129"/>
      <c r="C4290" s="129"/>
      <c r="D4290" s="129"/>
      <c r="E4290" s="129"/>
      <c r="F4290" s="129"/>
      <c r="G4290" s="129"/>
    </row>
    <row r="4291" spans="2:7" x14ac:dyDescent="0.2">
      <c r="B4291" s="129"/>
      <c r="C4291" s="129"/>
      <c r="D4291" s="129"/>
      <c r="E4291" s="129"/>
      <c r="F4291" s="129"/>
      <c r="G4291" s="129"/>
    </row>
    <row r="4292" spans="2:7" x14ac:dyDescent="0.2">
      <c r="B4292" s="129"/>
      <c r="C4292" s="129"/>
      <c r="D4292" s="129"/>
      <c r="E4292" s="129"/>
      <c r="F4292" s="129"/>
      <c r="G4292" s="129"/>
    </row>
    <row r="4293" spans="2:7" x14ac:dyDescent="0.2">
      <c r="B4293" s="129"/>
      <c r="C4293" s="129"/>
      <c r="D4293" s="129"/>
      <c r="E4293" s="129"/>
      <c r="F4293" s="129"/>
      <c r="G4293" s="129"/>
    </row>
    <row r="4294" spans="2:7" x14ac:dyDescent="0.2">
      <c r="B4294" s="129"/>
      <c r="C4294" s="129"/>
      <c r="D4294" s="129"/>
      <c r="E4294" s="129"/>
      <c r="F4294" s="129"/>
      <c r="G4294" s="129"/>
    </row>
    <row r="4295" spans="2:7" x14ac:dyDescent="0.2">
      <c r="B4295" s="129"/>
      <c r="C4295" s="129"/>
      <c r="D4295" s="129"/>
      <c r="E4295" s="129"/>
      <c r="F4295" s="129"/>
      <c r="G4295" s="129"/>
    </row>
    <row r="4296" spans="2:7" x14ac:dyDescent="0.2">
      <c r="B4296" s="129"/>
      <c r="C4296" s="129"/>
      <c r="D4296" s="129"/>
      <c r="E4296" s="129"/>
      <c r="F4296" s="129"/>
      <c r="G4296" s="129"/>
    </row>
    <row r="4297" spans="2:7" x14ac:dyDescent="0.2">
      <c r="B4297" s="129"/>
      <c r="C4297" s="129"/>
      <c r="D4297" s="129"/>
      <c r="E4297" s="129"/>
      <c r="F4297" s="129"/>
      <c r="G4297" s="129"/>
    </row>
    <row r="4298" spans="2:7" x14ac:dyDescent="0.2">
      <c r="B4298" s="129"/>
      <c r="C4298" s="129"/>
      <c r="D4298" s="129"/>
      <c r="E4298" s="129"/>
      <c r="F4298" s="129"/>
      <c r="G4298" s="129"/>
    </row>
    <row r="4299" spans="2:7" x14ac:dyDescent="0.2">
      <c r="B4299" s="129"/>
      <c r="C4299" s="129"/>
      <c r="D4299" s="129"/>
      <c r="E4299" s="129"/>
      <c r="F4299" s="129"/>
      <c r="G4299" s="129"/>
    </row>
    <row r="4300" spans="2:7" x14ac:dyDescent="0.2">
      <c r="B4300" s="129"/>
      <c r="C4300" s="129"/>
      <c r="D4300" s="129"/>
      <c r="E4300" s="129"/>
      <c r="F4300" s="129"/>
      <c r="G4300" s="129"/>
    </row>
    <row r="4301" spans="2:7" x14ac:dyDescent="0.2">
      <c r="B4301" s="129"/>
      <c r="C4301" s="129"/>
      <c r="D4301" s="129"/>
      <c r="E4301" s="129"/>
      <c r="F4301" s="129"/>
      <c r="G4301" s="129"/>
    </row>
    <row r="4302" spans="2:7" x14ac:dyDescent="0.2">
      <c r="B4302" s="129"/>
      <c r="C4302" s="129"/>
      <c r="D4302" s="129"/>
      <c r="E4302" s="129"/>
      <c r="F4302" s="129"/>
      <c r="G4302" s="129"/>
    </row>
    <row r="4303" spans="2:7" x14ac:dyDescent="0.2">
      <c r="B4303" s="129"/>
      <c r="C4303" s="129"/>
      <c r="D4303" s="129"/>
      <c r="E4303" s="129"/>
      <c r="F4303" s="129"/>
      <c r="G4303" s="129"/>
    </row>
    <row r="4304" spans="2:7" x14ac:dyDescent="0.2">
      <c r="B4304" s="129"/>
      <c r="C4304" s="129"/>
      <c r="D4304" s="129"/>
      <c r="E4304" s="129"/>
      <c r="F4304" s="129"/>
      <c r="G4304" s="129"/>
    </row>
    <row r="4305" spans="2:7" x14ac:dyDescent="0.2">
      <c r="B4305" s="129"/>
      <c r="C4305" s="129"/>
      <c r="D4305" s="129"/>
      <c r="E4305" s="129"/>
      <c r="F4305" s="129"/>
      <c r="G4305" s="129"/>
    </row>
    <row r="4306" spans="2:7" x14ac:dyDescent="0.2">
      <c r="B4306" s="129"/>
      <c r="C4306" s="129"/>
      <c r="D4306" s="129"/>
      <c r="E4306" s="129"/>
      <c r="F4306" s="129"/>
      <c r="G4306" s="129"/>
    </row>
    <row r="4307" spans="2:7" x14ac:dyDescent="0.2">
      <c r="B4307" s="129"/>
      <c r="C4307" s="129"/>
      <c r="D4307" s="129"/>
      <c r="E4307" s="129"/>
      <c r="F4307" s="129"/>
      <c r="G4307" s="129"/>
    </row>
    <row r="4308" spans="2:7" x14ac:dyDescent="0.2">
      <c r="B4308" s="129"/>
      <c r="C4308" s="129"/>
      <c r="D4308" s="129"/>
      <c r="E4308" s="129"/>
      <c r="F4308" s="129"/>
      <c r="G4308" s="129"/>
    </row>
    <row r="4309" spans="2:7" x14ac:dyDescent="0.2">
      <c r="B4309" s="129"/>
      <c r="C4309" s="129"/>
      <c r="D4309" s="129"/>
      <c r="E4309" s="129"/>
      <c r="F4309" s="129"/>
      <c r="G4309" s="129"/>
    </row>
    <row r="4310" spans="2:7" x14ac:dyDescent="0.2">
      <c r="B4310" s="129"/>
      <c r="C4310" s="129"/>
      <c r="D4310" s="129"/>
      <c r="E4310" s="129"/>
      <c r="F4310" s="129"/>
      <c r="G4310" s="129"/>
    </row>
    <row r="4311" spans="2:7" x14ac:dyDescent="0.2">
      <c r="B4311" s="129"/>
      <c r="C4311" s="129"/>
      <c r="D4311" s="129"/>
      <c r="E4311" s="129"/>
      <c r="F4311" s="129"/>
      <c r="G4311" s="129"/>
    </row>
    <row r="4312" spans="2:7" x14ac:dyDescent="0.2">
      <c r="B4312" s="129"/>
      <c r="C4312" s="129"/>
      <c r="D4312" s="129"/>
      <c r="E4312" s="129"/>
      <c r="F4312" s="129"/>
      <c r="G4312" s="129"/>
    </row>
    <row r="4313" spans="2:7" x14ac:dyDescent="0.2">
      <c r="B4313" s="129"/>
      <c r="C4313" s="129"/>
      <c r="D4313" s="129"/>
      <c r="E4313" s="129"/>
      <c r="F4313" s="129"/>
      <c r="G4313" s="129"/>
    </row>
    <row r="4314" spans="2:7" x14ac:dyDescent="0.2">
      <c r="B4314" s="129"/>
      <c r="C4314" s="129"/>
      <c r="D4314" s="129"/>
      <c r="E4314" s="129"/>
      <c r="F4314" s="129"/>
      <c r="G4314" s="129"/>
    </row>
    <row r="4315" spans="2:7" x14ac:dyDescent="0.2">
      <c r="B4315" s="129"/>
      <c r="C4315" s="129"/>
      <c r="D4315" s="129"/>
      <c r="E4315" s="129"/>
      <c r="F4315" s="129"/>
      <c r="G4315" s="129"/>
    </row>
    <row r="4316" spans="2:7" x14ac:dyDescent="0.2">
      <c r="B4316" s="129"/>
      <c r="C4316" s="129"/>
      <c r="D4316" s="129"/>
      <c r="E4316" s="129"/>
      <c r="F4316" s="129"/>
      <c r="G4316" s="129"/>
    </row>
    <row r="4317" spans="2:7" x14ac:dyDescent="0.2">
      <c r="B4317" s="129"/>
      <c r="C4317" s="129"/>
      <c r="D4317" s="129"/>
      <c r="E4317" s="129"/>
      <c r="F4317" s="129"/>
      <c r="G4317" s="129"/>
    </row>
    <row r="4318" spans="2:7" x14ac:dyDescent="0.2">
      <c r="B4318" s="129"/>
      <c r="C4318" s="129"/>
      <c r="D4318" s="129"/>
      <c r="E4318" s="129"/>
      <c r="F4318" s="129"/>
      <c r="G4318" s="129"/>
    </row>
    <row r="4319" spans="2:7" x14ac:dyDescent="0.2">
      <c r="B4319" s="129"/>
      <c r="C4319" s="129"/>
      <c r="D4319" s="129"/>
      <c r="E4319" s="129"/>
      <c r="F4319" s="129"/>
      <c r="G4319" s="129"/>
    </row>
    <row r="4320" spans="2:7" x14ac:dyDescent="0.2">
      <c r="B4320" s="129"/>
      <c r="C4320" s="129"/>
      <c r="D4320" s="129"/>
      <c r="E4320" s="129"/>
      <c r="F4320" s="129"/>
      <c r="G4320" s="129"/>
    </row>
    <row r="4321" spans="2:7" x14ac:dyDescent="0.2">
      <c r="B4321" s="129"/>
      <c r="C4321" s="129"/>
      <c r="D4321" s="129"/>
      <c r="E4321" s="129"/>
      <c r="F4321" s="129"/>
      <c r="G4321" s="129"/>
    </row>
    <row r="4322" spans="2:7" x14ac:dyDescent="0.2">
      <c r="B4322" s="129"/>
      <c r="C4322" s="129"/>
      <c r="D4322" s="129"/>
      <c r="E4322" s="129"/>
      <c r="F4322" s="129"/>
      <c r="G4322" s="129"/>
    </row>
    <row r="4323" spans="2:7" x14ac:dyDescent="0.2">
      <c r="B4323" s="129"/>
      <c r="C4323" s="129"/>
      <c r="D4323" s="129"/>
      <c r="E4323" s="129"/>
      <c r="F4323" s="129"/>
      <c r="G4323" s="129"/>
    </row>
    <row r="4324" spans="2:7" x14ac:dyDescent="0.2">
      <c r="B4324" s="129"/>
      <c r="C4324" s="129"/>
      <c r="D4324" s="129"/>
      <c r="E4324" s="129"/>
      <c r="F4324" s="129"/>
      <c r="G4324" s="129"/>
    </row>
    <row r="4325" spans="2:7" x14ac:dyDescent="0.2">
      <c r="B4325" s="129"/>
      <c r="C4325" s="129"/>
      <c r="D4325" s="129"/>
      <c r="E4325" s="129"/>
      <c r="F4325" s="129"/>
      <c r="G4325" s="129"/>
    </row>
    <row r="4326" spans="2:7" x14ac:dyDescent="0.2">
      <c r="B4326" s="129"/>
      <c r="C4326" s="129"/>
      <c r="D4326" s="129"/>
      <c r="E4326" s="129"/>
      <c r="F4326" s="129"/>
      <c r="G4326" s="129"/>
    </row>
    <row r="4327" spans="2:7" x14ac:dyDescent="0.2">
      <c r="B4327" s="129"/>
      <c r="C4327" s="129"/>
      <c r="D4327" s="129"/>
      <c r="E4327" s="129"/>
      <c r="F4327" s="129"/>
      <c r="G4327" s="129"/>
    </row>
    <row r="4328" spans="2:7" x14ac:dyDescent="0.2">
      <c r="B4328" s="129"/>
      <c r="C4328" s="129"/>
      <c r="D4328" s="129"/>
      <c r="E4328" s="129"/>
      <c r="F4328" s="129"/>
      <c r="G4328" s="129"/>
    </row>
    <row r="4329" spans="2:7" x14ac:dyDescent="0.2">
      <c r="B4329" s="129"/>
      <c r="C4329" s="129"/>
      <c r="D4329" s="129"/>
      <c r="E4329" s="129"/>
      <c r="F4329" s="129"/>
      <c r="G4329" s="129"/>
    </row>
    <row r="4330" spans="2:7" x14ac:dyDescent="0.2">
      <c r="B4330" s="129"/>
      <c r="C4330" s="129"/>
      <c r="D4330" s="129"/>
      <c r="E4330" s="129"/>
      <c r="F4330" s="129"/>
      <c r="G4330" s="129"/>
    </row>
    <row r="4331" spans="2:7" x14ac:dyDescent="0.2">
      <c r="B4331" s="129"/>
      <c r="C4331" s="129"/>
      <c r="D4331" s="129"/>
      <c r="E4331" s="129"/>
      <c r="F4331" s="129"/>
      <c r="G4331" s="129"/>
    </row>
    <row r="4332" spans="2:7" x14ac:dyDescent="0.2">
      <c r="B4332" s="129"/>
      <c r="C4332" s="129"/>
      <c r="D4332" s="129"/>
      <c r="E4332" s="129"/>
      <c r="F4332" s="129"/>
      <c r="G4332" s="129"/>
    </row>
    <row r="4333" spans="2:7" x14ac:dyDescent="0.2">
      <c r="B4333" s="129"/>
      <c r="C4333" s="129"/>
      <c r="D4333" s="129"/>
      <c r="E4333" s="129"/>
      <c r="F4333" s="129"/>
      <c r="G4333" s="129"/>
    </row>
    <row r="4334" spans="2:7" x14ac:dyDescent="0.2">
      <c r="B4334" s="129"/>
      <c r="C4334" s="129"/>
      <c r="D4334" s="129"/>
      <c r="E4334" s="129"/>
      <c r="F4334" s="129"/>
      <c r="G4334" s="129"/>
    </row>
    <row r="4335" spans="2:7" x14ac:dyDescent="0.2">
      <c r="B4335" s="129"/>
      <c r="C4335" s="129"/>
      <c r="D4335" s="129"/>
      <c r="E4335" s="129"/>
      <c r="F4335" s="129"/>
      <c r="G4335" s="129"/>
    </row>
    <row r="4336" spans="2:7" x14ac:dyDescent="0.2">
      <c r="B4336" s="129"/>
      <c r="C4336" s="129"/>
      <c r="D4336" s="129"/>
      <c r="E4336" s="129"/>
      <c r="F4336" s="129"/>
      <c r="G4336" s="129"/>
    </row>
    <row r="4337" spans="2:7" x14ac:dyDescent="0.2">
      <c r="B4337" s="129"/>
      <c r="C4337" s="129"/>
      <c r="D4337" s="129"/>
      <c r="E4337" s="129"/>
      <c r="F4337" s="129"/>
      <c r="G4337" s="129"/>
    </row>
    <row r="4338" spans="2:7" x14ac:dyDescent="0.2">
      <c r="B4338" s="129"/>
      <c r="C4338" s="129"/>
      <c r="D4338" s="129"/>
      <c r="E4338" s="129"/>
      <c r="F4338" s="129"/>
      <c r="G4338" s="129"/>
    </row>
    <row r="4339" spans="2:7" x14ac:dyDescent="0.2">
      <c r="B4339" s="129"/>
      <c r="C4339" s="129"/>
      <c r="D4339" s="129"/>
      <c r="E4339" s="129"/>
      <c r="F4339" s="129"/>
      <c r="G4339" s="129"/>
    </row>
    <row r="4340" spans="2:7" x14ac:dyDescent="0.2">
      <c r="B4340" s="129"/>
      <c r="C4340" s="129"/>
      <c r="D4340" s="129"/>
      <c r="E4340" s="129"/>
      <c r="F4340" s="129"/>
      <c r="G4340" s="129"/>
    </row>
    <row r="4341" spans="2:7" x14ac:dyDescent="0.2">
      <c r="B4341" s="129"/>
      <c r="C4341" s="129"/>
      <c r="D4341" s="129"/>
      <c r="E4341" s="129"/>
      <c r="F4341" s="129"/>
      <c r="G4341" s="129"/>
    </row>
    <row r="4342" spans="2:7" x14ac:dyDescent="0.2">
      <c r="B4342" s="129"/>
      <c r="C4342" s="129"/>
      <c r="D4342" s="129"/>
      <c r="E4342" s="129"/>
      <c r="F4342" s="129"/>
      <c r="G4342" s="129"/>
    </row>
    <row r="4343" spans="2:7" x14ac:dyDescent="0.2">
      <c r="B4343" s="129"/>
      <c r="C4343" s="129"/>
      <c r="D4343" s="129"/>
      <c r="E4343" s="129"/>
      <c r="F4343" s="129"/>
      <c r="G4343" s="129"/>
    </row>
    <row r="4344" spans="2:7" x14ac:dyDescent="0.2">
      <c r="B4344" s="129"/>
      <c r="C4344" s="129"/>
      <c r="D4344" s="129"/>
      <c r="E4344" s="129"/>
      <c r="F4344" s="129"/>
      <c r="G4344" s="129"/>
    </row>
    <row r="4345" spans="2:7" x14ac:dyDescent="0.2">
      <c r="B4345" s="129"/>
      <c r="C4345" s="129"/>
      <c r="D4345" s="129"/>
      <c r="E4345" s="129"/>
      <c r="F4345" s="129"/>
      <c r="G4345" s="129"/>
    </row>
    <row r="4346" spans="2:7" x14ac:dyDescent="0.2">
      <c r="B4346" s="129"/>
      <c r="C4346" s="129"/>
      <c r="D4346" s="129"/>
      <c r="E4346" s="129"/>
      <c r="F4346" s="129"/>
      <c r="G4346" s="129"/>
    </row>
    <row r="4347" spans="2:7" x14ac:dyDescent="0.2">
      <c r="B4347" s="129"/>
      <c r="C4347" s="129"/>
      <c r="D4347" s="129"/>
      <c r="E4347" s="129"/>
      <c r="F4347" s="129"/>
      <c r="G4347" s="129"/>
    </row>
    <row r="4348" spans="2:7" x14ac:dyDescent="0.2">
      <c r="B4348" s="129"/>
      <c r="C4348" s="129"/>
      <c r="D4348" s="129"/>
      <c r="E4348" s="129"/>
      <c r="F4348" s="129"/>
      <c r="G4348" s="129"/>
    </row>
    <row r="4349" spans="2:7" x14ac:dyDescent="0.2">
      <c r="B4349" s="129"/>
      <c r="C4349" s="129"/>
      <c r="D4349" s="129"/>
      <c r="E4349" s="129"/>
      <c r="F4349" s="129"/>
      <c r="G4349" s="129"/>
    </row>
    <row r="4350" spans="2:7" x14ac:dyDescent="0.2">
      <c r="B4350" s="129"/>
      <c r="C4350" s="129"/>
      <c r="D4350" s="129"/>
      <c r="E4350" s="129"/>
      <c r="F4350" s="129"/>
      <c r="G4350" s="129"/>
    </row>
    <row r="4351" spans="2:7" x14ac:dyDescent="0.2">
      <c r="B4351" s="129"/>
      <c r="C4351" s="129"/>
      <c r="D4351" s="129"/>
      <c r="E4351" s="129"/>
      <c r="F4351" s="129"/>
      <c r="G4351" s="129"/>
    </row>
    <row r="4352" spans="2:7" x14ac:dyDescent="0.2">
      <c r="B4352" s="129"/>
      <c r="C4352" s="129"/>
      <c r="D4352" s="129"/>
      <c r="E4352" s="129"/>
      <c r="F4352" s="129"/>
      <c r="G4352" s="129"/>
    </row>
    <row r="4353" spans="2:7" x14ac:dyDescent="0.2">
      <c r="B4353" s="129"/>
      <c r="C4353" s="129"/>
      <c r="D4353" s="129"/>
      <c r="E4353" s="129"/>
      <c r="F4353" s="129"/>
      <c r="G4353" s="129"/>
    </row>
    <row r="4354" spans="2:7" x14ac:dyDescent="0.2">
      <c r="B4354" s="129"/>
      <c r="C4354" s="129"/>
      <c r="D4354" s="129"/>
      <c r="E4354" s="129"/>
      <c r="F4354" s="129"/>
      <c r="G4354" s="129"/>
    </row>
    <row r="4355" spans="2:7" x14ac:dyDescent="0.2">
      <c r="B4355" s="129"/>
      <c r="C4355" s="129"/>
      <c r="D4355" s="129"/>
      <c r="E4355" s="129"/>
      <c r="F4355" s="129"/>
      <c r="G4355" s="129"/>
    </row>
    <row r="4356" spans="2:7" x14ac:dyDescent="0.2">
      <c r="B4356" s="129"/>
      <c r="C4356" s="129"/>
      <c r="D4356" s="129"/>
      <c r="E4356" s="129"/>
      <c r="F4356" s="129"/>
      <c r="G4356" s="129"/>
    </row>
    <row r="4357" spans="2:7" x14ac:dyDescent="0.2">
      <c r="B4357" s="129"/>
      <c r="C4357" s="129"/>
      <c r="D4357" s="129"/>
      <c r="E4357" s="129"/>
      <c r="F4357" s="129"/>
      <c r="G4357" s="129"/>
    </row>
    <row r="4358" spans="2:7" x14ac:dyDescent="0.2">
      <c r="B4358" s="129"/>
      <c r="C4358" s="129"/>
      <c r="D4358" s="129"/>
      <c r="E4358" s="129"/>
      <c r="F4358" s="129"/>
      <c r="G4358" s="129"/>
    </row>
    <row r="4359" spans="2:7" x14ac:dyDescent="0.2">
      <c r="B4359" s="129"/>
      <c r="C4359" s="129"/>
      <c r="D4359" s="129"/>
      <c r="E4359" s="129"/>
      <c r="F4359" s="129"/>
      <c r="G4359" s="129"/>
    </row>
    <row r="4360" spans="2:7" x14ac:dyDescent="0.2">
      <c r="B4360" s="129"/>
      <c r="C4360" s="129"/>
      <c r="D4360" s="129"/>
      <c r="E4360" s="129"/>
      <c r="F4360" s="129"/>
      <c r="G4360" s="129"/>
    </row>
    <row r="4361" spans="2:7" x14ac:dyDescent="0.2">
      <c r="B4361" s="129"/>
      <c r="C4361" s="129"/>
      <c r="D4361" s="129"/>
      <c r="E4361" s="129"/>
      <c r="F4361" s="129"/>
      <c r="G4361" s="129"/>
    </row>
    <row r="4362" spans="2:7" x14ac:dyDescent="0.2">
      <c r="B4362" s="129"/>
      <c r="C4362" s="129"/>
      <c r="D4362" s="129"/>
      <c r="E4362" s="129"/>
      <c r="F4362" s="129"/>
      <c r="G4362" s="129"/>
    </row>
    <row r="4363" spans="2:7" x14ac:dyDescent="0.2">
      <c r="B4363" s="129"/>
      <c r="C4363" s="129"/>
      <c r="D4363" s="129"/>
      <c r="E4363" s="129"/>
      <c r="F4363" s="129"/>
      <c r="G4363" s="129"/>
    </row>
    <row r="4364" spans="2:7" x14ac:dyDescent="0.2">
      <c r="B4364" s="129"/>
      <c r="C4364" s="129"/>
      <c r="D4364" s="129"/>
      <c r="E4364" s="129"/>
      <c r="F4364" s="129"/>
      <c r="G4364" s="129"/>
    </row>
    <row r="4365" spans="2:7" x14ac:dyDescent="0.2">
      <c r="B4365" s="129"/>
      <c r="C4365" s="129"/>
      <c r="D4365" s="129"/>
      <c r="E4365" s="129"/>
      <c r="F4365" s="129"/>
      <c r="G4365" s="129"/>
    </row>
    <row r="4366" spans="2:7" x14ac:dyDescent="0.2">
      <c r="B4366" s="129"/>
      <c r="C4366" s="129"/>
      <c r="D4366" s="129"/>
      <c r="E4366" s="129"/>
      <c r="F4366" s="129"/>
      <c r="G4366" s="129"/>
    </row>
    <row r="4367" spans="2:7" x14ac:dyDescent="0.2">
      <c r="B4367" s="129"/>
      <c r="C4367" s="129"/>
      <c r="D4367" s="129"/>
      <c r="E4367" s="129"/>
      <c r="F4367" s="129"/>
      <c r="G4367" s="129"/>
    </row>
    <row r="4368" spans="2:7" x14ac:dyDescent="0.2">
      <c r="B4368" s="129"/>
      <c r="C4368" s="129"/>
      <c r="D4368" s="129"/>
      <c r="E4368" s="129"/>
      <c r="F4368" s="129"/>
      <c r="G4368" s="129"/>
    </row>
    <row r="4369" spans="2:7" x14ac:dyDescent="0.2">
      <c r="B4369" s="129"/>
      <c r="C4369" s="129"/>
      <c r="D4369" s="129"/>
      <c r="E4369" s="129"/>
      <c r="F4369" s="129"/>
      <c r="G4369" s="129"/>
    </row>
    <row r="4370" spans="2:7" x14ac:dyDescent="0.2">
      <c r="B4370" s="129"/>
      <c r="C4370" s="129"/>
      <c r="D4370" s="129"/>
      <c r="E4370" s="129"/>
      <c r="F4370" s="129"/>
      <c r="G4370" s="129"/>
    </row>
    <row r="4371" spans="2:7" x14ac:dyDescent="0.2">
      <c r="B4371" s="129"/>
      <c r="C4371" s="129"/>
      <c r="D4371" s="129"/>
      <c r="E4371" s="129"/>
      <c r="F4371" s="129"/>
      <c r="G4371" s="129"/>
    </row>
    <row r="4372" spans="2:7" x14ac:dyDescent="0.2">
      <c r="B4372" s="129"/>
      <c r="C4372" s="129"/>
      <c r="D4372" s="129"/>
      <c r="E4372" s="129"/>
      <c r="F4372" s="129"/>
      <c r="G4372" s="129"/>
    </row>
    <row r="4373" spans="2:7" x14ac:dyDescent="0.2">
      <c r="B4373" s="129"/>
      <c r="C4373" s="129"/>
      <c r="D4373" s="129"/>
      <c r="E4373" s="129"/>
      <c r="F4373" s="129"/>
      <c r="G4373" s="129"/>
    </row>
    <row r="4374" spans="2:7" x14ac:dyDescent="0.2">
      <c r="B4374" s="129"/>
      <c r="C4374" s="129"/>
      <c r="D4374" s="129"/>
      <c r="E4374" s="129"/>
      <c r="F4374" s="129"/>
      <c r="G4374" s="129"/>
    </row>
    <row r="4375" spans="2:7" x14ac:dyDescent="0.2">
      <c r="B4375" s="129"/>
      <c r="C4375" s="129"/>
      <c r="D4375" s="129"/>
      <c r="E4375" s="129"/>
      <c r="F4375" s="129"/>
      <c r="G4375" s="129"/>
    </row>
    <row r="4376" spans="2:7" x14ac:dyDescent="0.2">
      <c r="B4376" s="129"/>
      <c r="C4376" s="129"/>
      <c r="D4376" s="129"/>
      <c r="E4376" s="129"/>
      <c r="F4376" s="129"/>
      <c r="G4376" s="129"/>
    </row>
    <row r="4377" spans="2:7" x14ac:dyDescent="0.2">
      <c r="B4377" s="129"/>
      <c r="C4377" s="129"/>
      <c r="D4377" s="129"/>
      <c r="E4377" s="129"/>
      <c r="F4377" s="129"/>
      <c r="G4377" s="129"/>
    </row>
    <row r="4378" spans="2:7" x14ac:dyDescent="0.2">
      <c r="B4378" s="129"/>
      <c r="C4378" s="129"/>
      <c r="D4378" s="129"/>
      <c r="E4378" s="129"/>
      <c r="F4378" s="129"/>
      <c r="G4378" s="129"/>
    </row>
    <row r="4379" spans="2:7" x14ac:dyDescent="0.2">
      <c r="B4379" s="129"/>
      <c r="C4379" s="129"/>
      <c r="D4379" s="129"/>
      <c r="E4379" s="129"/>
      <c r="F4379" s="129"/>
      <c r="G4379" s="129"/>
    </row>
    <row r="4380" spans="2:7" x14ac:dyDescent="0.2">
      <c r="B4380" s="129"/>
      <c r="C4380" s="129"/>
      <c r="D4380" s="129"/>
      <c r="E4380" s="129"/>
      <c r="F4380" s="129"/>
      <c r="G4380" s="129"/>
    </row>
    <row r="4381" spans="2:7" x14ac:dyDescent="0.2">
      <c r="B4381" s="129"/>
      <c r="C4381" s="129"/>
      <c r="D4381" s="129"/>
      <c r="E4381" s="129"/>
      <c r="F4381" s="129"/>
      <c r="G4381" s="129"/>
    </row>
    <row r="4382" spans="2:7" x14ac:dyDescent="0.2">
      <c r="B4382" s="129"/>
      <c r="C4382" s="129"/>
      <c r="D4382" s="129"/>
      <c r="E4382" s="129"/>
      <c r="F4382" s="129"/>
      <c r="G4382" s="129"/>
    </row>
    <row r="4383" spans="2:7" x14ac:dyDescent="0.2">
      <c r="B4383" s="129"/>
      <c r="C4383" s="129"/>
      <c r="D4383" s="129"/>
      <c r="E4383" s="129"/>
      <c r="F4383" s="129"/>
      <c r="G4383" s="129"/>
    </row>
    <row r="4384" spans="2:7" x14ac:dyDescent="0.2">
      <c r="B4384" s="129"/>
      <c r="C4384" s="129"/>
      <c r="D4384" s="129"/>
      <c r="E4384" s="129"/>
      <c r="F4384" s="129"/>
      <c r="G4384" s="129"/>
    </row>
    <row r="4385" spans="2:7" x14ac:dyDescent="0.2">
      <c r="B4385" s="129"/>
      <c r="C4385" s="129"/>
      <c r="D4385" s="129"/>
      <c r="E4385" s="129"/>
      <c r="F4385" s="129"/>
      <c r="G4385" s="129"/>
    </row>
    <row r="4386" spans="2:7" x14ac:dyDescent="0.2">
      <c r="B4386" s="129"/>
      <c r="C4386" s="129"/>
      <c r="D4386" s="129"/>
      <c r="E4386" s="129"/>
      <c r="F4386" s="129"/>
      <c r="G4386" s="129"/>
    </row>
    <row r="4387" spans="2:7" x14ac:dyDescent="0.2">
      <c r="B4387" s="129"/>
      <c r="C4387" s="129"/>
      <c r="D4387" s="129"/>
      <c r="E4387" s="129"/>
      <c r="F4387" s="129"/>
      <c r="G4387" s="129"/>
    </row>
    <row r="4388" spans="2:7" x14ac:dyDescent="0.2">
      <c r="B4388" s="129"/>
      <c r="C4388" s="129"/>
      <c r="D4388" s="129"/>
      <c r="E4388" s="129"/>
      <c r="F4388" s="129"/>
      <c r="G4388" s="129"/>
    </row>
    <row r="4389" spans="2:7" x14ac:dyDescent="0.2">
      <c r="B4389" s="129"/>
      <c r="C4389" s="129"/>
      <c r="D4389" s="129"/>
      <c r="E4389" s="129"/>
      <c r="F4389" s="129"/>
      <c r="G4389" s="129"/>
    </row>
    <row r="4390" spans="2:7" x14ac:dyDescent="0.2">
      <c r="B4390" s="129"/>
      <c r="C4390" s="129"/>
      <c r="D4390" s="129"/>
      <c r="E4390" s="129"/>
      <c r="F4390" s="129"/>
      <c r="G4390" s="129"/>
    </row>
    <row r="4391" spans="2:7" x14ac:dyDescent="0.2">
      <c r="B4391" s="129"/>
      <c r="C4391" s="129"/>
      <c r="D4391" s="129"/>
      <c r="E4391" s="129"/>
      <c r="F4391" s="129"/>
      <c r="G4391" s="129"/>
    </row>
    <row r="4392" spans="2:7" x14ac:dyDescent="0.2">
      <c r="B4392" s="129"/>
      <c r="C4392" s="129"/>
      <c r="D4392" s="129"/>
      <c r="E4392" s="129"/>
      <c r="F4392" s="129"/>
      <c r="G4392" s="129"/>
    </row>
    <row r="4393" spans="2:7" x14ac:dyDescent="0.2">
      <c r="B4393" s="129"/>
      <c r="C4393" s="129"/>
      <c r="D4393" s="129"/>
      <c r="E4393" s="129"/>
      <c r="F4393" s="129"/>
      <c r="G4393" s="129"/>
    </row>
    <row r="4394" spans="2:7" x14ac:dyDescent="0.2">
      <c r="B4394" s="129"/>
      <c r="C4394" s="129"/>
      <c r="D4394" s="129"/>
      <c r="E4394" s="129"/>
      <c r="F4394" s="129"/>
      <c r="G4394" s="129"/>
    </row>
    <row r="4395" spans="2:7" x14ac:dyDescent="0.2">
      <c r="B4395" s="129"/>
      <c r="C4395" s="129"/>
      <c r="D4395" s="129"/>
      <c r="E4395" s="129"/>
      <c r="F4395" s="129"/>
      <c r="G4395" s="129"/>
    </row>
    <row r="4396" spans="2:7" x14ac:dyDescent="0.2">
      <c r="B4396" s="129"/>
      <c r="C4396" s="129"/>
      <c r="D4396" s="129"/>
      <c r="E4396" s="129"/>
      <c r="F4396" s="129"/>
      <c r="G4396" s="129"/>
    </row>
    <row r="4397" spans="2:7" x14ac:dyDescent="0.2">
      <c r="B4397" s="129"/>
      <c r="C4397" s="129"/>
      <c r="D4397" s="129"/>
      <c r="E4397" s="129"/>
      <c r="F4397" s="129"/>
      <c r="G4397" s="129"/>
    </row>
    <row r="4398" spans="2:7" x14ac:dyDescent="0.2">
      <c r="B4398" s="129"/>
      <c r="C4398" s="129"/>
      <c r="D4398" s="129"/>
      <c r="E4398" s="129"/>
      <c r="F4398" s="129"/>
      <c r="G4398" s="129"/>
    </row>
    <row r="4399" spans="2:7" x14ac:dyDescent="0.2">
      <c r="B4399" s="129"/>
      <c r="C4399" s="129"/>
      <c r="D4399" s="129"/>
      <c r="E4399" s="129"/>
      <c r="F4399" s="129"/>
      <c r="G4399" s="129"/>
    </row>
    <row r="4400" spans="2:7" x14ac:dyDescent="0.2">
      <c r="B4400" s="129"/>
      <c r="C4400" s="129"/>
      <c r="D4400" s="129"/>
      <c r="E4400" s="129"/>
      <c r="F4400" s="129"/>
      <c r="G4400" s="129"/>
    </row>
    <row r="4401" spans="2:7" x14ac:dyDescent="0.2">
      <c r="B4401" s="129"/>
      <c r="C4401" s="129"/>
      <c r="D4401" s="129"/>
      <c r="E4401" s="129"/>
      <c r="F4401" s="129"/>
      <c r="G4401" s="129"/>
    </row>
    <row r="4402" spans="2:7" x14ac:dyDescent="0.2">
      <c r="B4402" s="129"/>
      <c r="C4402" s="129"/>
      <c r="D4402" s="129"/>
      <c r="E4402" s="129"/>
      <c r="F4402" s="129"/>
      <c r="G4402" s="129"/>
    </row>
    <row r="4403" spans="2:7" x14ac:dyDescent="0.2">
      <c r="B4403" s="129"/>
      <c r="C4403" s="129"/>
      <c r="D4403" s="129"/>
      <c r="E4403" s="129"/>
      <c r="F4403" s="129"/>
      <c r="G4403" s="129"/>
    </row>
    <row r="4404" spans="2:7" x14ac:dyDescent="0.2">
      <c r="B4404" s="129"/>
      <c r="C4404" s="129"/>
      <c r="D4404" s="129"/>
      <c r="E4404" s="129"/>
      <c r="F4404" s="129"/>
      <c r="G4404" s="129"/>
    </row>
    <row r="4405" spans="2:7" x14ac:dyDescent="0.2">
      <c r="B4405" s="129"/>
      <c r="C4405" s="129"/>
      <c r="D4405" s="129"/>
      <c r="E4405" s="129"/>
      <c r="F4405" s="129"/>
      <c r="G4405" s="129"/>
    </row>
    <row r="4406" spans="2:7" x14ac:dyDescent="0.2">
      <c r="B4406" s="129"/>
      <c r="C4406" s="129"/>
      <c r="D4406" s="129"/>
      <c r="E4406" s="129"/>
      <c r="F4406" s="129"/>
      <c r="G4406" s="129"/>
    </row>
    <row r="4407" spans="2:7" x14ac:dyDescent="0.2">
      <c r="B4407" s="129"/>
      <c r="C4407" s="129"/>
      <c r="D4407" s="129"/>
      <c r="E4407" s="129"/>
      <c r="F4407" s="129"/>
      <c r="G4407" s="129"/>
    </row>
    <row r="4408" spans="2:7" x14ac:dyDescent="0.2">
      <c r="B4408" s="129"/>
      <c r="C4408" s="129"/>
      <c r="D4408" s="129"/>
      <c r="E4408" s="129"/>
      <c r="F4408" s="129"/>
      <c r="G4408" s="129"/>
    </row>
    <row r="4409" spans="2:7" x14ac:dyDescent="0.2">
      <c r="B4409" s="129"/>
      <c r="C4409" s="129"/>
      <c r="D4409" s="129"/>
      <c r="E4409" s="129"/>
      <c r="F4409" s="129"/>
      <c r="G4409" s="129"/>
    </row>
    <row r="4410" spans="2:7" x14ac:dyDescent="0.2">
      <c r="B4410" s="129"/>
      <c r="C4410" s="129"/>
      <c r="D4410" s="129"/>
      <c r="E4410" s="129"/>
      <c r="F4410" s="129"/>
      <c r="G4410" s="129"/>
    </row>
    <row r="4411" spans="2:7" x14ac:dyDescent="0.2">
      <c r="B4411" s="129"/>
      <c r="C4411" s="129"/>
      <c r="D4411" s="129"/>
      <c r="E4411" s="129"/>
      <c r="F4411" s="129"/>
      <c r="G4411" s="129"/>
    </row>
    <row r="4412" spans="2:7" x14ac:dyDescent="0.2">
      <c r="B4412" s="129"/>
      <c r="C4412" s="129"/>
      <c r="D4412" s="129"/>
      <c r="E4412" s="129"/>
      <c r="F4412" s="129"/>
      <c r="G4412" s="129"/>
    </row>
    <row r="4413" spans="2:7" x14ac:dyDescent="0.2">
      <c r="B4413" s="129"/>
      <c r="C4413" s="129"/>
      <c r="D4413" s="129"/>
      <c r="E4413" s="129"/>
      <c r="F4413" s="129"/>
      <c r="G4413" s="129"/>
    </row>
    <row r="4414" spans="2:7" x14ac:dyDescent="0.2">
      <c r="B4414" s="129"/>
      <c r="C4414" s="129"/>
      <c r="D4414" s="129"/>
      <c r="E4414" s="129"/>
      <c r="F4414" s="129"/>
      <c r="G4414" s="129"/>
    </row>
    <row r="4415" spans="2:7" x14ac:dyDescent="0.2">
      <c r="B4415" s="129"/>
      <c r="C4415" s="129"/>
      <c r="D4415" s="129"/>
      <c r="E4415" s="129"/>
      <c r="F4415" s="129"/>
      <c r="G4415" s="129"/>
    </row>
    <row r="4416" spans="2:7" x14ac:dyDescent="0.2">
      <c r="B4416" s="129"/>
      <c r="C4416" s="129"/>
      <c r="D4416" s="129"/>
      <c r="E4416" s="129"/>
      <c r="F4416" s="129"/>
      <c r="G4416" s="129"/>
    </row>
    <row r="4417" spans="2:7" x14ac:dyDescent="0.2">
      <c r="B4417" s="129"/>
      <c r="C4417" s="129"/>
      <c r="D4417" s="129"/>
      <c r="E4417" s="129"/>
      <c r="F4417" s="129"/>
      <c r="G4417" s="129"/>
    </row>
    <row r="4418" spans="2:7" x14ac:dyDescent="0.2">
      <c r="B4418" s="129"/>
      <c r="C4418" s="129"/>
      <c r="D4418" s="129"/>
      <c r="E4418" s="129"/>
      <c r="F4418" s="129"/>
      <c r="G4418" s="129"/>
    </row>
    <row r="4419" spans="2:7" x14ac:dyDescent="0.2">
      <c r="B4419" s="129"/>
      <c r="C4419" s="129"/>
      <c r="D4419" s="129"/>
      <c r="E4419" s="129"/>
      <c r="F4419" s="129"/>
      <c r="G4419" s="129"/>
    </row>
    <row r="4420" spans="2:7" x14ac:dyDescent="0.2">
      <c r="B4420" s="129"/>
      <c r="C4420" s="129"/>
      <c r="D4420" s="129"/>
      <c r="E4420" s="129"/>
      <c r="F4420" s="129"/>
      <c r="G4420" s="129"/>
    </row>
    <row r="4421" spans="2:7" x14ac:dyDescent="0.2">
      <c r="B4421" s="129"/>
      <c r="C4421" s="129"/>
      <c r="D4421" s="129"/>
      <c r="E4421" s="129"/>
      <c r="F4421" s="129"/>
      <c r="G4421" s="129"/>
    </row>
    <row r="4422" spans="2:7" x14ac:dyDescent="0.2">
      <c r="B4422" s="129"/>
      <c r="C4422" s="129"/>
      <c r="D4422" s="129"/>
      <c r="E4422" s="129"/>
      <c r="F4422" s="129"/>
      <c r="G4422" s="129"/>
    </row>
    <row r="4423" spans="2:7" x14ac:dyDescent="0.2">
      <c r="B4423" s="129"/>
      <c r="C4423" s="129"/>
      <c r="D4423" s="129"/>
      <c r="E4423" s="129"/>
      <c r="F4423" s="129"/>
      <c r="G4423" s="129"/>
    </row>
    <row r="4424" spans="2:7" x14ac:dyDescent="0.2">
      <c r="B4424" s="129"/>
      <c r="C4424" s="129"/>
      <c r="D4424" s="129"/>
      <c r="E4424" s="129"/>
      <c r="F4424" s="129"/>
      <c r="G4424" s="129"/>
    </row>
    <row r="4425" spans="2:7" x14ac:dyDescent="0.2">
      <c r="B4425" s="129"/>
      <c r="C4425" s="129"/>
      <c r="D4425" s="129"/>
      <c r="E4425" s="129"/>
      <c r="F4425" s="129"/>
      <c r="G4425" s="129"/>
    </row>
    <row r="4426" spans="2:7" x14ac:dyDescent="0.2">
      <c r="B4426" s="129"/>
      <c r="C4426" s="129"/>
      <c r="D4426" s="129"/>
      <c r="E4426" s="129"/>
      <c r="F4426" s="129"/>
      <c r="G4426" s="129"/>
    </row>
    <row r="4427" spans="2:7" x14ac:dyDescent="0.2">
      <c r="B4427" s="129"/>
      <c r="C4427" s="129"/>
      <c r="D4427" s="129"/>
      <c r="E4427" s="129"/>
      <c r="F4427" s="129"/>
      <c r="G4427" s="129"/>
    </row>
    <row r="4428" spans="2:7" x14ac:dyDescent="0.2">
      <c r="B4428" s="129"/>
      <c r="C4428" s="129"/>
      <c r="D4428" s="129"/>
      <c r="E4428" s="129"/>
      <c r="F4428" s="129"/>
      <c r="G4428" s="129"/>
    </row>
    <row r="4429" spans="2:7" x14ac:dyDescent="0.2">
      <c r="B4429" s="129"/>
      <c r="C4429" s="129"/>
      <c r="D4429" s="129"/>
      <c r="E4429" s="129"/>
      <c r="F4429" s="129"/>
      <c r="G4429" s="129"/>
    </row>
    <row r="4430" spans="2:7" x14ac:dyDescent="0.2">
      <c r="B4430" s="129"/>
      <c r="C4430" s="129"/>
      <c r="D4430" s="129"/>
      <c r="E4430" s="129"/>
      <c r="F4430" s="129"/>
      <c r="G4430" s="129"/>
    </row>
    <row r="4431" spans="2:7" x14ac:dyDescent="0.2">
      <c r="B4431" s="129"/>
      <c r="C4431" s="129"/>
      <c r="D4431" s="129"/>
      <c r="E4431" s="129"/>
      <c r="F4431" s="129"/>
      <c r="G4431" s="129"/>
    </row>
    <row r="4432" spans="2:7" x14ac:dyDescent="0.2">
      <c r="B4432" s="129"/>
      <c r="C4432" s="129"/>
      <c r="D4432" s="129"/>
      <c r="E4432" s="129"/>
      <c r="F4432" s="129"/>
      <c r="G4432" s="129"/>
    </row>
    <row r="4433" spans="2:7" x14ac:dyDescent="0.2">
      <c r="B4433" s="129"/>
      <c r="C4433" s="129"/>
      <c r="D4433" s="129"/>
      <c r="E4433" s="129"/>
      <c r="F4433" s="129"/>
      <c r="G4433" s="129"/>
    </row>
    <row r="4434" spans="2:7" x14ac:dyDescent="0.2">
      <c r="B4434" s="129"/>
      <c r="C4434" s="129"/>
      <c r="D4434" s="129"/>
      <c r="E4434" s="129"/>
      <c r="F4434" s="129"/>
      <c r="G4434" s="129"/>
    </row>
    <row r="4435" spans="2:7" x14ac:dyDescent="0.2">
      <c r="B4435" s="129"/>
      <c r="C4435" s="129"/>
      <c r="D4435" s="129"/>
      <c r="E4435" s="129"/>
      <c r="F4435" s="129"/>
      <c r="G4435" s="129"/>
    </row>
    <row r="4436" spans="2:7" x14ac:dyDescent="0.2">
      <c r="B4436" s="129"/>
      <c r="C4436" s="129"/>
      <c r="D4436" s="129"/>
      <c r="E4436" s="129"/>
      <c r="F4436" s="129"/>
      <c r="G4436" s="129"/>
    </row>
    <row r="4437" spans="2:7" x14ac:dyDescent="0.2">
      <c r="B4437" s="129"/>
      <c r="C4437" s="129"/>
      <c r="D4437" s="129"/>
      <c r="E4437" s="129"/>
      <c r="F4437" s="129"/>
      <c r="G4437" s="129"/>
    </row>
    <row r="4438" spans="2:7" x14ac:dyDescent="0.2">
      <c r="B4438" s="129"/>
      <c r="C4438" s="129"/>
      <c r="D4438" s="129"/>
      <c r="E4438" s="129"/>
      <c r="F4438" s="129"/>
      <c r="G4438" s="129"/>
    </row>
    <row r="4439" spans="2:7" x14ac:dyDescent="0.2">
      <c r="B4439" s="129"/>
      <c r="C4439" s="129"/>
      <c r="D4439" s="129"/>
      <c r="E4439" s="129"/>
      <c r="F4439" s="129"/>
      <c r="G4439" s="129"/>
    </row>
    <row r="4440" spans="2:7" x14ac:dyDescent="0.2">
      <c r="B4440" s="129"/>
      <c r="C4440" s="129"/>
      <c r="D4440" s="129"/>
      <c r="E4440" s="129"/>
      <c r="F4440" s="129"/>
      <c r="G4440" s="129"/>
    </row>
    <row r="4441" spans="2:7" x14ac:dyDescent="0.2">
      <c r="B4441" s="129"/>
      <c r="C4441" s="129"/>
      <c r="D4441" s="129"/>
      <c r="E4441" s="129"/>
      <c r="F4441" s="129"/>
      <c r="G4441" s="129"/>
    </row>
    <row r="4442" spans="2:7" x14ac:dyDescent="0.2">
      <c r="B4442" s="129"/>
      <c r="C4442" s="129"/>
      <c r="D4442" s="129"/>
      <c r="E4442" s="129"/>
      <c r="F4442" s="129"/>
      <c r="G4442" s="129"/>
    </row>
    <row r="4443" spans="2:7" x14ac:dyDescent="0.2">
      <c r="B4443" s="129"/>
      <c r="C4443" s="129"/>
      <c r="D4443" s="129"/>
      <c r="E4443" s="129"/>
      <c r="F4443" s="129"/>
      <c r="G4443" s="129"/>
    </row>
    <row r="4444" spans="2:7" x14ac:dyDescent="0.2">
      <c r="B4444" s="129"/>
      <c r="C4444" s="129"/>
      <c r="D4444" s="129"/>
      <c r="E4444" s="129"/>
      <c r="F4444" s="129"/>
      <c r="G4444" s="129"/>
    </row>
    <row r="4445" spans="2:7" x14ac:dyDescent="0.2">
      <c r="B4445" s="129"/>
      <c r="C4445" s="129"/>
      <c r="D4445" s="129"/>
      <c r="E4445" s="129"/>
      <c r="F4445" s="129"/>
      <c r="G4445" s="129"/>
    </row>
    <row r="4446" spans="2:7" x14ac:dyDescent="0.2">
      <c r="B4446" s="129"/>
      <c r="C4446" s="129"/>
      <c r="D4446" s="129"/>
      <c r="E4446" s="129"/>
      <c r="F4446" s="129"/>
      <c r="G4446" s="129"/>
    </row>
    <row r="4447" spans="2:7" x14ac:dyDescent="0.2">
      <c r="B4447" s="129"/>
      <c r="C4447" s="129"/>
      <c r="D4447" s="129"/>
      <c r="E4447" s="129"/>
      <c r="F4447" s="129"/>
      <c r="G4447" s="129"/>
    </row>
    <row r="4448" spans="2:7" x14ac:dyDescent="0.2">
      <c r="B4448" s="129"/>
      <c r="C4448" s="129"/>
      <c r="D4448" s="129"/>
      <c r="E4448" s="129"/>
      <c r="F4448" s="129"/>
      <c r="G4448" s="129"/>
    </row>
    <row r="4449" spans="2:7" x14ac:dyDescent="0.2">
      <c r="B4449" s="129"/>
      <c r="C4449" s="129"/>
      <c r="D4449" s="129"/>
      <c r="E4449" s="129"/>
      <c r="F4449" s="129"/>
      <c r="G4449" s="129"/>
    </row>
    <row r="4450" spans="2:7" x14ac:dyDescent="0.2">
      <c r="B4450" s="129"/>
      <c r="C4450" s="129"/>
      <c r="D4450" s="129"/>
      <c r="E4450" s="129"/>
      <c r="F4450" s="129"/>
      <c r="G4450" s="129"/>
    </row>
    <row r="4451" spans="2:7" x14ac:dyDescent="0.2">
      <c r="B4451" s="129"/>
      <c r="C4451" s="129"/>
      <c r="D4451" s="129"/>
      <c r="E4451" s="129"/>
      <c r="F4451" s="129"/>
      <c r="G4451" s="129"/>
    </row>
    <row r="4452" spans="2:7" x14ac:dyDescent="0.2">
      <c r="B4452" s="129"/>
      <c r="C4452" s="129"/>
      <c r="D4452" s="129"/>
      <c r="E4452" s="129"/>
      <c r="F4452" s="129"/>
      <c r="G4452" s="129"/>
    </row>
    <row r="4453" spans="2:7" x14ac:dyDescent="0.2">
      <c r="B4453" s="129"/>
      <c r="C4453" s="129"/>
      <c r="D4453" s="129"/>
      <c r="E4453" s="129"/>
      <c r="F4453" s="129"/>
      <c r="G4453" s="129"/>
    </row>
    <row r="4454" spans="2:7" x14ac:dyDescent="0.2">
      <c r="B4454" s="129"/>
      <c r="C4454" s="129"/>
      <c r="D4454" s="129"/>
      <c r="E4454" s="129"/>
      <c r="F4454" s="129"/>
      <c r="G4454" s="129"/>
    </row>
    <row r="4455" spans="2:7" x14ac:dyDescent="0.2">
      <c r="B4455" s="129"/>
      <c r="C4455" s="129"/>
      <c r="D4455" s="129"/>
      <c r="E4455" s="129"/>
      <c r="F4455" s="129"/>
      <c r="G4455" s="129"/>
    </row>
    <row r="4456" spans="2:7" x14ac:dyDescent="0.2">
      <c r="B4456" s="129"/>
      <c r="C4456" s="129"/>
      <c r="D4456" s="129"/>
      <c r="E4456" s="129"/>
      <c r="F4456" s="129"/>
      <c r="G4456" s="129"/>
    </row>
    <row r="4457" spans="2:7" x14ac:dyDescent="0.2">
      <c r="B4457" s="129"/>
      <c r="C4457" s="129"/>
      <c r="D4457" s="129"/>
      <c r="E4457" s="129"/>
      <c r="F4457" s="129"/>
      <c r="G4457" s="129"/>
    </row>
    <row r="4458" spans="2:7" x14ac:dyDescent="0.2">
      <c r="B4458" s="129"/>
      <c r="C4458" s="129"/>
      <c r="D4458" s="129"/>
      <c r="E4458" s="129"/>
      <c r="F4458" s="129"/>
      <c r="G4458" s="129"/>
    </row>
    <row r="4459" spans="2:7" x14ac:dyDescent="0.2">
      <c r="B4459" s="129"/>
      <c r="C4459" s="129"/>
      <c r="D4459" s="129"/>
      <c r="E4459" s="129"/>
      <c r="F4459" s="129"/>
      <c r="G4459" s="129"/>
    </row>
    <row r="4460" spans="2:7" x14ac:dyDescent="0.2">
      <c r="B4460" s="129"/>
      <c r="C4460" s="129"/>
      <c r="D4460" s="129"/>
      <c r="E4460" s="129"/>
      <c r="F4460" s="129"/>
      <c r="G4460" s="129"/>
    </row>
    <row r="4461" spans="2:7" x14ac:dyDescent="0.2">
      <c r="B4461" s="129"/>
      <c r="C4461" s="129"/>
      <c r="D4461" s="129"/>
      <c r="E4461" s="129"/>
      <c r="F4461" s="129"/>
      <c r="G4461" s="129"/>
    </row>
    <row r="4462" spans="2:7" x14ac:dyDescent="0.2">
      <c r="B4462" s="129"/>
      <c r="C4462" s="129"/>
      <c r="D4462" s="129"/>
      <c r="E4462" s="129"/>
      <c r="F4462" s="129"/>
      <c r="G4462" s="129"/>
    </row>
    <row r="4463" spans="2:7" x14ac:dyDescent="0.2">
      <c r="B4463" s="129"/>
      <c r="C4463" s="129"/>
      <c r="D4463" s="129"/>
      <c r="E4463" s="129"/>
      <c r="F4463" s="129"/>
      <c r="G4463" s="129"/>
    </row>
    <row r="4464" spans="2:7" x14ac:dyDescent="0.2">
      <c r="B4464" s="129"/>
      <c r="C4464" s="129"/>
      <c r="D4464" s="129"/>
      <c r="E4464" s="129"/>
      <c r="F4464" s="129"/>
      <c r="G4464" s="129"/>
    </row>
    <row r="4465" spans="2:7" x14ac:dyDescent="0.2">
      <c r="B4465" s="129"/>
      <c r="C4465" s="129"/>
      <c r="D4465" s="129"/>
      <c r="E4465" s="129"/>
      <c r="F4465" s="129"/>
      <c r="G4465" s="129"/>
    </row>
    <row r="4466" spans="2:7" x14ac:dyDescent="0.2">
      <c r="B4466" s="129"/>
      <c r="C4466" s="129"/>
      <c r="D4466" s="129"/>
      <c r="E4466" s="129"/>
      <c r="F4466" s="129"/>
      <c r="G4466" s="129"/>
    </row>
    <row r="4467" spans="2:7" x14ac:dyDescent="0.2">
      <c r="B4467" s="129"/>
      <c r="C4467" s="129"/>
      <c r="D4467" s="129"/>
      <c r="E4467" s="129"/>
      <c r="F4467" s="129"/>
      <c r="G4467" s="129"/>
    </row>
    <row r="4468" spans="2:7" x14ac:dyDescent="0.2">
      <c r="B4468" s="129"/>
      <c r="C4468" s="129"/>
      <c r="D4468" s="129"/>
      <c r="E4468" s="129"/>
      <c r="F4468" s="129"/>
      <c r="G4468" s="129"/>
    </row>
    <row r="4469" spans="2:7" x14ac:dyDescent="0.2">
      <c r="B4469" s="129"/>
      <c r="C4469" s="129"/>
      <c r="D4469" s="129"/>
      <c r="E4469" s="129"/>
      <c r="F4469" s="129"/>
      <c r="G4469" s="129"/>
    </row>
    <row r="4470" spans="2:7" x14ac:dyDescent="0.2">
      <c r="B4470" s="129"/>
      <c r="C4470" s="129"/>
      <c r="D4470" s="129"/>
      <c r="E4470" s="129"/>
      <c r="F4470" s="129"/>
      <c r="G4470" s="129"/>
    </row>
    <row r="4471" spans="2:7" x14ac:dyDescent="0.2">
      <c r="B4471" s="129"/>
      <c r="C4471" s="129"/>
      <c r="D4471" s="129"/>
      <c r="E4471" s="129"/>
      <c r="F4471" s="129"/>
      <c r="G4471" s="129"/>
    </row>
    <row r="4472" spans="2:7" x14ac:dyDescent="0.2">
      <c r="B4472" s="129"/>
      <c r="C4472" s="129"/>
      <c r="D4472" s="129"/>
      <c r="E4472" s="129"/>
      <c r="F4472" s="129"/>
      <c r="G4472" s="129"/>
    </row>
    <row r="4473" spans="2:7" x14ac:dyDescent="0.2">
      <c r="B4473" s="129"/>
      <c r="C4473" s="129"/>
      <c r="D4473" s="129"/>
      <c r="E4473" s="129"/>
      <c r="F4473" s="129"/>
      <c r="G4473" s="129"/>
    </row>
    <row r="4474" spans="2:7" x14ac:dyDescent="0.2">
      <c r="B4474" s="129"/>
      <c r="C4474" s="129"/>
      <c r="D4474" s="129"/>
      <c r="E4474" s="129"/>
      <c r="F4474" s="129"/>
      <c r="G4474" s="129"/>
    </row>
    <row r="4475" spans="2:7" x14ac:dyDescent="0.2">
      <c r="B4475" s="129"/>
      <c r="C4475" s="129"/>
      <c r="D4475" s="129"/>
      <c r="E4475" s="129"/>
      <c r="F4475" s="129"/>
      <c r="G4475" s="129"/>
    </row>
    <row r="4476" spans="2:7" x14ac:dyDescent="0.2">
      <c r="B4476" s="129"/>
      <c r="C4476" s="129"/>
      <c r="D4476" s="129"/>
      <c r="E4476" s="129"/>
      <c r="F4476" s="129"/>
      <c r="G4476" s="129"/>
    </row>
    <row r="4477" spans="2:7" x14ac:dyDescent="0.2">
      <c r="B4477" s="129"/>
      <c r="C4477" s="129"/>
      <c r="D4477" s="129"/>
      <c r="E4477" s="129"/>
      <c r="F4477" s="129"/>
      <c r="G4477" s="129"/>
    </row>
    <row r="4478" spans="2:7" x14ac:dyDescent="0.2">
      <c r="B4478" s="129"/>
      <c r="C4478" s="129"/>
      <c r="D4478" s="129"/>
      <c r="E4478" s="129"/>
      <c r="F4478" s="129"/>
      <c r="G4478" s="129"/>
    </row>
    <row r="4479" spans="2:7" x14ac:dyDescent="0.2">
      <c r="B4479" s="129"/>
      <c r="C4479" s="129"/>
      <c r="D4479" s="129"/>
      <c r="E4479" s="129"/>
      <c r="F4479" s="129"/>
      <c r="G4479" s="129"/>
    </row>
    <row r="4480" spans="2:7" x14ac:dyDescent="0.2">
      <c r="B4480" s="129"/>
      <c r="C4480" s="129"/>
      <c r="D4480" s="129"/>
      <c r="E4480" s="129"/>
      <c r="F4480" s="129"/>
      <c r="G4480" s="129"/>
    </row>
    <row r="4481" spans="2:7" x14ac:dyDescent="0.2">
      <c r="B4481" s="129"/>
      <c r="C4481" s="129"/>
      <c r="D4481" s="129"/>
      <c r="E4481" s="129"/>
      <c r="F4481" s="129"/>
      <c r="G4481" s="129"/>
    </row>
    <row r="4482" spans="2:7" x14ac:dyDescent="0.2">
      <c r="B4482" s="129"/>
      <c r="C4482" s="129"/>
      <c r="D4482" s="129"/>
      <c r="E4482" s="129"/>
      <c r="F4482" s="129"/>
      <c r="G4482" s="129"/>
    </row>
    <row r="4483" spans="2:7" x14ac:dyDescent="0.2">
      <c r="B4483" s="129"/>
      <c r="C4483" s="129"/>
      <c r="D4483" s="129"/>
      <c r="E4483" s="129"/>
      <c r="F4483" s="129"/>
      <c r="G4483" s="129"/>
    </row>
    <row r="4484" spans="2:7" x14ac:dyDescent="0.2">
      <c r="B4484" s="129"/>
      <c r="C4484" s="129"/>
      <c r="D4484" s="129"/>
      <c r="E4484" s="129"/>
      <c r="F4484" s="129"/>
      <c r="G4484" s="129"/>
    </row>
    <row r="4485" spans="2:7" x14ac:dyDescent="0.2">
      <c r="B4485" s="129"/>
      <c r="C4485" s="129"/>
      <c r="D4485" s="129"/>
      <c r="E4485" s="129"/>
      <c r="F4485" s="129"/>
      <c r="G4485" s="129"/>
    </row>
    <row r="4486" spans="2:7" x14ac:dyDescent="0.2">
      <c r="B4486" s="129"/>
      <c r="C4486" s="129"/>
      <c r="D4486" s="129"/>
      <c r="E4486" s="129"/>
      <c r="F4486" s="129"/>
      <c r="G4486" s="129"/>
    </row>
    <row r="4487" spans="2:7" x14ac:dyDescent="0.2">
      <c r="B4487" s="129"/>
      <c r="C4487" s="129"/>
      <c r="D4487" s="129"/>
      <c r="E4487" s="129"/>
      <c r="F4487" s="129"/>
      <c r="G4487" s="129"/>
    </row>
    <row r="4488" spans="2:7" x14ac:dyDescent="0.2">
      <c r="B4488" s="129"/>
      <c r="C4488" s="129"/>
      <c r="D4488" s="129"/>
      <c r="E4488" s="129"/>
      <c r="F4488" s="129"/>
      <c r="G4488" s="129"/>
    </row>
    <row r="4489" spans="2:7" x14ac:dyDescent="0.2">
      <c r="B4489" s="129"/>
      <c r="C4489" s="129"/>
      <c r="D4489" s="129"/>
      <c r="E4489" s="129"/>
      <c r="F4489" s="129"/>
      <c r="G4489" s="129"/>
    </row>
    <row r="4490" spans="2:7" x14ac:dyDescent="0.2">
      <c r="B4490" s="129"/>
      <c r="C4490" s="129"/>
      <c r="D4490" s="129"/>
      <c r="E4490" s="129"/>
      <c r="F4490" s="129"/>
      <c r="G4490" s="129"/>
    </row>
    <row r="4491" spans="2:7" x14ac:dyDescent="0.2">
      <c r="B4491" s="129"/>
      <c r="C4491" s="129"/>
      <c r="D4491" s="129"/>
      <c r="E4491" s="129"/>
      <c r="F4491" s="129"/>
      <c r="G4491" s="129"/>
    </row>
    <row r="4492" spans="2:7" x14ac:dyDescent="0.2">
      <c r="B4492" s="129"/>
      <c r="C4492" s="129"/>
      <c r="D4492" s="129"/>
      <c r="E4492" s="129"/>
      <c r="F4492" s="129"/>
      <c r="G4492" s="129"/>
    </row>
    <row r="4493" spans="2:7" x14ac:dyDescent="0.2">
      <c r="B4493" s="129"/>
      <c r="C4493" s="129"/>
      <c r="D4493" s="129"/>
      <c r="E4493" s="129"/>
      <c r="F4493" s="129"/>
      <c r="G4493" s="129"/>
    </row>
    <row r="4494" spans="2:7" x14ac:dyDescent="0.2">
      <c r="B4494" s="129"/>
      <c r="C4494" s="129"/>
      <c r="D4494" s="129"/>
      <c r="E4494" s="129"/>
      <c r="F4494" s="129"/>
      <c r="G4494" s="129"/>
    </row>
    <row r="4495" spans="2:7" x14ac:dyDescent="0.2">
      <c r="B4495" s="129"/>
      <c r="C4495" s="129"/>
      <c r="D4495" s="129"/>
      <c r="E4495" s="129"/>
      <c r="F4495" s="129"/>
      <c r="G4495" s="129"/>
    </row>
    <row r="4496" spans="2:7" x14ac:dyDescent="0.2">
      <c r="B4496" s="129"/>
      <c r="C4496" s="129"/>
      <c r="D4496" s="129"/>
      <c r="E4496" s="129"/>
      <c r="F4496" s="129"/>
      <c r="G4496" s="129"/>
    </row>
    <row r="4497" spans="2:7" x14ac:dyDescent="0.2">
      <c r="B4497" s="129"/>
      <c r="C4497" s="129"/>
      <c r="D4497" s="129"/>
      <c r="E4497" s="129"/>
      <c r="F4497" s="129"/>
      <c r="G4497" s="129"/>
    </row>
    <row r="4498" spans="2:7" x14ac:dyDescent="0.2">
      <c r="B4498" s="129"/>
      <c r="C4498" s="129"/>
      <c r="D4498" s="129"/>
      <c r="E4498" s="129"/>
      <c r="F4498" s="129"/>
      <c r="G4498" s="129"/>
    </row>
    <row r="4499" spans="2:7" x14ac:dyDescent="0.2">
      <c r="B4499" s="129"/>
      <c r="C4499" s="129"/>
      <c r="D4499" s="129"/>
      <c r="E4499" s="129"/>
      <c r="F4499" s="129"/>
      <c r="G4499" s="129"/>
    </row>
    <row r="4500" spans="2:7" x14ac:dyDescent="0.2">
      <c r="B4500" s="129"/>
      <c r="C4500" s="129"/>
      <c r="D4500" s="129"/>
      <c r="E4500" s="129"/>
      <c r="F4500" s="129"/>
      <c r="G4500" s="129"/>
    </row>
    <row r="4501" spans="2:7" x14ac:dyDescent="0.2">
      <c r="B4501" s="129"/>
      <c r="C4501" s="129"/>
      <c r="D4501" s="129"/>
      <c r="E4501" s="129"/>
      <c r="F4501" s="129"/>
      <c r="G4501" s="129"/>
    </row>
    <row r="4502" spans="2:7" x14ac:dyDescent="0.2">
      <c r="B4502" s="129"/>
      <c r="C4502" s="129"/>
      <c r="D4502" s="129"/>
      <c r="E4502" s="129"/>
      <c r="F4502" s="129"/>
      <c r="G4502" s="129"/>
    </row>
    <row r="4503" spans="2:7" x14ac:dyDescent="0.2">
      <c r="B4503" s="129"/>
      <c r="C4503" s="129"/>
      <c r="D4503" s="129"/>
      <c r="E4503" s="129"/>
      <c r="F4503" s="129"/>
      <c r="G4503" s="129"/>
    </row>
    <row r="4504" spans="2:7" x14ac:dyDescent="0.2">
      <c r="B4504" s="129"/>
      <c r="C4504" s="129"/>
      <c r="D4504" s="129"/>
      <c r="E4504" s="129"/>
      <c r="F4504" s="129"/>
      <c r="G4504" s="129"/>
    </row>
    <row r="4505" spans="2:7" x14ac:dyDescent="0.2">
      <c r="B4505" s="129"/>
      <c r="C4505" s="129"/>
      <c r="D4505" s="129"/>
      <c r="E4505" s="129"/>
      <c r="F4505" s="129"/>
      <c r="G4505" s="129"/>
    </row>
    <row r="4506" spans="2:7" x14ac:dyDescent="0.2">
      <c r="B4506" s="129"/>
      <c r="C4506" s="129"/>
      <c r="D4506" s="129"/>
      <c r="E4506" s="129"/>
      <c r="F4506" s="129"/>
      <c r="G4506" s="129"/>
    </row>
    <row r="4507" spans="2:7" x14ac:dyDescent="0.2">
      <c r="B4507" s="129"/>
      <c r="C4507" s="129"/>
      <c r="D4507" s="129"/>
      <c r="E4507" s="129"/>
      <c r="F4507" s="129"/>
      <c r="G4507" s="129"/>
    </row>
    <row r="4508" spans="2:7" x14ac:dyDescent="0.2">
      <c r="B4508" s="129"/>
      <c r="C4508" s="129"/>
      <c r="D4508" s="129"/>
      <c r="E4508" s="129"/>
      <c r="F4508" s="129"/>
      <c r="G4508" s="129"/>
    </row>
    <row r="4509" spans="2:7" x14ac:dyDescent="0.2">
      <c r="B4509" s="129"/>
      <c r="C4509" s="129"/>
      <c r="D4509" s="129"/>
      <c r="E4509" s="129"/>
      <c r="F4509" s="129"/>
      <c r="G4509" s="129"/>
    </row>
    <row r="4510" spans="2:7" x14ac:dyDescent="0.2">
      <c r="B4510" s="129"/>
      <c r="C4510" s="129"/>
      <c r="D4510" s="129"/>
      <c r="E4510" s="129"/>
      <c r="F4510" s="129"/>
      <c r="G4510" s="129"/>
    </row>
    <row r="4511" spans="2:7" x14ac:dyDescent="0.2">
      <c r="B4511" s="129"/>
      <c r="C4511" s="129"/>
      <c r="D4511" s="129"/>
      <c r="E4511" s="129"/>
      <c r="F4511" s="129"/>
      <c r="G4511" s="129"/>
    </row>
    <row r="4512" spans="2:7" x14ac:dyDescent="0.2">
      <c r="B4512" s="129"/>
      <c r="C4512" s="129"/>
      <c r="D4512" s="129"/>
      <c r="E4512" s="129"/>
      <c r="F4512" s="129"/>
      <c r="G4512" s="129"/>
    </row>
    <row r="4513" spans="2:7" x14ac:dyDescent="0.2">
      <c r="B4513" s="129"/>
      <c r="C4513" s="129"/>
      <c r="D4513" s="129"/>
      <c r="E4513" s="129"/>
      <c r="F4513" s="129"/>
      <c r="G4513" s="129"/>
    </row>
    <row r="4514" spans="2:7" x14ac:dyDescent="0.2">
      <c r="B4514" s="129"/>
      <c r="C4514" s="129"/>
      <c r="D4514" s="129"/>
      <c r="E4514" s="129"/>
      <c r="F4514" s="129"/>
      <c r="G4514" s="129"/>
    </row>
    <row r="4515" spans="2:7" x14ac:dyDescent="0.2">
      <c r="B4515" s="129"/>
      <c r="C4515" s="129"/>
      <c r="D4515" s="129"/>
      <c r="E4515" s="129"/>
      <c r="F4515" s="129"/>
      <c r="G4515" s="129"/>
    </row>
    <row r="4516" spans="2:7" x14ac:dyDescent="0.2">
      <c r="B4516" s="129"/>
      <c r="C4516" s="129"/>
      <c r="D4516" s="129"/>
      <c r="E4516" s="129"/>
      <c r="F4516" s="129"/>
      <c r="G4516" s="129"/>
    </row>
    <row r="4517" spans="2:7" x14ac:dyDescent="0.2">
      <c r="B4517" s="129"/>
      <c r="C4517" s="129"/>
      <c r="D4517" s="129"/>
      <c r="E4517" s="129"/>
      <c r="F4517" s="129"/>
      <c r="G4517" s="129"/>
    </row>
    <row r="4518" spans="2:7" x14ac:dyDescent="0.2">
      <c r="B4518" s="129"/>
      <c r="C4518" s="129"/>
      <c r="D4518" s="129"/>
      <c r="E4518" s="129"/>
      <c r="F4518" s="129"/>
      <c r="G4518" s="129"/>
    </row>
    <row r="4519" spans="2:7" x14ac:dyDescent="0.2">
      <c r="B4519" s="129"/>
      <c r="C4519" s="129"/>
      <c r="D4519" s="129"/>
      <c r="E4519" s="129"/>
      <c r="F4519" s="129"/>
      <c r="G4519" s="129"/>
    </row>
    <row r="4520" spans="2:7" x14ac:dyDescent="0.2">
      <c r="B4520" s="129"/>
      <c r="C4520" s="129"/>
      <c r="D4520" s="129"/>
      <c r="E4520" s="129"/>
      <c r="F4520" s="129"/>
      <c r="G4520" s="129"/>
    </row>
    <row r="4521" spans="2:7" x14ac:dyDescent="0.2">
      <c r="B4521" s="129"/>
      <c r="C4521" s="129"/>
      <c r="D4521" s="129"/>
      <c r="E4521" s="129"/>
      <c r="F4521" s="129"/>
      <c r="G4521" s="129"/>
    </row>
    <row r="4522" spans="2:7" x14ac:dyDescent="0.2">
      <c r="B4522" s="129"/>
      <c r="C4522" s="129"/>
      <c r="D4522" s="129"/>
      <c r="E4522" s="129"/>
      <c r="F4522" s="129"/>
      <c r="G4522" s="129"/>
    </row>
    <row r="4523" spans="2:7" x14ac:dyDescent="0.2">
      <c r="B4523" s="129"/>
      <c r="C4523" s="129"/>
      <c r="D4523" s="129"/>
      <c r="E4523" s="129"/>
      <c r="F4523" s="129"/>
      <c r="G4523" s="129"/>
    </row>
    <row r="4524" spans="2:7" x14ac:dyDescent="0.2">
      <c r="B4524" s="129"/>
      <c r="C4524" s="129"/>
      <c r="D4524" s="129"/>
      <c r="E4524" s="129"/>
      <c r="F4524" s="129"/>
      <c r="G4524" s="129"/>
    </row>
    <row r="4525" spans="2:7" x14ac:dyDescent="0.2">
      <c r="B4525" s="129"/>
      <c r="C4525" s="129"/>
      <c r="D4525" s="129"/>
      <c r="E4525" s="129"/>
      <c r="F4525" s="129"/>
      <c r="G4525" s="129"/>
    </row>
    <row r="4526" spans="2:7" x14ac:dyDescent="0.2">
      <c r="B4526" s="129"/>
      <c r="C4526" s="129"/>
      <c r="D4526" s="129"/>
      <c r="E4526" s="129"/>
      <c r="F4526" s="129"/>
      <c r="G4526" s="129"/>
    </row>
    <row r="4527" spans="2:7" x14ac:dyDescent="0.2">
      <c r="B4527" s="129"/>
      <c r="C4527" s="129"/>
      <c r="D4527" s="129"/>
      <c r="E4527" s="129"/>
      <c r="F4527" s="129"/>
      <c r="G4527" s="129"/>
    </row>
    <row r="4528" spans="2:7" x14ac:dyDescent="0.2">
      <c r="B4528" s="129"/>
      <c r="C4528" s="129"/>
      <c r="D4528" s="129"/>
      <c r="E4528" s="129"/>
      <c r="F4528" s="129"/>
      <c r="G4528" s="129"/>
    </row>
    <row r="4529" spans="2:7" x14ac:dyDescent="0.2">
      <c r="B4529" s="129"/>
      <c r="C4529" s="129"/>
      <c r="D4529" s="129"/>
      <c r="E4529" s="129"/>
      <c r="F4529" s="129"/>
      <c r="G4529" s="129"/>
    </row>
    <row r="4530" spans="2:7" x14ac:dyDescent="0.2">
      <c r="B4530" s="129"/>
      <c r="C4530" s="129"/>
      <c r="D4530" s="129"/>
      <c r="E4530" s="129"/>
      <c r="F4530" s="129"/>
      <c r="G4530" s="129"/>
    </row>
    <row r="4531" spans="2:7" x14ac:dyDescent="0.2">
      <c r="B4531" s="129"/>
      <c r="C4531" s="129"/>
      <c r="D4531" s="129"/>
      <c r="E4531" s="129"/>
      <c r="F4531" s="129"/>
      <c r="G4531" s="129"/>
    </row>
    <row r="4532" spans="2:7" x14ac:dyDescent="0.2">
      <c r="B4532" s="129"/>
      <c r="C4532" s="129"/>
      <c r="D4532" s="129"/>
      <c r="E4532" s="129"/>
      <c r="F4532" s="129"/>
      <c r="G4532" s="129"/>
    </row>
    <row r="4533" spans="2:7" x14ac:dyDescent="0.2">
      <c r="B4533" s="129"/>
      <c r="C4533" s="129"/>
      <c r="D4533" s="129"/>
      <c r="E4533" s="129"/>
      <c r="F4533" s="129"/>
      <c r="G4533" s="129"/>
    </row>
    <row r="4534" spans="2:7" x14ac:dyDescent="0.2">
      <c r="B4534" s="129"/>
      <c r="C4534" s="129"/>
      <c r="D4534" s="129"/>
      <c r="E4534" s="129"/>
      <c r="F4534" s="129"/>
      <c r="G4534" s="129"/>
    </row>
    <row r="4535" spans="2:7" x14ac:dyDescent="0.2">
      <c r="B4535" s="129"/>
      <c r="C4535" s="129"/>
      <c r="D4535" s="129"/>
      <c r="E4535" s="129"/>
      <c r="F4535" s="129"/>
      <c r="G4535" s="129"/>
    </row>
    <row r="4536" spans="2:7" x14ac:dyDescent="0.2">
      <c r="B4536" s="129"/>
      <c r="C4536" s="129"/>
      <c r="D4536" s="129"/>
      <c r="E4536" s="129"/>
      <c r="F4536" s="129"/>
      <c r="G4536" s="129"/>
    </row>
    <row r="4537" spans="2:7" x14ac:dyDescent="0.2">
      <c r="B4537" s="129"/>
      <c r="C4537" s="129"/>
      <c r="D4537" s="129"/>
      <c r="E4537" s="129"/>
      <c r="F4537" s="129"/>
      <c r="G4537" s="129"/>
    </row>
    <row r="4538" spans="2:7" x14ac:dyDescent="0.2">
      <c r="B4538" s="129"/>
      <c r="C4538" s="129"/>
      <c r="D4538" s="129"/>
      <c r="E4538" s="129"/>
      <c r="F4538" s="129"/>
      <c r="G4538" s="129"/>
    </row>
    <row r="4539" spans="2:7" x14ac:dyDescent="0.2">
      <c r="B4539" s="129"/>
      <c r="C4539" s="129"/>
      <c r="D4539" s="129"/>
      <c r="E4539" s="129"/>
      <c r="F4539" s="129"/>
      <c r="G4539" s="129"/>
    </row>
    <row r="4540" spans="2:7" x14ac:dyDescent="0.2">
      <c r="B4540" s="129"/>
      <c r="C4540" s="129"/>
      <c r="D4540" s="129"/>
      <c r="E4540" s="129"/>
      <c r="F4540" s="129"/>
      <c r="G4540" s="129"/>
    </row>
    <row r="4541" spans="2:7" x14ac:dyDescent="0.2">
      <c r="B4541" s="129"/>
      <c r="C4541" s="129"/>
      <c r="D4541" s="129"/>
      <c r="E4541" s="129"/>
      <c r="F4541" s="129"/>
      <c r="G4541" s="129"/>
    </row>
    <row r="4542" spans="2:7" x14ac:dyDescent="0.2">
      <c r="B4542" s="129"/>
      <c r="C4542" s="129"/>
      <c r="D4542" s="129"/>
      <c r="E4542" s="129"/>
      <c r="F4542" s="129"/>
      <c r="G4542" s="129"/>
    </row>
    <row r="4543" spans="2:7" x14ac:dyDescent="0.2">
      <c r="B4543" s="129"/>
      <c r="C4543" s="129"/>
      <c r="D4543" s="129"/>
      <c r="E4543" s="129"/>
      <c r="F4543" s="129"/>
      <c r="G4543" s="129"/>
    </row>
    <row r="4544" spans="2:7" x14ac:dyDescent="0.2">
      <c r="B4544" s="129"/>
      <c r="C4544" s="129"/>
      <c r="D4544" s="129"/>
      <c r="E4544" s="129"/>
      <c r="F4544" s="129"/>
      <c r="G4544" s="129"/>
    </row>
    <row r="4545" spans="2:7" x14ac:dyDescent="0.2">
      <c r="B4545" s="129"/>
      <c r="C4545" s="129"/>
      <c r="D4545" s="129"/>
      <c r="E4545" s="129"/>
      <c r="F4545" s="129"/>
      <c r="G4545" s="129"/>
    </row>
    <row r="4546" spans="2:7" x14ac:dyDescent="0.2">
      <c r="B4546" s="129"/>
      <c r="C4546" s="129"/>
      <c r="D4546" s="129"/>
      <c r="E4546" s="129"/>
      <c r="F4546" s="129"/>
      <c r="G4546" s="129"/>
    </row>
    <row r="4547" spans="2:7" x14ac:dyDescent="0.2">
      <c r="B4547" s="129"/>
      <c r="C4547" s="129"/>
      <c r="D4547" s="129"/>
      <c r="E4547" s="129"/>
      <c r="F4547" s="129"/>
      <c r="G4547" s="129"/>
    </row>
    <row r="4548" spans="2:7" x14ac:dyDescent="0.2">
      <c r="B4548" s="129"/>
      <c r="C4548" s="129"/>
      <c r="D4548" s="129"/>
      <c r="E4548" s="129"/>
      <c r="F4548" s="129"/>
      <c r="G4548" s="129"/>
    </row>
    <row r="4549" spans="2:7" x14ac:dyDescent="0.2">
      <c r="B4549" s="129"/>
      <c r="C4549" s="129"/>
      <c r="D4549" s="129"/>
      <c r="E4549" s="129"/>
      <c r="F4549" s="129"/>
      <c r="G4549" s="129"/>
    </row>
    <row r="4550" spans="2:7" x14ac:dyDescent="0.2">
      <c r="B4550" s="129"/>
      <c r="C4550" s="129"/>
      <c r="D4550" s="129"/>
      <c r="E4550" s="129"/>
      <c r="F4550" s="129"/>
      <c r="G4550" s="129"/>
    </row>
    <row r="4551" spans="2:7" x14ac:dyDescent="0.2">
      <c r="B4551" s="129"/>
      <c r="C4551" s="129"/>
      <c r="D4551" s="129"/>
      <c r="E4551" s="129"/>
      <c r="F4551" s="129"/>
      <c r="G4551" s="129"/>
    </row>
    <row r="4552" spans="2:7" x14ac:dyDescent="0.2">
      <c r="B4552" s="129"/>
      <c r="C4552" s="129"/>
      <c r="D4552" s="129"/>
      <c r="E4552" s="129"/>
      <c r="F4552" s="129"/>
      <c r="G4552" s="129"/>
    </row>
    <row r="4553" spans="2:7" x14ac:dyDescent="0.2">
      <c r="B4553" s="129"/>
      <c r="C4553" s="129"/>
      <c r="D4553" s="129"/>
      <c r="E4553" s="129"/>
      <c r="F4553" s="129"/>
      <c r="G4553" s="129"/>
    </row>
    <row r="4554" spans="2:7" x14ac:dyDescent="0.2">
      <c r="B4554" s="129"/>
      <c r="C4554" s="129"/>
      <c r="D4554" s="129"/>
      <c r="E4554" s="129"/>
      <c r="F4554" s="129"/>
      <c r="G4554" s="129"/>
    </row>
    <row r="4555" spans="2:7" x14ac:dyDescent="0.2">
      <c r="B4555" s="129"/>
      <c r="C4555" s="129"/>
      <c r="D4555" s="129"/>
      <c r="E4555" s="129"/>
      <c r="F4555" s="129"/>
      <c r="G4555" s="129"/>
    </row>
    <row r="4556" spans="2:7" x14ac:dyDescent="0.2">
      <c r="B4556" s="129"/>
      <c r="C4556" s="129"/>
      <c r="D4556" s="129"/>
      <c r="E4556" s="129"/>
      <c r="F4556" s="129"/>
      <c r="G4556" s="129"/>
    </row>
    <row r="4557" spans="2:7" x14ac:dyDescent="0.2">
      <c r="B4557" s="129"/>
      <c r="C4557" s="129"/>
      <c r="D4557" s="129"/>
      <c r="E4557" s="129"/>
      <c r="F4557" s="129"/>
      <c r="G4557" s="129"/>
    </row>
    <row r="4558" spans="2:7" x14ac:dyDescent="0.2">
      <c r="B4558" s="129"/>
      <c r="C4558" s="129"/>
      <c r="D4558" s="129"/>
      <c r="E4558" s="129"/>
      <c r="F4558" s="129"/>
      <c r="G4558" s="129"/>
    </row>
    <row r="4559" spans="2:7" x14ac:dyDescent="0.2">
      <c r="B4559" s="129"/>
      <c r="C4559" s="129"/>
      <c r="D4559" s="129"/>
      <c r="E4559" s="129"/>
      <c r="F4559" s="129"/>
      <c r="G4559" s="129"/>
    </row>
    <row r="4560" spans="2:7" x14ac:dyDescent="0.2">
      <c r="B4560" s="129"/>
      <c r="C4560" s="129"/>
      <c r="D4560" s="129"/>
      <c r="E4560" s="129"/>
      <c r="F4560" s="129"/>
      <c r="G4560" s="129"/>
    </row>
    <row r="4561" spans="2:7" x14ac:dyDescent="0.2">
      <c r="B4561" s="129"/>
      <c r="C4561" s="129"/>
      <c r="D4561" s="129"/>
      <c r="E4561" s="129"/>
      <c r="F4561" s="129"/>
      <c r="G4561" s="129"/>
    </row>
    <row r="4562" spans="2:7" x14ac:dyDescent="0.2">
      <c r="B4562" s="129"/>
      <c r="C4562" s="129"/>
      <c r="D4562" s="129"/>
      <c r="E4562" s="129"/>
      <c r="F4562" s="129"/>
      <c r="G4562" s="129"/>
    </row>
    <row r="4563" spans="2:7" x14ac:dyDescent="0.2">
      <c r="B4563" s="129"/>
      <c r="C4563" s="129"/>
      <c r="D4563" s="129"/>
      <c r="E4563" s="129"/>
      <c r="F4563" s="129"/>
      <c r="G4563" s="129"/>
    </row>
    <row r="4564" spans="2:7" x14ac:dyDescent="0.2">
      <c r="B4564" s="129"/>
      <c r="C4564" s="129"/>
      <c r="D4564" s="129"/>
      <c r="E4564" s="129"/>
      <c r="F4564" s="129"/>
      <c r="G4564" s="129"/>
    </row>
    <row r="4565" spans="2:7" x14ac:dyDescent="0.2">
      <c r="B4565" s="129"/>
      <c r="C4565" s="129"/>
      <c r="D4565" s="129"/>
      <c r="E4565" s="129"/>
      <c r="F4565" s="129"/>
      <c r="G4565" s="129"/>
    </row>
    <row r="4566" spans="2:7" x14ac:dyDescent="0.2">
      <c r="B4566" s="129"/>
      <c r="C4566" s="129"/>
      <c r="D4566" s="129"/>
      <c r="E4566" s="129"/>
      <c r="F4566" s="129"/>
      <c r="G4566" s="129"/>
    </row>
    <row r="4567" spans="2:7" x14ac:dyDescent="0.2">
      <c r="B4567" s="129"/>
      <c r="C4567" s="129"/>
      <c r="D4567" s="129"/>
      <c r="E4567" s="129"/>
      <c r="F4567" s="129"/>
      <c r="G4567" s="129"/>
    </row>
    <row r="4568" spans="2:7" x14ac:dyDescent="0.2">
      <c r="B4568" s="129"/>
      <c r="C4568" s="129"/>
      <c r="D4568" s="129"/>
      <c r="E4568" s="129"/>
      <c r="F4568" s="129"/>
      <c r="G4568" s="129"/>
    </row>
    <row r="4569" spans="2:7" x14ac:dyDescent="0.2">
      <c r="B4569" s="129"/>
      <c r="C4569" s="129"/>
      <c r="D4569" s="129"/>
      <c r="E4569" s="129"/>
      <c r="F4569" s="129"/>
      <c r="G4569" s="129"/>
    </row>
    <row r="4570" spans="2:7" x14ac:dyDescent="0.2">
      <c r="B4570" s="129"/>
      <c r="C4570" s="129"/>
      <c r="D4570" s="129"/>
      <c r="E4570" s="129"/>
      <c r="F4570" s="129"/>
      <c r="G4570" s="129"/>
    </row>
    <row r="4571" spans="2:7" x14ac:dyDescent="0.2">
      <c r="B4571" s="129"/>
      <c r="C4571" s="129"/>
      <c r="D4571" s="129"/>
      <c r="E4571" s="129"/>
      <c r="F4571" s="129"/>
      <c r="G4571" s="129"/>
    </row>
    <row r="4572" spans="2:7" x14ac:dyDescent="0.2">
      <c r="B4572" s="129"/>
      <c r="C4572" s="129"/>
      <c r="D4572" s="129"/>
      <c r="E4572" s="129"/>
      <c r="F4572" s="129"/>
      <c r="G4572" s="129"/>
    </row>
    <row r="4573" spans="2:7" x14ac:dyDescent="0.2">
      <c r="B4573" s="129"/>
      <c r="C4573" s="129"/>
      <c r="D4573" s="129"/>
      <c r="E4573" s="129"/>
      <c r="F4573" s="129"/>
      <c r="G4573" s="129"/>
    </row>
    <row r="4574" spans="2:7" x14ac:dyDescent="0.2">
      <c r="B4574" s="129"/>
      <c r="C4574" s="129"/>
      <c r="D4574" s="129"/>
      <c r="E4574" s="129"/>
      <c r="F4574" s="129"/>
      <c r="G4574" s="129"/>
    </row>
    <row r="4575" spans="2:7" x14ac:dyDescent="0.2">
      <c r="B4575" s="129"/>
      <c r="C4575" s="129"/>
      <c r="D4575" s="129"/>
      <c r="E4575" s="129"/>
      <c r="F4575" s="129"/>
      <c r="G4575" s="129"/>
    </row>
    <row r="4576" spans="2:7" x14ac:dyDescent="0.2">
      <c r="B4576" s="129"/>
      <c r="C4576" s="129"/>
      <c r="D4576" s="129"/>
      <c r="E4576" s="129"/>
      <c r="F4576" s="129"/>
      <c r="G4576" s="129"/>
    </row>
    <row r="4577" spans="2:7" x14ac:dyDescent="0.2">
      <c r="B4577" s="129"/>
      <c r="C4577" s="129"/>
      <c r="D4577" s="129"/>
      <c r="E4577" s="129"/>
      <c r="F4577" s="129"/>
      <c r="G4577" s="129"/>
    </row>
    <row r="4578" spans="2:7" x14ac:dyDescent="0.2">
      <c r="B4578" s="129"/>
      <c r="C4578" s="129"/>
      <c r="D4578" s="129"/>
      <c r="E4578" s="129"/>
      <c r="F4578" s="129"/>
      <c r="G4578" s="129"/>
    </row>
    <row r="4579" spans="2:7" x14ac:dyDescent="0.2">
      <c r="B4579" s="129"/>
      <c r="C4579" s="129"/>
      <c r="D4579" s="129"/>
      <c r="E4579" s="129"/>
      <c r="F4579" s="129"/>
      <c r="G4579" s="129"/>
    </row>
    <row r="4580" spans="2:7" x14ac:dyDescent="0.2">
      <c r="B4580" s="129"/>
      <c r="C4580" s="129"/>
      <c r="D4580" s="129"/>
      <c r="E4580" s="129"/>
      <c r="F4580" s="129"/>
      <c r="G4580" s="129"/>
    </row>
    <row r="4581" spans="2:7" x14ac:dyDescent="0.2">
      <c r="B4581" s="129"/>
      <c r="C4581" s="129"/>
      <c r="D4581" s="129"/>
      <c r="E4581" s="129"/>
      <c r="F4581" s="129"/>
      <c r="G4581" s="129"/>
    </row>
    <row r="4582" spans="2:7" x14ac:dyDescent="0.2">
      <c r="B4582" s="129"/>
      <c r="C4582" s="129"/>
      <c r="D4582" s="129"/>
      <c r="E4582" s="129"/>
      <c r="F4582" s="129"/>
      <c r="G4582" s="129"/>
    </row>
    <row r="4583" spans="2:7" x14ac:dyDescent="0.2">
      <c r="B4583" s="129"/>
      <c r="C4583" s="129"/>
      <c r="D4583" s="129"/>
      <c r="E4583" s="129"/>
      <c r="F4583" s="129"/>
      <c r="G4583" s="129"/>
    </row>
    <row r="4584" spans="2:7" x14ac:dyDescent="0.2">
      <c r="B4584" s="129"/>
      <c r="C4584" s="129"/>
      <c r="D4584" s="129"/>
      <c r="E4584" s="129"/>
      <c r="F4584" s="129"/>
      <c r="G4584" s="129"/>
    </row>
    <row r="4585" spans="2:7" x14ac:dyDescent="0.2">
      <c r="B4585" s="129"/>
      <c r="C4585" s="129"/>
      <c r="D4585" s="129"/>
      <c r="E4585" s="129"/>
      <c r="F4585" s="129"/>
      <c r="G4585" s="129"/>
    </row>
    <row r="4586" spans="2:7" x14ac:dyDescent="0.2">
      <c r="B4586" s="129"/>
      <c r="C4586" s="129"/>
      <c r="D4586" s="129"/>
      <c r="E4586" s="129"/>
      <c r="F4586" s="129"/>
      <c r="G4586" s="129"/>
    </row>
    <row r="4587" spans="2:7" x14ac:dyDescent="0.2">
      <c r="B4587" s="129"/>
      <c r="C4587" s="129"/>
      <c r="D4587" s="129"/>
      <c r="E4587" s="129"/>
      <c r="F4587" s="129"/>
      <c r="G4587" s="129"/>
    </row>
    <row r="4588" spans="2:7" x14ac:dyDescent="0.2">
      <c r="B4588" s="129"/>
      <c r="C4588" s="129"/>
      <c r="D4588" s="129"/>
      <c r="E4588" s="129"/>
      <c r="F4588" s="129"/>
      <c r="G4588" s="129"/>
    </row>
    <row r="4589" spans="2:7" x14ac:dyDescent="0.2">
      <c r="B4589" s="129"/>
      <c r="C4589" s="129"/>
      <c r="D4589" s="129"/>
      <c r="E4589" s="129"/>
      <c r="F4589" s="129"/>
      <c r="G4589" s="129"/>
    </row>
    <row r="4590" spans="2:7" x14ac:dyDescent="0.2">
      <c r="B4590" s="129"/>
      <c r="C4590" s="129"/>
      <c r="D4590" s="129"/>
      <c r="E4590" s="129"/>
      <c r="F4590" s="129"/>
      <c r="G4590" s="129"/>
    </row>
    <row r="4591" spans="2:7" x14ac:dyDescent="0.2">
      <c r="B4591" s="129"/>
      <c r="C4591" s="129"/>
      <c r="D4591" s="129"/>
      <c r="E4591" s="129"/>
      <c r="F4591" s="129"/>
      <c r="G4591" s="129"/>
    </row>
    <row r="4592" spans="2:7" x14ac:dyDescent="0.2">
      <c r="B4592" s="129"/>
      <c r="C4592" s="129"/>
      <c r="D4592" s="129"/>
      <c r="E4592" s="129"/>
      <c r="F4592" s="129"/>
      <c r="G4592" s="129"/>
    </row>
    <row r="4593" spans="2:7" x14ac:dyDescent="0.2">
      <c r="B4593" s="129"/>
      <c r="C4593" s="129"/>
      <c r="D4593" s="129"/>
      <c r="E4593" s="129"/>
      <c r="F4593" s="129"/>
      <c r="G4593" s="129"/>
    </row>
    <row r="4594" spans="2:7" x14ac:dyDescent="0.2">
      <c r="B4594" s="129"/>
      <c r="C4594" s="129"/>
      <c r="D4594" s="129"/>
      <c r="E4594" s="129"/>
      <c r="F4594" s="129"/>
      <c r="G4594" s="129"/>
    </row>
    <row r="4595" spans="2:7" x14ac:dyDescent="0.2">
      <c r="B4595" s="129"/>
      <c r="C4595" s="129"/>
      <c r="D4595" s="129"/>
      <c r="E4595" s="129"/>
      <c r="F4595" s="129"/>
      <c r="G4595" s="129"/>
    </row>
    <row r="4596" spans="2:7" x14ac:dyDescent="0.2">
      <c r="B4596" s="129"/>
      <c r="C4596" s="129"/>
      <c r="D4596" s="129"/>
      <c r="E4596" s="129"/>
      <c r="F4596" s="129"/>
      <c r="G4596" s="129"/>
    </row>
    <row r="4597" spans="2:7" x14ac:dyDescent="0.2">
      <c r="B4597" s="129"/>
      <c r="C4597" s="129"/>
      <c r="D4597" s="129"/>
      <c r="E4597" s="129"/>
      <c r="F4597" s="129"/>
      <c r="G4597" s="129"/>
    </row>
    <row r="4598" spans="2:7" x14ac:dyDescent="0.2">
      <c r="B4598" s="129"/>
      <c r="C4598" s="129"/>
      <c r="D4598" s="129"/>
      <c r="E4598" s="129"/>
      <c r="F4598" s="129"/>
      <c r="G4598" s="129"/>
    </row>
    <row r="4599" spans="2:7" x14ac:dyDescent="0.2">
      <c r="B4599" s="129"/>
      <c r="C4599" s="129"/>
      <c r="D4599" s="129"/>
      <c r="E4599" s="129"/>
      <c r="F4599" s="129"/>
      <c r="G4599" s="129"/>
    </row>
    <row r="4600" spans="2:7" x14ac:dyDescent="0.2">
      <c r="B4600" s="129"/>
      <c r="C4600" s="129"/>
      <c r="D4600" s="129"/>
      <c r="E4600" s="129"/>
      <c r="F4600" s="129"/>
      <c r="G4600" s="129"/>
    </row>
    <row r="4601" spans="2:7" x14ac:dyDescent="0.2">
      <c r="B4601" s="129"/>
      <c r="C4601" s="129"/>
      <c r="D4601" s="129"/>
      <c r="E4601" s="129"/>
      <c r="F4601" s="129"/>
      <c r="G4601" s="129"/>
    </row>
    <row r="4602" spans="2:7" x14ac:dyDescent="0.2">
      <c r="B4602" s="129"/>
      <c r="C4602" s="129"/>
      <c r="D4602" s="129"/>
      <c r="E4602" s="129"/>
      <c r="F4602" s="129"/>
      <c r="G4602" s="129"/>
    </row>
    <row r="4603" spans="2:7" x14ac:dyDescent="0.2">
      <c r="B4603" s="129"/>
      <c r="C4603" s="129"/>
      <c r="D4603" s="129"/>
      <c r="E4603" s="129"/>
      <c r="F4603" s="129"/>
      <c r="G4603" s="129"/>
    </row>
    <row r="4604" spans="2:7" x14ac:dyDescent="0.2">
      <c r="B4604" s="129"/>
      <c r="C4604" s="129"/>
      <c r="D4604" s="129"/>
      <c r="E4604" s="129"/>
      <c r="F4604" s="129"/>
      <c r="G4604" s="129"/>
    </row>
    <row r="4605" spans="2:7" x14ac:dyDescent="0.2">
      <c r="B4605" s="129"/>
      <c r="C4605" s="129"/>
      <c r="D4605" s="129"/>
      <c r="E4605" s="129"/>
      <c r="F4605" s="129"/>
      <c r="G4605" s="129"/>
    </row>
    <row r="4606" spans="2:7" x14ac:dyDescent="0.2">
      <c r="B4606" s="129"/>
      <c r="C4606" s="129"/>
      <c r="D4606" s="129"/>
      <c r="E4606" s="129"/>
      <c r="F4606" s="129"/>
      <c r="G4606" s="129"/>
    </row>
    <row r="4607" spans="2:7" x14ac:dyDescent="0.2">
      <c r="B4607" s="129"/>
      <c r="C4607" s="129"/>
      <c r="D4607" s="129"/>
      <c r="E4607" s="129"/>
      <c r="F4607" s="129"/>
      <c r="G4607" s="129"/>
    </row>
    <row r="4608" spans="2:7" x14ac:dyDescent="0.2">
      <c r="B4608" s="129"/>
      <c r="C4608" s="129"/>
      <c r="D4608" s="129"/>
      <c r="E4608" s="129"/>
      <c r="F4608" s="129"/>
      <c r="G4608" s="129"/>
    </row>
    <row r="4609" spans="2:7" x14ac:dyDescent="0.2">
      <c r="B4609" s="129"/>
      <c r="C4609" s="129"/>
      <c r="D4609" s="129"/>
      <c r="E4609" s="129"/>
      <c r="F4609" s="129"/>
      <c r="G4609" s="129"/>
    </row>
    <row r="4610" spans="2:7" x14ac:dyDescent="0.2">
      <c r="B4610" s="129"/>
      <c r="C4610" s="129"/>
      <c r="D4610" s="129"/>
      <c r="E4610" s="129"/>
      <c r="F4610" s="129"/>
      <c r="G4610" s="129"/>
    </row>
    <row r="4611" spans="2:7" x14ac:dyDescent="0.2">
      <c r="B4611" s="129"/>
      <c r="C4611" s="129"/>
      <c r="D4611" s="129"/>
      <c r="E4611" s="129"/>
      <c r="F4611" s="129"/>
      <c r="G4611" s="129"/>
    </row>
    <row r="4612" spans="2:7" x14ac:dyDescent="0.2">
      <c r="B4612" s="129"/>
      <c r="C4612" s="129"/>
      <c r="D4612" s="129"/>
      <c r="E4612" s="129"/>
      <c r="F4612" s="129"/>
      <c r="G4612" s="129"/>
    </row>
    <row r="4613" spans="2:7" x14ac:dyDescent="0.2">
      <c r="B4613" s="129"/>
      <c r="C4613" s="129"/>
      <c r="D4613" s="129"/>
      <c r="E4613" s="129"/>
      <c r="F4613" s="129"/>
      <c r="G4613" s="129"/>
    </row>
    <row r="4614" spans="2:7" x14ac:dyDescent="0.2">
      <c r="B4614" s="129"/>
      <c r="C4614" s="129"/>
      <c r="D4614" s="129"/>
      <c r="E4614" s="129"/>
      <c r="F4614" s="129"/>
      <c r="G4614" s="129"/>
    </row>
    <row r="4615" spans="2:7" x14ac:dyDescent="0.2">
      <c r="B4615" s="129"/>
      <c r="C4615" s="129"/>
      <c r="D4615" s="129"/>
      <c r="E4615" s="129"/>
      <c r="F4615" s="129"/>
      <c r="G4615" s="129"/>
    </row>
    <row r="4616" spans="2:7" x14ac:dyDescent="0.2">
      <c r="B4616" s="129"/>
      <c r="C4616" s="129"/>
      <c r="D4616" s="129"/>
      <c r="E4616" s="129"/>
      <c r="F4616" s="129"/>
      <c r="G4616" s="129"/>
    </row>
    <row r="4617" spans="2:7" x14ac:dyDescent="0.2">
      <c r="B4617" s="129"/>
      <c r="C4617" s="129"/>
      <c r="D4617" s="129"/>
      <c r="E4617" s="129"/>
      <c r="F4617" s="129"/>
      <c r="G4617" s="129"/>
    </row>
    <row r="4618" spans="2:7" x14ac:dyDescent="0.2">
      <c r="B4618" s="129"/>
      <c r="C4618" s="129"/>
      <c r="D4618" s="129"/>
      <c r="E4618" s="129"/>
      <c r="F4618" s="129"/>
      <c r="G4618" s="129"/>
    </row>
    <row r="4619" spans="2:7" x14ac:dyDescent="0.2">
      <c r="B4619" s="129"/>
      <c r="C4619" s="129"/>
      <c r="D4619" s="129"/>
      <c r="E4619" s="129"/>
      <c r="F4619" s="129"/>
      <c r="G4619" s="129"/>
    </row>
    <row r="4620" spans="2:7" x14ac:dyDescent="0.2">
      <c r="B4620" s="129"/>
      <c r="C4620" s="129"/>
      <c r="D4620" s="129"/>
      <c r="E4620" s="129"/>
      <c r="F4620" s="129"/>
      <c r="G4620" s="129"/>
    </row>
    <row r="4621" spans="2:7" x14ac:dyDescent="0.2">
      <c r="B4621" s="129"/>
      <c r="C4621" s="129"/>
      <c r="D4621" s="129"/>
      <c r="E4621" s="129"/>
      <c r="F4621" s="129"/>
      <c r="G4621" s="129"/>
    </row>
    <row r="4622" spans="2:7" x14ac:dyDescent="0.2">
      <c r="B4622" s="129"/>
      <c r="C4622" s="129"/>
      <c r="D4622" s="129"/>
      <c r="E4622" s="129"/>
      <c r="F4622" s="129"/>
      <c r="G4622" s="129"/>
    </row>
    <row r="4623" spans="2:7" x14ac:dyDescent="0.2">
      <c r="B4623" s="129"/>
      <c r="C4623" s="129"/>
      <c r="D4623" s="129"/>
      <c r="E4623" s="129"/>
      <c r="F4623" s="129"/>
      <c r="G4623" s="129"/>
    </row>
    <row r="4624" spans="2:7" x14ac:dyDescent="0.2">
      <c r="B4624" s="129"/>
      <c r="C4624" s="129"/>
      <c r="D4624" s="129"/>
      <c r="E4624" s="129"/>
      <c r="F4624" s="129"/>
      <c r="G4624" s="129"/>
    </row>
    <row r="4625" spans="2:7" x14ac:dyDescent="0.2">
      <c r="B4625" s="129"/>
      <c r="C4625" s="129"/>
      <c r="D4625" s="129"/>
      <c r="E4625" s="129"/>
      <c r="F4625" s="129"/>
      <c r="G4625" s="129"/>
    </row>
    <row r="4626" spans="2:7" x14ac:dyDescent="0.2">
      <c r="B4626" s="129"/>
      <c r="C4626" s="129"/>
      <c r="D4626" s="129"/>
      <c r="E4626" s="129"/>
      <c r="F4626" s="129"/>
      <c r="G4626" s="129"/>
    </row>
    <row r="4627" spans="2:7" x14ac:dyDescent="0.2">
      <c r="B4627" s="129"/>
      <c r="C4627" s="129"/>
      <c r="D4627" s="129"/>
      <c r="E4627" s="129"/>
      <c r="F4627" s="129"/>
      <c r="G4627" s="129"/>
    </row>
    <row r="4628" spans="2:7" x14ac:dyDescent="0.2">
      <c r="B4628" s="129"/>
      <c r="C4628" s="129"/>
      <c r="D4628" s="129"/>
      <c r="E4628" s="129"/>
      <c r="F4628" s="129"/>
      <c r="G4628" s="129"/>
    </row>
    <row r="4629" spans="2:7" x14ac:dyDescent="0.2">
      <c r="B4629" s="129"/>
      <c r="C4629" s="129"/>
      <c r="D4629" s="129"/>
      <c r="E4629" s="129"/>
      <c r="F4629" s="129"/>
      <c r="G4629" s="129"/>
    </row>
    <row r="4630" spans="2:7" x14ac:dyDescent="0.2">
      <c r="B4630" s="129"/>
      <c r="C4630" s="129"/>
      <c r="D4630" s="129"/>
      <c r="E4630" s="129"/>
      <c r="F4630" s="129"/>
      <c r="G4630" s="129"/>
    </row>
    <row r="4631" spans="2:7" x14ac:dyDescent="0.2">
      <c r="B4631" s="129"/>
      <c r="C4631" s="129"/>
      <c r="D4631" s="129"/>
      <c r="E4631" s="129"/>
      <c r="F4631" s="129"/>
      <c r="G4631" s="129"/>
    </row>
    <row r="4632" spans="2:7" x14ac:dyDescent="0.2">
      <c r="B4632" s="129"/>
      <c r="C4632" s="129"/>
      <c r="D4632" s="129"/>
      <c r="E4632" s="129"/>
      <c r="F4632" s="129"/>
      <c r="G4632" s="129"/>
    </row>
    <row r="4633" spans="2:7" x14ac:dyDescent="0.2">
      <c r="B4633" s="129"/>
      <c r="C4633" s="129"/>
      <c r="D4633" s="129"/>
      <c r="E4633" s="129"/>
      <c r="F4633" s="129"/>
      <c r="G4633" s="129"/>
    </row>
    <row r="4634" spans="2:7" x14ac:dyDescent="0.2">
      <c r="B4634" s="129"/>
      <c r="C4634" s="129"/>
      <c r="D4634" s="129"/>
      <c r="E4634" s="129"/>
      <c r="F4634" s="129"/>
      <c r="G4634" s="129"/>
    </row>
    <row r="4635" spans="2:7" x14ac:dyDescent="0.2">
      <c r="B4635" s="129"/>
      <c r="C4635" s="129"/>
      <c r="D4635" s="129"/>
      <c r="E4635" s="129"/>
      <c r="F4635" s="129"/>
      <c r="G4635" s="129"/>
    </row>
    <row r="4636" spans="2:7" x14ac:dyDescent="0.2">
      <c r="B4636" s="129"/>
      <c r="C4636" s="129"/>
      <c r="D4636" s="129"/>
      <c r="E4636" s="129"/>
      <c r="F4636" s="129"/>
      <c r="G4636" s="129"/>
    </row>
    <row r="4637" spans="2:7" x14ac:dyDescent="0.2">
      <c r="B4637" s="129"/>
      <c r="C4637" s="129"/>
      <c r="D4637" s="129"/>
      <c r="E4637" s="129"/>
      <c r="F4637" s="129"/>
      <c r="G4637" s="129"/>
    </row>
    <row r="4638" spans="2:7" x14ac:dyDescent="0.2">
      <c r="B4638" s="129"/>
      <c r="C4638" s="129"/>
      <c r="D4638" s="129"/>
      <c r="E4638" s="129"/>
      <c r="F4638" s="129"/>
      <c r="G4638" s="129"/>
    </row>
    <row r="4639" spans="2:7" x14ac:dyDescent="0.2">
      <c r="B4639" s="129"/>
      <c r="C4639" s="129"/>
      <c r="D4639" s="129"/>
      <c r="E4639" s="129"/>
      <c r="F4639" s="129"/>
      <c r="G4639" s="129"/>
    </row>
    <row r="4640" spans="2:7" x14ac:dyDescent="0.2">
      <c r="B4640" s="129"/>
      <c r="C4640" s="129"/>
      <c r="D4640" s="129"/>
      <c r="E4640" s="129"/>
      <c r="F4640" s="129"/>
      <c r="G4640" s="129"/>
    </row>
    <row r="4641" spans="2:7" x14ac:dyDescent="0.2">
      <c r="B4641" s="129"/>
      <c r="C4641" s="129"/>
      <c r="D4641" s="129"/>
      <c r="E4641" s="129"/>
      <c r="F4641" s="129"/>
      <c r="G4641" s="129"/>
    </row>
    <row r="4642" spans="2:7" x14ac:dyDescent="0.2">
      <c r="B4642" s="129"/>
      <c r="C4642" s="129"/>
      <c r="D4642" s="129"/>
      <c r="E4642" s="129"/>
      <c r="F4642" s="129"/>
      <c r="G4642" s="129"/>
    </row>
    <row r="4643" spans="2:7" x14ac:dyDescent="0.2">
      <c r="B4643" s="129"/>
      <c r="C4643" s="129"/>
      <c r="D4643" s="129"/>
      <c r="E4643" s="129"/>
      <c r="F4643" s="129"/>
      <c r="G4643" s="129"/>
    </row>
    <row r="4644" spans="2:7" x14ac:dyDescent="0.2">
      <c r="B4644" s="129"/>
      <c r="C4644" s="129"/>
      <c r="D4644" s="129"/>
      <c r="E4644" s="129"/>
      <c r="F4644" s="129"/>
      <c r="G4644" s="129"/>
    </row>
    <row r="4645" spans="2:7" x14ac:dyDescent="0.2">
      <c r="B4645" s="129"/>
      <c r="C4645" s="129"/>
      <c r="D4645" s="129"/>
      <c r="E4645" s="129"/>
      <c r="F4645" s="129"/>
      <c r="G4645" s="129"/>
    </row>
    <row r="4646" spans="2:7" x14ac:dyDescent="0.2">
      <c r="B4646" s="129"/>
      <c r="C4646" s="129"/>
      <c r="D4646" s="129"/>
      <c r="E4646" s="129"/>
      <c r="F4646" s="129"/>
      <c r="G4646" s="129"/>
    </row>
    <row r="4647" spans="2:7" x14ac:dyDescent="0.2">
      <c r="B4647" s="129"/>
      <c r="C4647" s="129"/>
      <c r="D4647" s="129"/>
      <c r="E4647" s="129"/>
      <c r="F4647" s="129"/>
      <c r="G4647" s="129"/>
    </row>
    <row r="4648" spans="2:7" x14ac:dyDescent="0.2">
      <c r="B4648" s="129"/>
      <c r="C4648" s="129"/>
      <c r="D4648" s="129"/>
      <c r="E4648" s="129"/>
      <c r="F4648" s="129"/>
      <c r="G4648" s="129"/>
    </row>
    <row r="4649" spans="2:7" x14ac:dyDescent="0.2">
      <c r="B4649" s="129"/>
      <c r="C4649" s="129"/>
      <c r="D4649" s="129"/>
      <c r="E4649" s="129"/>
      <c r="F4649" s="129"/>
      <c r="G4649" s="129"/>
    </row>
    <row r="4650" spans="2:7" x14ac:dyDescent="0.2">
      <c r="B4650" s="129"/>
      <c r="C4650" s="129"/>
      <c r="D4650" s="129"/>
      <c r="E4650" s="129"/>
      <c r="F4650" s="129"/>
      <c r="G4650" s="129"/>
    </row>
    <row r="4651" spans="2:7" x14ac:dyDescent="0.2">
      <c r="B4651" s="129"/>
      <c r="C4651" s="129"/>
      <c r="D4651" s="129"/>
      <c r="E4651" s="129"/>
      <c r="F4651" s="129"/>
      <c r="G4651" s="129"/>
    </row>
    <row r="4652" spans="2:7" x14ac:dyDescent="0.2">
      <c r="B4652" s="129"/>
      <c r="C4652" s="129"/>
      <c r="D4652" s="129"/>
      <c r="E4652" s="129"/>
      <c r="F4652" s="129"/>
      <c r="G4652" s="129"/>
    </row>
    <row r="4653" spans="2:7" x14ac:dyDescent="0.2">
      <c r="B4653" s="129"/>
      <c r="C4653" s="129"/>
      <c r="D4653" s="129"/>
      <c r="E4653" s="129"/>
      <c r="F4653" s="129"/>
      <c r="G4653" s="129"/>
    </row>
    <row r="4654" spans="2:7" x14ac:dyDescent="0.2">
      <c r="B4654" s="129"/>
      <c r="C4654" s="129"/>
      <c r="D4654" s="129"/>
      <c r="E4654" s="129"/>
      <c r="F4654" s="129"/>
      <c r="G4654" s="129"/>
    </row>
    <row r="4655" spans="2:7" x14ac:dyDescent="0.2">
      <c r="B4655" s="129"/>
      <c r="C4655" s="129"/>
      <c r="D4655" s="129"/>
      <c r="E4655" s="129"/>
      <c r="F4655" s="129"/>
      <c r="G4655" s="129"/>
    </row>
    <row r="4656" spans="2:7" x14ac:dyDescent="0.2">
      <c r="B4656" s="129"/>
      <c r="C4656" s="129"/>
      <c r="D4656" s="129"/>
      <c r="E4656" s="129"/>
      <c r="F4656" s="129"/>
      <c r="G4656" s="129"/>
    </row>
    <row r="4657" spans="2:7" x14ac:dyDescent="0.2">
      <c r="B4657" s="129"/>
      <c r="C4657" s="129"/>
      <c r="D4657" s="129"/>
      <c r="E4657" s="129"/>
      <c r="F4657" s="129"/>
      <c r="G4657" s="129"/>
    </row>
    <row r="4658" spans="2:7" x14ac:dyDescent="0.2">
      <c r="B4658" s="129"/>
      <c r="C4658" s="129"/>
      <c r="D4658" s="129"/>
      <c r="E4658" s="129"/>
      <c r="F4658" s="129"/>
      <c r="G4658" s="129"/>
    </row>
    <row r="4659" spans="2:7" x14ac:dyDescent="0.2">
      <c r="B4659" s="129"/>
      <c r="C4659" s="129"/>
      <c r="D4659" s="129"/>
      <c r="E4659" s="129"/>
      <c r="F4659" s="129"/>
      <c r="G4659" s="129"/>
    </row>
    <row r="4660" spans="2:7" x14ac:dyDescent="0.2">
      <c r="B4660" s="129"/>
      <c r="C4660" s="129"/>
      <c r="D4660" s="129"/>
      <c r="E4660" s="129"/>
      <c r="F4660" s="129"/>
      <c r="G4660" s="129"/>
    </row>
    <row r="4661" spans="2:7" x14ac:dyDescent="0.2">
      <c r="B4661" s="129"/>
      <c r="C4661" s="129"/>
      <c r="D4661" s="129"/>
      <c r="E4661" s="129"/>
      <c r="F4661" s="129"/>
      <c r="G4661" s="129"/>
    </row>
    <row r="4662" spans="2:7" x14ac:dyDescent="0.2">
      <c r="B4662" s="129"/>
      <c r="C4662" s="129"/>
      <c r="D4662" s="129"/>
      <c r="E4662" s="129"/>
      <c r="F4662" s="129"/>
      <c r="G4662" s="129"/>
    </row>
    <row r="4663" spans="2:7" x14ac:dyDescent="0.2">
      <c r="B4663" s="129"/>
      <c r="C4663" s="129"/>
      <c r="D4663" s="129"/>
      <c r="E4663" s="129"/>
      <c r="F4663" s="129"/>
      <c r="G4663" s="129"/>
    </row>
    <row r="4664" spans="2:7" x14ac:dyDescent="0.2">
      <c r="B4664" s="129"/>
      <c r="C4664" s="129"/>
      <c r="D4664" s="129"/>
      <c r="E4664" s="129"/>
      <c r="F4664" s="129"/>
      <c r="G4664" s="129"/>
    </row>
    <row r="4665" spans="2:7" x14ac:dyDescent="0.2">
      <c r="B4665" s="129"/>
      <c r="C4665" s="129"/>
      <c r="D4665" s="129"/>
      <c r="E4665" s="129"/>
      <c r="F4665" s="129"/>
      <c r="G4665" s="129"/>
    </row>
    <row r="4666" spans="2:7" x14ac:dyDescent="0.2">
      <c r="B4666" s="129"/>
      <c r="C4666" s="129"/>
      <c r="D4666" s="129"/>
      <c r="E4666" s="129"/>
      <c r="F4666" s="129"/>
      <c r="G4666" s="129"/>
    </row>
    <row r="4667" spans="2:7" x14ac:dyDescent="0.2">
      <c r="B4667" s="129"/>
      <c r="C4667" s="129"/>
      <c r="D4667" s="129"/>
      <c r="E4667" s="129"/>
      <c r="F4667" s="129"/>
      <c r="G4667" s="129"/>
    </row>
    <row r="4668" spans="2:7" x14ac:dyDescent="0.2">
      <c r="B4668" s="129"/>
      <c r="C4668" s="129"/>
      <c r="D4668" s="129"/>
      <c r="E4668" s="129"/>
      <c r="F4668" s="129"/>
      <c r="G4668" s="129"/>
    </row>
    <row r="4669" spans="2:7" x14ac:dyDescent="0.2">
      <c r="B4669" s="129"/>
      <c r="C4669" s="129"/>
      <c r="D4669" s="129"/>
      <c r="E4669" s="129"/>
      <c r="F4669" s="129"/>
      <c r="G4669" s="129"/>
    </row>
    <row r="4670" spans="2:7" x14ac:dyDescent="0.2">
      <c r="B4670" s="129"/>
      <c r="C4670" s="129"/>
      <c r="D4670" s="129"/>
      <c r="E4670" s="129"/>
      <c r="F4670" s="129"/>
      <c r="G4670" s="129"/>
    </row>
    <row r="4671" spans="2:7" x14ac:dyDescent="0.2">
      <c r="B4671" s="129"/>
      <c r="C4671" s="129"/>
      <c r="D4671" s="129"/>
      <c r="E4671" s="129"/>
      <c r="F4671" s="129"/>
      <c r="G4671" s="129"/>
    </row>
    <row r="4672" spans="2:7" x14ac:dyDescent="0.2">
      <c r="B4672" s="129"/>
      <c r="C4672" s="129"/>
      <c r="D4672" s="129"/>
      <c r="E4672" s="129"/>
      <c r="F4672" s="129"/>
      <c r="G4672" s="129"/>
    </row>
    <row r="4673" spans="2:7" x14ac:dyDescent="0.2">
      <c r="B4673" s="129"/>
      <c r="C4673" s="129"/>
      <c r="D4673" s="129"/>
      <c r="E4673" s="129"/>
      <c r="F4673" s="129"/>
      <c r="G4673" s="129"/>
    </row>
    <row r="4674" spans="2:7" x14ac:dyDescent="0.2">
      <c r="B4674" s="129"/>
      <c r="C4674" s="129"/>
      <c r="D4674" s="129"/>
      <c r="E4674" s="129"/>
      <c r="F4674" s="129"/>
      <c r="G4674" s="129"/>
    </row>
    <row r="4675" spans="2:7" x14ac:dyDescent="0.2">
      <c r="B4675" s="129"/>
      <c r="C4675" s="129"/>
      <c r="D4675" s="129"/>
      <c r="E4675" s="129"/>
      <c r="F4675" s="129"/>
      <c r="G4675" s="129"/>
    </row>
    <row r="4676" spans="2:7" x14ac:dyDescent="0.2">
      <c r="B4676" s="129"/>
      <c r="C4676" s="129"/>
      <c r="D4676" s="129"/>
      <c r="E4676" s="129"/>
      <c r="F4676" s="129"/>
      <c r="G4676" s="129"/>
    </row>
    <row r="4677" spans="2:7" x14ac:dyDescent="0.2">
      <c r="B4677" s="129"/>
      <c r="C4677" s="129"/>
      <c r="D4677" s="129"/>
      <c r="E4677" s="129"/>
      <c r="F4677" s="129"/>
      <c r="G4677" s="129"/>
    </row>
    <row r="4678" spans="2:7" x14ac:dyDescent="0.2">
      <c r="B4678" s="129"/>
      <c r="C4678" s="129"/>
      <c r="D4678" s="129"/>
      <c r="E4678" s="129"/>
      <c r="F4678" s="129"/>
      <c r="G4678" s="129"/>
    </row>
    <row r="4679" spans="2:7" x14ac:dyDescent="0.2">
      <c r="B4679" s="129"/>
      <c r="C4679" s="129"/>
      <c r="D4679" s="129"/>
      <c r="E4679" s="129"/>
      <c r="F4679" s="129"/>
      <c r="G4679" s="129"/>
    </row>
    <row r="4680" spans="2:7" x14ac:dyDescent="0.2">
      <c r="B4680" s="129"/>
      <c r="C4680" s="129"/>
      <c r="D4680" s="129"/>
      <c r="E4680" s="129"/>
      <c r="F4680" s="129"/>
      <c r="G4680" s="129"/>
    </row>
    <row r="4681" spans="2:7" x14ac:dyDescent="0.2">
      <c r="B4681" s="129"/>
      <c r="C4681" s="129"/>
      <c r="D4681" s="129"/>
      <c r="E4681" s="129"/>
      <c r="F4681" s="129"/>
      <c r="G4681" s="129"/>
    </row>
    <row r="4682" spans="2:7" x14ac:dyDescent="0.2">
      <c r="B4682" s="129"/>
      <c r="C4682" s="129"/>
      <c r="D4682" s="129"/>
      <c r="E4682" s="129"/>
      <c r="F4682" s="129"/>
      <c r="G4682" s="129"/>
    </row>
    <row r="4683" spans="2:7" x14ac:dyDescent="0.2">
      <c r="B4683" s="129"/>
      <c r="C4683" s="129"/>
      <c r="D4683" s="129"/>
      <c r="E4683" s="129"/>
      <c r="F4683" s="129"/>
      <c r="G4683" s="129"/>
    </row>
    <row r="4684" spans="2:7" x14ac:dyDescent="0.2">
      <c r="B4684" s="129"/>
      <c r="C4684" s="129"/>
      <c r="D4684" s="129"/>
      <c r="E4684" s="129"/>
      <c r="F4684" s="129"/>
      <c r="G4684" s="129"/>
    </row>
    <row r="4685" spans="2:7" x14ac:dyDescent="0.2">
      <c r="B4685" s="129"/>
      <c r="C4685" s="129"/>
      <c r="D4685" s="129"/>
      <c r="E4685" s="129"/>
      <c r="F4685" s="129"/>
      <c r="G4685" s="129"/>
    </row>
    <row r="4686" spans="2:7" x14ac:dyDescent="0.2">
      <c r="B4686" s="129"/>
      <c r="C4686" s="129"/>
      <c r="D4686" s="129"/>
      <c r="E4686" s="129"/>
      <c r="F4686" s="129"/>
      <c r="G4686" s="129"/>
    </row>
    <row r="4687" spans="2:7" x14ac:dyDescent="0.2">
      <c r="B4687" s="129"/>
      <c r="C4687" s="129"/>
      <c r="D4687" s="129"/>
      <c r="E4687" s="129"/>
      <c r="F4687" s="129"/>
      <c r="G4687" s="129"/>
    </row>
    <row r="4688" spans="2:7" x14ac:dyDescent="0.2">
      <c r="B4688" s="129"/>
      <c r="C4688" s="129"/>
      <c r="D4688" s="129"/>
      <c r="E4688" s="129"/>
      <c r="F4688" s="129"/>
      <c r="G4688" s="129"/>
    </row>
    <row r="4689" spans="2:7" x14ac:dyDescent="0.2">
      <c r="B4689" s="129"/>
      <c r="C4689" s="129"/>
      <c r="D4689" s="129"/>
      <c r="E4689" s="129"/>
      <c r="F4689" s="129"/>
      <c r="G4689" s="129"/>
    </row>
    <row r="4690" spans="2:7" x14ac:dyDescent="0.2">
      <c r="B4690" s="129"/>
      <c r="C4690" s="129"/>
      <c r="D4690" s="129"/>
      <c r="E4690" s="129"/>
      <c r="F4690" s="129"/>
      <c r="G4690" s="129"/>
    </row>
    <row r="4691" spans="2:7" x14ac:dyDescent="0.2">
      <c r="B4691" s="129"/>
      <c r="C4691" s="129"/>
      <c r="D4691" s="129"/>
      <c r="E4691" s="129"/>
      <c r="F4691" s="129"/>
      <c r="G4691" s="129"/>
    </row>
    <row r="4692" spans="2:7" x14ac:dyDescent="0.2">
      <c r="B4692" s="129"/>
      <c r="C4692" s="129"/>
      <c r="D4692" s="129"/>
      <c r="E4692" s="129"/>
      <c r="F4692" s="129"/>
      <c r="G4692" s="129"/>
    </row>
    <row r="4693" spans="2:7" x14ac:dyDescent="0.2">
      <c r="B4693" s="129"/>
      <c r="C4693" s="129"/>
      <c r="D4693" s="129"/>
      <c r="E4693" s="129"/>
      <c r="F4693" s="129"/>
      <c r="G4693" s="129"/>
    </row>
    <row r="4694" spans="2:7" x14ac:dyDescent="0.2">
      <c r="B4694" s="129"/>
      <c r="C4694" s="129"/>
      <c r="D4694" s="129"/>
      <c r="E4694" s="129"/>
      <c r="F4694" s="129"/>
      <c r="G4694" s="129"/>
    </row>
    <row r="4695" spans="2:7" x14ac:dyDescent="0.2">
      <c r="B4695" s="129"/>
      <c r="C4695" s="129"/>
      <c r="D4695" s="129"/>
      <c r="E4695" s="129"/>
      <c r="F4695" s="129"/>
      <c r="G4695" s="129"/>
    </row>
    <row r="4696" spans="2:7" x14ac:dyDescent="0.2">
      <c r="B4696" s="129"/>
      <c r="C4696" s="129"/>
      <c r="D4696" s="129"/>
      <c r="E4696" s="129"/>
      <c r="F4696" s="129"/>
      <c r="G4696" s="129"/>
    </row>
    <row r="4697" spans="2:7" x14ac:dyDescent="0.2">
      <c r="B4697" s="129"/>
      <c r="C4697" s="129"/>
      <c r="D4697" s="129"/>
      <c r="E4697" s="129"/>
      <c r="F4697" s="129"/>
      <c r="G4697" s="129"/>
    </row>
    <row r="4698" spans="2:7" x14ac:dyDescent="0.2">
      <c r="B4698" s="129"/>
      <c r="C4698" s="129"/>
      <c r="D4698" s="129"/>
      <c r="E4698" s="129"/>
      <c r="F4698" s="129"/>
      <c r="G4698" s="129"/>
    </row>
    <row r="4699" spans="2:7" x14ac:dyDescent="0.2">
      <c r="B4699" s="129"/>
      <c r="C4699" s="129"/>
      <c r="D4699" s="129"/>
      <c r="E4699" s="129"/>
      <c r="F4699" s="129"/>
      <c r="G4699" s="129"/>
    </row>
    <row r="4700" spans="2:7" x14ac:dyDescent="0.2">
      <c r="B4700" s="129"/>
      <c r="C4700" s="129"/>
      <c r="D4700" s="129"/>
      <c r="E4700" s="129"/>
      <c r="F4700" s="129"/>
      <c r="G4700" s="129"/>
    </row>
    <row r="4701" spans="2:7" x14ac:dyDescent="0.2">
      <c r="B4701" s="129"/>
      <c r="C4701" s="129"/>
      <c r="D4701" s="129"/>
      <c r="E4701" s="129"/>
      <c r="F4701" s="129"/>
      <c r="G4701" s="129"/>
    </row>
    <row r="4702" spans="2:7" x14ac:dyDescent="0.2">
      <c r="B4702" s="129"/>
      <c r="C4702" s="129"/>
      <c r="D4702" s="129"/>
      <c r="E4702" s="129"/>
      <c r="F4702" s="129"/>
      <c r="G4702" s="129"/>
    </row>
    <row r="4703" spans="2:7" x14ac:dyDescent="0.2">
      <c r="B4703" s="129"/>
      <c r="C4703" s="129"/>
      <c r="D4703" s="129"/>
      <c r="E4703" s="129"/>
      <c r="F4703" s="129"/>
      <c r="G4703" s="129"/>
    </row>
    <row r="4704" spans="2:7" x14ac:dyDescent="0.2">
      <c r="B4704" s="129"/>
      <c r="C4704" s="129"/>
      <c r="D4704" s="129"/>
      <c r="E4704" s="129"/>
      <c r="F4704" s="129"/>
      <c r="G4704" s="129"/>
    </row>
    <row r="4705" spans="2:7" x14ac:dyDescent="0.2">
      <c r="B4705" s="129"/>
      <c r="C4705" s="129"/>
      <c r="D4705" s="129"/>
      <c r="E4705" s="129"/>
      <c r="F4705" s="129"/>
      <c r="G4705" s="129"/>
    </row>
    <row r="4706" spans="2:7" x14ac:dyDescent="0.2">
      <c r="B4706" s="129"/>
      <c r="C4706" s="129"/>
      <c r="D4706" s="129"/>
      <c r="E4706" s="129"/>
      <c r="F4706" s="129"/>
      <c r="G4706" s="129"/>
    </row>
    <row r="4707" spans="2:7" x14ac:dyDescent="0.2">
      <c r="B4707" s="129"/>
      <c r="C4707" s="129"/>
      <c r="D4707" s="129"/>
      <c r="E4707" s="129"/>
      <c r="F4707" s="129"/>
      <c r="G4707" s="129"/>
    </row>
    <row r="4708" spans="2:7" x14ac:dyDescent="0.2">
      <c r="B4708" s="129"/>
      <c r="C4708" s="129"/>
      <c r="D4708" s="129"/>
      <c r="E4708" s="129"/>
      <c r="F4708" s="129"/>
      <c r="G4708" s="129"/>
    </row>
    <row r="4709" spans="2:7" x14ac:dyDescent="0.2">
      <c r="B4709" s="129"/>
      <c r="C4709" s="129"/>
      <c r="D4709" s="129"/>
      <c r="E4709" s="129"/>
      <c r="F4709" s="129"/>
      <c r="G4709" s="129"/>
    </row>
    <row r="4710" spans="2:7" x14ac:dyDescent="0.2">
      <c r="B4710" s="129"/>
      <c r="C4710" s="129"/>
      <c r="D4710" s="129"/>
      <c r="E4710" s="129"/>
      <c r="F4710" s="129"/>
      <c r="G4710" s="129"/>
    </row>
    <row r="4711" spans="2:7" x14ac:dyDescent="0.2">
      <c r="B4711" s="129"/>
      <c r="C4711" s="129"/>
      <c r="D4711" s="129"/>
      <c r="E4711" s="129"/>
      <c r="F4711" s="129"/>
      <c r="G4711" s="129"/>
    </row>
    <row r="4712" spans="2:7" x14ac:dyDescent="0.2">
      <c r="B4712" s="129"/>
      <c r="C4712" s="129"/>
      <c r="D4712" s="129"/>
      <c r="E4712" s="129"/>
      <c r="F4712" s="129"/>
      <c r="G4712" s="129"/>
    </row>
    <row r="4713" spans="2:7" x14ac:dyDescent="0.2">
      <c r="B4713" s="129"/>
      <c r="C4713" s="129"/>
      <c r="D4713" s="129"/>
      <c r="E4713" s="129"/>
      <c r="F4713" s="129"/>
      <c r="G4713" s="129"/>
    </row>
    <row r="4714" spans="2:7" x14ac:dyDescent="0.2">
      <c r="B4714" s="129"/>
      <c r="C4714" s="129"/>
      <c r="D4714" s="129"/>
      <c r="E4714" s="129"/>
      <c r="F4714" s="129"/>
      <c r="G4714" s="129"/>
    </row>
    <row r="4715" spans="2:7" x14ac:dyDescent="0.2">
      <c r="B4715" s="129"/>
      <c r="C4715" s="129"/>
      <c r="D4715" s="129"/>
      <c r="E4715" s="129"/>
      <c r="F4715" s="129"/>
      <c r="G4715" s="129"/>
    </row>
    <row r="4716" spans="2:7" x14ac:dyDescent="0.2">
      <c r="B4716" s="129"/>
      <c r="C4716" s="129"/>
      <c r="D4716" s="129"/>
      <c r="E4716" s="129"/>
      <c r="F4716" s="129"/>
      <c r="G4716" s="129"/>
    </row>
    <row r="4717" spans="2:7" x14ac:dyDescent="0.2">
      <c r="B4717" s="129"/>
      <c r="C4717" s="129"/>
      <c r="D4717" s="129"/>
      <c r="E4717" s="129"/>
      <c r="F4717" s="129"/>
      <c r="G4717" s="129"/>
    </row>
    <row r="4718" spans="2:7" x14ac:dyDescent="0.2">
      <c r="B4718" s="129"/>
      <c r="C4718" s="129"/>
      <c r="D4718" s="129"/>
      <c r="E4718" s="129"/>
      <c r="F4718" s="129"/>
      <c r="G4718" s="129"/>
    </row>
    <row r="4719" spans="2:7" x14ac:dyDescent="0.2">
      <c r="B4719" s="129"/>
      <c r="C4719" s="129"/>
      <c r="D4719" s="129"/>
      <c r="E4719" s="129"/>
      <c r="F4719" s="129"/>
      <c r="G4719" s="129"/>
    </row>
    <row r="4720" spans="2:7" x14ac:dyDescent="0.2">
      <c r="B4720" s="129"/>
      <c r="C4720" s="129"/>
      <c r="D4720" s="129"/>
      <c r="E4720" s="129"/>
      <c r="F4720" s="129"/>
      <c r="G4720" s="129"/>
    </row>
    <row r="4721" spans="2:7" x14ac:dyDescent="0.2">
      <c r="B4721" s="129"/>
      <c r="C4721" s="129"/>
      <c r="D4721" s="129"/>
      <c r="E4721" s="129"/>
      <c r="F4721" s="129"/>
      <c r="G4721" s="129"/>
    </row>
    <row r="4722" spans="2:7" x14ac:dyDescent="0.2">
      <c r="B4722" s="129"/>
      <c r="C4722" s="129"/>
      <c r="D4722" s="129"/>
      <c r="E4722" s="129"/>
      <c r="F4722" s="129"/>
      <c r="G4722" s="129"/>
    </row>
    <row r="4723" spans="2:7" x14ac:dyDescent="0.2">
      <c r="B4723" s="129"/>
      <c r="C4723" s="129"/>
      <c r="D4723" s="129"/>
      <c r="E4723" s="129"/>
      <c r="F4723" s="129"/>
      <c r="G4723" s="129"/>
    </row>
    <row r="4724" spans="2:7" x14ac:dyDescent="0.2">
      <c r="B4724" s="129"/>
      <c r="C4724" s="129"/>
      <c r="D4724" s="129"/>
      <c r="E4724" s="129"/>
      <c r="F4724" s="129"/>
      <c r="G4724" s="129"/>
    </row>
    <row r="4725" spans="2:7" x14ac:dyDescent="0.2">
      <c r="B4725" s="129"/>
      <c r="C4725" s="129"/>
      <c r="D4725" s="129"/>
      <c r="E4725" s="129"/>
      <c r="F4725" s="129"/>
      <c r="G4725" s="129"/>
    </row>
    <row r="4726" spans="2:7" x14ac:dyDescent="0.2">
      <c r="B4726" s="129"/>
      <c r="C4726" s="129"/>
      <c r="D4726" s="129"/>
      <c r="E4726" s="129"/>
      <c r="F4726" s="129"/>
      <c r="G4726" s="129"/>
    </row>
    <row r="4727" spans="2:7" x14ac:dyDescent="0.2">
      <c r="B4727" s="129"/>
      <c r="C4727" s="129"/>
      <c r="D4727" s="129"/>
      <c r="E4727" s="129"/>
      <c r="F4727" s="129"/>
      <c r="G4727" s="129"/>
    </row>
    <row r="4728" spans="2:7" x14ac:dyDescent="0.2">
      <c r="B4728" s="129"/>
      <c r="C4728" s="129"/>
      <c r="D4728" s="129"/>
      <c r="E4728" s="129"/>
      <c r="F4728" s="129"/>
      <c r="G4728" s="129"/>
    </row>
    <row r="4729" spans="2:7" x14ac:dyDescent="0.2">
      <c r="B4729" s="129"/>
      <c r="C4729" s="129"/>
      <c r="D4729" s="129"/>
      <c r="E4729" s="129"/>
      <c r="F4729" s="129"/>
      <c r="G4729" s="129"/>
    </row>
    <row r="4730" spans="2:7" x14ac:dyDescent="0.2">
      <c r="B4730" s="129"/>
      <c r="C4730" s="129"/>
      <c r="D4730" s="129"/>
      <c r="E4730" s="129"/>
      <c r="F4730" s="129"/>
      <c r="G4730" s="129"/>
    </row>
    <row r="4731" spans="2:7" x14ac:dyDescent="0.2">
      <c r="B4731" s="129"/>
      <c r="C4731" s="129"/>
      <c r="D4731" s="129"/>
      <c r="E4731" s="129"/>
      <c r="F4731" s="129"/>
      <c r="G4731" s="129"/>
    </row>
    <row r="4732" spans="2:7" x14ac:dyDescent="0.2">
      <c r="B4732" s="129"/>
      <c r="C4732" s="129"/>
      <c r="D4732" s="129"/>
      <c r="E4732" s="129"/>
      <c r="F4732" s="129"/>
      <c r="G4732" s="129"/>
    </row>
    <row r="4733" spans="2:7" x14ac:dyDescent="0.2">
      <c r="B4733" s="129"/>
      <c r="C4733" s="129"/>
      <c r="D4733" s="129"/>
      <c r="E4733" s="129"/>
      <c r="F4733" s="129"/>
      <c r="G4733" s="129"/>
    </row>
    <row r="4734" spans="2:7" x14ac:dyDescent="0.2">
      <c r="B4734" s="129"/>
      <c r="C4734" s="129"/>
      <c r="D4734" s="129"/>
      <c r="E4734" s="129"/>
      <c r="F4734" s="129"/>
      <c r="G4734" s="129"/>
    </row>
    <row r="4735" spans="2:7" x14ac:dyDescent="0.2">
      <c r="B4735" s="129"/>
      <c r="C4735" s="129"/>
      <c r="D4735" s="129"/>
      <c r="E4735" s="129"/>
      <c r="F4735" s="129"/>
      <c r="G4735" s="129"/>
    </row>
    <row r="4736" spans="2:7" x14ac:dyDescent="0.2">
      <c r="B4736" s="129"/>
      <c r="C4736" s="129"/>
      <c r="D4736" s="129"/>
      <c r="E4736" s="129"/>
      <c r="F4736" s="129"/>
      <c r="G4736" s="129"/>
    </row>
    <row r="4737" spans="2:7" x14ac:dyDescent="0.2">
      <c r="B4737" s="129"/>
      <c r="C4737" s="129"/>
      <c r="D4737" s="129"/>
      <c r="E4737" s="129"/>
      <c r="F4737" s="129"/>
      <c r="G4737" s="129"/>
    </row>
    <row r="4738" spans="2:7" x14ac:dyDescent="0.2">
      <c r="B4738" s="129"/>
      <c r="C4738" s="129"/>
      <c r="D4738" s="129"/>
      <c r="E4738" s="129"/>
      <c r="F4738" s="129"/>
      <c r="G4738" s="129"/>
    </row>
    <row r="4739" spans="2:7" x14ac:dyDescent="0.2">
      <c r="B4739" s="129"/>
      <c r="C4739" s="129"/>
      <c r="D4739" s="129"/>
      <c r="E4739" s="129"/>
      <c r="F4739" s="129"/>
      <c r="G4739" s="129"/>
    </row>
    <row r="4740" spans="2:7" x14ac:dyDescent="0.2">
      <c r="B4740" s="129"/>
      <c r="C4740" s="129"/>
      <c r="D4740" s="129"/>
      <c r="E4740" s="129"/>
      <c r="F4740" s="129"/>
      <c r="G4740" s="129"/>
    </row>
    <row r="4741" spans="2:7" x14ac:dyDescent="0.2">
      <c r="B4741" s="129"/>
      <c r="C4741" s="129"/>
      <c r="D4741" s="129"/>
      <c r="E4741" s="129"/>
      <c r="F4741" s="129"/>
      <c r="G4741" s="129"/>
    </row>
    <row r="4742" spans="2:7" x14ac:dyDescent="0.2">
      <c r="B4742" s="129"/>
      <c r="C4742" s="129"/>
      <c r="D4742" s="129"/>
      <c r="E4742" s="129"/>
      <c r="F4742" s="129"/>
      <c r="G4742" s="129"/>
    </row>
    <row r="4743" spans="2:7" x14ac:dyDescent="0.2">
      <c r="B4743" s="129"/>
      <c r="C4743" s="129"/>
      <c r="D4743" s="129"/>
      <c r="E4743" s="129"/>
      <c r="F4743" s="129"/>
      <c r="G4743" s="129"/>
    </row>
    <row r="4744" spans="2:7" x14ac:dyDescent="0.2">
      <c r="B4744" s="129"/>
      <c r="C4744" s="129"/>
      <c r="D4744" s="129"/>
      <c r="E4744" s="129"/>
      <c r="F4744" s="129"/>
      <c r="G4744" s="129"/>
    </row>
    <row r="4745" spans="2:7" x14ac:dyDescent="0.2">
      <c r="B4745" s="129"/>
      <c r="C4745" s="129"/>
      <c r="D4745" s="129"/>
      <c r="E4745" s="129"/>
      <c r="F4745" s="129"/>
      <c r="G4745" s="129"/>
    </row>
    <row r="4746" spans="2:7" x14ac:dyDescent="0.2">
      <c r="B4746" s="129"/>
      <c r="C4746" s="129"/>
      <c r="D4746" s="129"/>
      <c r="E4746" s="129"/>
      <c r="F4746" s="129"/>
      <c r="G4746" s="129"/>
    </row>
    <row r="4747" spans="2:7" x14ac:dyDescent="0.2">
      <c r="B4747" s="129"/>
      <c r="C4747" s="129"/>
      <c r="D4747" s="129"/>
      <c r="E4747" s="129"/>
      <c r="F4747" s="129"/>
      <c r="G4747" s="129"/>
    </row>
    <row r="4748" spans="2:7" x14ac:dyDescent="0.2">
      <c r="B4748" s="129"/>
      <c r="C4748" s="129"/>
      <c r="D4748" s="129"/>
      <c r="E4748" s="129"/>
      <c r="F4748" s="129"/>
      <c r="G4748" s="129"/>
    </row>
    <row r="4749" spans="2:7" x14ac:dyDescent="0.2">
      <c r="B4749" s="129"/>
      <c r="C4749" s="129"/>
      <c r="D4749" s="129"/>
      <c r="E4749" s="129"/>
      <c r="F4749" s="129"/>
      <c r="G4749" s="129"/>
    </row>
    <row r="4750" spans="2:7" x14ac:dyDescent="0.2">
      <c r="B4750" s="129"/>
      <c r="C4750" s="129"/>
      <c r="D4750" s="129"/>
      <c r="E4750" s="129"/>
      <c r="F4750" s="129"/>
      <c r="G4750" s="129"/>
    </row>
    <row r="4751" spans="2:7" x14ac:dyDescent="0.2">
      <c r="B4751" s="129"/>
      <c r="C4751" s="129"/>
      <c r="D4751" s="129"/>
      <c r="E4751" s="129"/>
      <c r="F4751" s="129"/>
      <c r="G4751" s="129"/>
    </row>
    <row r="4752" spans="2:7" x14ac:dyDescent="0.2">
      <c r="B4752" s="129"/>
      <c r="C4752" s="129"/>
      <c r="D4752" s="129"/>
      <c r="E4752" s="129"/>
      <c r="F4752" s="129"/>
      <c r="G4752" s="129"/>
    </row>
    <row r="4753" spans="2:7" x14ac:dyDescent="0.2">
      <c r="B4753" s="129"/>
      <c r="C4753" s="129"/>
      <c r="D4753" s="129"/>
      <c r="E4753" s="129"/>
      <c r="F4753" s="129"/>
      <c r="G4753" s="129"/>
    </row>
    <row r="4754" spans="2:7" x14ac:dyDescent="0.2">
      <c r="B4754" s="129"/>
      <c r="C4754" s="129"/>
      <c r="D4754" s="129"/>
      <c r="E4754" s="129"/>
      <c r="F4754" s="129"/>
      <c r="G4754" s="129"/>
    </row>
    <row r="4755" spans="2:7" x14ac:dyDescent="0.2">
      <c r="B4755" s="129"/>
      <c r="C4755" s="129"/>
      <c r="D4755" s="129"/>
      <c r="E4755" s="129"/>
      <c r="F4755" s="129"/>
      <c r="G4755" s="129"/>
    </row>
    <row r="4756" spans="2:7" x14ac:dyDescent="0.2">
      <c r="B4756" s="129"/>
      <c r="C4756" s="129"/>
      <c r="D4756" s="129"/>
      <c r="E4756" s="129"/>
      <c r="F4756" s="129"/>
      <c r="G4756" s="129"/>
    </row>
    <row r="4757" spans="2:7" x14ac:dyDescent="0.2">
      <c r="B4757" s="129"/>
      <c r="C4757" s="129"/>
      <c r="D4757" s="129"/>
      <c r="E4757" s="129"/>
      <c r="F4757" s="129"/>
      <c r="G4757" s="129"/>
    </row>
    <row r="4758" spans="2:7" x14ac:dyDescent="0.2">
      <c r="B4758" s="129"/>
      <c r="C4758" s="129"/>
      <c r="D4758" s="129"/>
      <c r="E4758" s="129"/>
      <c r="F4758" s="129"/>
      <c r="G4758" s="129"/>
    </row>
    <row r="4759" spans="2:7" x14ac:dyDescent="0.2">
      <c r="B4759" s="129"/>
      <c r="C4759" s="129"/>
      <c r="D4759" s="129"/>
      <c r="E4759" s="129"/>
      <c r="F4759" s="129"/>
      <c r="G4759" s="129"/>
    </row>
    <row r="4760" spans="2:7" x14ac:dyDescent="0.2">
      <c r="B4760" s="129"/>
      <c r="C4760" s="129"/>
      <c r="D4760" s="129"/>
      <c r="E4760" s="129"/>
      <c r="F4760" s="129"/>
      <c r="G4760" s="129"/>
    </row>
    <row r="4761" spans="2:7" x14ac:dyDescent="0.2">
      <c r="B4761" s="129"/>
      <c r="C4761" s="129"/>
      <c r="D4761" s="129"/>
      <c r="E4761" s="129"/>
      <c r="F4761" s="129"/>
      <c r="G4761" s="129"/>
    </row>
    <row r="4762" spans="2:7" x14ac:dyDescent="0.2">
      <c r="B4762" s="129"/>
      <c r="C4762" s="129"/>
      <c r="D4762" s="129"/>
      <c r="E4762" s="129"/>
      <c r="F4762" s="129"/>
      <c r="G4762" s="129"/>
    </row>
    <row r="4763" spans="2:7" x14ac:dyDescent="0.2">
      <c r="B4763" s="129"/>
      <c r="C4763" s="129"/>
      <c r="D4763" s="129"/>
      <c r="E4763" s="129"/>
      <c r="F4763" s="129"/>
      <c r="G4763" s="129"/>
    </row>
    <row r="4764" spans="2:7" x14ac:dyDescent="0.2">
      <c r="B4764" s="129"/>
      <c r="C4764" s="129"/>
      <c r="D4764" s="129"/>
      <c r="E4764" s="129"/>
      <c r="F4764" s="129"/>
      <c r="G4764" s="129"/>
    </row>
    <row r="4765" spans="2:7" x14ac:dyDescent="0.2">
      <c r="B4765" s="129"/>
      <c r="C4765" s="129"/>
      <c r="D4765" s="129"/>
      <c r="E4765" s="129"/>
      <c r="F4765" s="129"/>
      <c r="G4765" s="129"/>
    </row>
    <row r="4766" spans="2:7" x14ac:dyDescent="0.2">
      <c r="B4766" s="129"/>
      <c r="C4766" s="129"/>
      <c r="D4766" s="129"/>
      <c r="E4766" s="129"/>
      <c r="F4766" s="129"/>
      <c r="G4766" s="129"/>
    </row>
    <row r="4767" spans="2:7" x14ac:dyDescent="0.2">
      <c r="B4767" s="129"/>
      <c r="C4767" s="129"/>
      <c r="D4767" s="129"/>
      <c r="E4767" s="129"/>
      <c r="F4767" s="129"/>
      <c r="G4767" s="129"/>
    </row>
    <row r="4768" spans="2:7" x14ac:dyDescent="0.2">
      <c r="B4768" s="129"/>
      <c r="C4768" s="129"/>
      <c r="D4768" s="129"/>
      <c r="E4768" s="129"/>
      <c r="F4768" s="129"/>
      <c r="G4768" s="129"/>
    </row>
    <row r="4769" spans="2:7" x14ac:dyDescent="0.2">
      <c r="B4769" s="129"/>
      <c r="C4769" s="129"/>
      <c r="D4769" s="129"/>
      <c r="E4769" s="129"/>
      <c r="F4769" s="129"/>
      <c r="G4769" s="129"/>
    </row>
    <row r="4770" spans="2:7" x14ac:dyDescent="0.2">
      <c r="B4770" s="129"/>
      <c r="C4770" s="129"/>
      <c r="D4770" s="129"/>
      <c r="E4770" s="129"/>
      <c r="F4770" s="129"/>
      <c r="G4770" s="129"/>
    </row>
    <row r="4771" spans="2:7" x14ac:dyDescent="0.2">
      <c r="B4771" s="129"/>
      <c r="C4771" s="129"/>
      <c r="D4771" s="129"/>
      <c r="E4771" s="129"/>
      <c r="F4771" s="129"/>
      <c r="G4771" s="129"/>
    </row>
    <row r="4772" spans="2:7" x14ac:dyDescent="0.2">
      <c r="B4772" s="129"/>
      <c r="C4772" s="129"/>
      <c r="D4772" s="129"/>
      <c r="E4772" s="129"/>
      <c r="F4772" s="129"/>
      <c r="G4772" s="129"/>
    </row>
    <row r="4773" spans="2:7" x14ac:dyDescent="0.2">
      <c r="B4773" s="129"/>
      <c r="C4773" s="129"/>
      <c r="D4773" s="129"/>
      <c r="E4773" s="129"/>
      <c r="F4773" s="129"/>
      <c r="G4773" s="129"/>
    </row>
    <row r="4774" spans="2:7" x14ac:dyDescent="0.2">
      <c r="B4774" s="129"/>
      <c r="C4774" s="129"/>
      <c r="D4774" s="129"/>
      <c r="E4774" s="129"/>
      <c r="F4774" s="129"/>
      <c r="G4774" s="129"/>
    </row>
    <row r="4775" spans="2:7" x14ac:dyDescent="0.2">
      <c r="B4775" s="129"/>
      <c r="C4775" s="129"/>
      <c r="D4775" s="129"/>
      <c r="E4775" s="129"/>
      <c r="F4775" s="129"/>
      <c r="G4775" s="129"/>
    </row>
    <row r="4776" spans="2:7" x14ac:dyDescent="0.2">
      <c r="B4776" s="129"/>
      <c r="C4776" s="129"/>
      <c r="D4776" s="129"/>
      <c r="E4776" s="129"/>
      <c r="F4776" s="129"/>
      <c r="G4776" s="129"/>
    </row>
    <row r="4777" spans="2:7" x14ac:dyDescent="0.2">
      <c r="B4777" s="129"/>
      <c r="C4777" s="129"/>
      <c r="D4777" s="129"/>
      <c r="E4777" s="129"/>
      <c r="F4777" s="129"/>
      <c r="G4777" s="129"/>
    </row>
    <row r="4778" spans="2:7" x14ac:dyDescent="0.2">
      <c r="B4778" s="129"/>
      <c r="C4778" s="129"/>
      <c r="D4778" s="129"/>
      <c r="E4778" s="129"/>
      <c r="F4778" s="129"/>
      <c r="G4778" s="129"/>
    </row>
    <row r="4779" spans="2:7" x14ac:dyDescent="0.2">
      <c r="B4779" s="129"/>
      <c r="C4779" s="129"/>
      <c r="D4779" s="129"/>
      <c r="E4779" s="129"/>
      <c r="F4779" s="129"/>
      <c r="G4779" s="129"/>
    </row>
    <row r="4780" spans="2:7" x14ac:dyDescent="0.2">
      <c r="B4780" s="129"/>
      <c r="C4780" s="129"/>
      <c r="D4780" s="129"/>
      <c r="E4780" s="129"/>
      <c r="F4780" s="129"/>
      <c r="G4780" s="129"/>
    </row>
    <row r="4781" spans="2:7" x14ac:dyDescent="0.2">
      <c r="B4781" s="129"/>
      <c r="C4781" s="129"/>
      <c r="D4781" s="129"/>
      <c r="E4781" s="129"/>
      <c r="F4781" s="129"/>
      <c r="G4781" s="129"/>
    </row>
    <row r="4782" spans="2:7" x14ac:dyDescent="0.2">
      <c r="B4782" s="129"/>
      <c r="C4782" s="129"/>
      <c r="D4782" s="129"/>
      <c r="E4782" s="129"/>
      <c r="F4782" s="129"/>
      <c r="G4782" s="129"/>
    </row>
    <row r="4783" spans="2:7" x14ac:dyDescent="0.2">
      <c r="B4783" s="129"/>
      <c r="C4783" s="129"/>
      <c r="D4783" s="129"/>
      <c r="E4783" s="129"/>
      <c r="F4783" s="129"/>
      <c r="G4783" s="129"/>
    </row>
    <row r="4784" spans="2:7" x14ac:dyDescent="0.2">
      <c r="B4784" s="129"/>
      <c r="C4784" s="129"/>
      <c r="D4784" s="129"/>
      <c r="E4784" s="129"/>
      <c r="F4784" s="129"/>
      <c r="G4784" s="129"/>
    </row>
    <row r="4785" spans="2:7" x14ac:dyDescent="0.2">
      <c r="B4785" s="129"/>
      <c r="C4785" s="129"/>
      <c r="D4785" s="129"/>
      <c r="E4785" s="129"/>
      <c r="F4785" s="129"/>
      <c r="G4785" s="129"/>
    </row>
    <row r="4786" spans="2:7" x14ac:dyDescent="0.2">
      <c r="B4786" s="129"/>
      <c r="C4786" s="129"/>
      <c r="D4786" s="129"/>
      <c r="E4786" s="129"/>
      <c r="F4786" s="129"/>
      <c r="G4786" s="129"/>
    </row>
    <row r="4787" spans="2:7" x14ac:dyDescent="0.2">
      <c r="B4787" s="129"/>
      <c r="C4787" s="129"/>
      <c r="D4787" s="129"/>
      <c r="E4787" s="129"/>
      <c r="F4787" s="129"/>
      <c r="G4787" s="129"/>
    </row>
    <row r="4788" spans="2:7" x14ac:dyDescent="0.2">
      <c r="B4788" s="129"/>
      <c r="C4788" s="129"/>
      <c r="D4788" s="129"/>
      <c r="E4788" s="129"/>
      <c r="F4788" s="129"/>
      <c r="G4788" s="129"/>
    </row>
    <row r="4789" spans="2:7" x14ac:dyDescent="0.2">
      <c r="B4789" s="129"/>
      <c r="C4789" s="129"/>
      <c r="D4789" s="129"/>
      <c r="E4789" s="129"/>
      <c r="F4789" s="129"/>
      <c r="G4789" s="129"/>
    </row>
    <row r="4790" spans="2:7" x14ac:dyDescent="0.2">
      <c r="B4790" s="129"/>
      <c r="C4790" s="129"/>
      <c r="D4790" s="129"/>
      <c r="E4790" s="129"/>
      <c r="F4790" s="129"/>
      <c r="G4790" s="129"/>
    </row>
    <row r="4791" spans="2:7" x14ac:dyDescent="0.2">
      <c r="B4791" s="129"/>
      <c r="C4791" s="129"/>
      <c r="D4791" s="129"/>
      <c r="E4791" s="129"/>
      <c r="F4791" s="129"/>
      <c r="G4791" s="129"/>
    </row>
    <row r="4792" spans="2:7" x14ac:dyDescent="0.2">
      <c r="B4792" s="129"/>
      <c r="C4792" s="129"/>
      <c r="D4792" s="129"/>
      <c r="E4792" s="129"/>
      <c r="F4792" s="129"/>
      <c r="G4792" s="129"/>
    </row>
    <row r="4793" spans="2:7" x14ac:dyDescent="0.2">
      <c r="B4793" s="129"/>
      <c r="C4793" s="129"/>
      <c r="D4793" s="129"/>
      <c r="E4793" s="129"/>
      <c r="F4793" s="129"/>
      <c r="G4793" s="129"/>
    </row>
    <row r="4794" spans="2:7" x14ac:dyDescent="0.2">
      <c r="B4794" s="129"/>
      <c r="C4794" s="129"/>
      <c r="D4794" s="129"/>
      <c r="E4794" s="129"/>
      <c r="F4794" s="129"/>
      <c r="G4794" s="129"/>
    </row>
    <row r="4795" spans="2:7" x14ac:dyDescent="0.2">
      <c r="B4795" s="129"/>
      <c r="C4795" s="129"/>
      <c r="D4795" s="129"/>
      <c r="E4795" s="129"/>
      <c r="F4795" s="129"/>
      <c r="G4795" s="129"/>
    </row>
    <row r="4796" spans="2:7" x14ac:dyDescent="0.2">
      <c r="B4796" s="129"/>
      <c r="C4796" s="129"/>
      <c r="D4796" s="129"/>
      <c r="E4796" s="129"/>
      <c r="F4796" s="129"/>
      <c r="G4796" s="129"/>
    </row>
    <row r="4797" spans="2:7" x14ac:dyDescent="0.2">
      <c r="B4797" s="129"/>
      <c r="C4797" s="129"/>
      <c r="D4797" s="129"/>
      <c r="E4797" s="129"/>
      <c r="F4797" s="129"/>
      <c r="G4797" s="129"/>
    </row>
    <row r="4798" spans="2:7" x14ac:dyDescent="0.2">
      <c r="B4798" s="129"/>
      <c r="C4798" s="129"/>
      <c r="D4798" s="129"/>
      <c r="E4798" s="129"/>
      <c r="F4798" s="129"/>
      <c r="G4798" s="129"/>
    </row>
    <row r="4799" spans="2:7" x14ac:dyDescent="0.2">
      <c r="B4799" s="129"/>
      <c r="C4799" s="129"/>
      <c r="D4799" s="129"/>
      <c r="E4799" s="129"/>
      <c r="F4799" s="129"/>
      <c r="G4799" s="129"/>
    </row>
    <row r="4800" spans="2:7" x14ac:dyDescent="0.2">
      <c r="B4800" s="129"/>
      <c r="C4800" s="129"/>
      <c r="D4800" s="129"/>
      <c r="E4800" s="129"/>
      <c r="F4800" s="129"/>
      <c r="G4800" s="129"/>
    </row>
    <row r="4801" spans="2:7" x14ac:dyDescent="0.2">
      <c r="B4801" s="129"/>
      <c r="C4801" s="129"/>
      <c r="D4801" s="129"/>
      <c r="E4801" s="129"/>
      <c r="F4801" s="129"/>
      <c r="G4801" s="129"/>
    </row>
    <row r="4802" spans="2:7" x14ac:dyDescent="0.2">
      <c r="B4802" s="129"/>
      <c r="C4802" s="129"/>
      <c r="D4802" s="129"/>
      <c r="E4802" s="129"/>
      <c r="F4802" s="129"/>
      <c r="G4802" s="129"/>
    </row>
    <row r="4803" spans="2:7" x14ac:dyDescent="0.2">
      <c r="B4803" s="129"/>
      <c r="C4803" s="129"/>
      <c r="D4803" s="129"/>
      <c r="E4803" s="129"/>
      <c r="F4803" s="129"/>
      <c r="G4803" s="129"/>
    </row>
    <row r="4804" spans="2:7" x14ac:dyDescent="0.2">
      <c r="B4804" s="129"/>
      <c r="C4804" s="129"/>
      <c r="D4804" s="129"/>
      <c r="E4804" s="129"/>
      <c r="F4804" s="129"/>
      <c r="G4804" s="129"/>
    </row>
    <row r="4805" spans="2:7" x14ac:dyDescent="0.2">
      <c r="B4805" s="129"/>
      <c r="C4805" s="129"/>
      <c r="D4805" s="129"/>
      <c r="E4805" s="129"/>
      <c r="F4805" s="129"/>
      <c r="G4805" s="129"/>
    </row>
    <row r="4806" spans="2:7" x14ac:dyDescent="0.2">
      <c r="B4806" s="129"/>
      <c r="C4806" s="129"/>
      <c r="D4806" s="129"/>
      <c r="E4806" s="129"/>
      <c r="F4806" s="129"/>
      <c r="G4806" s="129"/>
    </row>
    <row r="4807" spans="2:7" x14ac:dyDescent="0.2">
      <c r="B4807" s="129"/>
      <c r="C4807" s="129"/>
      <c r="D4807" s="129"/>
      <c r="E4807" s="129"/>
      <c r="F4807" s="129"/>
      <c r="G4807" s="129"/>
    </row>
    <row r="4808" spans="2:7" x14ac:dyDescent="0.2">
      <c r="B4808" s="129"/>
      <c r="C4808" s="129"/>
      <c r="D4808" s="129"/>
      <c r="E4808" s="129"/>
      <c r="F4808" s="129"/>
      <c r="G4808" s="129"/>
    </row>
    <row r="4809" spans="2:7" x14ac:dyDescent="0.2">
      <c r="B4809" s="129"/>
      <c r="C4809" s="129"/>
      <c r="D4809" s="129"/>
      <c r="E4809" s="129"/>
      <c r="F4809" s="129"/>
      <c r="G4809" s="129"/>
    </row>
    <row r="4810" spans="2:7" x14ac:dyDescent="0.2">
      <c r="B4810" s="129"/>
      <c r="C4810" s="129"/>
      <c r="D4810" s="129"/>
      <c r="E4810" s="129"/>
      <c r="F4810" s="129"/>
      <c r="G4810" s="129"/>
    </row>
    <row r="4811" spans="2:7" x14ac:dyDescent="0.2">
      <c r="B4811" s="129"/>
      <c r="C4811" s="129"/>
      <c r="D4811" s="129"/>
      <c r="E4811" s="129"/>
      <c r="F4811" s="129"/>
      <c r="G4811" s="129"/>
    </row>
    <row r="4812" spans="2:7" x14ac:dyDescent="0.2">
      <c r="B4812" s="129"/>
      <c r="C4812" s="129"/>
      <c r="D4812" s="129"/>
      <c r="E4812" s="129"/>
      <c r="F4812" s="129"/>
      <c r="G4812" s="129"/>
    </row>
    <row r="4813" spans="2:7" x14ac:dyDescent="0.2">
      <c r="B4813" s="129"/>
      <c r="C4813" s="129"/>
      <c r="D4813" s="129"/>
      <c r="E4813" s="129"/>
      <c r="F4813" s="129"/>
      <c r="G4813" s="129"/>
    </row>
    <row r="4814" spans="2:7" x14ac:dyDescent="0.2">
      <c r="B4814" s="129"/>
      <c r="C4814" s="129"/>
      <c r="D4814" s="129"/>
      <c r="E4814" s="129"/>
      <c r="F4814" s="129"/>
      <c r="G4814" s="129"/>
    </row>
    <row r="4815" spans="2:7" x14ac:dyDescent="0.2">
      <c r="B4815" s="129"/>
      <c r="C4815" s="129"/>
      <c r="D4815" s="129"/>
      <c r="E4815" s="129"/>
      <c r="F4815" s="129"/>
      <c r="G4815" s="129"/>
    </row>
    <row r="4816" spans="2:7" x14ac:dyDescent="0.2">
      <c r="B4816" s="129"/>
      <c r="C4816" s="129"/>
      <c r="D4816" s="129"/>
      <c r="E4816" s="129"/>
      <c r="F4816" s="129"/>
      <c r="G4816" s="129"/>
    </row>
    <row r="4817" spans="2:7" x14ac:dyDescent="0.2">
      <c r="B4817" s="129"/>
      <c r="C4817" s="129"/>
      <c r="D4817" s="129"/>
      <c r="E4817" s="129"/>
      <c r="F4817" s="129"/>
      <c r="G4817" s="129"/>
    </row>
    <row r="4818" spans="2:7" x14ac:dyDescent="0.2">
      <c r="B4818" s="129"/>
      <c r="C4818" s="129"/>
      <c r="D4818" s="129"/>
      <c r="E4818" s="129"/>
      <c r="F4818" s="129"/>
      <c r="G4818" s="129"/>
    </row>
    <row r="4819" spans="2:7" x14ac:dyDescent="0.2">
      <c r="B4819" s="129"/>
      <c r="C4819" s="129"/>
      <c r="D4819" s="129"/>
      <c r="E4819" s="129"/>
      <c r="F4819" s="129"/>
      <c r="G4819" s="129"/>
    </row>
    <row r="4820" spans="2:7" x14ac:dyDescent="0.2">
      <c r="B4820" s="129"/>
      <c r="C4820" s="129"/>
      <c r="D4820" s="129"/>
      <c r="E4820" s="129"/>
      <c r="F4820" s="129"/>
      <c r="G4820" s="129"/>
    </row>
    <row r="4821" spans="2:7" x14ac:dyDescent="0.2">
      <c r="B4821" s="129"/>
      <c r="C4821" s="129"/>
      <c r="D4821" s="129"/>
      <c r="E4821" s="129"/>
      <c r="F4821" s="129"/>
      <c r="G4821" s="129"/>
    </row>
    <row r="4822" spans="2:7" x14ac:dyDescent="0.2">
      <c r="B4822" s="129"/>
      <c r="C4822" s="129"/>
      <c r="D4822" s="129"/>
      <c r="E4822" s="129"/>
      <c r="F4822" s="129"/>
      <c r="G4822" s="129"/>
    </row>
    <row r="4823" spans="2:7" x14ac:dyDescent="0.2">
      <c r="B4823" s="129"/>
      <c r="C4823" s="129"/>
      <c r="D4823" s="129"/>
      <c r="E4823" s="129"/>
      <c r="F4823" s="129"/>
      <c r="G4823" s="129"/>
    </row>
    <row r="4824" spans="2:7" x14ac:dyDescent="0.2">
      <c r="B4824" s="129"/>
      <c r="C4824" s="129"/>
      <c r="D4824" s="129"/>
      <c r="E4824" s="129"/>
      <c r="F4824" s="129"/>
      <c r="G4824" s="129"/>
    </row>
    <row r="4825" spans="2:7" x14ac:dyDescent="0.2">
      <c r="B4825" s="129"/>
      <c r="C4825" s="129"/>
      <c r="D4825" s="129"/>
      <c r="E4825" s="129"/>
      <c r="F4825" s="129"/>
      <c r="G4825" s="129"/>
    </row>
    <row r="4826" spans="2:7" x14ac:dyDescent="0.2">
      <c r="B4826" s="129"/>
      <c r="C4826" s="129"/>
      <c r="D4826" s="129"/>
      <c r="E4826" s="129"/>
      <c r="F4826" s="129"/>
      <c r="G4826" s="129"/>
    </row>
    <row r="4827" spans="2:7" x14ac:dyDescent="0.2">
      <c r="B4827" s="129"/>
      <c r="C4827" s="129"/>
      <c r="D4827" s="129"/>
      <c r="E4827" s="129"/>
      <c r="F4827" s="129"/>
      <c r="G4827" s="129"/>
    </row>
    <row r="4828" spans="2:7" x14ac:dyDescent="0.2">
      <c r="B4828" s="129"/>
      <c r="C4828" s="129"/>
      <c r="D4828" s="129"/>
      <c r="E4828" s="129"/>
      <c r="F4828" s="129"/>
      <c r="G4828" s="129"/>
    </row>
    <row r="4829" spans="2:7" x14ac:dyDescent="0.2">
      <c r="B4829" s="129"/>
      <c r="C4829" s="129"/>
      <c r="D4829" s="129"/>
      <c r="E4829" s="129"/>
      <c r="F4829" s="129"/>
      <c r="G4829" s="129"/>
    </row>
    <row r="4830" spans="2:7" x14ac:dyDescent="0.2">
      <c r="B4830" s="129"/>
      <c r="C4830" s="129"/>
      <c r="D4830" s="129"/>
      <c r="E4830" s="129"/>
      <c r="F4830" s="129"/>
      <c r="G4830" s="129"/>
    </row>
    <row r="4831" spans="2:7" x14ac:dyDescent="0.2">
      <c r="B4831" s="129"/>
      <c r="C4831" s="129"/>
      <c r="D4831" s="129"/>
      <c r="E4831" s="129"/>
      <c r="F4831" s="129"/>
      <c r="G4831" s="129"/>
    </row>
    <row r="4832" spans="2:7" x14ac:dyDescent="0.2">
      <c r="B4832" s="129"/>
      <c r="C4832" s="129"/>
      <c r="D4832" s="129"/>
      <c r="E4832" s="129"/>
      <c r="F4832" s="129"/>
      <c r="G4832" s="129"/>
    </row>
    <row r="4833" spans="2:7" x14ac:dyDescent="0.2">
      <c r="B4833" s="129"/>
      <c r="C4833" s="129"/>
      <c r="D4833" s="129"/>
      <c r="E4833" s="129"/>
      <c r="F4833" s="129"/>
      <c r="G4833" s="129"/>
    </row>
    <row r="4834" spans="2:7" x14ac:dyDescent="0.2">
      <c r="B4834" s="129"/>
      <c r="C4834" s="129"/>
      <c r="D4834" s="129"/>
      <c r="E4834" s="129"/>
      <c r="F4834" s="129"/>
      <c r="G4834" s="129"/>
    </row>
    <row r="4835" spans="2:7" x14ac:dyDescent="0.2">
      <c r="B4835" s="129"/>
      <c r="C4835" s="129"/>
      <c r="D4835" s="129"/>
      <c r="E4835" s="129"/>
      <c r="F4835" s="129"/>
      <c r="G4835" s="129"/>
    </row>
    <row r="4836" spans="2:7" x14ac:dyDescent="0.2">
      <c r="B4836" s="129"/>
      <c r="C4836" s="129"/>
      <c r="D4836" s="129"/>
      <c r="E4836" s="129"/>
      <c r="F4836" s="129"/>
      <c r="G4836" s="129"/>
    </row>
    <row r="4837" spans="2:7" x14ac:dyDescent="0.2">
      <c r="B4837" s="129"/>
      <c r="C4837" s="129"/>
      <c r="D4837" s="129"/>
      <c r="E4837" s="129"/>
      <c r="F4837" s="129"/>
      <c r="G4837" s="129"/>
    </row>
    <row r="4838" spans="2:7" x14ac:dyDescent="0.2">
      <c r="B4838" s="129"/>
      <c r="C4838" s="129"/>
      <c r="D4838" s="129"/>
      <c r="E4838" s="129"/>
      <c r="F4838" s="129"/>
      <c r="G4838" s="129"/>
    </row>
    <row r="4839" spans="2:7" x14ac:dyDescent="0.2">
      <c r="B4839" s="129"/>
      <c r="C4839" s="129"/>
      <c r="D4839" s="129"/>
      <c r="E4839" s="129"/>
      <c r="F4839" s="129"/>
      <c r="G4839" s="129"/>
    </row>
    <row r="4840" spans="2:7" x14ac:dyDescent="0.2">
      <c r="B4840" s="129"/>
      <c r="C4840" s="129"/>
      <c r="D4840" s="129"/>
      <c r="E4840" s="129"/>
      <c r="F4840" s="129"/>
      <c r="G4840" s="129"/>
    </row>
    <row r="4841" spans="2:7" x14ac:dyDescent="0.2">
      <c r="B4841" s="129"/>
      <c r="C4841" s="129"/>
      <c r="D4841" s="129"/>
      <c r="E4841" s="129"/>
      <c r="F4841" s="129"/>
      <c r="G4841" s="129"/>
    </row>
    <row r="4842" spans="2:7" x14ac:dyDescent="0.2">
      <c r="B4842" s="129"/>
      <c r="C4842" s="129"/>
      <c r="D4842" s="129"/>
      <c r="E4842" s="129"/>
      <c r="F4842" s="129"/>
      <c r="G4842" s="129"/>
    </row>
    <row r="4843" spans="2:7" x14ac:dyDescent="0.2">
      <c r="B4843" s="129"/>
      <c r="C4843" s="129"/>
      <c r="D4843" s="129"/>
      <c r="E4843" s="129"/>
      <c r="F4843" s="129"/>
      <c r="G4843" s="129"/>
    </row>
    <row r="4844" spans="2:7" x14ac:dyDescent="0.2">
      <c r="B4844" s="129"/>
      <c r="C4844" s="129"/>
      <c r="D4844" s="129"/>
      <c r="E4844" s="129"/>
      <c r="F4844" s="129"/>
      <c r="G4844" s="129"/>
    </row>
    <row r="4845" spans="2:7" x14ac:dyDescent="0.2">
      <c r="B4845" s="129"/>
      <c r="C4845" s="129"/>
      <c r="D4845" s="129"/>
      <c r="E4845" s="129"/>
      <c r="F4845" s="129"/>
      <c r="G4845" s="129"/>
    </row>
    <row r="4846" spans="2:7" x14ac:dyDescent="0.2">
      <c r="B4846" s="129"/>
      <c r="C4846" s="129"/>
      <c r="D4846" s="129"/>
      <c r="E4846" s="129"/>
      <c r="F4846" s="129"/>
      <c r="G4846" s="129"/>
    </row>
    <row r="4847" spans="2:7" x14ac:dyDescent="0.2">
      <c r="B4847" s="129"/>
      <c r="C4847" s="129"/>
      <c r="D4847" s="129"/>
      <c r="E4847" s="129"/>
      <c r="F4847" s="129"/>
      <c r="G4847" s="129"/>
    </row>
    <row r="4848" spans="2:7" x14ac:dyDescent="0.2">
      <c r="B4848" s="129"/>
      <c r="C4848" s="129"/>
      <c r="D4848" s="129"/>
      <c r="E4848" s="129"/>
      <c r="F4848" s="129"/>
      <c r="G4848" s="129"/>
    </row>
    <row r="4849" spans="2:7" x14ac:dyDescent="0.2">
      <c r="B4849" s="129"/>
      <c r="C4849" s="129"/>
      <c r="D4849" s="129"/>
      <c r="E4849" s="129"/>
      <c r="F4849" s="129"/>
      <c r="G4849" s="129"/>
    </row>
    <row r="4850" spans="2:7" x14ac:dyDescent="0.2">
      <c r="B4850" s="129"/>
      <c r="C4850" s="129"/>
      <c r="D4850" s="129"/>
      <c r="E4850" s="129"/>
      <c r="F4850" s="129"/>
      <c r="G4850" s="129"/>
    </row>
    <row r="4851" spans="2:7" x14ac:dyDescent="0.2">
      <c r="B4851" s="129"/>
      <c r="C4851" s="129"/>
      <c r="D4851" s="129"/>
      <c r="E4851" s="129"/>
      <c r="F4851" s="129"/>
      <c r="G4851" s="129"/>
    </row>
    <row r="4852" spans="2:7" x14ac:dyDescent="0.2">
      <c r="B4852" s="129"/>
      <c r="C4852" s="129"/>
      <c r="D4852" s="129"/>
      <c r="E4852" s="129"/>
      <c r="F4852" s="129"/>
      <c r="G4852" s="129"/>
    </row>
    <row r="4853" spans="2:7" x14ac:dyDescent="0.2">
      <c r="B4853" s="129"/>
      <c r="C4853" s="129"/>
      <c r="D4853" s="129"/>
      <c r="E4853" s="129"/>
      <c r="F4853" s="129"/>
      <c r="G4853" s="129"/>
    </row>
    <row r="4854" spans="2:7" x14ac:dyDescent="0.2">
      <c r="B4854" s="129"/>
      <c r="C4854" s="129"/>
      <c r="D4854" s="129"/>
      <c r="E4854" s="129"/>
      <c r="F4854" s="129"/>
      <c r="G4854" s="129"/>
    </row>
    <row r="4855" spans="2:7" x14ac:dyDescent="0.2">
      <c r="B4855" s="129"/>
      <c r="C4855" s="129"/>
      <c r="D4855" s="129"/>
      <c r="E4855" s="129"/>
      <c r="F4855" s="129"/>
      <c r="G4855" s="129"/>
    </row>
    <row r="4856" spans="2:7" x14ac:dyDescent="0.2">
      <c r="B4856" s="129"/>
      <c r="C4856" s="129"/>
      <c r="D4856" s="129"/>
      <c r="E4856" s="129"/>
      <c r="F4856" s="129"/>
      <c r="G4856" s="129"/>
    </row>
    <row r="4857" spans="2:7" x14ac:dyDescent="0.2">
      <c r="B4857" s="129"/>
      <c r="C4857" s="129"/>
      <c r="D4857" s="129"/>
      <c r="E4857" s="129"/>
      <c r="F4857" s="129"/>
      <c r="G4857" s="129"/>
    </row>
    <row r="4858" spans="2:7" x14ac:dyDescent="0.2">
      <c r="B4858" s="129"/>
      <c r="C4858" s="129"/>
      <c r="D4858" s="129"/>
      <c r="E4858" s="129"/>
      <c r="F4858" s="129"/>
      <c r="G4858" s="129"/>
    </row>
    <row r="4859" spans="2:7" x14ac:dyDescent="0.2">
      <c r="B4859" s="129"/>
      <c r="C4859" s="129"/>
      <c r="D4859" s="129"/>
      <c r="E4859" s="129"/>
      <c r="F4859" s="129"/>
      <c r="G4859" s="129"/>
    </row>
    <row r="4860" spans="2:7" x14ac:dyDescent="0.2">
      <c r="B4860" s="129"/>
      <c r="C4860" s="129"/>
      <c r="D4860" s="129"/>
      <c r="E4860" s="129"/>
      <c r="F4860" s="129"/>
      <c r="G4860" s="129"/>
    </row>
    <row r="4861" spans="2:7" x14ac:dyDescent="0.2">
      <c r="B4861" s="129"/>
      <c r="C4861" s="129"/>
      <c r="D4861" s="129"/>
      <c r="E4861" s="129"/>
      <c r="F4861" s="129"/>
      <c r="G4861" s="129"/>
    </row>
    <row r="4862" spans="2:7" x14ac:dyDescent="0.2">
      <c r="B4862" s="129"/>
      <c r="C4862" s="129"/>
      <c r="D4862" s="129"/>
      <c r="E4862" s="129"/>
      <c r="F4862" s="129"/>
      <c r="G4862" s="129"/>
    </row>
    <row r="4863" spans="2:7" x14ac:dyDescent="0.2">
      <c r="B4863" s="129"/>
      <c r="C4863" s="129"/>
      <c r="D4863" s="129"/>
      <c r="E4863" s="129"/>
      <c r="F4863" s="129"/>
      <c r="G4863" s="129"/>
    </row>
    <row r="4864" spans="2:7" x14ac:dyDescent="0.2">
      <c r="B4864" s="129"/>
      <c r="C4864" s="129"/>
      <c r="D4864" s="129"/>
      <c r="E4864" s="129"/>
      <c r="F4864" s="129"/>
      <c r="G4864" s="129"/>
    </row>
    <row r="4865" spans="2:7" x14ac:dyDescent="0.2">
      <c r="B4865" s="129"/>
      <c r="C4865" s="129"/>
      <c r="D4865" s="129"/>
      <c r="E4865" s="129"/>
      <c r="F4865" s="129"/>
      <c r="G4865" s="129"/>
    </row>
    <row r="4866" spans="2:7" x14ac:dyDescent="0.2">
      <c r="B4866" s="129"/>
      <c r="C4866" s="129"/>
      <c r="D4866" s="129"/>
      <c r="E4866" s="129"/>
      <c r="F4866" s="129"/>
      <c r="G4866" s="129"/>
    </row>
    <row r="4867" spans="2:7" x14ac:dyDescent="0.2">
      <c r="B4867" s="129"/>
      <c r="C4867" s="129"/>
      <c r="D4867" s="129"/>
      <c r="E4867" s="129"/>
      <c r="F4867" s="129"/>
      <c r="G4867" s="129"/>
    </row>
    <row r="4868" spans="2:7" x14ac:dyDescent="0.2">
      <c r="B4868" s="129"/>
      <c r="C4868" s="129"/>
      <c r="D4868" s="129"/>
      <c r="E4868" s="129"/>
      <c r="F4868" s="129"/>
      <c r="G4868" s="129"/>
    </row>
    <row r="4869" spans="2:7" x14ac:dyDescent="0.2">
      <c r="B4869" s="129"/>
      <c r="C4869" s="129"/>
      <c r="D4869" s="129"/>
      <c r="E4869" s="129"/>
      <c r="F4869" s="129"/>
      <c r="G4869" s="129"/>
    </row>
    <row r="4870" spans="2:7" x14ac:dyDescent="0.2">
      <c r="B4870" s="129"/>
      <c r="C4870" s="129"/>
      <c r="D4870" s="129"/>
      <c r="E4870" s="129"/>
      <c r="F4870" s="129"/>
      <c r="G4870" s="129"/>
    </row>
    <row r="4871" spans="2:7" x14ac:dyDescent="0.2">
      <c r="B4871" s="129"/>
      <c r="C4871" s="129"/>
      <c r="D4871" s="129"/>
      <c r="E4871" s="129"/>
      <c r="F4871" s="129"/>
      <c r="G4871" s="129"/>
    </row>
    <row r="4872" spans="2:7" x14ac:dyDescent="0.2">
      <c r="B4872" s="129"/>
      <c r="C4872" s="129"/>
      <c r="D4872" s="129"/>
      <c r="E4872" s="129"/>
      <c r="F4872" s="129"/>
      <c r="G4872" s="129"/>
    </row>
    <row r="4873" spans="2:7" x14ac:dyDescent="0.2">
      <c r="B4873" s="129"/>
      <c r="C4873" s="129"/>
      <c r="D4873" s="129"/>
      <c r="E4873" s="129"/>
      <c r="F4873" s="129"/>
      <c r="G4873" s="129"/>
    </row>
    <row r="4874" spans="2:7" x14ac:dyDescent="0.2">
      <c r="B4874" s="129"/>
      <c r="C4874" s="129"/>
      <c r="D4874" s="129"/>
      <c r="E4874" s="129"/>
      <c r="F4874" s="129"/>
      <c r="G4874" s="129"/>
    </row>
    <row r="4875" spans="2:7" x14ac:dyDescent="0.2">
      <c r="B4875" s="129"/>
      <c r="C4875" s="129"/>
      <c r="D4875" s="129"/>
      <c r="E4875" s="129"/>
      <c r="F4875" s="129"/>
      <c r="G4875" s="129"/>
    </row>
    <row r="4876" spans="2:7" x14ac:dyDescent="0.2">
      <c r="B4876" s="129"/>
      <c r="C4876" s="129"/>
      <c r="D4876" s="129"/>
      <c r="E4876" s="129"/>
      <c r="F4876" s="129"/>
      <c r="G4876" s="129"/>
    </row>
    <row r="4877" spans="2:7" x14ac:dyDescent="0.2">
      <c r="B4877" s="129"/>
      <c r="C4877" s="129"/>
      <c r="D4877" s="129"/>
      <c r="E4877" s="129"/>
      <c r="F4877" s="129"/>
      <c r="G4877" s="129"/>
    </row>
    <row r="4878" spans="2:7" x14ac:dyDescent="0.2">
      <c r="B4878" s="129"/>
      <c r="C4878" s="129"/>
      <c r="D4878" s="129"/>
      <c r="E4878" s="129"/>
      <c r="F4878" s="129"/>
      <c r="G4878" s="129"/>
    </row>
    <row r="4879" spans="2:7" x14ac:dyDescent="0.2">
      <c r="B4879" s="129"/>
      <c r="C4879" s="129"/>
      <c r="D4879" s="129"/>
      <c r="E4879" s="129"/>
      <c r="F4879" s="129"/>
      <c r="G4879" s="129"/>
    </row>
    <row r="4880" spans="2:7" x14ac:dyDescent="0.2">
      <c r="B4880" s="129"/>
      <c r="C4880" s="129"/>
      <c r="D4880" s="129"/>
      <c r="E4880" s="129"/>
      <c r="F4880" s="129"/>
      <c r="G4880" s="129"/>
    </row>
    <row r="4881" spans="2:7" x14ac:dyDescent="0.2">
      <c r="B4881" s="129"/>
      <c r="C4881" s="129"/>
      <c r="D4881" s="129"/>
      <c r="E4881" s="129"/>
      <c r="F4881" s="129"/>
      <c r="G4881" s="129"/>
    </row>
    <row r="4882" spans="2:7" x14ac:dyDescent="0.2">
      <c r="B4882" s="129"/>
      <c r="C4882" s="129"/>
      <c r="D4882" s="129"/>
      <c r="E4882" s="129"/>
      <c r="F4882" s="129"/>
      <c r="G4882" s="129"/>
    </row>
    <row r="4883" spans="2:7" x14ac:dyDescent="0.2">
      <c r="B4883" s="129"/>
      <c r="C4883" s="129"/>
      <c r="D4883" s="129"/>
      <c r="E4883" s="129"/>
      <c r="F4883" s="129"/>
      <c r="G4883" s="129"/>
    </row>
    <row r="4884" spans="2:7" x14ac:dyDescent="0.2">
      <c r="B4884" s="129"/>
      <c r="C4884" s="129"/>
      <c r="D4884" s="129"/>
      <c r="E4884" s="129"/>
      <c r="F4884" s="129"/>
      <c r="G4884" s="129"/>
    </row>
    <row r="4885" spans="2:7" x14ac:dyDescent="0.2">
      <c r="B4885" s="129"/>
      <c r="C4885" s="129"/>
      <c r="D4885" s="129"/>
      <c r="E4885" s="129"/>
      <c r="F4885" s="129"/>
      <c r="G4885" s="129"/>
    </row>
    <row r="4886" spans="2:7" x14ac:dyDescent="0.2">
      <c r="B4886" s="129"/>
      <c r="C4886" s="129"/>
      <c r="D4886" s="129"/>
      <c r="E4886" s="129"/>
      <c r="F4886" s="129"/>
      <c r="G4886" s="129"/>
    </row>
    <row r="4887" spans="2:7" x14ac:dyDescent="0.2">
      <c r="B4887" s="129"/>
      <c r="C4887" s="129"/>
      <c r="D4887" s="129"/>
      <c r="E4887" s="129"/>
      <c r="F4887" s="129"/>
      <c r="G4887" s="129"/>
    </row>
    <row r="4888" spans="2:7" x14ac:dyDescent="0.2">
      <c r="B4888" s="129"/>
      <c r="C4888" s="129"/>
      <c r="D4888" s="129"/>
      <c r="E4888" s="129"/>
      <c r="F4888" s="129"/>
      <c r="G4888" s="129"/>
    </row>
    <row r="4889" spans="2:7" x14ac:dyDescent="0.2">
      <c r="B4889" s="129"/>
      <c r="C4889" s="129"/>
      <c r="D4889" s="129"/>
      <c r="E4889" s="129"/>
      <c r="F4889" s="129"/>
      <c r="G4889" s="129"/>
    </row>
    <row r="4890" spans="2:7" x14ac:dyDescent="0.2">
      <c r="B4890" s="129"/>
      <c r="C4890" s="129"/>
      <c r="D4890" s="129"/>
      <c r="E4890" s="129"/>
      <c r="F4890" s="129"/>
      <c r="G4890" s="129"/>
    </row>
    <row r="4891" spans="2:7" x14ac:dyDescent="0.2">
      <c r="B4891" s="129"/>
      <c r="C4891" s="129"/>
      <c r="D4891" s="129"/>
      <c r="E4891" s="129"/>
      <c r="F4891" s="129"/>
      <c r="G4891" s="129"/>
    </row>
    <row r="4892" spans="2:7" x14ac:dyDescent="0.2">
      <c r="B4892" s="129"/>
      <c r="C4892" s="129"/>
      <c r="D4892" s="129"/>
      <c r="E4892" s="129"/>
      <c r="F4892" s="129"/>
      <c r="G4892" s="129"/>
    </row>
    <row r="4893" spans="2:7" x14ac:dyDescent="0.2">
      <c r="B4893" s="129"/>
      <c r="C4893" s="129"/>
      <c r="D4893" s="129"/>
      <c r="E4893" s="129"/>
      <c r="F4893" s="129"/>
      <c r="G4893" s="129"/>
    </row>
    <row r="4894" spans="2:7" x14ac:dyDescent="0.2">
      <c r="B4894" s="129"/>
      <c r="C4894" s="129"/>
      <c r="D4894" s="129"/>
      <c r="E4894" s="129"/>
      <c r="F4894" s="129"/>
      <c r="G4894" s="129"/>
    </row>
    <row r="4895" spans="2:7" x14ac:dyDescent="0.2">
      <c r="B4895" s="129"/>
      <c r="C4895" s="129"/>
      <c r="D4895" s="129"/>
      <c r="E4895" s="129"/>
      <c r="F4895" s="129"/>
      <c r="G4895" s="129"/>
    </row>
    <row r="4896" spans="2:7" x14ac:dyDescent="0.2">
      <c r="B4896" s="129"/>
      <c r="C4896" s="129"/>
      <c r="D4896" s="129"/>
      <c r="E4896" s="129"/>
      <c r="F4896" s="129"/>
      <c r="G4896" s="129"/>
    </row>
    <row r="4897" spans="2:7" x14ac:dyDescent="0.2">
      <c r="B4897" s="129"/>
      <c r="C4897" s="129"/>
      <c r="D4897" s="129"/>
      <c r="E4897" s="129"/>
      <c r="F4897" s="129"/>
      <c r="G4897" s="129"/>
    </row>
    <row r="4898" spans="2:7" x14ac:dyDescent="0.2">
      <c r="B4898" s="129"/>
      <c r="C4898" s="129"/>
      <c r="D4898" s="129"/>
      <c r="E4898" s="129"/>
      <c r="F4898" s="129"/>
      <c r="G4898" s="129"/>
    </row>
    <row r="4899" spans="2:7" x14ac:dyDescent="0.2">
      <c r="B4899" s="129"/>
      <c r="C4899" s="129"/>
      <c r="D4899" s="129"/>
      <c r="E4899" s="129"/>
      <c r="F4899" s="129"/>
      <c r="G4899" s="129"/>
    </row>
    <row r="4900" spans="2:7" x14ac:dyDescent="0.2">
      <c r="B4900" s="129"/>
      <c r="C4900" s="129"/>
      <c r="D4900" s="129"/>
      <c r="E4900" s="129"/>
      <c r="F4900" s="129"/>
      <c r="G4900" s="129"/>
    </row>
    <row r="4901" spans="2:7" x14ac:dyDescent="0.2">
      <c r="B4901" s="129"/>
      <c r="C4901" s="129"/>
      <c r="D4901" s="129"/>
      <c r="E4901" s="129"/>
      <c r="F4901" s="129"/>
      <c r="G4901" s="129"/>
    </row>
    <row r="4902" spans="2:7" x14ac:dyDescent="0.2">
      <c r="B4902" s="129"/>
      <c r="C4902" s="129"/>
      <c r="D4902" s="129"/>
      <c r="E4902" s="129"/>
      <c r="F4902" s="129"/>
      <c r="G4902" s="129"/>
    </row>
    <row r="4903" spans="2:7" x14ac:dyDescent="0.2">
      <c r="B4903" s="129"/>
      <c r="C4903" s="129"/>
      <c r="D4903" s="129"/>
      <c r="E4903" s="129"/>
      <c r="F4903" s="129"/>
      <c r="G4903" s="129"/>
    </row>
    <row r="4904" spans="2:7" x14ac:dyDescent="0.2">
      <c r="B4904" s="129"/>
      <c r="C4904" s="129"/>
      <c r="D4904" s="129"/>
      <c r="E4904" s="129"/>
      <c r="F4904" s="129"/>
      <c r="G4904" s="129"/>
    </row>
    <row r="4905" spans="2:7" x14ac:dyDescent="0.2">
      <c r="B4905" s="129"/>
      <c r="C4905" s="129"/>
      <c r="D4905" s="129"/>
      <c r="E4905" s="129"/>
      <c r="F4905" s="129"/>
      <c r="G4905" s="129"/>
    </row>
    <row r="4906" spans="2:7" x14ac:dyDescent="0.2">
      <c r="B4906" s="129"/>
      <c r="C4906" s="129"/>
      <c r="D4906" s="129"/>
      <c r="E4906" s="129"/>
      <c r="F4906" s="129"/>
      <c r="G4906" s="129"/>
    </row>
    <row r="4907" spans="2:7" x14ac:dyDescent="0.2">
      <c r="B4907" s="129"/>
      <c r="C4907" s="129"/>
      <c r="D4907" s="129"/>
      <c r="E4907" s="129"/>
      <c r="F4907" s="129"/>
      <c r="G4907" s="129"/>
    </row>
    <row r="4908" spans="2:7" x14ac:dyDescent="0.2">
      <c r="B4908" s="129"/>
      <c r="C4908" s="129"/>
      <c r="D4908" s="129"/>
      <c r="E4908" s="129"/>
      <c r="F4908" s="129"/>
      <c r="G4908" s="129"/>
    </row>
    <row r="4909" spans="2:7" x14ac:dyDescent="0.2">
      <c r="B4909" s="129"/>
      <c r="C4909" s="129"/>
      <c r="D4909" s="129"/>
      <c r="E4909" s="129"/>
      <c r="F4909" s="129"/>
      <c r="G4909" s="129"/>
    </row>
    <row r="4910" spans="2:7" x14ac:dyDescent="0.2">
      <c r="B4910" s="129"/>
      <c r="C4910" s="129"/>
      <c r="D4910" s="129"/>
      <c r="E4910" s="129"/>
      <c r="F4910" s="129"/>
      <c r="G4910" s="129"/>
    </row>
    <row r="4911" spans="2:7" x14ac:dyDescent="0.2">
      <c r="B4911" s="129"/>
      <c r="C4911" s="129"/>
      <c r="D4911" s="129"/>
      <c r="E4911" s="129"/>
      <c r="F4911" s="129"/>
      <c r="G4911" s="129"/>
    </row>
    <row r="4912" spans="2:7" x14ac:dyDescent="0.2">
      <c r="B4912" s="129"/>
      <c r="C4912" s="129"/>
      <c r="D4912" s="129"/>
      <c r="E4912" s="129"/>
      <c r="F4912" s="129"/>
      <c r="G4912" s="129"/>
    </row>
    <row r="4913" spans="2:7" x14ac:dyDescent="0.2">
      <c r="B4913" s="129"/>
      <c r="C4913" s="129"/>
      <c r="D4913" s="129"/>
      <c r="E4913" s="129"/>
      <c r="F4913" s="129"/>
      <c r="G4913" s="129"/>
    </row>
    <row r="4914" spans="2:7" x14ac:dyDescent="0.2">
      <c r="B4914" s="129"/>
      <c r="C4914" s="129"/>
      <c r="D4914" s="129"/>
      <c r="E4914" s="129"/>
      <c r="F4914" s="129"/>
      <c r="G4914" s="129"/>
    </row>
    <row r="4915" spans="2:7" x14ac:dyDescent="0.2">
      <c r="B4915" s="129"/>
      <c r="C4915" s="129"/>
      <c r="D4915" s="129"/>
      <c r="E4915" s="129"/>
      <c r="F4915" s="129"/>
      <c r="G4915" s="129"/>
    </row>
    <row r="4916" spans="2:7" x14ac:dyDescent="0.2">
      <c r="B4916" s="129"/>
      <c r="C4916" s="129"/>
      <c r="D4916" s="129"/>
      <c r="E4916" s="129"/>
      <c r="F4916" s="129"/>
      <c r="G4916" s="129"/>
    </row>
    <row r="4917" spans="2:7" x14ac:dyDescent="0.2">
      <c r="B4917" s="129"/>
      <c r="C4917" s="129"/>
      <c r="D4917" s="129"/>
      <c r="E4917" s="129"/>
      <c r="F4917" s="129"/>
      <c r="G4917" s="129"/>
    </row>
    <row r="4918" spans="2:7" x14ac:dyDescent="0.2">
      <c r="B4918" s="129"/>
      <c r="C4918" s="129"/>
      <c r="D4918" s="129"/>
      <c r="E4918" s="129"/>
      <c r="F4918" s="129"/>
      <c r="G4918" s="129"/>
    </row>
    <row r="4919" spans="2:7" x14ac:dyDescent="0.2">
      <c r="B4919" s="129"/>
      <c r="C4919" s="129"/>
      <c r="D4919" s="129"/>
      <c r="E4919" s="129"/>
      <c r="F4919" s="129"/>
      <c r="G4919" s="129"/>
    </row>
    <row r="4920" spans="2:7" x14ac:dyDescent="0.2">
      <c r="B4920" s="129"/>
      <c r="C4920" s="129"/>
      <c r="D4920" s="129"/>
      <c r="E4920" s="129"/>
      <c r="F4920" s="129"/>
      <c r="G4920" s="129"/>
    </row>
    <row r="4921" spans="2:7" x14ac:dyDescent="0.2">
      <c r="B4921" s="129"/>
      <c r="C4921" s="129"/>
      <c r="D4921" s="129"/>
      <c r="E4921" s="129"/>
      <c r="F4921" s="129"/>
      <c r="G4921" s="129"/>
    </row>
    <row r="4922" spans="2:7" x14ac:dyDescent="0.2">
      <c r="B4922" s="129"/>
      <c r="C4922" s="129"/>
      <c r="D4922" s="129"/>
      <c r="E4922" s="129"/>
      <c r="F4922" s="129"/>
      <c r="G4922" s="129"/>
    </row>
    <row r="4923" spans="2:7" x14ac:dyDescent="0.2">
      <c r="B4923" s="129"/>
      <c r="C4923" s="129"/>
      <c r="D4923" s="129"/>
      <c r="E4923" s="129"/>
      <c r="F4923" s="129"/>
      <c r="G4923" s="129"/>
    </row>
    <row r="4924" spans="2:7" x14ac:dyDescent="0.2">
      <c r="B4924" s="129"/>
      <c r="C4924" s="129"/>
      <c r="D4924" s="129"/>
      <c r="E4924" s="129"/>
      <c r="F4924" s="129"/>
      <c r="G4924" s="129"/>
    </row>
    <row r="4925" spans="2:7" x14ac:dyDescent="0.2">
      <c r="B4925" s="129"/>
      <c r="C4925" s="129"/>
      <c r="D4925" s="129"/>
      <c r="E4925" s="129"/>
      <c r="F4925" s="129"/>
      <c r="G4925" s="129"/>
    </row>
    <row r="4926" spans="2:7" x14ac:dyDescent="0.2">
      <c r="B4926" s="129"/>
      <c r="C4926" s="129"/>
      <c r="D4926" s="129"/>
      <c r="E4926" s="129"/>
      <c r="F4926" s="129"/>
      <c r="G4926" s="129"/>
    </row>
    <row r="4927" spans="2:7" x14ac:dyDescent="0.2">
      <c r="B4927" s="129"/>
      <c r="C4927" s="129"/>
      <c r="D4927" s="129"/>
      <c r="E4927" s="129"/>
      <c r="F4927" s="129"/>
      <c r="G4927" s="129"/>
    </row>
    <row r="4928" spans="2:7" x14ac:dyDescent="0.2">
      <c r="B4928" s="129"/>
      <c r="C4928" s="129"/>
      <c r="D4928" s="129"/>
      <c r="E4928" s="129"/>
      <c r="F4928" s="129"/>
      <c r="G4928" s="129"/>
    </row>
    <row r="4929" spans="2:7" x14ac:dyDescent="0.2">
      <c r="B4929" s="129"/>
      <c r="C4929" s="129"/>
      <c r="D4929" s="129"/>
      <c r="E4929" s="129"/>
      <c r="F4929" s="129"/>
      <c r="G4929" s="129"/>
    </row>
    <row r="4930" spans="2:7" x14ac:dyDescent="0.2">
      <c r="B4930" s="129"/>
      <c r="C4930" s="129"/>
      <c r="D4930" s="129"/>
      <c r="E4930" s="129"/>
      <c r="F4930" s="129"/>
      <c r="G4930" s="129"/>
    </row>
    <row r="4931" spans="2:7" x14ac:dyDescent="0.2">
      <c r="B4931" s="129"/>
      <c r="C4931" s="129"/>
      <c r="D4931" s="129"/>
      <c r="E4931" s="129"/>
      <c r="F4931" s="129"/>
      <c r="G4931" s="129"/>
    </row>
    <row r="4932" spans="2:7" x14ac:dyDescent="0.2">
      <c r="B4932" s="129"/>
      <c r="C4932" s="129"/>
      <c r="D4932" s="129"/>
      <c r="E4932" s="129"/>
      <c r="F4932" s="129"/>
      <c r="G4932" s="129"/>
    </row>
    <row r="4933" spans="2:7" x14ac:dyDescent="0.2">
      <c r="B4933" s="129"/>
      <c r="C4933" s="129"/>
      <c r="D4933" s="129"/>
      <c r="E4933" s="129"/>
      <c r="F4933" s="129"/>
      <c r="G4933" s="129"/>
    </row>
    <row r="4934" spans="2:7" x14ac:dyDescent="0.2">
      <c r="B4934" s="129"/>
      <c r="C4934" s="129"/>
      <c r="D4934" s="129"/>
      <c r="E4934" s="129"/>
      <c r="F4934" s="129"/>
      <c r="G4934" s="129"/>
    </row>
    <row r="4935" spans="2:7" x14ac:dyDescent="0.2">
      <c r="B4935" s="129"/>
      <c r="C4935" s="129"/>
      <c r="D4935" s="129"/>
      <c r="E4935" s="129"/>
      <c r="F4935" s="129"/>
      <c r="G4935" s="129"/>
    </row>
    <row r="4936" spans="2:7" x14ac:dyDescent="0.2">
      <c r="B4936" s="129"/>
      <c r="C4936" s="129"/>
      <c r="D4936" s="129"/>
      <c r="E4936" s="129"/>
      <c r="F4936" s="129"/>
      <c r="G4936" s="129"/>
    </row>
    <row r="4937" spans="2:7" x14ac:dyDescent="0.2">
      <c r="B4937" s="129"/>
      <c r="C4937" s="129"/>
      <c r="D4937" s="129"/>
      <c r="E4937" s="129"/>
      <c r="F4937" s="129"/>
      <c r="G4937" s="129"/>
    </row>
    <row r="4938" spans="2:7" x14ac:dyDescent="0.2">
      <c r="B4938" s="129"/>
      <c r="C4938" s="129"/>
      <c r="D4938" s="129"/>
      <c r="E4938" s="129"/>
      <c r="F4938" s="129"/>
      <c r="G4938" s="129"/>
    </row>
    <row r="4939" spans="2:7" x14ac:dyDescent="0.2">
      <c r="B4939" s="129"/>
      <c r="C4939" s="129"/>
      <c r="D4939" s="129"/>
      <c r="E4939" s="129"/>
      <c r="F4939" s="129"/>
      <c r="G4939" s="129"/>
    </row>
    <row r="4940" spans="2:7" x14ac:dyDescent="0.2">
      <c r="B4940" s="129"/>
      <c r="C4940" s="129"/>
      <c r="D4940" s="129"/>
      <c r="E4940" s="129"/>
      <c r="F4940" s="129"/>
      <c r="G4940" s="129"/>
    </row>
    <row r="4941" spans="2:7" x14ac:dyDescent="0.2">
      <c r="B4941" s="129"/>
      <c r="C4941" s="129"/>
      <c r="D4941" s="129"/>
      <c r="E4941" s="129"/>
      <c r="F4941" s="129"/>
      <c r="G4941" s="129"/>
    </row>
    <row r="4942" spans="2:7" x14ac:dyDescent="0.2">
      <c r="B4942" s="129"/>
      <c r="C4942" s="129"/>
      <c r="D4942" s="129"/>
      <c r="E4942" s="129"/>
      <c r="F4942" s="129"/>
      <c r="G4942" s="129"/>
    </row>
    <row r="4943" spans="2:7" x14ac:dyDescent="0.2">
      <c r="B4943" s="129"/>
      <c r="C4943" s="129"/>
      <c r="D4943" s="129"/>
      <c r="E4943" s="129"/>
      <c r="F4943" s="129"/>
      <c r="G4943" s="129"/>
    </row>
    <row r="4944" spans="2:7" x14ac:dyDescent="0.2">
      <c r="B4944" s="129"/>
      <c r="C4944" s="129"/>
      <c r="D4944" s="129"/>
      <c r="E4944" s="129"/>
      <c r="F4944" s="129"/>
      <c r="G4944" s="129"/>
    </row>
    <row r="4945" spans="2:7" x14ac:dyDescent="0.2">
      <c r="B4945" s="129"/>
      <c r="C4945" s="129"/>
      <c r="D4945" s="129"/>
      <c r="E4945" s="129"/>
      <c r="F4945" s="129"/>
      <c r="G4945" s="129"/>
    </row>
    <row r="4946" spans="2:7" x14ac:dyDescent="0.2">
      <c r="B4946" s="129"/>
      <c r="C4946" s="129"/>
      <c r="D4946" s="129"/>
      <c r="E4946" s="129"/>
      <c r="F4946" s="129"/>
      <c r="G4946" s="129"/>
    </row>
    <row r="4947" spans="2:7" x14ac:dyDescent="0.2">
      <c r="B4947" s="129"/>
      <c r="C4947" s="129"/>
      <c r="D4947" s="129"/>
      <c r="E4947" s="129"/>
      <c r="F4947" s="129"/>
      <c r="G4947" s="129"/>
    </row>
    <row r="4948" spans="2:7" x14ac:dyDescent="0.2">
      <c r="B4948" s="129"/>
      <c r="C4948" s="129"/>
      <c r="D4948" s="129"/>
      <c r="E4948" s="129"/>
      <c r="F4948" s="129"/>
      <c r="G4948" s="129"/>
    </row>
    <row r="4949" spans="2:7" x14ac:dyDescent="0.2">
      <c r="B4949" s="129"/>
      <c r="C4949" s="129"/>
      <c r="D4949" s="129"/>
      <c r="E4949" s="129"/>
      <c r="F4949" s="129"/>
      <c r="G4949" s="129"/>
    </row>
    <row r="4950" spans="2:7" x14ac:dyDescent="0.2">
      <c r="B4950" s="129"/>
      <c r="C4950" s="129"/>
      <c r="D4950" s="129"/>
      <c r="E4950" s="129"/>
      <c r="F4950" s="129"/>
      <c r="G4950" s="129"/>
    </row>
    <row r="4951" spans="2:7" x14ac:dyDescent="0.2">
      <c r="B4951" s="129"/>
      <c r="C4951" s="129"/>
      <c r="D4951" s="129"/>
      <c r="E4951" s="129"/>
      <c r="F4951" s="129"/>
      <c r="G4951" s="129"/>
    </row>
    <row r="4952" spans="2:7" x14ac:dyDescent="0.2">
      <c r="B4952" s="129"/>
      <c r="C4952" s="129"/>
      <c r="D4952" s="129"/>
      <c r="E4952" s="129"/>
      <c r="F4952" s="129"/>
      <c r="G4952" s="129"/>
    </row>
    <row r="4953" spans="2:7" x14ac:dyDescent="0.2">
      <c r="B4953" s="129"/>
      <c r="C4953" s="129"/>
      <c r="D4953" s="129"/>
      <c r="E4953" s="129"/>
      <c r="F4953" s="129"/>
      <c r="G4953" s="129"/>
    </row>
    <row r="4954" spans="2:7" x14ac:dyDescent="0.2">
      <c r="B4954" s="129"/>
      <c r="C4954" s="129"/>
      <c r="D4954" s="129"/>
      <c r="E4954" s="129"/>
      <c r="F4954" s="129"/>
      <c r="G4954" s="129"/>
    </row>
    <row r="4955" spans="2:7" x14ac:dyDescent="0.2">
      <c r="B4955" s="129"/>
      <c r="C4955" s="129"/>
      <c r="D4955" s="129"/>
      <c r="E4955" s="129"/>
      <c r="F4955" s="129"/>
      <c r="G4955" s="129"/>
    </row>
    <row r="4956" spans="2:7" x14ac:dyDescent="0.2">
      <c r="B4956" s="129"/>
      <c r="C4956" s="129"/>
      <c r="D4956" s="129"/>
      <c r="E4956" s="129"/>
      <c r="F4956" s="129"/>
      <c r="G4956" s="129"/>
    </row>
    <row r="4957" spans="2:7" x14ac:dyDescent="0.2">
      <c r="B4957" s="129"/>
      <c r="C4957" s="129"/>
      <c r="D4957" s="129"/>
      <c r="E4957" s="129"/>
      <c r="F4957" s="129"/>
      <c r="G4957" s="129"/>
    </row>
    <row r="4958" spans="2:7" x14ac:dyDescent="0.2">
      <c r="B4958" s="129"/>
      <c r="C4958" s="129"/>
      <c r="D4958" s="129"/>
      <c r="E4958" s="129"/>
      <c r="F4958" s="129"/>
      <c r="G4958" s="129"/>
    </row>
    <row r="4959" spans="2:7" x14ac:dyDescent="0.2">
      <c r="B4959" s="129"/>
      <c r="C4959" s="129"/>
      <c r="D4959" s="129"/>
      <c r="E4959" s="129"/>
      <c r="F4959" s="129"/>
      <c r="G4959" s="129"/>
    </row>
    <row r="4960" spans="2:7" x14ac:dyDescent="0.2">
      <c r="B4960" s="129"/>
      <c r="C4960" s="129"/>
      <c r="D4960" s="129"/>
      <c r="E4960" s="129"/>
      <c r="F4960" s="129"/>
      <c r="G4960" s="129"/>
    </row>
    <row r="4961" spans="2:7" x14ac:dyDescent="0.2">
      <c r="B4961" s="129"/>
      <c r="C4961" s="129"/>
      <c r="D4961" s="129"/>
      <c r="E4961" s="129"/>
      <c r="F4961" s="129"/>
      <c r="G4961" s="129"/>
    </row>
    <row r="4962" spans="2:7" x14ac:dyDescent="0.2">
      <c r="B4962" s="129"/>
      <c r="C4962" s="129"/>
      <c r="D4962" s="129"/>
      <c r="E4962" s="129"/>
      <c r="F4962" s="129"/>
      <c r="G4962" s="129"/>
    </row>
    <row r="4963" spans="2:7" x14ac:dyDescent="0.2">
      <c r="B4963" s="129"/>
      <c r="C4963" s="129"/>
      <c r="D4963" s="129"/>
      <c r="E4963" s="129"/>
      <c r="F4963" s="129"/>
      <c r="G4963" s="129"/>
    </row>
    <row r="4964" spans="2:7" x14ac:dyDescent="0.2">
      <c r="B4964" s="129"/>
      <c r="C4964" s="129"/>
      <c r="D4964" s="129"/>
      <c r="E4964" s="129"/>
      <c r="F4964" s="129"/>
      <c r="G4964" s="129"/>
    </row>
    <row r="4965" spans="2:7" x14ac:dyDescent="0.2">
      <c r="B4965" s="129"/>
      <c r="C4965" s="129"/>
      <c r="D4965" s="129"/>
      <c r="E4965" s="129"/>
      <c r="F4965" s="129"/>
      <c r="G4965" s="129"/>
    </row>
    <row r="4966" spans="2:7" x14ac:dyDescent="0.2">
      <c r="B4966" s="129"/>
      <c r="C4966" s="129"/>
      <c r="D4966" s="129"/>
      <c r="E4966" s="129"/>
      <c r="F4966" s="129"/>
      <c r="G4966" s="129"/>
    </row>
    <row r="4967" spans="2:7" x14ac:dyDescent="0.2">
      <c r="B4967" s="129"/>
      <c r="C4967" s="129"/>
      <c r="D4967" s="129"/>
      <c r="E4967" s="129"/>
      <c r="F4967" s="129"/>
      <c r="G4967" s="129"/>
    </row>
    <row r="4968" spans="2:7" x14ac:dyDescent="0.2">
      <c r="B4968" s="129"/>
      <c r="C4968" s="129"/>
      <c r="D4968" s="129"/>
      <c r="E4968" s="129"/>
      <c r="F4968" s="129"/>
      <c r="G4968" s="129"/>
    </row>
    <row r="4969" spans="2:7" x14ac:dyDescent="0.2">
      <c r="B4969" s="129"/>
      <c r="C4969" s="129"/>
      <c r="D4969" s="129"/>
      <c r="E4969" s="129"/>
      <c r="F4969" s="129"/>
      <c r="G4969" s="129"/>
    </row>
    <row r="4970" spans="2:7" x14ac:dyDescent="0.2">
      <c r="B4970" s="129"/>
      <c r="C4970" s="129"/>
      <c r="D4970" s="129"/>
      <c r="E4970" s="129"/>
      <c r="F4970" s="129"/>
      <c r="G4970" s="129"/>
    </row>
    <row r="4971" spans="2:7" x14ac:dyDescent="0.2">
      <c r="B4971" s="129"/>
      <c r="C4971" s="129"/>
      <c r="D4971" s="129"/>
      <c r="E4971" s="129"/>
      <c r="F4971" s="129"/>
      <c r="G4971" s="129"/>
    </row>
    <row r="4972" spans="2:7" x14ac:dyDescent="0.2">
      <c r="B4972" s="129"/>
      <c r="C4972" s="129"/>
      <c r="D4972" s="129"/>
      <c r="E4972" s="129"/>
      <c r="F4972" s="129"/>
      <c r="G4972" s="129"/>
    </row>
    <row r="4973" spans="2:7" x14ac:dyDescent="0.2">
      <c r="B4973" s="129"/>
      <c r="C4973" s="129"/>
      <c r="D4973" s="129"/>
      <c r="E4973" s="129"/>
      <c r="F4973" s="129"/>
      <c r="G4973" s="129"/>
    </row>
    <row r="4974" spans="2:7" x14ac:dyDescent="0.2">
      <c r="B4974" s="129"/>
      <c r="C4974" s="129"/>
      <c r="D4974" s="129"/>
      <c r="E4974" s="129"/>
      <c r="F4974" s="129"/>
      <c r="G4974" s="129"/>
    </row>
    <row r="4975" spans="2:7" x14ac:dyDescent="0.2">
      <c r="B4975" s="129"/>
      <c r="C4975" s="129"/>
      <c r="D4975" s="129"/>
      <c r="E4975" s="129"/>
      <c r="F4975" s="129"/>
      <c r="G4975" s="129"/>
    </row>
    <row r="4976" spans="2:7" x14ac:dyDescent="0.2">
      <c r="B4976" s="129"/>
      <c r="C4976" s="129"/>
      <c r="D4976" s="129"/>
      <c r="E4976" s="129"/>
      <c r="F4976" s="129"/>
      <c r="G4976" s="129"/>
    </row>
    <row r="4977" spans="2:7" x14ac:dyDescent="0.2">
      <c r="B4977" s="129"/>
      <c r="C4977" s="129"/>
      <c r="D4977" s="129"/>
      <c r="E4977" s="129"/>
      <c r="F4977" s="129"/>
      <c r="G4977" s="129"/>
    </row>
    <row r="4978" spans="2:7" x14ac:dyDescent="0.2">
      <c r="B4978" s="129"/>
      <c r="C4978" s="129"/>
      <c r="D4978" s="129"/>
      <c r="E4978" s="129"/>
      <c r="F4978" s="129"/>
      <c r="G4978" s="129"/>
    </row>
    <row r="4979" spans="2:7" x14ac:dyDescent="0.2">
      <c r="B4979" s="129"/>
      <c r="C4979" s="129"/>
      <c r="D4979" s="129"/>
      <c r="E4979" s="129"/>
      <c r="F4979" s="129"/>
      <c r="G4979" s="129"/>
    </row>
    <row r="4980" spans="2:7" x14ac:dyDescent="0.2">
      <c r="B4980" s="129"/>
      <c r="C4980" s="129"/>
      <c r="D4980" s="129"/>
      <c r="E4980" s="129"/>
      <c r="F4980" s="129"/>
      <c r="G4980" s="129"/>
    </row>
    <row r="4981" spans="2:7" x14ac:dyDescent="0.2">
      <c r="B4981" s="129"/>
      <c r="C4981" s="129"/>
      <c r="D4981" s="129"/>
      <c r="E4981" s="129"/>
      <c r="F4981" s="129"/>
      <c r="G4981" s="129"/>
    </row>
    <row r="4982" spans="2:7" x14ac:dyDescent="0.2">
      <c r="B4982" s="129"/>
      <c r="C4982" s="129"/>
      <c r="D4982" s="129"/>
      <c r="E4982" s="129"/>
      <c r="F4982" s="129"/>
      <c r="G4982" s="129"/>
    </row>
    <row r="4983" spans="2:7" x14ac:dyDescent="0.2">
      <c r="B4983" s="129"/>
      <c r="C4983" s="129"/>
      <c r="D4983" s="129"/>
      <c r="E4983" s="129"/>
      <c r="F4983" s="129"/>
      <c r="G4983" s="129"/>
    </row>
    <row r="4984" spans="2:7" x14ac:dyDescent="0.2">
      <c r="B4984" s="129"/>
      <c r="C4984" s="129"/>
      <c r="D4984" s="129"/>
      <c r="E4984" s="129"/>
      <c r="F4984" s="129"/>
      <c r="G4984" s="129"/>
    </row>
    <row r="4985" spans="2:7" x14ac:dyDescent="0.2">
      <c r="B4985" s="129"/>
      <c r="C4985" s="129"/>
      <c r="D4985" s="129"/>
      <c r="E4985" s="129"/>
      <c r="F4985" s="129"/>
      <c r="G4985" s="129"/>
    </row>
    <row r="4986" spans="2:7" x14ac:dyDescent="0.2">
      <c r="B4986" s="129"/>
      <c r="C4986" s="129"/>
      <c r="D4986" s="129"/>
      <c r="E4986" s="129"/>
      <c r="F4986" s="129"/>
      <c r="G4986" s="129"/>
    </row>
    <row r="4987" spans="2:7" x14ac:dyDescent="0.2">
      <c r="B4987" s="129"/>
      <c r="C4987" s="129"/>
      <c r="D4987" s="129"/>
      <c r="E4987" s="129"/>
      <c r="F4987" s="129"/>
      <c r="G4987" s="129"/>
    </row>
    <row r="4988" spans="2:7" x14ac:dyDescent="0.2">
      <c r="B4988" s="129"/>
      <c r="C4988" s="129"/>
      <c r="D4988" s="129"/>
      <c r="E4988" s="129"/>
      <c r="F4988" s="129"/>
      <c r="G4988" s="129"/>
    </row>
    <row r="4989" spans="2:7" x14ac:dyDescent="0.2">
      <c r="B4989" s="129"/>
      <c r="C4989" s="129"/>
      <c r="D4989" s="129"/>
      <c r="E4989" s="129"/>
      <c r="F4989" s="129"/>
      <c r="G4989" s="129"/>
    </row>
    <row r="4990" spans="2:7" x14ac:dyDescent="0.2">
      <c r="B4990" s="129"/>
      <c r="C4990" s="129"/>
      <c r="D4990" s="129"/>
      <c r="E4990" s="129"/>
      <c r="F4990" s="129"/>
      <c r="G4990" s="129"/>
    </row>
    <row r="4991" spans="2:7" x14ac:dyDescent="0.2">
      <c r="B4991" s="129"/>
      <c r="C4991" s="129"/>
      <c r="D4991" s="129"/>
      <c r="E4991" s="129"/>
      <c r="F4991" s="129"/>
      <c r="G4991" s="129"/>
    </row>
    <row r="4992" spans="2:7" x14ac:dyDescent="0.2">
      <c r="B4992" s="129"/>
      <c r="C4992" s="129"/>
      <c r="D4992" s="129"/>
      <c r="E4992" s="129"/>
      <c r="F4992" s="129"/>
      <c r="G4992" s="129"/>
    </row>
    <row r="4993" spans="2:7" x14ac:dyDescent="0.2">
      <c r="B4993" s="129"/>
      <c r="C4993" s="129"/>
      <c r="D4993" s="129"/>
      <c r="E4993" s="129"/>
      <c r="F4993" s="129"/>
      <c r="G4993" s="129"/>
    </row>
    <row r="4994" spans="2:7" x14ac:dyDescent="0.2">
      <c r="B4994" s="129"/>
      <c r="C4994" s="129"/>
      <c r="D4994" s="129"/>
      <c r="E4994" s="129"/>
      <c r="F4994" s="129"/>
      <c r="G4994" s="129"/>
    </row>
    <row r="4995" spans="2:7" x14ac:dyDescent="0.2">
      <c r="B4995" s="129"/>
      <c r="C4995" s="129"/>
      <c r="D4995" s="129"/>
      <c r="E4995" s="129"/>
      <c r="F4995" s="129"/>
      <c r="G4995" s="129"/>
    </row>
    <row r="4996" spans="2:7" x14ac:dyDescent="0.2">
      <c r="B4996" s="129"/>
      <c r="C4996" s="129"/>
      <c r="D4996" s="129"/>
      <c r="E4996" s="129"/>
      <c r="F4996" s="129"/>
      <c r="G4996" s="129"/>
    </row>
    <row r="4997" spans="2:7" x14ac:dyDescent="0.2">
      <c r="B4997" s="129"/>
      <c r="C4997" s="129"/>
      <c r="D4997" s="129"/>
      <c r="E4997" s="129"/>
      <c r="F4997" s="129"/>
      <c r="G4997" s="129"/>
    </row>
    <row r="4998" spans="2:7" x14ac:dyDescent="0.2">
      <c r="B4998" s="129"/>
      <c r="C4998" s="129"/>
      <c r="D4998" s="129"/>
      <c r="E4998" s="129"/>
      <c r="F4998" s="129"/>
      <c r="G4998" s="129"/>
    </row>
    <row r="4999" spans="2:7" x14ac:dyDescent="0.2">
      <c r="B4999" s="129"/>
      <c r="C4999" s="129"/>
      <c r="D4999" s="129"/>
      <c r="E4999" s="129"/>
      <c r="F4999" s="129"/>
      <c r="G4999" s="129"/>
    </row>
    <row r="5000" spans="2:7" x14ac:dyDescent="0.2">
      <c r="B5000" s="129"/>
      <c r="C5000" s="129"/>
      <c r="D5000" s="129"/>
      <c r="E5000" s="129"/>
      <c r="F5000" s="129"/>
      <c r="G5000" s="129"/>
    </row>
  </sheetData>
  <sheetProtection password="917C" sheet="1" objects="1" scenarios="1" sort="0" autoFilter="0"/>
  <autoFilter ref="B7:G12">
    <filterColumn colId="1">
      <filters>
        <filter val="Scary"/>
      </filters>
    </filterColumn>
  </autoFilter>
  <mergeCells count="4">
    <mergeCell ref="B6:G6"/>
    <mergeCell ref="B5:G5"/>
    <mergeCell ref="B4:G4"/>
    <mergeCell ref="B2:G2"/>
  </mergeCells>
  <phoneticPr fontId="5" type="noConversion"/>
  <conditionalFormatting sqref="C8:C100">
    <cfRule type="cellIs" dxfId="2" priority="1" stopIfTrue="1" operator="between">
      <formula>$I$10</formula>
      <formula>$I$11</formula>
    </cfRule>
    <cfRule type="cellIs" dxfId="1" priority="2" stopIfTrue="1" operator="between">
      <formula>$I$12</formula>
      <formula>$I$13</formula>
    </cfRule>
    <cfRule type="cellIs" dxfId="0" priority="3" stopIfTrue="1" operator="between">
      <formula>$I$14</formula>
      <formula>$I$15</formula>
    </cfRule>
  </conditionalFormatting>
  <dataValidations count="5">
    <dataValidation type="list" allowBlank="1" showInputMessage="1" showErrorMessage="1" sqref="C58:C100">
      <formula1>$I$10:$I$15</formula1>
    </dataValidation>
    <dataValidation type="list" allowBlank="1" showInputMessage="1" showErrorMessage="1" sqref="C6:C7">
      <formula1>$I$10:$I$15</formula1>
    </dataValidation>
    <dataValidation type="list" allowBlank="1" showInputMessage="1" showErrorMessage="1" sqref="D6:D7">
      <formula1>$I$18:$I$68</formula1>
    </dataValidation>
    <dataValidation type="list" allowBlank="1" showInputMessage="1" showErrorMessage="1" sqref="C8:C57">
      <formula1>$I$10:$I$15</formula1>
    </dataValidation>
    <dataValidation type="list" allowBlank="1" showInputMessage="1" showErrorMessage="1" sqref="D8:D57">
      <formula1>$I$18:$I$68</formula1>
    </dataValidation>
  </dataValidations>
  <pageMargins left="0.75" right="0.75" top="1" bottom="1" header="0.5" footer="0.5"/>
  <pageSetup orientation="portrait" verticalDpi="0" r:id="rId1"/>
  <headerFooter alignWithMargins="0"/>
  <customProperties>
    <customPr name="DVSECTIONID" r:id="rId2"/>
  </customPropertie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X393"/>
  <sheetViews>
    <sheetView tabSelected="1" topLeftCell="A246" zoomScale="85" workbookViewId="0">
      <selection activeCell="A294" sqref="A294"/>
    </sheetView>
  </sheetViews>
  <sheetFormatPr defaultRowHeight="12.75" x14ac:dyDescent="0.2"/>
  <cols>
    <col min="13" max="13" width="15" customWidth="1"/>
    <col min="15" max="15" width="19.28515625" bestFit="1" customWidth="1"/>
    <col min="16" max="16" width="17.28515625" customWidth="1"/>
    <col min="17" max="17" width="18" customWidth="1"/>
    <col min="19" max="19" width="14.140625" bestFit="1" customWidth="1"/>
    <col min="20" max="24" width="9.140625" hidden="1" customWidth="1"/>
  </cols>
  <sheetData>
    <row r="1" spans="1:21" ht="13.5" thickBot="1" x14ac:dyDescent="0.25">
      <c r="A1" s="161" t="s">
        <v>88</v>
      </c>
      <c r="B1" s="162"/>
      <c r="C1" s="162"/>
      <c r="D1" s="162"/>
      <c r="E1" s="162"/>
      <c r="F1" s="162"/>
      <c r="G1" s="162"/>
      <c r="H1" s="162"/>
      <c r="I1" s="162"/>
      <c r="J1" s="162"/>
      <c r="K1" s="162"/>
      <c r="L1" s="162"/>
      <c r="M1" s="162"/>
      <c r="N1" s="162"/>
      <c r="O1" s="162"/>
      <c r="P1" s="162"/>
      <c r="Q1" s="162"/>
      <c r="R1" s="162"/>
      <c r="S1" s="163"/>
      <c r="T1" s="23" t="s">
        <v>19</v>
      </c>
    </row>
    <row r="2" spans="1:21" ht="13.5" thickBot="1" x14ac:dyDescent="0.25">
      <c r="A2" s="109" t="s">
        <v>19</v>
      </c>
      <c r="B2" s="350" t="s">
        <v>20</v>
      </c>
      <c r="C2" s="350" t="s">
        <v>61</v>
      </c>
      <c r="D2" s="352" t="s">
        <v>62</v>
      </c>
      <c r="E2" s="353"/>
      <c r="F2" s="353"/>
      <c r="G2" s="354"/>
      <c r="H2" s="352" t="s">
        <v>63</v>
      </c>
      <c r="I2" s="353"/>
      <c r="J2" s="355"/>
      <c r="K2" s="355"/>
      <c r="L2" s="356"/>
      <c r="M2" s="357" t="s">
        <v>39</v>
      </c>
      <c r="N2" s="357" t="s">
        <v>64</v>
      </c>
      <c r="O2" s="359" t="s">
        <v>44</v>
      </c>
      <c r="P2" s="350" t="s">
        <v>66</v>
      </c>
      <c r="Q2" s="359" t="s">
        <v>67</v>
      </c>
      <c r="R2" s="350" t="s">
        <v>65</v>
      </c>
      <c r="S2" s="350" t="s">
        <v>87</v>
      </c>
      <c r="T2" s="81" t="s">
        <v>133</v>
      </c>
    </row>
    <row r="3" spans="1:21" ht="15.75" thickBot="1" x14ac:dyDescent="0.3">
      <c r="A3" s="81" t="s">
        <v>133</v>
      </c>
      <c r="B3" s="351"/>
      <c r="C3" s="351"/>
      <c r="D3" s="19" t="s">
        <v>2</v>
      </c>
      <c r="E3" s="19" t="s">
        <v>3</v>
      </c>
      <c r="F3" s="19" t="s">
        <v>4</v>
      </c>
      <c r="G3" s="19" t="s">
        <v>69</v>
      </c>
      <c r="H3" s="19" t="s">
        <v>40</v>
      </c>
      <c r="I3" s="19" t="s">
        <v>75</v>
      </c>
      <c r="J3" s="19" t="s">
        <v>2</v>
      </c>
      <c r="K3" s="19" t="s">
        <v>3</v>
      </c>
      <c r="L3" s="19" t="s">
        <v>4</v>
      </c>
      <c r="M3" s="358"/>
      <c r="N3" s="358"/>
      <c r="O3" s="360"/>
      <c r="P3" s="351"/>
      <c r="Q3" s="360"/>
      <c r="R3" s="351"/>
      <c r="S3" s="351"/>
      <c r="T3" s="145">
        <v>66</v>
      </c>
    </row>
    <row r="4" spans="1:21" ht="15" x14ac:dyDescent="0.25">
      <c r="A4" s="145">
        <v>2337</v>
      </c>
      <c r="B4" s="145">
        <v>1</v>
      </c>
      <c r="C4" s="145">
        <v>48</v>
      </c>
      <c r="D4" s="145">
        <v>1</v>
      </c>
      <c r="E4" s="145">
        <v>0</v>
      </c>
      <c r="F4" s="145">
        <v>0</v>
      </c>
      <c r="G4" s="145" t="s">
        <v>77</v>
      </c>
      <c r="H4" s="145">
        <v>6</v>
      </c>
      <c r="I4" s="145">
        <v>2</v>
      </c>
      <c r="J4" s="145">
        <v>6</v>
      </c>
      <c r="K4" s="145">
        <v>0</v>
      </c>
      <c r="L4" s="145">
        <v>0</v>
      </c>
      <c r="M4" s="145" t="s">
        <v>30</v>
      </c>
      <c r="N4" s="145">
        <v>5</v>
      </c>
      <c r="O4" s="145" t="s">
        <v>52</v>
      </c>
      <c r="P4" s="145" t="s">
        <v>189</v>
      </c>
      <c r="Q4" s="145" t="s">
        <v>190</v>
      </c>
      <c r="R4" s="145" t="s">
        <v>55</v>
      </c>
      <c r="S4" s="145" t="s">
        <v>191</v>
      </c>
      <c r="T4" s="145">
        <v>68</v>
      </c>
      <c r="U4">
        <v>1</v>
      </c>
    </row>
    <row r="5" spans="1:21" ht="15" x14ac:dyDescent="0.25">
      <c r="A5" s="145">
        <v>1502</v>
      </c>
      <c r="B5" s="145">
        <v>1</v>
      </c>
      <c r="C5" s="145">
        <v>0</v>
      </c>
      <c r="D5" s="145">
        <v>0</v>
      </c>
      <c r="E5" s="145">
        <v>0</v>
      </c>
      <c r="F5" s="145">
        <v>0</v>
      </c>
      <c r="G5" s="145" t="s">
        <v>78</v>
      </c>
      <c r="H5" s="145">
        <v>0</v>
      </c>
      <c r="I5" s="145">
        <v>0</v>
      </c>
      <c r="J5" s="145">
        <v>0</v>
      </c>
      <c r="K5" s="145">
        <v>0</v>
      </c>
      <c r="L5" s="145">
        <v>0</v>
      </c>
      <c r="M5" s="145" t="s">
        <v>29</v>
      </c>
      <c r="N5" s="145">
        <v>1</v>
      </c>
      <c r="O5" s="145" t="s">
        <v>50</v>
      </c>
      <c r="P5" s="145" t="s">
        <v>192</v>
      </c>
      <c r="Q5" s="145" t="s">
        <v>190</v>
      </c>
      <c r="R5" s="145" t="s">
        <v>55</v>
      </c>
      <c r="S5" s="145" t="s">
        <v>191</v>
      </c>
      <c r="T5" s="145">
        <v>70</v>
      </c>
    </row>
    <row r="6" spans="1:21" ht="15" x14ac:dyDescent="0.25">
      <c r="A6" s="145">
        <v>240</v>
      </c>
      <c r="B6" s="145">
        <v>1</v>
      </c>
      <c r="C6" s="145">
        <v>0</v>
      </c>
      <c r="D6" s="145">
        <v>0</v>
      </c>
      <c r="E6" s="145">
        <v>0</v>
      </c>
      <c r="F6" s="145">
        <v>0</v>
      </c>
      <c r="G6" s="145" t="s">
        <v>77</v>
      </c>
      <c r="H6" s="145">
        <v>0</v>
      </c>
      <c r="I6" s="145">
        <v>0</v>
      </c>
      <c r="J6" s="145">
        <v>0</v>
      </c>
      <c r="K6" s="145">
        <v>0</v>
      </c>
      <c r="L6" s="145">
        <v>0</v>
      </c>
      <c r="M6" s="145" t="s">
        <v>30</v>
      </c>
      <c r="N6" s="145">
        <v>3</v>
      </c>
      <c r="O6" s="145" t="s">
        <v>50</v>
      </c>
      <c r="P6" s="145" t="s">
        <v>192</v>
      </c>
      <c r="Q6" s="145" t="s">
        <v>190</v>
      </c>
      <c r="R6" s="145" t="s">
        <v>55</v>
      </c>
      <c r="S6" s="145" t="s">
        <v>193</v>
      </c>
      <c r="T6" s="145">
        <v>207</v>
      </c>
    </row>
    <row r="7" spans="1:21" ht="15" x14ac:dyDescent="0.25">
      <c r="A7" s="145">
        <v>3415</v>
      </c>
      <c r="B7" s="145">
        <v>1</v>
      </c>
      <c r="C7" s="145">
        <v>3</v>
      </c>
      <c r="D7" s="145">
        <v>0</v>
      </c>
      <c r="E7" s="145">
        <v>0</v>
      </c>
      <c r="F7" s="145">
        <v>0</v>
      </c>
      <c r="G7" s="145" t="s">
        <v>78</v>
      </c>
      <c r="H7" s="145">
        <v>1</v>
      </c>
      <c r="I7" s="145">
        <v>0</v>
      </c>
      <c r="J7" s="145">
        <v>1</v>
      </c>
      <c r="K7" s="145">
        <v>0</v>
      </c>
      <c r="L7" s="145">
        <v>0</v>
      </c>
      <c r="M7" s="145" t="s">
        <v>29</v>
      </c>
      <c r="N7" s="145">
        <v>2</v>
      </c>
      <c r="O7" s="145" t="s">
        <v>51</v>
      </c>
      <c r="P7" s="145" t="s">
        <v>189</v>
      </c>
      <c r="Q7" s="145" t="s">
        <v>190</v>
      </c>
      <c r="R7" s="145" t="s">
        <v>55</v>
      </c>
      <c r="S7" s="145" t="s">
        <v>191</v>
      </c>
      <c r="T7" s="145">
        <v>240</v>
      </c>
    </row>
    <row r="8" spans="1:21" ht="15" x14ac:dyDescent="0.25">
      <c r="A8" s="145">
        <v>862</v>
      </c>
      <c r="B8" s="145">
        <v>1</v>
      </c>
      <c r="C8" s="145">
        <v>0</v>
      </c>
      <c r="D8" s="145">
        <v>0</v>
      </c>
      <c r="E8" s="145">
        <v>0</v>
      </c>
      <c r="F8" s="145">
        <v>0</v>
      </c>
      <c r="G8" s="145" t="s">
        <v>3</v>
      </c>
      <c r="H8" s="145">
        <v>0</v>
      </c>
      <c r="I8" s="145">
        <v>0</v>
      </c>
      <c r="J8" s="145">
        <v>0</v>
      </c>
      <c r="K8" s="145">
        <v>0</v>
      </c>
      <c r="L8" s="145">
        <v>0</v>
      </c>
      <c r="M8" s="145" t="s">
        <v>29</v>
      </c>
      <c r="N8" s="145">
        <v>2</v>
      </c>
      <c r="O8" s="145" t="s">
        <v>52</v>
      </c>
      <c r="P8" s="145" t="s">
        <v>189</v>
      </c>
      <c r="Q8" s="145" t="s">
        <v>190</v>
      </c>
      <c r="R8" s="145" t="s">
        <v>55</v>
      </c>
      <c r="S8" s="145" t="s">
        <v>191</v>
      </c>
      <c r="T8" s="145">
        <v>247</v>
      </c>
    </row>
    <row r="9" spans="1:21" ht="15" x14ac:dyDescent="0.25">
      <c r="A9" s="145">
        <v>470</v>
      </c>
      <c r="B9" s="145">
        <v>1</v>
      </c>
      <c r="C9" s="145">
        <v>0</v>
      </c>
      <c r="D9" s="145">
        <v>0</v>
      </c>
      <c r="E9" s="145">
        <v>0</v>
      </c>
      <c r="F9" s="145">
        <v>0</v>
      </c>
      <c r="G9" s="145" t="s">
        <v>3</v>
      </c>
      <c r="H9" s="145">
        <v>0</v>
      </c>
      <c r="I9" s="145">
        <v>0</v>
      </c>
      <c r="J9" s="145">
        <v>0</v>
      </c>
      <c r="K9" s="145">
        <v>0</v>
      </c>
      <c r="L9" s="145">
        <v>0</v>
      </c>
      <c r="M9" s="145" t="s">
        <v>29</v>
      </c>
      <c r="N9" s="145">
        <v>4</v>
      </c>
      <c r="O9" s="145" t="s">
        <v>52</v>
      </c>
      <c r="P9" s="145" t="s">
        <v>189</v>
      </c>
      <c r="Q9" s="145" t="s">
        <v>190</v>
      </c>
      <c r="R9" s="145" t="s">
        <v>55</v>
      </c>
      <c r="S9" s="145" t="s">
        <v>194</v>
      </c>
      <c r="T9" s="145">
        <v>269</v>
      </c>
    </row>
    <row r="10" spans="1:21" ht="15" x14ac:dyDescent="0.25">
      <c r="A10" s="145">
        <v>830</v>
      </c>
      <c r="B10" s="145">
        <v>2</v>
      </c>
      <c r="C10" s="145">
        <v>23</v>
      </c>
      <c r="D10" s="145">
        <v>0</v>
      </c>
      <c r="E10" s="145">
        <v>0</v>
      </c>
      <c r="F10" s="145">
        <v>0</v>
      </c>
      <c r="G10" s="145" t="s">
        <v>3</v>
      </c>
      <c r="H10" s="145">
        <v>5</v>
      </c>
      <c r="I10" s="145">
        <v>1</v>
      </c>
      <c r="J10" s="145">
        <v>4</v>
      </c>
      <c r="K10" s="145">
        <v>1</v>
      </c>
      <c r="L10" s="145">
        <v>0</v>
      </c>
      <c r="M10" s="145" t="s">
        <v>29</v>
      </c>
      <c r="N10" s="145">
        <v>3</v>
      </c>
      <c r="O10" s="145" t="s">
        <v>52</v>
      </c>
      <c r="P10" s="145" t="s">
        <v>189</v>
      </c>
      <c r="Q10" s="145" t="s">
        <v>190</v>
      </c>
      <c r="R10" s="145" t="s">
        <v>54</v>
      </c>
      <c r="S10" s="145" t="s">
        <v>195</v>
      </c>
      <c r="T10" s="145">
        <v>302</v>
      </c>
    </row>
    <row r="11" spans="1:21" ht="15" x14ac:dyDescent="0.25">
      <c r="A11" s="145">
        <v>3535</v>
      </c>
      <c r="B11" s="145">
        <v>2</v>
      </c>
      <c r="C11" s="145">
        <v>2</v>
      </c>
      <c r="D11" s="145">
        <v>0</v>
      </c>
      <c r="E11" s="145">
        <v>0</v>
      </c>
      <c r="F11" s="145">
        <v>0</v>
      </c>
      <c r="G11" s="145" t="s">
        <v>78</v>
      </c>
      <c r="H11" s="145">
        <v>1</v>
      </c>
      <c r="I11" s="145">
        <v>0</v>
      </c>
      <c r="J11" s="145">
        <v>0</v>
      </c>
      <c r="K11" s="145">
        <v>1</v>
      </c>
      <c r="L11" s="145">
        <v>0</v>
      </c>
      <c r="M11" s="145" t="s">
        <v>30</v>
      </c>
      <c r="N11" s="145">
        <v>3</v>
      </c>
      <c r="O11" s="145" t="s">
        <v>51</v>
      </c>
      <c r="P11" s="145" t="s">
        <v>189</v>
      </c>
      <c r="Q11" s="145" t="s">
        <v>190</v>
      </c>
      <c r="R11" s="145" t="s">
        <v>54</v>
      </c>
      <c r="S11" s="145" t="s">
        <v>196</v>
      </c>
      <c r="T11" s="145">
        <v>470</v>
      </c>
    </row>
    <row r="12" spans="1:21" ht="15" x14ac:dyDescent="0.25">
      <c r="A12" s="145">
        <v>573</v>
      </c>
      <c r="B12" s="145">
        <v>2</v>
      </c>
      <c r="C12" s="145">
        <v>54</v>
      </c>
      <c r="D12" s="145">
        <v>1</v>
      </c>
      <c r="E12" s="145">
        <v>0</v>
      </c>
      <c r="F12" s="145">
        <v>0</v>
      </c>
      <c r="G12" s="145" t="s">
        <v>77</v>
      </c>
      <c r="H12" s="145">
        <v>5</v>
      </c>
      <c r="I12" s="145">
        <v>1</v>
      </c>
      <c r="J12" s="145">
        <v>3</v>
      </c>
      <c r="K12" s="145">
        <v>2</v>
      </c>
      <c r="L12" s="145">
        <v>0</v>
      </c>
      <c r="M12" s="145" t="s">
        <v>26</v>
      </c>
      <c r="N12" s="145">
        <v>4</v>
      </c>
      <c r="O12" s="145" t="s">
        <v>51</v>
      </c>
      <c r="P12" s="145" t="s">
        <v>189</v>
      </c>
      <c r="Q12" s="145" t="s">
        <v>190</v>
      </c>
      <c r="R12" s="145" t="s">
        <v>54</v>
      </c>
      <c r="S12" s="145" t="s">
        <v>196</v>
      </c>
      <c r="T12" s="145">
        <v>474</v>
      </c>
    </row>
    <row r="13" spans="1:21" ht="15" x14ac:dyDescent="0.25">
      <c r="A13" s="145">
        <v>3547</v>
      </c>
      <c r="B13" s="145">
        <v>2</v>
      </c>
      <c r="C13" s="145">
        <v>22</v>
      </c>
      <c r="D13" s="145">
        <v>0</v>
      </c>
      <c r="E13" s="145">
        <v>1</v>
      </c>
      <c r="F13" s="145">
        <v>0</v>
      </c>
      <c r="G13" s="145" t="s">
        <v>78</v>
      </c>
      <c r="H13" s="145">
        <v>3</v>
      </c>
      <c r="I13" s="145">
        <v>1</v>
      </c>
      <c r="J13" s="145">
        <v>3</v>
      </c>
      <c r="K13" s="145">
        <v>0</v>
      </c>
      <c r="L13" s="145">
        <v>0</v>
      </c>
      <c r="M13" s="145" t="s">
        <v>29</v>
      </c>
      <c r="N13" s="145">
        <v>4</v>
      </c>
      <c r="O13" s="145" t="s">
        <v>51</v>
      </c>
      <c r="P13" s="145" t="s">
        <v>189</v>
      </c>
      <c r="Q13" s="145" t="s">
        <v>190</v>
      </c>
      <c r="R13" s="145" t="s">
        <v>54</v>
      </c>
      <c r="S13" s="145" t="s">
        <v>196</v>
      </c>
      <c r="T13" s="145">
        <v>494</v>
      </c>
    </row>
    <row r="14" spans="1:21" ht="15" x14ac:dyDescent="0.25">
      <c r="A14" s="145">
        <v>548</v>
      </c>
      <c r="B14" s="145">
        <v>2</v>
      </c>
      <c r="C14" s="145">
        <v>22</v>
      </c>
      <c r="D14" s="145">
        <v>0</v>
      </c>
      <c r="E14" s="145">
        <v>0</v>
      </c>
      <c r="F14" s="145">
        <v>0</v>
      </c>
      <c r="G14" s="145" t="s">
        <v>77</v>
      </c>
      <c r="H14" s="145">
        <v>5</v>
      </c>
      <c r="I14" s="145">
        <v>1</v>
      </c>
      <c r="J14" s="145">
        <v>3</v>
      </c>
      <c r="K14" s="145">
        <v>2</v>
      </c>
      <c r="L14" s="145">
        <v>0</v>
      </c>
      <c r="M14" s="145" t="s">
        <v>29</v>
      </c>
      <c r="N14" s="145">
        <v>2</v>
      </c>
      <c r="O14" s="145" t="s">
        <v>51</v>
      </c>
      <c r="P14" s="145" t="s">
        <v>189</v>
      </c>
      <c r="Q14" s="145" t="s">
        <v>190</v>
      </c>
      <c r="R14" s="145" t="s">
        <v>55</v>
      </c>
      <c r="S14" s="145" t="s">
        <v>197</v>
      </c>
      <c r="T14" s="145">
        <v>548</v>
      </c>
    </row>
    <row r="15" spans="1:21" ht="15" x14ac:dyDescent="0.25">
      <c r="A15" s="145">
        <v>3322</v>
      </c>
      <c r="B15" s="145">
        <v>2</v>
      </c>
      <c r="C15" s="145">
        <v>8</v>
      </c>
      <c r="D15" s="145">
        <v>0</v>
      </c>
      <c r="E15" s="145">
        <v>0</v>
      </c>
      <c r="F15" s="145">
        <v>0</v>
      </c>
      <c r="G15" s="145" t="s">
        <v>77</v>
      </c>
      <c r="H15" s="145">
        <v>3</v>
      </c>
      <c r="I15" s="145">
        <v>0</v>
      </c>
      <c r="J15" s="145">
        <v>2</v>
      </c>
      <c r="K15" s="145">
        <v>1</v>
      </c>
      <c r="L15" s="145">
        <v>0</v>
      </c>
      <c r="M15" s="145" t="s">
        <v>30</v>
      </c>
      <c r="N15" s="145">
        <v>4</v>
      </c>
      <c r="O15" s="145" t="s">
        <v>52</v>
      </c>
      <c r="P15" s="145" t="s">
        <v>189</v>
      </c>
      <c r="Q15" s="145" t="s">
        <v>190</v>
      </c>
      <c r="R15" s="145" t="s">
        <v>55</v>
      </c>
      <c r="S15" s="145" t="s">
        <v>198</v>
      </c>
      <c r="T15" s="145">
        <v>573</v>
      </c>
    </row>
    <row r="16" spans="1:21" ht="15" x14ac:dyDescent="0.25">
      <c r="A16" s="145">
        <v>3655</v>
      </c>
      <c r="B16" s="145">
        <v>3</v>
      </c>
      <c r="C16" s="145">
        <v>0</v>
      </c>
      <c r="D16" s="145">
        <v>0</v>
      </c>
      <c r="E16" s="145">
        <v>0</v>
      </c>
      <c r="F16" s="145">
        <v>0</v>
      </c>
      <c r="G16" s="145" t="s">
        <v>3</v>
      </c>
      <c r="H16" s="145">
        <v>0</v>
      </c>
      <c r="I16" s="145">
        <v>0</v>
      </c>
      <c r="J16" s="145">
        <v>0</v>
      </c>
      <c r="K16" s="145">
        <v>0</v>
      </c>
      <c r="L16" s="145">
        <v>0</v>
      </c>
      <c r="M16" s="145" t="s">
        <v>29</v>
      </c>
      <c r="N16" s="145">
        <v>3</v>
      </c>
      <c r="O16" s="145" t="s">
        <v>50</v>
      </c>
      <c r="P16" s="145" t="s">
        <v>192</v>
      </c>
      <c r="Q16" s="145" t="s">
        <v>190</v>
      </c>
      <c r="R16" s="145" t="s">
        <v>55</v>
      </c>
      <c r="S16" s="145" t="s">
        <v>199</v>
      </c>
      <c r="T16" s="145">
        <v>830</v>
      </c>
    </row>
    <row r="17" spans="1:20" ht="15" x14ac:dyDescent="0.25">
      <c r="A17" s="145">
        <v>1684</v>
      </c>
      <c r="B17" s="145">
        <v>3</v>
      </c>
      <c r="C17" s="145">
        <v>6</v>
      </c>
      <c r="D17" s="145">
        <v>0</v>
      </c>
      <c r="E17" s="145">
        <v>0</v>
      </c>
      <c r="F17" s="145">
        <v>0</v>
      </c>
      <c r="G17" s="145" t="s">
        <v>77</v>
      </c>
      <c r="H17" s="145">
        <v>2</v>
      </c>
      <c r="I17" s="145">
        <v>0</v>
      </c>
      <c r="J17" s="145">
        <v>2</v>
      </c>
      <c r="K17" s="145">
        <v>0</v>
      </c>
      <c r="L17" s="145">
        <v>0</v>
      </c>
      <c r="M17" s="145" t="s">
        <v>30</v>
      </c>
      <c r="N17" s="145">
        <v>3</v>
      </c>
      <c r="O17" s="145" t="s">
        <v>51</v>
      </c>
      <c r="P17" s="145" t="s">
        <v>189</v>
      </c>
      <c r="Q17" s="145" t="s">
        <v>190</v>
      </c>
      <c r="R17" s="145" t="s">
        <v>55</v>
      </c>
      <c r="S17" s="145" t="s">
        <v>200</v>
      </c>
      <c r="T17" s="145">
        <v>835</v>
      </c>
    </row>
    <row r="18" spans="1:20" ht="15" x14ac:dyDescent="0.25">
      <c r="A18" s="145">
        <v>3656</v>
      </c>
      <c r="B18" s="145">
        <v>3</v>
      </c>
      <c r="C18" s="145">
        <v>0</v>
      </c>
      <c r="D18" s="145">
        <v>0</v>
      </c>
      <c r="E18" s="145">
        <v>0</v>
      </c>
      <c r="F18" s="145">
        <v>0</v>
      </c>
      <c r="G18" s="145" t="s">
        <v>78</v>
      </c>
      <c r="H18" s="145">
        <v>0</v>
      </c>
      <c r="I18" s="145">
        <v>0</v>
      </c>
      <c r="J18" s="145">
        <v>0</v>
      </c>
      <c r="K18" s="145">
        <v>0</v>
      </c>
      <c r="L18" s="145">
        <v>0</v>
      </c>
      <c r="M18" s="145" t="s">
        <v>30</v>
      </c>
      <c r="N18" s="145">
        <v>3</v>
      </c>
      <c r="O18" s="145" t="s">
        <v>52</v>
      </c>
      <c r="P18" s="145" t="s">
        <v>189</v>
      </c>
      <c r="Q18" s="145" t="s">
        <v>190</v>
      </c>
      <c r="R18" s="145" t="s">
        <v>55</v>
      </c>
      <c r="S18" s="145" t="s">
        <v>200</v>
      </c>
      <c r="T18" s="145">
        <v>860</v>
      </c>
    </row>
    <row r="19" spans="1:20" ht="15" x14ac:dyDescent="0.25">
      <c r="A19" s="145">
        <v>70</v>
      </c>
      <c r="B19" s="145">
        <v>3</v>
      </c>
      <c r="C19" s="145">
        <v>34</v>
      </c>
      <c r="D19" s="145">
        <v>1</v>
      </c>
      <c r="E19" s="145">
        <v>0</v>
      </c>
      <c r="F19" s="145">
        <v>0</v>
      </c>
      <c r="G19" s="145" t="s">
        <v>78</v>
      </c>
      <c r="H19" s="145">
        <v>5</v>
      </c>
      <c r="I19" s="145">
        <v>1</v>
      </c>
      <c r="J19" s="145">
        <v>3</v>
      </c>
      <c r="K19" s="145">
        <v>2</v>
      </c>
      <c r="L19" s="145">
        <v>0</v>
      </c>
      <c r="M19" s="145" t="s">
        <v>30</v>
      </c>
      <c r="N19" s="145">
        <v>4</v>
      </c>
      <c r="O19" s="145" t="s">
        <v>51</v>
      </c>
      <c r="P19" s="145" t="s">
        <v>189</v>
      </c>
      <c r="Q19" s="145" t="s">
        <v>190</v>
      </c>
      <c r="R19" s="145" t="s">
        <v>55</v>
      </c>
      <c r="S19" s="145" t="s">
        <v>200</v>
      </c>
      <c r="T19" s="145">
        <v>862</v>
      </c>
    </row>
    <row r="20" spans="1:20" ht="15" x14ac:dyDescent="0.25">
      <c r="A20" s="145">
        <v>494</v>
      </c>
      <c r="B20" s="145">
        <v>3</v>
      </c>
      <c r="C20" s="145">
        <v>48</v>
      </c>
      <c r="D20" s="145">
        <v>0</v>
      </c>
      <c r="E20" s="145">
        <v>0</v>
      </c>
      <c r="F20" s="145">
        <v>0</v>
      </c>
      <c r="G20" s="145" t="s">
        <v>77</v>
      </c>
      <c r="H20" s="145">
        <v>3</v>
      </c>
      <c r="I20" s="145">
        <v>1</v>
      </c>
      <c r="J20" s="145">
        <v>3</v>
      </c>
      <c r="K20" s="145">
        <v>0</v>
      </c>
      <c r="L20" s="145">
        <v>0</v>
      </c>
      <c r="M20" s="145" t="s">
        <v>25</v>
      </c>
      <c r="N20" s="145">
        <v>4</v>
      </c>
      <c r="O20" s="145" t="s">
        <v>52</v>
      </c>
      <c r="P20" s="145" t="s">
        <v>189</v>
      </c>
      <c r="Q20" s="145" t="s">
        <v>190</v>
      </c>
      <c r="R20" s="145" t="s">
        <v>55</v>
      </c>
      <c r="S20" s="145" t="s">
        <v>200</v>
      </c>
      <c r="T20" s="145">
        <v>882</v>
      </c>
    </row>
    <row r="21" spans="1:20" ht="15" x14ac:dyDescent="0.25">
      <c r="A21" s="145">
        <v>1684</v>
      </c>
      <c r="B21" s="145">
        <v>3</v>
      </c>
      <c r="C21" s="145">
        <v>6</v>
      </c>
      <c r="D21" s="145">
        <v>0</v>
      </c>
      <c r="E21" s="145">
        <v>0</v>
      </c>
      <c r="F21" s="145">
        <v>0</v>
      </c>
      <c r="G21" s="145" t="s">
        <v>3</v>
      </c>
      <c r="H21" s="145">
        <v>2</v>
      </c>
      <c r="I21" s="145">
        <v>0</v>
      </c>
      <c r="J21" s="145">
        <v>2</v>
      </c>
      <c r="K21" s="145">
        <v>0</v>
      </c>
      <c r="L21" s="145">
        <v>0</v>
      </c>
      <c r="M21" s="145" t="s">
        <v>30</v>
      </c>
      <c r="N21" s="145">
        <v>2</v>
      </c>
      <c r="O21" s="145" t="s">
        <v>52</v>
      </c>
      <c r="P21" s="145" t="s">
        <v>189</v>
      </c>
      <c r="Q21" s="145" t="s">
        <v>190</v>
      </c>
      <c r="R21" s="145" t="s">
        <v>55</v>
      </c>
      <c r="S21" s="145" t="s">
        <v>200</v>
      </c>
      <c r="T21" s="145">
        <v>894</v>
      </c>
    </row>
    <row r="22" spans="1:20" ht="15" x14ac:dyDescent="0.25">
      <c r="A22" s="145">
        <v>2619</v>
      </c>
      <c r="B22" s="145">
        <v>4</v>
      </c>
      <c r="C22" s="145">
        <v>15</v>
      </c>
      <c r="D22" s="145">
        <v>1</v>
      </c>
      <c r="E22" s="145">
        <v>0</v>
      </c>
      <c r="F22" s="145">
        <v>0</v>
      </c>
      <c r="G22" s="145" t="s">
        <v>78</v>
      </c>
      <c r="H22" s="145">
        <v>2</v>
      </c>
      <c r="I22" s="145">
        <v>0</v>
      </c>
      <c r="J22" s="145">
        <v>2</v>
      </c>
      <c r="K22" s="145">
        <v>0</v>
      </c>
      <c r="L22" s="145">
        <v>0</v>
      </c>
      <c r="M22" s="145" t="s">
        <v>29</v>
      </c>
      <c r="N22" s="145">
        <v>4</v>
      </c>
      <c r="O22" s="145" t="s">
        <v>51</v>
      </c>
      <c r="P22" s="145" t="s">
        <v>189</v>
      </c>
      <c r="Q22" s="145" t="s">
        <v>190</v>
      </c>
      <c r="R22" s="145" t="s">
        <v>55</v>
      </c>
      <c r="S22" s="145" t="s">
        <v>201</v>
      </c>
      <c r="T22" s="145">
        <v>1025</v>
      </c>
    </row>
    <row r="23" spans="1:20" ht="15" x14ac:dyDescent="0.25">
      <c r="A23" s="145">
        <v>1322</v>
      </c>
      <c r="B23" s="145">
        <v>4</v>
      </c>
      <c r="C23" s="145">
        <v>5</v>
      </c>
      <c r="D23" s="145">
        <v>0</v>
      </c>
      <c r="E23" s="145">
        <v>0</v>
      </c>
      <c r="F23" s="145">
        <v>0</v>
      </c>
      <c r="G23" s="145" t="s">
        <v>78</v>
      </c>
      <c r="H23" s="145">
        <v>2</v>
      </c>
      <c r="I23" s="145">
        <v>0</v>
      </c>
      <c r="J23" s="145">
        <v>1</v>
      </c>
      <c r="K23" s="145">
        <v>1</v>
      </c>
      <c r="L23" s="145">
        <v>0</v>
      </c>
      <c r="M23" s="145" t="s">
        <v>30</v>
      </c>
      <c r="N23" s="145">
        <v>3</v>
      </c>
      <c r="O23" s="145" t="s">
        <v>51</v>
      </c>
      <c r="P23" s="145" t="s">
        <v>189</v>
      </c>
      <c r="Q23" s="145" t="s">
        <v>190</v>
      </c>
      <c r="R23" s="145" t="s">
        <v>54</v>
      </c>
      <c r="S23" s="145" t="s">
        <v>201</v>
      </c>
      <c r="T23" s="145">
        <v>1076</v>
      </c>
    </row>
    <row r="24" spans="1:20" ht="15" x14ac:dyDescent="0.25">
      <c r="A24" s="145">
        <v>3098</v>
      </c>
      <c r="B24" s="145">
        <v>4</v>
      </c>
      <c r="C24" s="145">
        <v>22</v>
      </c>
      <c r="D24" s="145">
        <v>0</v>
      </c>
      <c r="E24" s="145">
        <v>0</v>
      </c>
      <c r="F24" s="145">
        <v>0</v>
      </c>
      <c r="G24" s="145" t="s">
        <v>77</v>
      </c>
      <c r="H24" s="145">
        <v>1</v>
      </c>
      <c r="I24" s="145">
        <v>0</v>
      </c>
      <c r="J24" s="145">
        <v>0</v>
      </c>
      <c r="K24" s="145">
        <v>1</v>
      </c>
      <c r="L24" s="145">
        <v>0</v>
      </c>
      <c r="M24" s="145" t="s">
        <v>26</v>
      </c>
      <c r="N24" s="145">
        <v>3</v>
      </c>
      <c r="O24" s="145" t="s">
        <v>52</v>
      </c>
      <c r="P24" s="145" t="s">
        <v>189</v>
      </c>
      <c r="Q24" s="145" t="s">
        <v>190</v>
      </c>
      <c r="R24" s="145" t="s">
        <v>55</v>
      </c>
      <c r="S24" s="145" t="s">
        <v>201</v>
      </c>
      <c r="T24" s="145">
        <v>1322</v>
      </c>
    </row>
    <row r="25" spans="1:20" ht="15" x14ac:dyDescent="0.25">
      <c r="A25" s="145">
        <v>1504</v>
      </c>
      <c r="B25" s="145">
        <v>4</v>
      </c>
      <c r="C25" s="145">
        <v>33</v>
      </c>
      <c r="D25" s="145">
        <v>0</v>
      </c>
      <c r="E25" s="145">
        <v>0</v>
      </c>
      <c r="F25" s="145">
        <v>0</v>
      </c>
      <c r="G25" s="145" t="s">
        <v>78</v>
      </c>
      <c r="H25" s="145">
        <v>1</v>
      </c>
      <c r="I25" s="145">
        <v>0</v>
      </c>
      <c r="J25" s="145">
        <v>1</v>
      </c>
      <c r="K25" s="145">
        <v>0</v>
      </c>
      <c r="L25" s="145">
        <v>0</v>
      </c>
      <c r="M25" s="145" t="s">
        <v>25</v>
      </c>
      <c r="N25" s="145">
        <v>4</v>
      </c>
      <c r="O25" s="145" t="s">
        <v>52</v>
      </c>
      <c r="P25" s="145" t="s">
        <v>189</v>
      </c>
      <c r="Q25" s="145" t="s">
        <v>190</v>
      </c>
      <c r="R25" s="145" t="s">
        <v>54</v>
      </c>
      <c r="S25" s="145" t="s">
        <v>202</v>
      </c>
      <c r="T25" s="145">
        <v>1332</v>
      </c>
    </row>
    <row r="26" spans="1:20" ht="15" x14ac:dyDescent="0.25">
      <c r="A26" s="145">
        <v>3641</v>
      </c>
      <c r="B26" s="145">
        <v>4</v>
      </c>
      <c r="C26" s="145">
        <v>0</v>
      </c>
      <c r="D26" s="145">
        <v>0</v>
      </c>
      <c r="E26" s="145">
        <v>0</v>
      </c>
      <c r="F26" s="145">
        <v>0</v>
      </c>
      <c r="G26" s="145" t="s">
        <v>3</v>
      </c>
      <c r="H26" s="145">
        <v>0</v>
      </c>
      <c r="I26" s="145">
        <v>0</v>
      </c>
      <c r="J26" s="145">
        <v>0</v>
      </c>
      <c r="K26" s="145">
        <v>0</v>
      </c>
      <c r="L26" s="145">
        <v>0</v>
      </c>
      <c r="M26" s="145" t="s">
        <v>29</v>
      </c>
      <c r="N26" s="145">
        <v>3</v>
      </c>
      <c r="O26" s="145" t="s">
        <v>50</v>
      </c>
      <c r="P26" s="145" t="s">
        <v>192</v>
      </c>
      <c r="Q26" s="145" t="s">
        <v>192</v>
      </c>
      <c r="R26" s="145" t="s">
        <v>55</v>
      </c>
      <c r="S26" s="145" t="s">
        <v>202</v>
      </c>
      <c r="T26" s="145">
        <v>1502</v>
      </c>
    </row>
    <row r="27" spans="1:20" ht="15" x14ac:dyDescent="0.25">
      <c r="A27" s="145">
        <v>2619</v>
      </c>
      <c r="B27" s="145">
        <v>4</v>
      </c>
      <c r="C27" s="145">
        <v>15</v>
      </c>
      <c r="D27" s="145">
        <v>1</v>
      </c>
      <c r="E27" s="145">
        <v>0</v>
      </c>
      <c r="F27" s="145">
        <v>0</v>
      </c>
      <c r="G27" s="145" t="s">
        <v>78</v>
      </c>
      <c r="H27" s="145">
        <v>2</v>
      </c>
      <c r="I27" s="145">
        <v>0</v>
      </c>
      <c r="J27" s="145">
        <v>2</v>
      </c>
      <c r="K27" s="145">
        <v>0</v>
      </c>
      <c r="L27" s="145">
        <v>0</v>
      </c>
      <c r="M27" s="145" t="s">
        <v>29</v>
      </c>
      <c r="N27" s="145">
        <v>3</v>
      </c>
      <c r="O27" s="145" t="s">
        <v>51</v>
      </c>
      <c r="P27" s="145" t="s">
        <v>203</v>
      </c>
      <c r="Q27" s="145" t="s">
        <v>204</v>
      </c>
      <c r="R27" s="145" t="s">
        <v>55</v>
      </c>
      <c r="S27" s="145" t="s">
        <v>202</v>
      </c>
      <c r="T27" s="145">
        <v>1504</v>
      </c>
    </row>
    <row r="28" spans="1:20" ht="15" x14ac:dyDescent="0.25">
      <c r="A28" s="145">
        <v>3537</v>
      </c>
      <c r="B28" s="145">
        <v>5</v>
      </c>
      <c r="C28" s="145">
        <v>30</v>
      </c>
      <c r="D28" s="145">
        <v>0</v>
      </c>
      <c r="E28" s="145">
        <v>0</v>
      </c>
      <c r="F28" s="145">
        <v>0</v>
      </c>
      <c r="G28" s="145" t="s">
        <v>3</v>
      </c>
      <c r="H28" s="145">
        <v>0</v>
      </c>
      <c r="I28" s="145">
        <v>0</v>
      </c>
      <c r="J28" s="145">
        <v>0</v>
      </c>
      <c r="K28" s="145">
        <v>0</v>
      </c>
      <c r="L28" s="145">
        <v>0</v>
      </c>
      <c r="M28" s="145" t="s">
        <v>25</v>
      </c>
      <c r="N28" s="145">
        <v>3</v>
      </c>
      <c r="O28" s="145" t="s">
        <v>50</v>
      </c>
      <c r="P28" s="145" t="s">
        <v>192</v>
      </c>
      <c r="Q28" s="145" t="s">
        <v>204</v>
      </c>
      <c r="R28" s="145" t="s">
        <v>55</v>
      </c>
      <c r="S28" s="145" t="s">
        <v>205</v>
      </c>
      <c r="T28" s="145">
        <v>1507</v>
      </c>
    </row>
    <row r="29" spans="1:20" ht="15" x14ac:dyDescent="0.25">
      <c r="A29" s="145">
        <v>3707</v>
      </c>
      <c r="B29" s="145">
        <v>5</v>
      </c>
      <c r="C29" s="145">
        <v>6</v>
      </c>
      <c r="D29" s="145">
        <v>0</v>
      </c>
      <c r="E29" s="145">
        <v>0</v>
      </c>
      <c r="F29" s="145">
        <v>0</v>
      </c>
      <c r="G29" s="145" t="s">
        <v>78</v>
      </c>
      <c r="H29" s="145">
        <v>2</v>
      </c>
      <c r="I29" s="145">
        <v>0</v>
      </c>
      <c r="J29" s="145">
        <v>2</v>
      </c>
      <c r="K29" s="145">
        <v>0</v>
      </c>
      <c r="L29" s="145">
        <v>0</v>
      </c>
      <c r="M29" s="145" t="s">
        <v>29</v>
      </c>
      <c r="N29" s="145">
        <v>5</v>
      </c>
      <c r="O29" s="145" t="s">
        <v>51</v>
      </c>
      <c r="P29" s="145" t="s">
        <v>206</v>
      </c>
      <c r="Q29" s="145" t="s">
        <v>204</v>
      </c>
      <c r="R29" s="145" t="s">
        <v>54</v>
      </c>
      <c r="S29" s="145" t="s">
        <v>205</v>
      </c>
      <c r="T29" s="145">
        <v>1684</v>
      </c>
    </row>
    <row r="30" spans="1:20" ht="15" x14ac:dyDescent="0.25">
      <c r="A30" s="145">
        <v>835</v>
      </c>
      <c r="B30" s="145">
        <v>5</v>
      </c>
      <c r="C30" s="145">
        <v>26</v>
      </c>
      <c r="D30" s="145">
        <v>0</v>
      </c>
      <c r="E30" s="145">
        <v>0</v>
      </c>
      <c r="F30" s="145">
        <v>0</v>
      </c>
      <c r="G30" s="145" t="s">
        <v>78</v>
      </c>
      <c r="H30" s="145">
        <v>3</v>
      </c>
      <c r="I30" s="145">
        <v>0</v>
      </c>
      <c r="J30" s="145">
        <v>0</v>
      </c>
      <c r="K30" s="145">
        <v>3</v>
      </c>
      <c r="L30" s="145">
        <v>0</v>
      </c>
      <c r="M30" s="145" t="s">
        <v>26</v>
      </c>
      <c r="N30" s="145">
        <v>3</v>
      </c>
      <c r="O30" s="145" t="s">
        <v>52</v>
      </c>
      <c r="P30" s="145" t="s">
        <v>203</v>
      </c>
      <c r="Q30" s="145" t="s">
        <v>190</v>
      </c>
      <c r="R30" s="145" t="s">
        <v>54</v>
      </c>
      <c r="S30" s="145" t="s">
        <v>205</v>
      </c>
      <c r="T30" s="145">
        <v>2075</v>
      </c>
    </row>
    <row r="31" spans="1:20" ht="15" x14ac:dyDescent="0.25">
      <c r="A31" s="145">
        <v>835</v>
      </c>
      <c r="B31" s="145">
        <v>5</v>
      </c>
      <c r="C31" s="145">
        <v>26</v>
      </c>
      <c r="D31" s="145">
        <v>0</v>
      </c>
      <c r="E31" s="145">
        <v>0</v>
      </c>
      <c r="F31" s="145">
        <v>0</v>
      </c>
      <c r="G31" s="145" t="s">
        <v>78</v>
      </c>
      <c r="H31" s="145">
        <v>3</v>
      </c>
      <c r="I31" s="145">
        <v>0</v>
      </c>
      <c r="J31" s="145">
        <v>0</v>
      </c>
      <c r="K31" s="145">
        <v>3</v>
      </c>
      <c r="L31" s="145">
        <v>0</v>
      </c>
      <c r="M31" s="145" t="s">
        <v>26</v>
      </c>
      <c r="N31" s="145">
        <v>3</v>
      </c>
      <c r="O31" s="145" t="s">
        <v>52</v>
      </c>
      <c r="P31" s="145" t="s">
        <v>203</v>
      </c>
      <c r="Q31" s="145" t="s">
        <v>190</v>
      </c>
      <c r="R31" s="145" t="s">
        <v>54</v>
      </c>
      <c r="S31" s="145" t="s">
        <v>207</v>
      </c>
      <c r="T31" s="145">
        <v>2145</v>
      </c>
    </row>
    <row r="32" spans="1:20" ht="15" x14ac:dyDescent="0.25">
      <c r="A32" s="145">
        <v>3638</v>
      </c>
      <c r="B32" s="145">
        <v>5</v>
      </c>
      <c r="C32" s="145">
        <v>0</v>
      </c>
      <c r="D32" s="145">
        <v>0</v>
      </c>
      <c r="E32" s="145">
        <v>0</v>
      </c>
      <c r="F32" s="145">
        <v>0</v>
      </c>
      <c r="G32" s="145" t="s">
        <v>78</v>
      </c>
      <c r="H32" s="145">
        <v>0</v>
      </c>
      <c r="I32" s="145">
        <v>0</v>
      </c>
      <c r="J32" s="145">
        <v>0</v>
      </c>
      <c r="K32" s="145">
        <v>0</v>
      </c>
      <c r="L32" s="145">
        <v>0</v>
      </c>
      <c r="M32" s="145" t="s">
        <v>29</v>
      </c>
      <c r="N32" s="145">
        <v>2</v>
      </c>
      <c r="O32" s="145" t="s">
        <v>52</v>
      </c>
      <c r="P32" s="145" t="s">
        <v>192</v>
      </c>
      <c r="Q32" s="145" t="s">
        <v>204</v>
      </c>
      <c r="R32" s="145" t="s">
        <v>54</v>
      </c>
      <c r="S32" s="145" t="s">
        <v>207</v>
      </c>
      <c r="T32" s="145">
        <v>2337</v>
      </c>
    </row>
    <row r="33" spans="1:20" ht="15" x14ac:dyDescent="0.25">
      <c r="A33" s="145">
        <v>1076</v>
      </c>
      <c r="B33" s="145">
        <v>5</v>
      </c>
      <c r="C33" s="145">
        <v>0</v>
      </c>
      <c r="D33" s="145">
        <v>0</v>
      </c>
      <c r="E33" s="145">
        <v>0</v>
      </c>
      <c r="F33" s="145">
        <v>0</v>
      </c>
      <c r="G33" s="145" t="s">
        <v>77</v>
      </c>
      <c r="H33" s="145">
        <v>0</v>
      </c>
      <c r="I33" s="145">
        <v>0</v>
      </c>
      <c r="J33" s="145">
        <v>0</v>
      </c>
      <c r="K33" s="145">
        <v>0</v>
      </c>
      <c r="L33" s="145">
        <v>0</v>
      </c>
      <c r="M33" s="145" t="s">
        <v>29</v>
      </c>
      <c r="N33" s="145">
        <v>1</v>
      </c>
      <c r="O33" s="145" t="s">
        <v>52</v>
      </c>
      <c r="P33" s="145" t="s">
        <v>192</v>
      </c>
      <c r="Q33" s="145" t="s">
        <v>192</v>
      </c>
      <c r="R33" s="145" t="s">
        <v>54</v>
      </c>
      <c r="S33" s="145" t="s">
        <v>205</v>
      </c>
      <c r="T33" s="145">
        <v>2619</v>
      </c>
    </row>
    <row r="34" spans="1:20" ht="15" x14ac:dyDescent="0.25">
      <c r="A34" s="145">
        <v>66</v>
      </c>
      <c r="B34" s="145">
        <v>6</v>
      </c>
      <c r="C34" s="145">
        <v>3</v>
      </c>
      <c r="D34" s="145">
        <v>0</v>
      </c>
      <c r="E34" s="145">
        <v>0</v>
      </c>
      <c r="F34" s="145">
        <v>0</v>
      </c>
      <c r="G34" s="145" t="s">
        <v>3</v>
      </c>
      <c r="H34" s="145">
        <v>1</v>
      </c>
      <c r="I34" s="145">
        <v>0</v>
      </c>
      <c r="J34" s="145">
        <v>1</v>
      </c>
      <c r="K34" s="145">
        <v>0</v>
      </c>
      <c r="L34" s="145">
        <v>0</v>
      </c>
      <c r="M34" s="145" t="s">
        <v>29</v>
      </c>
      <c r="N34" s="145">
        <v>4</v>
      </c>
      <c r="O34" s="145" t="s">
        <v>51</v>
      </c>
      <c r="P34" s="145" t="s">
        <v>189</v>
      </c>
      <c r="Q34" s="145" t="s">
        <v>190</v>
      </c>
      <c r="R34" s="145" t="s">
        <v>55</v>
      </c>
      <c r="S34" s="145" t="s">
        <v>208</v>
      </c>
      <c r="T34" s="145">
        <v>2627</v>
      </c>
    </row>
    <row r="35" spans="1:20" ht="15" x14ac:dyDescent="0.25">
      <c r="A35" s="145">
        <v>68</v>
      </c>
      <c r="B35" s="145">
        <v>6</v>
      </c>
      <c r="C35" s="145">
        <v>65</v>
      </c>
      <c r="D35" s="145">
        <v>1</v>
      </c>
      <c r="E35" s="145">
        <v>0</v>
      </c>
      <c r="F35" s="145">
        <v>0</v>
      </c>
      <c r="G35" s="145" t="s">
        <v>78</v>
      </c>
      <c r="H35" s="145">
        <v>5</v>
      </c>
      <c r="I35" s="145">
        <v>1</v>
      </c>
      <c r="J35" s="145">
        <v>4</v>
      </c>
      <c r="K35" s="145">
        <v>1</v>
      </c>
      <c r="L35" s="145">
        <v>0</v>
      </c>
      <c r="M35" s="145" t="s">
        <v>25</v>
      </c>
      <c r="N35" s="145">
        <v>4</v>
      </c>
      <c r="O35" s="145" t="s">
        <v>51</v>
      </c>
      <c r="P35" s="145" t="s">
        <v>189</v>
      </c>
      <c r="Q35" s="145" t="s">
        <v>190</v>
      </c>
      <c r="R35" s="145" t="s">
        <v>55</v>
      </c>
      <c r="S35" s="145" t="s">
        <v>208</v>
      </c>
      <c r="T35" s="145">
        <v>3098</v>
      </c>
    </row>
    <row r="36" spans="1:20" ht="15" x14ac:dyDescent="0.25">
      <c r="A36" s="145">
        <v>894</v>
      </c>
      <c r="B36" s="145">
        <v>6</v>
      </c>
      <c r="C36" s="145">
        <v>3</v>
      </c>
      <c r="D36" s="145">
        <v>0</v>
      </c>
      <c r="E36" s="145">
        <v>0</v>
      </c>
      <c r="F36" s="145">
        <v>0</v>
      </c>
      <c r="G36" s="145" t="s">
        <v>77</v>
      </c>
      <c r="H36" s="145">
        <v>1</v>
      </c>
      <c r="I36" s="145">
        <v>0</v>
      </c>
      <c r="J36" s="145">
        <v>1</v>
      </c>
      <c r="K36" s="145">
        <v>0</v>
      </c>
      <c r="L36" s="145">
        <v>0</v>
      </c>
      <c r="M36" s="145" t="s">
        <v>29</v>
      </c>
      <c r="N36" s="145">
        <v>1</v>
      </c>
      <c r="O36" s="145" t="s">
        <v>51</v>
      </c>
      <c r="P36" s="145" t="s">
        <v>189</v>
      </c>
      <c r="Q36" s="145" t="s">
        <v>190</v>
      </c>
      <c r="R36" s="145" t="s">
        <v>55</v>
      </c>
      <c r="S36" s="145" t="s">
        <v>208</v>
      </c>
      <c r="T36" s="145">
        <v>3322</v>
      </c>
    </row>
    <row r="37" spans="1:20" ht="15" x14ac:dyDescent="0.25">
      <c r="A37" s="145">
        <v>3773</v>
      </c>
      <c r="B37" s="145">
        <v>6</v>
      </c>
      <c r="C37" s="145">
        <v>18</v>
      </c>
      <c r="D37" s="145">
        <v>0</v>
      </c>
      <c r="E37" s="145">
        <v>0</v>
      </c>
      <c r="F37" s="145">
        <v>0</v>
      </c>
      <c r="G37" s="145" t="s">
        <v>78</v>
      </c>
      <c r="H37" s="145">
        <v>3</v>
      </c>
      <c r="I37" s="145">
        <v>1</v>
      </c>
      <c r="J37" s="145">
        <v>3</v>
      </c>
      <c r="K37" s="145">
        <v>0</v>
      </c>
      <c r="L37" s="145">
        <v>0</v>
      </c>
      <c r="M37" s="145" t="s">
        <v>30</v>
      </c>
      <c r="N37" s="145">
        <v>3</v>
      </c>
      <c r="O37" s="145" t="s">
        <v>51</v>
      </c>
      <c r="P37" s="145" t="s">
        <v>189</v>
      </c>
      <c r="Q37" s="145" t="s">
        <v>190</v>
      </c>
      <c r="R37" s="145" t="s">
        <v>55</v>
      </c>
      <c r="S37" s="145" t="s">
        <v>209</v>
      </c>
      <c r="T37" s="145">
        <v>3415</v>
      </c>
    </row>
    <row r="38" spans="1:20" ht="15" x14ac:dyDescent="0.25">
      <c r="A38" s="145">
        <v>3773</v>
      </c>
      <c r="B38" s="145">
        <v>6</v>
      </c>
      <c r="C38" s="145">
        <v>0</v>
      </c>
      <c r="D38" s="145">
        <v>0</v>
      </c>
      <c r="E38" s="145">
        <v>0</v>
      </c>
      <c r="F38" s="145">
        <v>0</v>
      </c>
      <c r="G38" s="145" t="s">
        <v>78</v>
      </c>
      <c r="H38" s="145">
        <v>0</v>
      </c>
      <c r="I38" s="145">
        <v>0</v>
      </c>
      <c r="J38" s="145">
        <v>0</v>
      </c>
      <c r="K38" s="145">
        <v>0</v>
      </c>
      <c r="L38" s="145">
        <v>0</v>
      </c>
      <c r="M38" s="145" t="s">
        <v>29</v>
      </c>
      <c r="N38" s="145">
        <v>1</v>
      </c>
      <c r="O38" s="145" t="s">
        <v>50</v>
      </c>
      <c r="P38" s="145" t="s">
        <v>192</v>
      </c>
      <c r="Q38" s="145" t="s">
        <v>204</v>
      </c>
      <c r="R38" s="145" t="s">
        <v>55</v>
      </c>
      <c r="S38" s="145" t="s">
        <v>209</v>
      </c>
      <c r="T38" s="145">
        <v>3535</v>
      </c>
    </row>
    <row r="39" spans="1:20" ht="15" x14ac:dyDescent="0.25">
      <c r="A39" s="145">
        <v>2145</v>
      </c>
      <c r="B39" s="145">
        <v>7</v>
      </c>
      <c r="C39" s="145">
        <v>3</v>
      </c>
      <c r="D39" s="145">
        <v>0</v>
      </c>
      <c r="E39" s="145">
        <v>0</v>
      </c>
      <c r="F39" s="145">
        <v>0</v>
      </c>
      <c r="G39" s="145" t="s">
        <v>78</v>
      </c>
      <c r="H39" s="145">
        <v>1</v>
      </c>
      <c r="I39" s="145">
        <v>0</v>
      </c>
      <c r="J39" s="145">
        <v>1</v>
      </c>
      <c r="K39" s="145">
        <v>0</v>
      </c>
      <c r="L39" s="145">
        <v>0</v>
      </c>
      <c r="M39" s="145" t="s">
        <v>30</v>
      </c>
      <c r="N39" s="145">
        <v>3</v>
      </c>
      <c r="O39" s="145" t="s">
        <v>51</v>
      </c>
      <c r="P39" s="145" t="s">
        <v>203</v>
      </c>
      <c r="Q39" s="145" t="s">
        <v>204</v>
      </c>
      <c r="R39" s="145" t="s">
        <v>55</v>
      </c>
      <c r="S39" s="145" t="s">
        <v>210</v>
      </c>
      <c r="T39" s="145">
        <v>3536</v>
      </c>
    </row>
    <row r="40" spans="1:20" ht="15" x14ac:dyDescent="0.25">
      <c r="A40" s="145">
        <v>2075</v>
      </c>
      <c r="B40" s="145">
        <v>7</v>
      </c>
      <c r="C40" s="145">
        <v>0</v>
      </c>
      <c r="D40" s="145">
        <v>0</v>
      </c>
      <c r="E40" s="145">
        <v>0</v>
      </c>
      <c r="F40" s="145">
        <v>0</v>
      </c>
      <c r="G40" s="145" t="s">
        <v>78</v>
      </c>
      <c r="H40" s="145">
        <v>0</v>
      </c>
      <c r="I40" s="145">
        <v>0</v>
      </c>
      <c r="J40" s="145">
        <v>0</v>
      </c>
      <c r="K40" s="145">
        <v>0</v>
      </c>
      <c r="L40" s="145">
        <v>0</v>
      </c>
      <c r="M40" s="145" t="s">
        <v>29</v>
      </c>
      <c r="N40" s="145">
        <v>1</v>
      </c>
      <c r="O40" s="145" t="s">
        <v>52</v>
      </c>
      <c r="P40" s="145" t="s">
        <v>192</v>
      </c>
      <c r="Q40" s="145" t="s">
        <v>190</v>
      </c>
      <c r="R40" s="145" t="s">
        <v>55</v>
      </c>
      <c r="S40" s="145" t="s">
        <v>211</v>
      </c>
      <c r="T40" s="145">
        <v>3537</v>
      </c>
    </row>
    <row r="41" spans="1:20" ht="15" x14ac:dyDescent="0.25">
      <c r="A41" s="145">
        <v>2075</v>
      </c>
      <c r="B41" s="145">
        <v>7</v>
      </c>
      <c r="C41" s="145">
        <v>0</v>
      </c>
      <c r="D41" s="145">
        <v>0</v>
      </c>
      <c r="E41" s="145">
        <v>0</v>
      </c>
      <c r="F41" s="145">
        <v>0</v>
      </c>
      <c r="G41" s="145" t="s">
        <v>78</v>
      </c>
      <c r="H41" s="145">
        <v>0</v>
      </c>
      <c r="I41" s="145">
        <v>0</v>
      </c>
      <c r="J41" s="145">
        <v>0</v>
      </c>
      <c r="K41" s="145">
        <v>0</v>
      </c>
      <c r="L41" s="145">
        <v>0</v>
      </c>
      <c r="M41" s="145" t="s">
        <v>29</v>
      </c>
      <c r="N41" s="145">
        <v>1</v>
      </c>
      <c r="O41" s="145" t="s">
        <v>52</v>
      </c>
      <c r="P41" s="145" t="s">
        <v>192</v>
      </c>
      <c r="Q41" s="145" t="s">
        <v>190</v>
      </c>
      <c r="R41" s="145" t="s">
        <v>54</v>
      </c>
      <c r="S41" s="145" t="s">
        <v>211</v>
      </c>
      <c r="T41" s="145">
        <v>3546</v>
      </c>
    </row>
    <row r="42" spans="1:20" ht="15" x14ac:dyDescent="0.25">
      <c r="A42" s="145">
        <v>240</v>
      </c>
      <c r="B42" s="145">
        <v>7</v>
      </c>
      <c r="C42" s="145">
        <v>0</v>
      </c>
      <c r="D42" s="145">
        <v>0</v>
      </c>
      <c r="E42" s="145">
        <v>0</v>
      </c>
      <c r="F42" s="145">
        <v>0</v>
      </c>
      <c r="G42" s="145" t="s">
        <v>77</v>
      </c>
      <c r="H42" s="145">
        <v>0</v>
      </c>
      <c r="I42" s="145">
        <v>0</v>
      </c>
      <c r="J42" s="145">
        <v>0</v>
      </c>
      <c r="K42" s="145">
        <v>0</v>
      </c>
      <c r="L42" s="145">
        <v>0</v>
      </c>
      <c r="M42" s="145" t="s">
        <v>29</v>
      </c>
      <c r="N42" s="145">
        <v>4</v>
      </c>
      <c r="O42" s="145" t="s">
        <v>52</v>
      </c>
      <c r="P42" s="145" t="s">
        <v>192</v>
      </c>
      <c r="Q42" s="145" t="s">
        <v>204</v>
      </c>
      <c r="R42" s="145" t="s">
        <v>55</v>
      </c>
      <c r="S42" s="145" t="s">
        <v>212</v>
      </c>
      <c r="T42" s="145">
        <v>3547</v>
      </c>
    </row>
    <row r="43" spans="1:20" ht="15" x14ac:dyDescent="0.25">
      <c r="A43" s="145">
        <v>2075</v>
      </c>
      <c r="B43" s="145">
        <v>7</v>
      </c>
      <c r="C43" s="145">
        <v>0</v>
      </c>
      <c r="D43" s="145">
        <v>0</v>
      </c>
      <c r="E43" s="145">
        <v>0</v>
      </c>
      <c r="F43" s="145">
        <v>0</v>
      </c>
      <c r="G43" s="145" t="s">
        <v>78</v>
      </c>
      <c r="H43" s="145">
        <v>0</v>
      </c>
      <c r="I43" s="145">
        <v>0</v>
      </c>
      <c r="J43" s="145">
        <v>0</v>
      </c>
      <c r="K43" s="145">
        <v>0</v>
      </c>
      <c r="L43" s="145">
        <v>0</v>
      </c>
      <c r="M43" s="145" t="s">
        <v>29</v>
      </c>
      <c r="N43" s="145">
        <v>1</v>
      </c>
      <c r="O43" s="145" t="s">
        <v>52</v>
      </c>
      <c r="P43" s="145" t="s">
        <v>192</v>
      </c>
      <c r="Q43" s="145" t="s">
        <v>190</v>
      </c>
      <c r="R43" s="145" t="s">
        <v>55</v>
      </c>
      <c r="S43" s="145" t="s">
        <v>213</v>
      </c>
      <c r="T43" s="145">
        <v>3548</v>
      </c>
    </row>
    <row r="44" spans="1:20" ht="15" x14ac:dyDescent="0.25">
      <c r="A44" s="145">
        <v>2627</v>
      </c>
      <c r="B44" s="145">
        <v>7</v>
      </c>
      <c r="C44" s="145">
        <v>0</v>
      </c>
      <c r="D44" s="145">
        <v>0</v>
      </c>
      <c r="E44" s="145">
        <v>0</v>
      </c>
      <c r="F44" s="145">
        <v>0</v>
      </c>
      <c r="G44" s="145" t="s">
        <v>77</v>
      </c>
      <c r="H44" s="145">
        <v>0</v>
      </c>
      <c r="I44" s="145">
        <v>0</v>
      </c>
      <c r="J44" s="145">
        <v>0</v>
      </c>
      <c r="K44" s="145">
        <v>0</v>
      </c>
      <c r="L44" s="145">
        <v>0</v>
      </c>
      <c r="M44" s="145" t="s">
        <v>29</v>
      </c>
      <c r="N44" s="145">
        <v>5</v>
      </c>
      <c r="O44" s="145" t="s">
        <v>52</v>
      </c>
      <c r="P44" s="145" t="s">
        <v>192</v>
      </c>
      <c r="Q44" s="145" t="s">
        <v>192</v>
      </c>
      <c r="R44" s="145" t="s">
        <v>55</v>
      </c>
      <c r="S44" s="145" t="s">
        <v>214</v>
      </c>
      <c r="T44" s="145">
        <v>3631</v>
      </c>
    </row>
    <row r="45" spans="1:20" ht="15" x14ac:dyDescent="0.25">
      <c r="A45" s="145">
        <v>474</v>
      </c>
      <c r="B45" s="145">
        <v>8</v>
      </c>
      <c r="C45" s="145">
        <v>41</v>
      </c>
      <c r="D45" s="145">
        <v>0</v>
      </c>
      <c r="E45" s="145">
        <v>0</v>
      </c>
      <c r="F45" s="145">
        <v>0</v>
      </c>
      <c r="G45" s="145" t="s">
        <v>3</v>
      </c>
      <c r="H45" s="145">
        <v>4</v>
      </c>
      <c r="I45" s="145">
        <v>0</v>
      </c>
      <c r="J45" s="145">
        <v>3</v>
      </c>
      <c r="K45" s="145">
        <v>1</v>
      </c>
      <c r="L45" s="145">
        <v>0</v>
      </c>
      <c r="M45" s="145" t="s">
        <v>25</v>
      </c>
      <c r="N45" s="145">
        <v>5</v>
      </c>
      <c r="O45" s="145" t="s">
        <v>52</v>
      </c>
      <c r="P45" s="145" t="s">
        <v>189</v>
      </c>
      <c r="Q45" s="145" t="s">
        <v>190</v>
      </c>
      <c r="R45" s="145" t="s">
        <v>54</v>
      </c>
      <c r="S45" s="145" t="s">
        <v>215</v>
      </c>
      <c r="T45" s="145">
        <v>3635</v>
      </c>
    </row>
    <row r="46" spans="1:20" ht="15" x14ac:dyDescent="0.25">
      <c r="A46" s="145">
        <v>1322</v>
      </c>
      <c r="B46" s="145">
        <v>8</v>
      </c>
      <c r="C46" s="145">
        <v>3</v>
      </c>
      <c r="D46" s="145">
        <v>0</v>
      </c>
      <c r="E46" s="145">
        <v>0</v>
      </c>
      <c r="F46" s="145">
        <v>0</v>
      </c>
      <c r="G46" s="145" t="s">
        <v>77</v>
      </c>
      <c r="H46" s="145">
        <v>1</v>
      </c>
      <c r="I46" s="145">
        <v>0</v>
      </c>
      <c r="J46" s="145">
        <v>1</v>
      </c>
      <c r="K46" s="145">
        <v>0</v>
      </c>
      <c r="L46" s="145">
        <v>0</v>
      </c>
      <c r="M46" s="145" t="s">
        <v>29</v>
      </c>
      <c r="N46" s="145">
        <v>2</v>
      </c>
      <c r="O46" s="145" t="s">
        <v>52</v>
      </c>
      <c r="P46" s="145" t="s">
        <v>189</v>
      </c>
      <c r="Q46" s="145" t="s">
        <v>190</v>
      </c>
      <c r="R46" s="145" t="s">
        <v>54</v>
      </c>
      <c r="S46" s="145" t="s">
        <v>216</v>
      </c>
      <c r="T46" s="145">
        <v>3638</v>
      </c>
    </row>
    <row r="47" spans="1:20" ht="15" x14ac:dyDescent="0.25">
      <c r="A47" s="145">
        <v>835</v>
      </c>
      <c r="B47" s="145">
        <v>8</v>
      </c>
      <c r="C47" s="145">
        <v>3</v>
      </c>
      <c r="D47" s="145">
        <v>0</v>
      </c>
      <c r="E47" s="145">
        <v>0</v>
      </c>
      <c r="F47" s="145">
        <v>0</v>
      </c>
      <c r="G47" s="145" t="s">
        <v>78</v>
      </c>
      <c r="H47" s="145">
        <v>1</v>
      </c>
      <c r="I47" s="145">
        <v>0</v>
      </c>
      <c r="J47" s="145">
        <v>1</v>
      </c>
      <c r="K47" s="145">
        <v>0</v>
      </c>
      <c r="L47" s="145">
        <v>0</v>
      </c>
      <c r="M47" s="145" t="s">
        <v>29</v>
      </c>
      <c r="N47" s="145">
        <v>3</v>
      </c>
      <c r="O47" s="145" t="s">
        <v>52</v>
      </c>
      <c r="P47" s="145" t="s">
        <v>203</v>
      </c>
      <c r="Q47" s="145" t="s">
        <v>204</v>
      </c>
      <c r="R47" s="145" t="s">
        <v>55</v>
      </c>
      <c r="S47" s="145" t="s">
        <v>217</v>
      </c>
      <c r="T47" s="145">
        <v>3641</v>
      </c>
    </row>
    <row r="48" spans="1:20" ht="15" x14ac:dyDescent="0.25">
      <c r="A48" s="145">
        <v>494</v>
      </c>
      <c r="B48" s="145">
        <v>8</v>
      </c>
      <c r="C48" s="145">
        <v>54</v>
      </c>
      <c r="D48" s="145">
        <v>1</v>
      </c>
      <c r="E48" s="145">
        <v>0</v>
      </c>
      <c r="F48" s="145">
        <v>0</v>
      </c>
      <c r="G48" s="145" t="s">
        <v>78</v>
      </c>
      <c r="H48" s="145">
        <v>3</v>
      </c>
      <c r="I48" s="145">
        <v>1</v>
      </c>
      <c r="J48" s="145">
        <v>3</v>
      </c>
      <c r="K48" s="145">
        <v>0</v>
      </c>
      <c r="L48" s="145">
        <v>0</v>
      </c>
      <c r="M48" s="145" t="s">
        <v>25</v>
      </c>
      <c r="N48" s="145">
        <v>4</v>
      </c>
      <c r="O48" s="145" t="s">
        <v>51</v>
      </c>
      <c r="P48" s="145" t="s">
        <v>189</v>
      </c>
      <c r="Q48" s="145" t="s">
        <v>190</v>
      </c>
      <c r="R48" s="145" t="s">
        <v>55</v>
      </c>
      <c r="S48" s="145" t="s">
        <v>217</v>
      </c>
      <c r="T48" s="145">
        <v>3642</v>
      </c>
    </row>
    <row r="49" spans="1:20" ht="15" x14ac:dyDescent="0.25">
      <c r="A49" s="145">
        <v>835</v>
      </c>
      <c r="B49" s="145">
        <v>8</v>
      </c>
      <c r="C49" s="145">
        <v>23</v>
      </c>
      <c r="D49" s="145">
        <v>0</v>
      </c>
      <c r="E49" s="145">
        <v>0</v>
      </c>
      <c r="F49" s="145">
        <v>0</v>
      </c>
      <c r="G49" s="145" t="s">
        <v>78</v>
      </c>
      <c r="H49" s="145">
        <v>1</v>
      </c>
      <c r="I49" s="145">
        <v>0</v>
      </c>
      <c r="J49" s="145">
        <v>1</v>
      </c>
      <c r="K49" s="145">
        <v>0</v>
      </c>
      <c r="L49" s="145">
        <v>0</v>
      </c>
      <c r="M49" s="145" t="s">
        <v>26</v>
      </c>
      <c r="N49" s="145">
        <v>4</v>
      </c>
      <c r="O49" s="145" t="s">
        <v>51</v>
      </c>
      <c r="P49" s="145" t="s">
        <v>206</v>
      </c>
      <c r="Q49" s="145" t="s">
        <v>204</v>
      </c>
      <c r="R49" s="145" t="s">
        <v>55</v>
      </c>
      <c r="S49" s="145" t="s">
        <v>218</v>
      </c>
      <c r="T49" s="145">
        <v>3655</v>
      </c>
    </row>
    <row r="50" spans="1:20" ht="15" x14ac:dyDescent="0.25">
      <c r="A50" s="145">
        <v>3631</v>
      </c>
      <c r="B50" s="145">
        <v>8</v>
      </c>
      <c r="C50" s="145">
        <v>0</v>
      </c>
      <c r="D50" s="145">
        <v>0</v>
      </c>
      <c r="E50" s="145">
        <v>0</v>
      </c>
      <c r="F50" s="145">
        <v>0</v>
      </c>
      <c r="G50" s="145" t="s">
        <v>3</v>
      </c>
      <c r="H50" s="145">
        <v>0</v>
      </c>
      <c r="I50" s="145">
        <v>0</v>
      </c>
      <c r="J50" s="145">
        <v>0</v>
      </c>
      <c r="K50" s="145">
        <v>0</v>
      </c>
      <c r="L50" s="145">
        <v>0</v>
      </c>
      <c r="M50" s="145" t="s">
        <v>29</v>
      </c>
      <c r="N50" s="145">
        <v>2</v>
      </c>
      <c r="O50" s="145" t="s">
        <v>50</v>
      </c>
      <c r="P50" s="145" t="s">
        <v>192</v>
      </c>
      <c r="Q50" s="145" t="s">
        <v>204</v>
      </c>
      <c r="R50" s="145" t="s">
        <v>54</v>
      </c>
      <c r="S50" s="145" t="s">
        <v>219</v>
      </c>
      <c r="T50" s="145">
        <v>3656</v>
      </c>
    </row>
    <row r="51" spans="1:20" ht="15" x14ac:dyDescent="0.25">
      <c r="A51" s="145">
        <v>862</v>
      </c>
      <c r="B51" s="145">
        <v>9</v>
      </c>
      <c r="C51" s="145">
        <v>2</v>
      </c>
      <c r="D51" s="145">
        <v>0</v>
      </c>
      <c r="E51" s="145">
        <v>0</v>
      </c>
      <c r="F51" s="145">
        <v>0</v>
      </c>
      <c r="G51" s="145" t="s">
        <v>3</v>
      </c>
      <c r="H51" s="145">
        <v>1</v>
      </c>
      <c r="I51" s="145">
        <v>0</v>
      </c>
      <c r="J51" s="145">
        <v>0</v>
      </c>
      <c r="K51" s="145">
        <v>1</v>
      </c>
      <c r="L51" s="145">
        <v>0</v>
      </c>
      <c r="M51" s="145" t="s">
        <v>29</v>
      </c>
      <c r="N51" s="145">
        <v>2</v>
      </c>
      <c r="O51" s="145" t="s">
        <v>51</v>
      </c>
      <c r="P51" s="145" t="s">
        <v>189</v>
      </c>
      <c r="Q51" s="145" t="s">
        <v>190</v>
      </c>
      <c r="R51" s="145" t="s">
        <v>54</v>
      </c>
      <c r="S51" s="145" t="s">
        <v>220</v>
      </c>
      <c r="T51" s="145">
        <v>3658</v>
      </c>
    </row>
    <row r="52" spans="1:20" ht="15" x14ac:dyDescent="0.25">
      <c r="A52" s="145">
        <v>470</v>
      </c>
      <c r="B52" s="145">
        <v>9</v>
      </c>
      <c r="C52" s="145">
        <v>0</v>
      </c>
      <c r="D52" s="145">
        <v>0</v>
      </c>
      <c r="E52" s="145">
        <v>0</v>
      </c>
      <c r="F52" s="145">
        <v>0</v>
      </c>
      <c r="G52" s="145" t="s">
        <v>78</v>
      </c>
      <c r="H52" s="145">
        <v>0</v>
      </c>
      <c r="I52" s="145">
        <v>0</v>
      </c>
      <c r="J52" s="145">
        <v>0</v>
      </c>
      <c r="K52" s="145">
        <v>0</v>
      </c>
      <c r="L52" s="145">
        <v>0</v>
      </c>
      <c r="M52" s="145" t="s">
        <v>29</v>
      </c>
      <c r="N52" s="145">
        <v>3</v>
      </c>
      <c r="O52" s="145" t="s">
        <v>51</v>
      </c>
      <c r="P52" s="145" t="s">
        <v>189</v>
      </c>
      <c r="Q52" s="145" t="s">
        <v>190</v>
      </c>
      <c r="R52" s="145" t="s">
        <v>55</v>
      </c>
      <c r="S52" s="145" t="s">
        <v>221</v>
      </c>
      <c r="T52" s="145">
        <v>3668</v>
      </c>
    </row>
    <row r="53" spans="1:20" ht="15" x14ac:dyDescent="0.25">
      <c r="A53" s="145">
        <v>3537</v>
      </c>
      <c r="B53" s="145">
        <v>9</v>
      </c>
      <c r="C53" s="145">
        <v>20</v>
      </c>
      <c r="D53" s="145">
        <v>0</v>
      </c>
      <c r="E53" s="145">
        <v>0</v>
      </c>
      <c r="F53" s="145">
        <v>0</v>
      </c>
      <c r="G53" s="145" t="s">
        <v>77</v>
      </c>
      <c r="H53" s="145">
        <v>0</v>
      </c>
      <c r="I53" s="145">
        <v>0</v>
      </c>
      <c r="J53" s="145">
        <v>0</v>
      </c>
      <c r="K53" s="145">
        <v>0</v>
      </c>
      <c r="L53" s="145">
        <v>0</v>
      </c>
      <c r="M53" s="145" t="s">
        <v>26</v>
      </c>
      <c r="N53" s="145">
        <v>3</v>
      </c>
      <c r="O53" s="145" t="s">
        <v>52</v>
      </c>
      <c r="P53" s="145" t="s">
        <v>192</v>
      </c>
      <c r="Q53" s="145" t="s">
        <v>204</v>
      </c>
      <c r="R53" s="145" t="s">
        <v>55</v>
      </c>
      <c r="S53" s="145" t="s">
        <v>221</v>
      </c>
      <c r="T53" s="145">
        <v>3707</v>
      </c>
    </row>
    <row r="54" spans="1:20" ht="15" x14ac:dyDescent="0.25">
      <c r="A54" s="145">
        <v>1504</v>
      </c>
      <c r="B54" s="145">
        <v>9</v>
      </c>
      <c r="C54" s="145">
        <v>39</v>
      </c>
      <c r="D54" s="145">
        <v>0</v>
      </c>
      <c r="E54" s="145">
        <v>0</v>
      </c>
      <c r="F54" s="145">
        <v>0</v>
      </c>
      <c r="G54" s="145" t="s">
        <v>3</v>
      </c>
      <c r="H54" s="145">
        <v>3</v>
      </c>
      <c r="I54" s="145">
        <v>0</v>
      </c>
      <c r="J54" s="145">
        <v>3</v>
      </c>
      <c r="K54" s="145">
        <v>0</v>
      </c>
      <c r="L54" s="145">
        <v>0</v>
      </c>
      <c r="M54" s="145" t="s">
        <v>25</v>
      </c>
      <c r="N54" s="145">
        <v>3</v>
      </c>
      <c r="O54" s="145" t="s">
        <v>52</v>
      </c>
      <c r="P54" s="145" t="s">
        <v>189</v>
      </c>
      <c r="Q54" s="145" t="s">
        <v>190</v>
      </c>
      <c r="R54" s="145" t="s">
        <v>55</v>
      </c>
      <c r="S54" s="145" t="s">
        <v>221</v>
      </c>
      <c r="T54" s="145">
        <v>3773</v>
      </c>
    </row>
    <row r="55" spans="1:20" ht="15" x14ac:dyDescent="0.25">
      <c r="A55" s="145">
        <v>1025</v>
      </c>
      <c r="B55" s="145">
        <v>9</v>
      </c>
      <c r="C55" s="145">
        <v>0</v>
      </c>
      <c r="D55" s="145">
        <v>0</v>
      </c>
      <c r="E55" s="145">
        <v>0</v>
      </c>
      <c r="F55" s="145">
        <v>0</v>
      </c>
      <c r="G55" s="145" t="s">
        <v>77</v>
      </c>
      <c r="H55" s="145">
        <v>0</v>
      </c>
      <c r="I55" s="145">
        <v>0</v>
      </c>
      <c r="J55" s="145">
        <v>0</v>
      </c>
      <c r="K55" s="145">
        <v>0</v>
      </c>
      <c r="L55" s="145">
        <v>0</v>
      </c>
      <c r="M55" s="145" t="s">
        <v>29</v>
      </c>
      <c r="N55" s="145">
        <v>3</v>
      </c>
      <c r="O55" s="145" t="s">
        <v>51</v>
      </c>
      <c r="P55" s="145" t="s">
        <v>203</v>
      </c>
      <c r="Q55" s="145" t="s">
        <v>190</v>
      </c>
      <c r="R55" s="145" t="s">
        <v>55</v>
      </c>
      <c r="S55" s="145" t="s">
        <v>221</v>
      </c>
      <c r="T55" s="148"/>
    </row>
    <row r="56" spans="1:20" ht="15" x14ac:dyDescent="0.25">
      <c r="A56" s="145">
        <v>1025</v>
      </c>
      <c r="B56" s="145">
        <v>9</v>
      </c>
      <c r="C56" s="145">
        <v>0</v>
      </c>
      <c r="D56" s="145">
        <v>0</v>
      </c>
      <c r="E56" s="145">
        <v>0</v>
      </c>
      <c r="F56" s="145">
        <v>0</v>
      </c>
      <c r="G56" s="145" t="s">
        <v>77</v>
      </c>
      <c r="H56" s="145">
        <v>0</v>
      </c>
      <c r="I56" s="145">
        <v>0</v>
      </c>
      <c r="J56" s="145">
        <v>0</v>
      </c>
      <c r="K56" s="145">
        <v>0</v>
      </c>
      <c r="L56" s="145">
        <v>0</v>
      </c>
      <c r="M56" s="145" t="s">
        <v>30</v>
      </c>
      <c r="N56" s="145">
        <v>2</v>
      </c>
      <c r="O56" s="145" t="s">
        <v>50</v>
      </c>
      <c r="P56" s="145" t="s">
        <v>192</v>
      </c>
      <c r="Q56" s="145" t="s">
        <v>192</v>
      </c>
      <c r="R56" s="145" t="s">
        <v>54</v>
      </c>
      <c r="S56" s="145" t="s">
        <v>220</v>
      </c>
      <c r="T56" s="148"/>
    </row>
    <row r="57" spans="1:20" ht="15" x14ac:dyDescent="0.25">
      <c r="A57" s="145">
        <v>66</v>
      </c>
      <c r="B57" s="145">
        <v>10</v>
      </c>
      <c r="C57" s="145">
        <v>6</v>
      </c>
      <c r="D57" s="145">
        <v>0</v>
      </c>
      <c r="E57" s="145">
        <v>0</v>
      </c>
      <c r="F57" s="145">
        <v>0</v>
      </c>
      <c r="G57" s="145" t="s">
        <v>3</v>
      </c>
      <c r="H57" s="145">
        <v>2</v>
      </c>
      <c r="I57" s="145">
        <v>0</v>
      </c>
      <c r="J57" s="145">
        <v>2</v>
      </c>
      <c r="K57" s="145">
        <v>0</v>
      </c>
      <c r="L57" s="145">
        <v>0</v>
      </c>
      <c r="M57" s="145" t="s">
        <v>29</v>
      </c>
      <c r="N57" s="145">
        <v>4</v>
      </c>
      <c r="O57" s="145" t="s">
        <v>52</v>
      </c>
      <c r="P57" s="145" t="s">
        <v>189</v>
      </c>
      <c r="Q57" s="145" t="s">
        <v>190</v>
      </c>
      <c r="R57" s="145" t="s">
        <v>55</v>
      </c>
      <c r="S57" s="145" t="s">
        <v>222</v>
      </c>
      <c r="T57" s="148"/>
    </row>
    <row r="58" spans="1:20" ht="15" x14ac:dyDescent="0.25">
      <c r="A58" s="145">
        <v>3322</v>
      </c>
      <c r="B58" s="145">
        <v>10</v>
      </c>
      <c r="C58" s="145">
        <v>6</v>
      </c>
      <c r="D58" s="145">
        <v>1</v>
      </c>
      <c r="E58" s="145">
        <v>0</v>
      </c>
      <c r="F58" s="145">
        <v>0</v>
      </c>
      <c r="G58" s="145" t="s">
        <v>77</v>
      </c>
      <c r="H58" s="145">
        <v>0</v>
      </c>
      <c r="I58" s="145">
        <v>0</v>
      </c>
      <c r="J58" s="145">
        <v>0</v>
      </c>
      <c r="K58" s="145">
        <v>0</v>
      </c>
      <c r="L58" s="145">
        <v>0</v>
      </c>
      <c r="M58" s="145" t="s">
        <v>30</v>
      </c>
      <c r="N58" s="145">
        <v>3</v>
      </c>
      <c r="O58" s="145" t="s">
        <v>51</v>
      </c>
      <c r="P58" s="145" t="s">
        <v>203</v>
      </c>
      <c r="Q58" s="145" t="s">
        <v>204</v>
      </c>
      <c r="R58" s="145" t="s">
        <v>55</v>
      </c>
      <c r="S58" s="145" t="s">
        <v>223</v>
      </c>
      <c r="T58" s="148"/>
    </row>
    <row r="59" spans="1:20" ht="15" x14ac:dyDescent="0.25">
      <c r="A59" s="145">
        <v>573</v>
      </c>
      <c r="B59" s="145">
        <v>10</v>
      </c>
      <c r="C59" s="145">
        <v>48</v>
      </c>
      <c r="D59" s="145">
        <v>0</v>
      </c>
      <c r="E59" s="145">
        <v>0</v>
      </c>
      <c r="F59" s="145">
        <v>0</v>
      </c>
      <c r="G59" s="145" t="s">
        <v>77</v>
      </c>
      <c r="H59" s="145">
        <v>3</v>
      </c>
      <c r="I59" s="145">
        <v>1</v>
      </c>
      <c r="J59" s="145">
        <v>3</v>
      </c>
      <c r="K59" s="145">
        <v>0</v>
      </c>
      <c r="L59" s="145">
        <v>0</v>
      </c>
      <c r="M59" s="145" t="s">
        <v>25</v>
      </c>
      <c r="N59" s="145">
        <v>5</v>
      </c>
      <c r="O59" s="145" t="s">
        <v>51</v>
      </c>
      <c r="P59" s="145" t="s">
        <v>189</v>
      </c>
      <c r="Q59" s="145" t="s">
        <v>190</v>
      </c>
      <c r="R59" s="145" t="s">
        <v>55</v>
      </c>
      <c r="S59" s="145" t="s">
        <v>223</v>
      </c>
      <c r="T59" s="148"/>
    </row>
    <row r="60" spans="1:20" ht="15" x14ac:dyDescent="0.25">
      <c r="A60" s="145">
        <v>1502</v>
      </c>
      <c r="B60" s="145">
        <v>10</v>
      </c>
      <c r="C60" s="145">
        <v>0</v>
      </c>
      <c r="D60" s="145">
        <v>0</v>
      </c>
      <c r="E60" s="145">
        <v>0</v>
      </c>
      <c r="F60" s="145">
        <v>0</v>
      </c>
      <c r="G60" s="145" t="s">
        <v>78</v>
      </c>
      <c r="H60" s="145">
        <v>0</v>
      </c>
      <c r="I60" s="145">
        <v>0</v>
      </c>
      <c r="J60" s="145">
        <v>0</v>
      </c>
      <c r="K60" s="145">
        <v>0</v>
      </c>
      <c r="L60" s="145">
        <v>0</v>
      </c>
      <c r="M60" s="145" t="s">
        <v>29</v>
      </c>
      <c r="N60" s="145">
        <v>3</v>
      </c>
      <c r="O60" s="145" t="s">
        <v>50</v>
      </c>
      <c r="P60" s="145" t="s">
        <v>192</v>
      </c>
      <c r="Q60" s="145" t="s">
        <v>190</v>
      </c>
      <c r="R60" s="145" t="s">
        <v>55</v>
      </c>
      <c r="S60" s="145" t="s">
        <v>223</v>
      </c>
      <c r="T60" s="148"/>
    </row>
    <row r="61" spans="1:20" ht="15" x14ac:dyDescent="0.25">
      <c r="A61" s="145">
        <v>830</v>
      </c>
      <c r="B61" s="145">
        <v>11</v>
      </c>
      <c r="C61" s="145">
        <v>0</v>
      </c>
      <c r="D61" s="145">
        <v>0</v>
      </c>
      <c r="E61" s="145">
        <v>0</v>
      </c>
      <c r="F61" s="145">
        <v>0</v>
      </c>
      <c r="G61" s="145" t="s">
        <v>77</v>
      </c>
      <c r="H61" s="145">
        <v>0</v>
      </c>
      <c r="I61" s="145">
        <v>0</v>
      </c>
      <c r="J61" s="145">
        <v>0</v>
      </c>
      <c r="K61" s="145">
        <v>0</v>
      </c>
      <c r="L61" s="145">
        <v>0</v>
      </c>
      <c r="M61" s="145" t="s">
        <v>29</v>
      </c>
      <c r="N61" s="145">
        <v>1</v>
      </c>
      <c r="O61" s="145" t="s">
        <v>52</v>
      </c>
      <c r="P61" s="145" t="s">
        <v>192</v>
      </c>
      <c r="Q61" s="145" t="s">
        <v>192</v>
      </c>
      <c r="R61" s="145" t="s">
        <v>55</v>
      </c>
      <c r="S61" s="145" t="s">
        <v>224</v>
      </c>
      <c r="T61" s="148"/>
    </row>
    <row r="62" spans="1:20" ht="15" x14ac:dyDescent="0.25">
      <c r="A62" s="145">
        <v>830</v>
      </c>
      <c r="B62" s="145">
        <v>11</v>
      </c>
      <c r="C62" s="145">
        <v>0</v>
      </c>
      <c r="D62" s="145">
        <v>0</v>
      </c>
      <c r="E62" s="145">
        <v>0</v>
      </c>
      <c r="F62" s="145">
        <v>0</v>
      </c>
      <c r="G62" s="145" t="s">
        <v>77</v>
      </c>
      <c r="H62" s="145">
        <v>0</v>
      </c>
      <c r="I62" s="145">
        <v>0</v>
      </c>
      <c r="J62" s="145">
        <v>0</v>
      </c>
      <c r="K62" s="145">
        <v>0</v>
      </c>
      <c r="L62" s="145">
        <v>0</v>
      </c>
      <c r="M62" s="145" t="s">
        <v>29</v>
      </c>
      <c r="N62" s="145">
        <v>3</v>
      </c>
      <c r="O62" s="145" t="s">
        <v>52</v>
      </c>
      <c r="P62" s="145" t="s">
        <v>192</v>
      </c>
      <c r="Q62" s="145" t="s">
        <v>204</v>
      </c>
      <c r="R62" s="145" t="s">
        <v>55</v>
      </c>
      <c r="S62" s="145" t="s">
        <v>224</v>
      </c>
      <c r="T62" s="148"/>
    </row>
    <row r="63" spans="1:20" ht="15" x14ac:dyDescent="0.25">
      <c r="A63" s="145">
        <v>3547</v>
      </c>
      <c r="B63" s="145">
        <v>11</v>
      </c>
      <c r="C63" s="145">
        <v>26</v>
      </c>
      <c r="D63" s="145">
        <v>0</v>
      </c>
      <c r="E63" s="145">
        <v>0</v>
      </c>
      <c r="F63" s="145">
        <v>0</v>
      </c>
      <c r="G63" s="145" t="s">
        <v>78</v>
      </c>
      <c r="H63" s="145">
        <v>2</v>
      </c>
      <c r="I63" s="145">
        <v>0</v>
      </c>
      <c r="J63" s="145">
        <v>2</v>
      </c>
      <c r="K63" s="145">
        <v>0</v>
      </c>
      <c r="L63" s="145">
        <v>0</v>
      </c>
      <c r="M63" s="145" t="s">
        <v>26</v>
      </c>
      <c r="N63" s="145">
        <v>4</v>
      </c>
      <c r="O63" s="145" t="s">
        <v>52</v>
      </c>
      <c r="P63" s="145" t="s">
        <v>189</v>
      </c>
      <c r="Q63" s="145" t="s">
        <v>190</v>
      </c>
      <c r="R63" s="145" t="s">
        <v>55</v>
      </c>
      <c r="S63" s="145" t="s">
        <v>225</v>
      </c>
      <c r="T63" s="148"/>
    </row>
    <row r="64" spans="1:20" ht="15" x14ac:dyDescent="0.25">
      <c r="A64" s="145">
        <v>2337</v>
      </c>
      <c r="B64" s="145">
        <v>11</v>
      </c>
      <c r="C64" s="145">
        <v>45</v>
      </c>
      <c r="D64" s="145">
        <v>1</v>
      </c>
      <c r="E64" s="145">
        <v>0</v>
      </c>
      <c r="F64" s="145">
        <v>0</v>
      </c>
      <c r="G64" s="145" t="s">
        <v>77</v>
      </c>
      <c r="H64" s="145">
        <v>3</v>
      </c>
      <c r="I64" s="145">
        <v>0</v>
      </c>
      <c r="J64" s="145">
        <v>3</v>
      </c>
      <c r="K64" s="145">
        <v>0</v>
      </c>
      <c r="L64" s="145">
        <v>0</v>
      </c>
      <c r="M64" s="145" t="s">
        <v>25</v>
      </c>
      <c r="N64" s="145">
        <v>4</v>
      </c>
      <c r="O64" s="145" t="s">
        <v>51</v>
      </c>
      <c r="P64" s="145" t="s">
        <v>189</v>
      </c>
      <c r="Q64" s="145" t="s">
        <v>190</v>
      </c>
      <c r="R64" s="145" t="s">
        <v>55</v>
      </c>
      <c r="S64" s="145" t="s">
        <v>226</v>
      </c>
      <c r="T64" s="148"/>
    </row>
    <row r="65" spans="1:20" ht="15" x14ac:dyDescent="0.25">
      <c r="A65" s="145">
        <v>3547</v>
      </c>
      <c r="B65" s="145">
        <v>11</v>
      </c>
      <c r="C65" s="145">
        <v>36</v>
      </c>
      <c r="D65" s="145">
        <v>0</v>
      </c>
      <c r="E65" s="145">
        <v>0</v>
      </c>
      <c r="F65" s="145">
        <v>0</v>
      </c>
      <c r="G65" s="145" t="s">
        <v>77</v>
      </c>
      <c r="H65" s="145">
        <v>2</v>
      </c>
      <c r="I65" s="145">
        <v>0</v>
      </c>
      <c r="J65" s="145">
        <v>2</v>
      </c>
      <c r="K65" s="145">
        <v>0</v>
      </c>
      <c r="L65" s="145">
        <v>0</v>
      </c>
      <c r="M65" s="145" t="s">
        <v>25</v>
      </c>
      <c r="N65" s="145">
        <v>3</v>
      </c>
      <c r="O65" s="145" t="s">
        <v>52</v>
      </c>
      <c r="P65" s="145" t="s">
        <v>189</v>
      </c>
      <c r="Q65" s="145" t="s">
        <v>190</v>
      </c>
      <c r="R65" s="145" t="s">
        <v>55</v>
      </c>
      <c r="S65" s="145" t="s">
        <v>227</v>
      </c>
      <c r="T65" s="148"/>
    </row>
    <row r="66" spans="1:20" ht="15" x14ac:dyDescent="0.25">
      <c r="A66" s="145">
        <v>2075</v>
      </c>
      <c r="B66" s="145">
        <v>11</v>
      </c>
      <c r="C66" s="145">
        <v>3</v>
      </c>
      <c r="D66" s="145">
        <v>0</v>
      </c>
      <c r="E66" s="145">
        <v>0</v>
      </c>
      <c r="F66" s="145">
        <v>0</v>
      </c>
      <c r="G66" s="145" t="s">
        <v>3</v>
      </c>
      <c r="H66" s="145">
        <v>1</v>
      </c>
      <c r="I66" s="145">
        <v>0</v>
      </c>
      <c r="J66" s="145">
        <v>1</v>
      </c>
      <c r="K66" s="145">
        <v>0</v>
      </c>
      <c r="L66" s="145">
        <v>0</v>
      </c>
      <c r="M66" s="145" t="s">
        <v>29</v>
      </c>
      <c r="N66" s="145">
        <v>3</v>
      </c>
      <c r="O66" s="145" t="s">
        <v>51</v>
      </c>
      <c r="P66" s="145" t="s">
        <v>189</v>
      </c>
      <c r="Q66" s="145" t="s">
        <v>190</v>
      </c>
      <c r="R66" s="145" t="s">
        <v>55</v>
      </c>
      <c r="S66" s="145" t="s">
        <v>227</v>
      </c>
      <c r="T66" s="148"/>
    </row>
    <row r="67" spans="1:20" ht="15" x14ac:dyDescent="0.25">
      <c r="A67" s="145">
        <v>2619</v>
      </c>
      <c r="B67" s="145">
        <v>12</v>
      </c>
      <c r="C67" s="145">
        <v>6</v>
      </c>
      <c r="D67" s="145">
        <v>1</v>
      </c>
      <c r="E67" s="145">
        <v>0</v>
      </c>
      <c r="F67" s="145">
        <v>0</v>
      </c>
      <c r="G67" s="145" t="s">
        <v>77</v>
      </c>
      <c r="H67" s="145">
        <v>0</v>
      </c>
      <c r="I67" s="145">
        <v>0</v>
      </c>
      <c r="J67" s="145">
        <v>0</v>
      </c>
      <c r="K67" s="145">
        <v>0</v>
      </c>
      <c r="L67" s="145">
        <v>0</v>
      </c>
      <c r="M67" s="145" t="s">
        <v>29</v>
      </c>
      <c r="N67" s="145">
        <v>3</v>
      </c>
      <c r="O67" s="145" t="s">
        <v>52</v>
      </c>
      <c r="P67" s="145" t="s">
        <v>203</v>
      </c>
      <c r="Q67" s="145" t="s">
        <v>204</v>
      </c>
      <c r="R67" s="145" t="s">
        <v>55</v>
      </c>
      <c r="S67" s="145" t="s">
        <v>228</v>
      </c>
      <c r="T67" s="148"/>
    </row>
    <row r="68" spans="1:20" ht="15" x14ac:dyDescent="0.25">
      <c r="A68" s="145">
        <v>3656</v>
      </c>
      <c r="B68" s="145">
        <v>12</v>
      </c>
      <c r="C68" s="145">
        <v>3</v>
      </c>
      <c r="D68" s="145">
        <v>0</v>
      </c>
      <c r="E68" s="145">
        <v>0</v>
      </c>
      <c r="F68" s="145">
        <v>0</v>
      </c>
      <c r="G68" s="145" t="s">
        <v>77</v>
      </c>
      <c r="H68" s="145">
        <v>1</v>
      </c>
      <c r="I68" s="145">
        <v>0</v>
      </c>
      <c r="J68" s="145">
        <v>1</v>
      </c>
      <c r="K68" s="145">
        <v>0</v>
      </c>
      <c r="L68" s="145">
        <v>0</v>
      </c>
      <c r="M68" s="145" t="s">
        <v>29</v>
      </c>
      <c r="N68" s="145">
        <v>2</v>
      </c>
      <c r="O68" s="145" t="s">
        <v>52</v>
      </c>
      <c r="P68" s="145" t="s">
        <v>189</v>
      </c>
      <c r="Q68" s="145" t="s">
        <v>190</v>
      </c>
      <c r="R68" s="145" t="s">
        <v>55</v>
      </c>
      <c r="S68" s="145" t="s">
        <v>228</v>
      </c>
      <c r="T68" s="148"/>
    </row>
    <row r="69" spans="1:20" ht="15" x14ac:dyDescent="0.25">
      <c r="A69" s="145">
        <v>548</v>
      </c>
      <c r="B69" s="145">
        <v>12</v>
      </c>
      <c r="C69" s="145">
        <v>36</v>
      </c>
      <c r="D69" s="145">
        <v>0</v>
      </c>
      <c r="E69" s="145">
        <v>0</v>
      </c>
      <c r="F69" s="145">
        <v>0</v>
      </c>
      <c r="G69" s="145" t="s">
        <v>78</v>
      </c>
      <c r="H69" s="145">
        <v>2</v>
      </c>
      <c r="I69" s="145">
        <v>0</v>
      </c>
      <c r="J69" s="145">
        <v>2</v>
      </c>
      <c r="K69" s="145">
        <v>0</v>
      </c>
      <c r="L69" s="145">
        <v>0</v>
      </c>
      <c r="M69" s="145" t="s">
        <v>25</v>
      </c>
      <c r="N69" s="145">
        <v>5</v>
      </c>
      <c r="O69" s="145" t="s">
        <v>51</v>
      </c>
      <c r="P69" s="145" t="s">
        <v>189</v>
      </c>
      <c r="Q69" s="145" t="s">
        <v>190</v>
      </c>
      <c r="R69" s="145" t="s">
        <v>55</v>
      </c>
      <c r="S69" s="145" t="s">
        <v>229</v>
      </c>
      <c r="T69" s="148"/>
    </row>
    <row r="70" spans="1:20" ht="15" x14ac:dyDescent="0.25">
      <c r="A70" s="145">
        <v>269</v>
      </c>
      <c r="B70" s="145">
        <v>12</v>
      </c>
      <c r="C70" s="145">
        <v>6</v>
      </c>
      <c r="D70" s="145">
        <v>1</v>
      </c>
      <c r="E70" s="145">
        <v>0</v>
      </c>
      <c r="F70" s="145">
        <v>0</v>
      </c>
      <c r="G70" s="145" t="s">
        <v>77</v>
      </c>
      <c r="H70" s="145">
        <v>0</v>
      </c>
      <c r="I70" s="145">
        <v>0</v>
      </c>
      <c r="J70" s="145">
        <v>0</v>
      </c>
      <c r="K70" s="145">
        <v>0</v>
      </c>
      <c r="L70" s="145">
        <v>0</v>
      </c>
      <c r="M70" s="145" t="s">
        <v>29</v>
      </c>
      <c r="N70" s="145">
        <v>3</v>
      </c>
      <c r="O70" s="145" t="s">
        <v>50</v>
      </c>
      <c r="P70" s="145" t="s">
        <v>192</v>
      </c>
      <c r="Q70" s="145" t="s">
        <v>190</v>
      </c>
      <c r="R70" s="145" t="s">
        <v>55</v>
      </c>
      <c r="S70" s="145" t="s">
        <v>229</v>
      </c>
      <c r="T70" s="148"/>
    </row>
    <row r="71" spans="1:20" ht="15" x14ac:dyDescent="0.25">
      <c r="A71" s="145">
        <v>3546</v>
      </c>
      <c r="B71" s="145">
        <v>12</v>
      </c>
      <c r="C71" s="145">
        <v>0</v>
      </c>
      <c r="D71" s="145">
        <v>0</v>
      </c>
      <c r="E71" s="145">
        <v>0</v>
      </c>
      <c r="F71" s="145">
        <v>0</v>
      </c>
      <c r="G71" s="145" t="s">
        <v>3</v>
      </c>
      <c r="H71" s="145">
        <v>0</v>
      </c>
      <c r="I71" s="145">
        <v>0</v>
      </c>
      <c r="J71" s="145">
        <v>0</v>
      </c>
      <c r="K71" s="145">
        <v>0</v>
      </c>
      <c r="L71" s="145">
        <v>0</v>
      </c>
      <c r="M71" s="145" t="s">
        <v>29</v>
      </c>
      <c r="N71" s="145">
        <v>3</v>
      </c>
      <c r="O71" s="145" t="s">
        <v>50</v>
      </c>
      <c r="P71" s="145" t="s">
        <v>192</v>
      </c>
      <c r="Q71" s="145" t="s">
        <v>190</v>
      </c>
      <c r="R71" s="145" t="s">
        <v>54</v>
      </c>
      <c r="S71" s="145" t="s">
        <v>229</v>
      </c>
      <c r="T71" s="148"/>
    </row>
    <row r="72" spans="1:20" ht="15" x14ac:dyDescent="0.25">
      <c r="A72" s="145">
        <v>3668</v>
      </c>
      <c r="B72" s="145">
        <v>12</v>
      </c>
      <c r="C72" s="145">
        <v>0</v>
      </c>
      <c r="D72" s="145">
        <v>0</v>
      </c>
      <c r="E72" s="145">
        <v>0</v>
      </c>
      <c r="F72" s="145">
        <v>0</v>
      </c>
      <c r="G72" s="145" t="s">
        <v>3</v>
      </c>
      <c r="H72" s="145">
        <v>0</v>
      </c>
      <c r="I72" s="145">
        <v>0</v>
      </c>
      <c r="J72" s="145">
        <v>0</v>
      </c>
      <c r="K72" s="145">
        <v>0</v>
      </c>
      <c r="L72" s="145">
        <v>0</v>
      </c>
      <c r="M72" s="145" t="s">
        <v>29</v>
      </c>
      <c r="N72" s="145">
        <v>4</v>
      </c>
      <c r="O72" s="145" t="s">
        <v>50</v>
      </c>
      <c r="P72" s="145" t="s">
        <v>192</v>
      </c>
      <c r="Q72" s="145" t="s">
        <v>190</v>
      </c>
      <c r="R72" s="145" t="s">
        <v>55</v>
      </c>
      <c r="S72" s="145" t="s">
        <v>230</v>
      </c>
      <c r="T72" s="148"/>
    </row>
    <row r="73" spans="1:20" ht="15" x14ac:dyDescent="0.25">
      <c r="A73" s="145">
        <v>2619</v>
      </c>
      <c r="B73" s="145">
        <v>12</v>
      </c>
      <c r="C73" s="145">
        <v>6</v>
      </c>
      <c r="D73" s="145">
        <v>1</v>
      </c>
      <c r="E73" s="145">
        <v>0</v>
      </c>
      <c r="F73" s="145">
        <v>0</v>
      </c>
      <c r="G73" s="145" t="s">
        <v>77</v>
      </c>
      <c r="H73" s="145">
        <v>0</v>
      </c>
      <c r="I73" s="145">
        <v>0</v>
      </c>
      <c r="J73" s="145">
        <v>0</v>
      </c>
      <c r="K73" s="145">
        <v>0</v>
      </c>
      <c r="L73" s="145">
        <v>0</v>
      </c>
      <c r="M73" s="145" t="s">
        <v>29</v>
      </c>
      <c r="N73" s="145">
        <v>3</v>
      </c>
      <c r="O73" s="145" t="s">
        <v>52</v>
      </c>
      <c r="P73" s="145" t="s">
        <v>203</v>
      </c>
      <c r="Q73" s="145" t="s">
        <v>204</v>
      </c>
      <c r="R73" s="145" t="s">
        <v>55</v>
      </c>
      <c r="S73" s="145" t="s">
        <v>231</v>
      </c>
      <c r="T73" s="148"/>
    </row>
    <row r="74" spans="1:20" ht="15" x14ac:dyDescent="0.25">
      <c r="A74" s="145">
        <v>3415</v>
      </c>
      <c r="B74" s="145">
        <v>13</v>
      </c>
      <c r="C74" s="145">
        <v>0</v>
      </c>
      <c r="D74" s="145">
        <v>0</v>
      </c>
      <c r="E74" s="145">
        <v>0</v>
      </c>
      <c r="F74" s="145">
        <v>0</v>
      </c>
      <c r="G74" s="145" t="s">
        <v>3</v>
      </c>
      <c r="H74" s="145">
        <v>0</v>
      </c>
      <c r="I74" s="145">
        <v>0</v>
      </c>
      <c r="J74" s="145">
        <v>0</v>
      </c>
      <c r="K74" s="145">
        <v>0</v>
      </c>
      <c r="L74" s="145">
        <v>0</v>
      </c>
      <c r="M74" s="145" t="s">
        <v>30</v>
      </c>
      <c r="N74" s="145">
        <v>3</v>
      </c>
      <c r="O74" s="145" t="s">
        <v>50</v>
      </c>
      <c r="P74" s="145" t="s">
        <v>192</v>
      </c>
      <c r="Q74" s="145" t="s">
        <v>190</v>
      </c>
      <c r="R74" s="145" t="s">
        <v>55</v>
      </c>
      <c r="S74" s="145" t="s">
        <v>232</v>
      </c>
      <c r="T74" s="148"/>
    </row>
    <row r="75" spans="1:20" ht="15" x14ac:dyDescent="0.25">
      <c r="A75" s="145">
        <v>3535</v>
      </c>
      <c r="B75" s="145">
        <v>13</v>
      </c>
      <c r="C75" s="145">
        <v>6</v>
      </c>
      <c r="D75" s="145">
        <v>0</v>
      </c>
      <c r="E75" s="145">
        <v>0</v>
      </c>
      <c r="F75" s="145">
        <v>0</v>
      </c>
      <c r="G75" s="145" t="s">
        <v>78</v>
      </c>
      <c r="H75" s="145">
        <v>2</v>
      </c>
      <c r="I75" s="145">
        <v>0</v>
      </c>
      <c r="J75" s="145">
        <v>2</v>
      </c>
      <c r="K75" s="145">
        <v>0</v>
      </c>
      <c r="L75" s="145">
        <v>0</v>
      </c>
      <c r="M75" s="145" t="s">
        <v>30</v>
      </c>
      <c r="N75" s="145">
        <v>4</v>
      </c>
      <c r="O75" s="145" t="s">
        <v>51</v>
      </c>
      <c r="P75" s="145" t="s">
        <v>189</v>
      </c>
      <c r="Q75" s="145" t="s">
        <v>190</v>
      </c>
      <c r="R75" s="145" t="s">
        <v>54</v>
      </c>
      <c r="S75" s="145" t="s">
        <v>232</v>
      </c>
      <c r="T75" s="148"/>
    </row>
    <row r="76" spans="1:20" ht="15" x14ac:dyDescent="0.25">
      <c r="A76" s="145">
        <v>68</v>
      </c>
      <c r="B76" s="145">
        <v>13</v>
      </c>
      <c r="C76" s="145">
        <v>21</v>
      </c>
      <c r="D76" s="145">
        <v>0</v>
      </c>
      <c r="E76" s="145">
        <v>0</v>
      </c>
      <c r="F76" s="145">
        <v>0</v>
      </c>
      <c r="G76" s="145" t="s">
        <v>78</v>
      </c>
      <c r="H76" s="145">
        <v>4</v>
      </c>
      <c r="I76" s="145">
        <v>1</v>
      </c>
      <c r="J76" s="145">
        <v>4</v>
      </c>
      <c r="K76" s="145">
        <v>0</v>
      </c>
      <c r="L76" s="145">
        <v>0</v>
      </c>
      <c r="M76" s="145" t="s">
        <v>30</v>
      </c>
      <c r="N76" s="145">
        <v>4</v>
      </c>
      <c r="O76" s="145" t="s">
        <v>51</v>
      </c>
      <c r="P76" s="145" t="s">
        <v>189</v>
      </c>
      <c r="Q76" s="145" t="s">
        <v>190</v>
      </c>
      <c r="R76" s="145" t="s">
        <v>55</v>
      </c>
      <c r="S76" s="145" t="s">
        <v>233</v>
      </c>
      <c r="T76" s="148"/>
    </row>
    <row r="77" spans="1:20" ht="15" x14ac:dyDescent="0.25">
      <c r="A77" s="145">
        <v>3655</v>
      </c>
      <c r="B77" s="145">
        <v>13</v>
      </c>
      <c r="C77" s="145">
        <v>0</v>
      </c>
      <c r="D77" s="145">
        <v>0</v>
      </c>
      <c r="E77" s="145">
        <v>0</v>
      </c>
      <c r="F77" s="145">
        <v>0</v>
      </c>
      <c r="G77" s="145" t="s">
        <v>77</v>
      </c>
      <c r="H77" s="145">
        <v>0</v>
      </c>
      <c r="I77" s="145">
        <v>0</v>
      </c>
      <c r="J77" s="145">
        <v>0</v>
      </c>
      <c r="K77" s="145">
        <v>0</v>
      </c>
      <c r="L77" s="145">
        <v>0</v>
      </c>
      <c r="M77" s="145" t="s">
        <v>29</v>
      </c>
      <c r="N77" s="145">
        <v>2</v>
      </c>
      <c r="O77" s="145" t="s">
        <v>52</v>
      </c>
      <c r="P77" s="145" t="s">
        <v>192</v>
      </c>
      <c r="Q77" s="145" t="s">
        <v>190</v>
      </c>
      <c r="R77" s="145" t="s">
        <v>55</v>
      </c>
      <c r="S77" s="145" t="s">
        <v>234</v>
      </c>
      <c r="T77" s="148"/>
    </row>
    <row r="78" spans="1:20" ht="15" x14ac:dyDescent="0.25">
      <c r="A78" s="145">
        <v>470</v>
      </c>
      <c r="B78" s="145">
        <v>14</v>
      </c>
      <c r="C78" s="145">
        <v>3</v>
      </c>
      <c r="D78" s="145">
        <v>0</v>
      </c>
      <c r="E78" s="145">
        <v>0</v>
      </c>
      <c r="F78" s="145">
        <v>0</v>
      </c>
      <c r="G78" s="145" t="s">
        <v>3</v>
      </c>
      <c r="H78" s="145">
        <v>1</v>
      </c>
      <c r="I78" s="145">
        <v>0</v>
      </c>
      <c r="J78" s="145">
        <v>1</v>
      </c>
      <c r="K78" s="145">
        <v>0</v>
      </c>
      <c r="L78" s="145">
        <v>0</v>
      </c>
      <c r="M78" s="145" t="s">
        <v>29</v>
      </c>
      <c r="N78" s="145">
        <v>3</v>
      </c>
      <c r="O78" s="145" t="s">
        <v>50</v>
      </c>
      <c r="P78" s="145" t="s">
        <v>189</v>
      </c>
      <c r="Q78" s="145" t="s">
        <v>190</v>
      </c>
      <c r="R78" s="145" t="s">
        <v>54</v>
      </c>
      <c r="S78" s="145" t="s">
        <v>235</v>
      </c>
      <c r="T78" s="148"/>
    </row>
    <row r="79" spans="1:20" ht="15" x14ac:dyDescent="0.25">
      <c r="A79" s="145">
        <v>1322</v>
      </c>
      <c r="B79" s="145">
        <v>14</v>
      </c>
      <c r="C79" s="145">
        <v>35</v>
      </c>
      <c r="D79" s="145">
        <v>0</v>
      </c>
      <c r="E79" s="145">
        <v>0</v>
      </c>
      <c r="F79" s="145">
        <v>0</v>
      </c>
      <c r="G79" s="145" t="s">
        <v>77</v>
      </c>
      <c r="H79" s="145">
        <v>3</v>
      </c>
      <c r="I79" s="145">
        <v>0</v>
      </c>
      <c r="J79" s="145">
        <v>0</v>
      </c>
      <c r="K79" s="145">
        <v>2</v>
      </c>
      <c r="L79" s="145">
        <v>1</v>
      </c>
      <c r="M79" s="145" t="s">
        <v>25</v>
      </c>
      <c r="N79" s="145">
        <v>3</v>
      </c>
      <c r="O79" s="145" t="s">
        <v>51</v>
      </c>
      <c r="P79" s="145" t="s">
        <v>189</v>
      </c>
      <c r="Q79" s="145" t="s">
        <v>190</v>
      </c>
      <c r="R79" s="145" t="s">
        <v>55</v>
      </c>
      <c r="S79" s="145" t="s">
        <v>235</v>
      </c>
      <c r="T79" s="148"/>
    </row>
    <row r="80" spans="1:20" ht="15" x14ac:dyDescent="0.25">
      <c r="A80" s="145">
        <v>70</v>
      </c>
      <c r="B80" s="145">
        <v>14</v>
      </c>
      <c r="C80" s="145">
        <v>32</v>
      </c>
      <c r="D80" s="145">
        <v>1</v>
      </c>
      <c r="E80" s="145">
        <v>0</v>
      </c>
      <c r="F80" s="145">
        <v>0</v>
      </c>
      <c r="G80" s="145" t="s">
        <v>78</v>
      </c>
      <c r="H80" s="145">
        <v>4</v>
      </c>
      <c r="I80" s="145">
        <v>1</v>
      </c>
      <c r="J80" s="145">
        <v>3</v>
      </c>
      <c r="K80" s="145">
        <v>1</v>
      </c>
      <c r="L80" s="145">
        <v>0</v>
      </c>
      <c r="M80" s="145" t="s">
        <v>30</v>
      </c>
      <c r="N80" s="145">
        <v>4</v>
      </c>
      <c r="O80" s="145" t="s">
        <v>51</v>
      </c>
      <c r="P80" s="145" t="s">
        <v>189</v>
      </c>
      <c r="Q80" s="145" t="s">
        <v>190</v>
      </c>
      <c r="R80" s="145" t="s">
        <v>54</v>
      </c>
      <c r="S80" s="145" t="s">
        <v>236</v>
      </c>
      <c r="T80" s="148"/>
    </row>
    <row r="81" spans="1:20" ht="15" x14ac:dyDescent="0.25">
      <c r="A81" s="145">
        <v>3098</v>
      </c>
      <c r="B81" s="145">
        <v>14</v>
      </c>
      <c r="C81" s="145">
        <v>36</v>
      </c>
      <c r="D81" s="145">
        <v>1</v>
      </c>
      <c r="E81" s="145">
        <v>0</v>
      </c>
      <c r="F81" s="145">
        <v>0</v>
      </c>
      <c r="G81" s="145" t="s">
        <v>78</v>
      </c>
      <c r="H81" s="145">
        <v>5</v>
      </c>
      <c r="I81" s="145">
        <v>1</v>
      </c>
      <c r="J81" s="145">
        <v>5</v>
      </c>
      <c r="K81" s="145">
        <v>0</v>
      </c>
      <c r="L81" s="145">
        <v>0</v>
      </c>
      <c r="M81" s="145" t="s">
        <v>30</v>
      </c>
      <c r="N81" s="145">
        <v>5</v>
      </c>
      <c r="O81" s="145" t="s">
        <v>51</v>
      </c>
      <c r="P81" s="145" t="s">
        <v>189</v>
      </c>
      <c r="Q81" s="145" t="s">
        <v>190</v>
      </c>
      <c r="R81" s="145" t="s">
        <v>55</v>
      </c>
      <c r="S81" s="145" t="s">
        <v>236</v>
      </c>
      <c r="T81" s="148"/>
    </row>
    <row r="82" spans="1:20" ht="15" x14ac:dyDescent="0.25">
      <c r="A82" s="145">
        <v>3656</v>
      </c>
      <c r="B82" s="145">
        <v>15</v>
      </c>
      <c r="C82" s="145">
        <v>3</v>
      </c>
      <c r="D82" s="145">
        <v>0</v>
      </c>
      <c r="E82" s="145">
        <v>0</v>
      </c>
      <c r="F82" s="145">
        <v>0</v>
      </c>
      <c r="G82" s="145" t="s">
        <v>3</v>
      </c>
      <c r="H82" s="145">
        <v>1</v>
      </c>
      <c r="I82" s="145">
        <v>0</v>
      </c>
      <c r="J82" s="145">
        <v>1</v>
      </c>
      <c r="K82" s="145">
        <v>0</v>
      </c>
      <c r="L82" s="145">
        <v>0</v>
      </c>
      <c r="M82" s="145" t="s">
        <v>29</v>
      </c>
      <c r="N82" s="145">
        <v>2</v>
      </c>
      <c r="O82" s="145" t="s">
        <v>50</v>
      </c>
      <c r="P82" s="145" t="s">
        <v>189</v>
      </c>
      <c r="Q82" s="145" t="s">
        <v>204</v>
      </c>
      <c r="R82" s="145" t="s">
        <v>54</v>
      </c>
      <c r="S82" s="145" t="s">
        <v>237</v>
      </c>
      <c r="T82" s="148"/>
    </row>
    <row r="83" spans="1:20" ht="15" x14ac:dyDescent="0.25">
      <c r="A83" s="145">
        <v>2619</v>
      </c>
      <c r="B83" s="145">
        <v>15</v>
      </c>
      <c r="C83" s="145">
        <v>42</v>
      </c>
      <c r="D83" s="145">
        <v>1</v>
      </c>
      <c r="E83" s="145">
        <v>0</v>
      </c>
      <c r="F83" s="145">
        <v>0</v>
      </c>
      <c r="G83" s="145" t="s">
        <v>78</v>
      </c>
      <c r="H83" s="145">
        <v>2</v>
      </c>
      <c r="I83" s="145">
        <v>0</v>
      </c>
      <c r="J83" s="145">
        <v>2</v>
      </c>
      <c r="K83" s="145">
        <v>0</v>
      </c>
      <c r="L83" s="145">
        <v>0</v>
      </c>
      <c r="M83" s="145" t="s">
        <v>25</v>
      </c>
      <c r="N83" s="145">
        <v>5</v>
      </c>
      <c r="O83" s="145" t="s">
        <v>51</v>
      </c>
      <c r="P83" s="145" t="s">
        <v>189</v>
      </c>
      <c r="Q83" s="145" t="s">
        <v>190</v>
      </c>
      <c r="R83" s="145" t="s">
        <v>55</v>
      </c>
      <c r="S83" s="145" t="s">
        <v>237</v>
      </c>
      <c r="T83" s="148"/>
    </row>
    <row r="84" spans="1:20" ht="15" x14ac:dyDescent="0.25">
      <c r="A84" s="145">
        <v>3707</v>
      </c>
      <c r="B84" s="145">
        <v>15</v>
      </c>
      <c r="C84" s="145">
        <v>2</v>
      </c>
      <c r="D84" s="145">
        <v>0</v>
      </c>
      <c r="E84" s="145">
        <v>0</v>
      </c>
      <c r="F84" s="145">
        <v>0</v>
      </c>
      <c r="G84" s="145" t="s">
        <v>78</v>
      </c>
      <c r="H84" s="145">
        <v>1</v>
      </c>
      <c r="I84" s="145">
        <v>0</v>
      </c>
      <c r="J84" s="145">
        <v>0</v>
      </c>
      <c r="K84" s="145">
        <v>1</v>
      </c>
      <c r="L84" s="145">
        <v>0</v>
      </c>
      <c r="M84" s="145" t="s">
        <v>29</v>
      </c>
      <c r="N84" s="145">
        <v>5</v>
      </c>
      <c r="O84" s="145" t="s">
        <v>52</v>
      </c>
      <c r="P84" s="145" t="s">
        <v>206</v>
      </c>
      <c r="Q84" s="145" t="s">
        <v>206</v>
      </c>
      <c r="R84" s="145" t="s">
        <v>55</v>
      </c>
      <c r="S84" s="145" t="s">
        <v>238</v>
      </c>
      <c r="T84" s="148"/>
    </row>
    <row r="85" spans="1:20" ht="15" x14ac:dyDescent="0.25">
      <c r="A85" s="145">
        <v>573</v>
      </c>
      <c r="B85" s="145">
        <v>15</v>
      </c>
      <c r="C85" s="145">
        <v>18</v>
      </c>
      <c r="D85" s="145">
        <v>1</v>
      </c>
      <c r="E85" s="145">
        <v>0</v>
      </c>
      <c r="F85" s="145">
        <v>0</v>
      </c>
      <c r="G85" s="145" t="s">
        <v>77</v>
      </c>
      <c r="H85" s="145">
        <v>4</v>
      </c>
      <c r="I85" s="145">
        <v>0</v>
      </c>
      <c r="J85" s="145">
        <v>4</v>
      </c>
      <c r="K85" s="145">
        <v>0</v>
      </c>
      <c r="L85" s="145">
        <v>0</v>
      </c>
      <c r="M85" s="145" t="s">
        <v>30</v>
      </c>
      <c r="N85" s="145">
        <v>3</v>
      </c>
      <c r="O85" s="145" t="s">
        <v>51</v>
      </c>
      <c r="P85" s="145" t="s">
        <v>189</v>
      </c>
      <c r="Q85" s="145" t="s">
        <v>190</v>
      </c>
      <c r="R85" s="145" t="s">
        <v>55</v>
      </c>
      <c r="S85" s="145" t="s">
        <v>238</v>
      </c>
      <c r="T85" s="148"/>
    </row>
    <row r="86" spans="1:20" ht="15" x14ac:dyDescent="0.25">
      <c r="A86" s="145">
        <v>548</v>
      </c>
      <c r="B86" s="145">
        <v>16</v>
      </c>
      <c r="C86" s="145">
        <v>28</v>
      </c>
      <c r="D86" s="145">
        <v>0</v>
      </c>
      <c r="E86" s="145">
        <v>1</v>
      </c>
      <c r="F86" s="145">
        <v>0</v>
      </c>
      <c r="G86" s="145" t="s">
        <v>78</v>
      </c>
      <c r="H86" s="145">
        <v>5</v>
      </c>
      <c r="I86" s="145">
        <v>1</v>
      </c>
      <c r="J86" s="145">
        <v>3</v>
      </c>
      <c r="K86" s="145">
        <v>2</v>
      </c>
      <c r="L86" s="145">
        <v>0</v>
      </c>
      <c r="M86" s="145" t="s">
        <v>30</v>
      </c>
      <c r="N86" s="145">
        <v>4</v>
      </c>
      <c r="O86" s="145" t="s">
        <v>51</v>
      </c>
      <c r="P86" s="145" t="s">
        <v>189</v>
      </c>
      <c r="Q86" s="145" t="s">
        <v>190</v>
      </c>
      <c r="R86" s="145" t="s">
        <v>55</v>
      </c>
      <c r="S86" s="145" t="s">
        <v>239</v>
      </c>
      <c r="T86" s="148"/>
    </row>
    <row r="87" spans="1:20" ht="15" x14ac:dyDescent="0.25">
      <c r="A87" s="145">
        <v>1504</v>
      </c>
      <c r="B87" s="145">
        <v>16</v>
      </c>
      <c r="C87" s="145">
        <v>30</v>
      </c>
      <c r="D87" s="145">
        <v>0</v>
      </c>
      <c r="E87" s="145">
        <v>0</v>
      </c>
      <c r="F87" s="145">
        <v>0</v>
      </c>
      <c r="G87" s="145" t="s">
        <v>3</v>
      </c>
      <c r="H87" s="145">
        <v>0</v>
      </c>
      <c r="I87" s="145">
        <v>0</v>
      </c>
      <c r="J87" s="145">
        <v>0</v>
      </c>
      <c r="K87" s="145">
        <v>0</v>
      </c>
      <c r="L87" s="145">
        <v>0</v>
      </c>
      <c r="M87" s="145" t="s">
        <v>25</v>
      </c>
      <c r="N87" s="145">
        <v>2</v>
      </c>
      <c r="O87" s="145" t="s">
        <v>51</v>
      </c>
      <c r="P87" s="145" t="s">
        <v>189</v>
      </c>
      <c r="Q87" s="145" t="s">
        <v>190</v>
      </c>
      <c r="R87" s="145" t="s">
        <v>55</v>
      </c>
      <c r="S87" s="145" t="s">
        <v>240</v>
      </c>
      <c r="T87" s="148"/>
    </row>
    <row r="88" spans="1:20" ht="15" x14ac:dyDescent="0.25">
      <c r="A88" s="145">
        <v>3773</v>
      </c>
      <c r="B88" s="145">
        <v>16</v>
      </c>
      <c r="C88" s="145">
        <v>2</v>
      </c>
      <c r="D88" s="145">
        <v>0</v>
      </c>
      <c r="E88" s="145">
        <v>0</v>
      </c>
      <c r="F88" s="145">
        <v>0</v>
      </c>
      <c r="G88" s="145" t="s">
        <v>78</v>
      </c>
      <c r="H88" s="145">
        <v>1</v>
      </c>
      <c r="I88" s="145">
        <v>0</v>
      </c>
      <c r="J88" s="145">
        <v>0</v>
      </c>
      <c r="K88" s="145">
        <v>1</v>
      </c>
      <c r="L88" s="145">
        <v>0</v>
      </c>
      <c r="M88" s="145" t="s">
        <v>29</v>
      </c>
      <c r="N88" s="145">
        <v>3</v>
      </c>
      <c r="O88" s="145" t="s">
        <v>51</v>
      </c>
      <c r="P88" s="145" t="s">
        <v>206</v>
      </c>
      <c r="Q88" s="145" t="s">
        <v>206</v>
      </c>
      <c r="R88" s="145" t="s">
        <v>55</v>
      </c>
      <c r="S88" s="145" t="s">
        <v>241</v>
      </c>
      <c r="T88" s="148"/>
    </row>
    <row r="89" spans="1:20" ht="15" x14ac:dyDescent="0.25">
      <c r="A89" s="145">
        <v>68</v>
      </c>
      <c r="B89" s="145">
        <v>16</v>
      </c>
      <c r="C89" s="145">
        <v>26</v>
      </c>
      <c r="D89" s="145">
        <v>1</v>
      </c>
      <c r="E89" s="145">
        <v>0</v>
      </c>
      <c r="F89" s="145">
        <v>0</v>
      </c>
      <c r="G89" s="145" t="s">
        <v>77</v>
      </c>
      <c r="H89" s="145">
        <v>4</v>
      </c>
      <c r="I89" s="145">
        <v>1</v>
      </c>
      <c r="J89" s="145">
        <v>3</v>
      </c>
      <c r="K89" s="145">
        <v>1</v>
      </c>
      <c r="L89" s="145">
        <v>0</v>
      </c>
      <c r="M89" s="145" t="s">
        <v>29</v>
      </c>
      <c r="N89" s="145">
        <v>3</v>
      </c>
      <c r="O89" s="145" t="s">
        <v>51</v>
      </c>
      <c r="P89" s="145" t="s">
        <v>189</v>
      </c>
      <c r="Q89" s="145" t="s">
        <v>190</v>
      </c>
      <c r="R89" s="145" t="s">
        <v>55</v>
      </c>
      <c r="S89" s="145" t="s">
        <v>241</v>
      </c>
      <c r="T89" s="148"/>
    </row>
    <row r="90" spans="1:20" ht="15" x14ac:dyDescent="0.25">
      <c r="A90" s="145">
        <v>240</v>
      </c>
      <c r="B90" s="145">
        <v>16</v>
      </c>
      <c r="C90" s="145">
        <v>0</v>
      </c>
      <c r="D90" s="145">
        <v>0</v>
      </c>
      <c r="E90" s="145">
        <v>0</v>
      </c>
      <c r="F90" s="145">
        <v>0</v>
      </c>
      <c r="G90" s="145" t="s">
        <v>77</v>
      </c>
      <c r="H90" s="145">
        <v>0</v>
      </c>
      <c r="I90" s="145">
        <v>0</v>
      </c>
      <c r="J90" s="145">
        <v>0</v>
      </c>
      <c r="K90" s="145">
        <v>0</v>
      </c>
      <c r="L90" s="145">
        <v>0</v>
      </c>
      <c r="M90" s="145" t="s">
        <v>29</v>
      </c>
      <c r="N90" s="145">
        <v>2</v>
      </c>
      <c r="O90" s="145" t="s">
        <v>52</v>
      </c>
      <c r="P90" s="145" t="s">
        <v>192</v>
      </c>
      <c r="Q90" s="145" t="s">
        <v>206</v>
      </c>
      <c r="R90" s="145" t="s">
        <v>55</v>
      </c>
      <c r="S90" s="145" t="s">
        <v>242</v>
      </c>
      <c r="T90" s="148"/>
    </row>
    <row r="91" spans="1:20" ht="15" x14ac:dyDescent="0.25">
      <c r="A91" s="145">
        <v>3098</v>
      </c>
      <c r="B91" s="145">
        <v>17</v>
      </c>
      <c r="C91" s="145">
        <v>50</v>
      </c>
      <c r="D91" s="145">
        <v>1</v>
      </c>
      <c r="E91" s="145">
        <v>0</v>
      </c>
      <c r="F91" s="145">
        <v>0</v>
      </c>
      <c r="G91" s="145" t="s">
        <v>3</v>
      </c>
      <c r="H91" s="145">
        <v>3</v>
      </c>
      <c r="I91" s="145">
        <v>1</v>
      </c>
      <c r="J91" s="145">
        <v>3</v>
      </c>
      <c r="K91" s="145">
        <v>0</v>
      </c>
      <c r="L91" s="145">
        <v>0</v>
      </c>
      <c r="M91" s="145" t="s">
        <v>26</v>
      </c>
      <c r="N91" s="145">
        <v>4</v>
      </c>
      <c r="O91" s="145" t="s">
        <v>51</v>
      </c>
      <c r="P91" s="145" t="s">
        <v>189</v>
      </c>
      <c r="Q91" s="145" t="s">
        <v>190</v>
      </c>
      <c r="R91" s="145" t="s">
        <v>54</v>
      </c>
      <c r="S91" s="145" t="s">
        <v>243</v>
      </c>
      <c r="T91" s="148"/>
    </row>
    <row r="92" spans="1:20" ht="15" x14ac:dyDescent="0.25">
      <c r="A92" s="145">
        <v>3548</v>
      </c>
      <c r="B92" s="145">
        <v>17</v>
      </c>
      <c r="C92" s="145">
        <v>0</v>
      </c>
      <c r="D92" s="145">
        <v>0</v>
      </c>
      <c r="E92" s="145">
        <v>0</v>
      </c>
      <c r="F92" s="145">
        <v>0</v>
      </c>
      <c r="G92" s="145" t="s">
        <v>78</v>
      </c>
      <c r="H92" s="145">
        <v>0</v>
      </c>
      <c r="I92" s="145">
        <v>0</v>
      </c>
      <c r="J92" s="145">
        <v>0</v>
      </c>
      <c r="K92" s="145">
        <v>0</v>
      </c>
      <c r="L92" s="145">
        <v>0</v>
      </c>
      <c r="M92" s="145" t="s">
        <v>29</v>
      </c>
      <c r="N92" s="145">
        <v>2</v>
      </c>
      <c r="O92" s="145" t="s">
        <v>52</v>
      </c>
      <c r="P92" s="145" t="s">
        <v>192</v>
      </c>
      <c r="Q92" s="145" t="s">
        <v>204</v>
      </c>
      <c r="R92" s="145" t="s">
        <v>55</v>
      </c>
      <c r="S92" s="145" t="s">
        <v>244</v>
      </c>
      <c r="T92" s="148"/>
    </row>
    <row r="93" spans="1:20" ht="15" x14ac:dyDescent="0.25">
      <c r="A93" s="145">
        <v>494</v>
      </c>
      <c r="B93" s="145">
        <v>17</v>
      </c>
      <c r="C93" s="145">
        <v>33</v>
      </c>
      <c r="D93" s="145">
        <v>0</v>
      </c>
      <c r="E93" s="145">
        <v>0</v>
      </c>
      <c r="F93" s="145">
        <v>0</v>
      </c>
      <c r="G93" s="145" t="s">
        <v>77</v>
      </c>
      <c r="H93" s="145">
        <v>1</v>
      </c>
      <c r="I93" s="145">
        <v>0</v>
      </c>
      <c r="J93" s="145">
        <v>1</v>
      </c>
      <c r="K93" s="145">
        <v>0</v>
      </c>
      <c r="L93" s="145">
        <v>0</v>
      </c>
      <c r="M93" s="145" t="s">
        <v>25</v>
      </c>
      <c r="N93" s="145">
        <v>3</v>
      </c>
      <c r="O93" s="145" t="s">
        <v>51</v>
      </c>
      <c r="P93" s="145" t="s">
        <v>189</v>
      </c>
      <c r="Q93" s="145" t="s">
        <v>190</v>
      </c>
      <c r="R93" s="145" t="s">
        <v>55</v>
      </c>
      <c r="S93" s="145" t="s">
        <v>245</v>
      </c>
      <c r="T93" s="148"/>
    </row>
    <row r="94" spans="1:20" ht="15" x14ac:dyDescent="0.25">
      <c r="A94" s="145">
        <v>2337</v>
      </c>
      <c r="B94" s="145">
        <v>17</v>
      </c>
      <c r="C94" s="145">
        <v>18</v>
      </c>
      <c r="D94" s="145">
        <v>1</v>
      </c>
      <c r="E94" s="145">
        <v>0</v>
      </c>
      <c r="F94" s="145">
        <v>0</v>
      </c>
      <c r="G94" s="145" t="s">
        <v>78</v>
      </c>
      <c r="H94" s="145">
        <v>5</v>
      </c>
      <c r="I94" s="145">
        <v>0</v>
      </c>
      <c r="J94" s="145">
        <v>2</v>
      </c>
      <c r="K94" s="145">
        <v>3</v>
      </c>
      <c r="L94" s="145">
        <v>0</v>
      </c>
      <c r="M94" s="145" t="s">
        <v>29</v>
      </c>
      <c r="N94" s="145">
        <v>3</v>
      </c>
      <c r="O94" s="145" t="s">
        <v>51</v>
      </c>
      <c r="P94" s="145" t="s">
        <v>189</v>
      </c>
      <c r="Q94" s="145" t="s">
        <v>190</v>
      </c>
      <c r="R94" s="145" t="s">
        <v>55</v>
      </c>
      <c r="S94" s="145" t="s">
        <v>245</v>
      </c>
      <c r="T94" s="148"/>
    </row>
    <row r="95" spans="1:20" ht="15" x14ac:dyDescent="0.25">
      <c r="A95" s="145">
        <v>3547</v>
      </c>
      <c r="B95" s="145">
        <v>17</v>
      </c>
      <c r="C95" s="145">
        <v>45</v>
      </c>
      <c r="D95" s="145">
        <v>1</v>
      </c>
      <c r="E95" s="145">
        <v>0</v>
      </c>
      <c r="F95" s="145">
        <v>0</v>
      </c>
      <c r="G95" s="145" t="s">
        <v>77</v>
      </c>
      <c r="H95" s="145">
        <v>3</v>
      </c>
      <c r="I95" s="145">
        <v>1</v>
      </c>
      <c r="J95" s="145">
        <v>3</v>
      </c>
      <c r="K95" s="145">
        <v>0</v>
      </c>
      <c r="L95" s="145">
        <v>0</v>
      </c>
      <c r="M95" s="145" t="s">
        <v>27</v>
      </c>
      <c r="N95" s="145">
        <v>5</v>
      </c>
      <c r="O95" s="145" t="s">
        <v>51</v>
      </c>
      <c r="P95" s="145" t="s">
        <v>189</v>
      </c>
      <c r="Q95" s="145" t="s">
        <v>190</v>
      </c>
      <c r="R95" s="145" t="s">
        <v>55</v>
      </c>
      <c r="S95" s="145" t="s">
        <v>245</v>
      </c>
      <c r="T95" s="148"/>
    </row>
    <row r="96" spans="1:20" ht="15" x14ac:dyDescent="0.25">
      <c r="A96" s="145">
        <v>2145</v>
      </c>
      <c r="B96" s="145">
        <v>17</v>
      </c>
      <c r="C96" s="145">
        <v>18</v>
      </c>
      <c r="D96" s="145">
        <v>0</v>
      </c>
      <c r="E96" s="145">
        <v>0</v>
      </c>
      <c r="F96" s="145">
        <v>0</v>
      </c>
      <c r="G96" s="145" t="s">
        <v>3</v>
      </c>
      <c r="H96" s="145">
        <v>3</v>
      </c>
      <c r="I96" s="145">
        <v>1</v>
      </c>
      <c r="J96" s="145">
        <v>3</v>
      </c>
      <c r="K96" s="145">
        <v>0</v>
      </c>
      <c r="L96" s="145">
        <v>0</v>
      </c>
      <c r="M96" s="145" t="s">
        <v>29</v>
      </c>
      <c r="N96" s="145">
        <v>3</v>
      </c>
      <c r="O96" s="145" t="s">
        <v>52</v>
      </c>
      <c r="P96" s="145" t="s">
        <v>189</v>
      </c>
      <c r="Q96" s="145" t="s">
        <v>190</v>
      </c>
      <c r="R96" s="145" t="s">
        <v>55</v>
      </c>
      <c r="S96" s="145" t="s">
        <v>245</v>
      </c>
      <c r="T96" s="148"/>
    </row>
    <row r="97" spans="1:20" ht="15" x14ac:dyDescent="0.25">
      <c r="A97" s="145">
        <v>835</v>
      </c>
      <c r="B97" s="145">
        <v>18</v>
      </c>
      <c r="C97" s="145">
        <v>3</v>
      </c>
      <c r="D97" s="145">
        <v>0</v>
      </c>
      <c r="E97" s="145">
        <v>0</v>
      </c>
      <c r="F97" s="145">
        <v>0</v>
      </c>
      <c r="G97" s="145" t="s">
        <v>3</v>
      </c>
      <c r="H97" s="145">
        <v>1</v>
      </c>
      <c r="I97" s="145">
        <v>0</v>
      </c>
      <c r="J97" s="145">
        <v>1</v>
      </c>
      <c r="K97" s="145">
        <v>0</v>
      </c>
      <c r="L97" s="145">
        <v>0</v>
      </c>
      <c r="M97" s="145" t="s">
        <v>29</v>
      </c>
      <c r="N97" s="145">
        <v>3</v>
      </c>
      <c r="O97" s="145" t="s">
        <v>52</v>
      </c>
      <c r="P97" s="145" t="s">
        <v>189</v>
      </c>
      <c r="Q97" s="145" t="s">
        <v>190</v>
      </c>
      <c r="R97" s="145" t="s">
        <v>55</v>
      </c>
      <c r="S97" s="145" t="s">
        <v>246</v>
      </c>
      <c r="T97" s="148"/>
    </row>
    <row r="98" spans="1:20" ht="15" x14ac:dyDescent="0.25">
      <c r="A98" s="145">
        <v>3655</v>
      </c>
      <c r="B98" s="145">
        <v>18</v>
      </c>
      <c r="C98" s="145">
        <v>1</v>
      </c>
      <c r="D98" s="145">
        <v>0</v>
      </c>
      <c r="E98" s="145">
        <v>0</v>
      </c>
      <c r="F98" s="145">
        <v>0</v>
      </c>
      <c r="G98" s="145" t="s">
        <v>78</v>
      </c>
      <c r="H98" s="145">
        <v>1</v>
      </c>
      <c r="I98" s="145">
        <v>0</v>
      </c>
      <c r="J98" s="145">
        <v>0</v>
      </c>
      <c r="K98" s="145">
        <v>0</v>
      </c>
      <c r="L98" s="145">
        <v>1</v>
      </c>
      <c r="M98" s="145" t="s">
        <v>29</v>
      </c>
      <c r="N98" s="145">
        <v>3</v>
      </c>
      <c r="O98" s="145" t="s">
        <v>52</v>
      </c>
      <c r="P98" s="145" t="s">
        <v>206</v>
      </c>
      <c r="Q98" s="145" t="s">
        <v>204</v>
      </c>
      <c r="R98" s="145" t="s">
        <v>54</v>
      </c>
      <c r="S98" s="145" t="s">
        <v>246</v>
      </c>
      <c r="T98" s="148"/>
    </row>
    <row r="99" spans="1:20" ht="15" x14ac:dyDescent="0.25">
      <c r="A99" s="145">
        <v>1684</v>
      </c>
      <c r="B99" s="145">
        <v>18</v>
      </c>
      <c r="C99" s="145">
        <v>18</v>
      </c>
      <c r="D99" s="145">
        <v>0</v>
      </c>
      <c r="E99" s="145">
        <v>0</v>
      </c>
      <c r="F99" s="145">
        <v>0</v>
      </c>
      <c r="G99" s="145" t="s">
        <v>77</v>
      </c>
      <c r="H99" s="145">
        <v>3</v>
      </c>
      <c r="I99" s="145">
        <v>1</v>
      </c>
      <c r="J99" s="145">
        <v>3</v>
      </c>
      <c r="K99" s="145">
        <v>0</v>
      </c>
      <c r="L99" s="145">
        <v>0</v>
      </c>
      <c r="M99" s="145" t="s">
        <v>30</v>
      </c>
      <c r="N99" s="145">
        <v>4</v>
      </c>
      <c r="O99" s="145" t="s">
        <v>51</v>
      </c>
      <c r="P99" s="145" t="s">
        <v>189</v>
      </c>
      <c r="Q99" s="145" t="s">
        <v>190</v>
      </c>
      <c r="R99" s="145" t="s">
        <v>54</v>
      </c>
      <c r="S99" s="145" t="s">
        <v>246</v>
      </c>
      <c r="T99" s="148"/>
    </row>
    <row r="100" spans="1:20" ht="15" x14ac:dyDescent="0.25">
      <c r="A100" s="145">
        <v>1025</v>
      </c>
      <c r="B100" s="145">
        <v>18</v>
      </c>
      <c r="C100" s="145">
        <v>18</v>
      </c>
      <c r="D100" s="145">
        <v>0</v>
      </c>
      <c r="E100" s="145">
        <v>0</v>
      </c>
      <c r="F100" s="145">
        <v>0</v>
      </c>
      <c r="G100" s="145" t="s">
        <v>77</v>
      </c>
      <c r="H100" s="145">
        <v>3</v>
      </c>
      <c r="I100" s="145">
        <v>1</v>
      </c>
      <c r="J100" s="145">
        <v>3</v>
      </c>
      <c r="K100" s="145">
        <v>0</v>
      </c>
      <c r="L100" s="145">
        <v>0</v>
      </c>
      <c r="M100" s="145" t="s">
        <v>30</v>
      </c>
      <c r="N100" s="145">
        <v>4</v>
      </c>
      <c r="O100" s="145" t="s">
        <v>52</v>
      </c>
      <c r="P100" s="145" t="s">
        <v>189</v>
      </c>
      <c r="Q100" s="145" t="s">
        <v>190</v>
      </c>
      <c r="R100" s="145" t="s">
        <v>55</v>
      </c>
      <c r="S100" s="145" t="s">
        <v>247</v>
      </c>
      <c r="T100" s="148"/>
    </row>
    <row r="101" spans="1:20" ht="15" x14ac:dyDescent="0.25">
      <c r="A101" s="145">
        <v>1502</v>
      </c>
      <c r="B101" s="145">
        <v>19</v>
      </c>
      <c r="C101" s="145">
        <v>0</v>
      </c>
      <c r="D101" s="145">
        <v>0</v>
      </c>
      <c r="E101" s="145">
        <v>0</v>
      </c>
      <c r="F101" s="145">
        <v>0</v>
      </c>
      <c r="G101" s="145" t="s">
        <v>3</v>
      </c>
      <c r="H101" s="145">
        <v>0</v>
      </c>
      <c r="I101" s="145">
        <v>0</v>
      </c>
      <c r="J101" s="145">
        <v>0</v>
      </c>
      <c r="K101" s="145">
        <v>0</v>
      </c>
      <c r="L101" s="145">
        <v>0</v>
      </c>
      <c r="M101" s="145" t="s">
        <v>29</v>
      </c>
      <c r="N101" s="145">
        <v>3</v>
      </c>
      <c r="O101" s="145" t="s">
        <v>50</v>
      </c>
      <c r="P101" s="145" t="s">
        <v>189</v>
      </c>
      <c r="Q101" s="145" t="s">
        <v>190</v>
      </c>
      <c r="R101" s="145" t="s">
        <v>54</v>
      </c>
      <c r="S101" s="145" t="s">
        <v>248</v>
      </c>
      <c r="T101" s="148"/>
    </row>
    <row r="102" spans="1:20" ht="15" x14ac:dyDescent="0.25">
      <c r="A102" s="145">
        <v>3638</v>
      </c>
      <c r="B102" s="145">
        <v>19</v>
      </c>
      <c r="C102" s="145">
        <v>0</v>
      </c>
      <c r="D102" s="145">
        <v>0</v>
      </c>
      <c r="E102" s="145">
        <v>0</v>
      </c>
      <c r="F102" s="145">
        <v>0</v>
      </c>
      <c r="G102" s="145" t="s">
        <v>77</v>
      </c>
      <c r="H102" s="145">
        <v>0</v>
      </c>
      <c r="I102" s="145">
        <v>0</v>
      </c>
      <c r="J102" s="145">
        <v>0</v>
      </c>
      <c r="K102" s="145">
        <v>0</v>
      </c>
      <c r="L102" s="145">
        <v>0</v>
      </c>
      <c r="M102" s="145" t="s">
        <v>29</v>
      </c>
      <c r="N102" s="145">
        <v>3</v>
      </c>
      <c r="O102" s="145" t="s">
        <v>50</v>
      </c>
      <c r="P102" s="145" t="s">
        <v>192</v>
      </c>
      <c r="Q102" s="145" t="s">
        <v>190</v>
      </c>
      <c r="R102" s="145" t="s">
        <v>54</v>
      </c>
      <c r="S102" s="145" t="s">
        <v>248</v>
      </c>
      <c r="T102" s="148"/>
    </row>
    <row r="103" spans="1:20" ht="15" x14ac:dyDescent="0.25">
      <c r="A103" s="145">
        <v>247</v>
      </c>
      <c r="B103" s="145">
        <v>19</v>
      </c>
      <c r="C103" s="145">
        <v>5</v>
      </c>
      <c r="D103" s="145">
        <v>0</v>
      </c>
      <c r="E103" s="145">
        <v>0</v>
      </c>
      <c r="F103" s="145">
        <v>0</v>
      </c>
      <c r="G103" s="145" t="s">
        <v>77</v>
      </c>
      <c r="H103" s="145">
        <v>2</v>
      </c>
      <c r="I103" s="145">
        <v>0</v>
      </c>
      <c r="J103" s="145">
        <v>1</v>
      </c>
      <c r="K103" s="145">
        <v>1</v>
      </c>
      <c r="L103" s="145">
        <v>0</v>
      </c>
      <c r="M103" s="145" t="s">
        <v>30</v>
      </c>
      <c r="N103" s="145">
        <v>3</v>
      </c>
      <c r="O103" s="145" t="s">
        <v>52</v>
      </c>
      <c r="P103" s="145" t="s">
        <v>189</v>
      </c>
      <c r="Q103" s="145" t="s">
        <v>190</v>
      </c>
      <c r="R103" s="145" t="s">
        <v>55</v>
      </c>
      <c r="S103" s="145" t="s">
        <v>248</v>
      </c>
      <c r="T103" s="148"/>
    </row>
    <row r="104" spans="1:20" ht="15" x14ac:dyDescent="0.25">
      <c r="A104" s="145">
        <v>3535</v>
      </c>
      <c r="B104" s="145">
        <v>19</v>
      </c>
      <c r="C104" s="145">
        <v>36</v>
      </c>
      <c r="D104" s="145">
        <v>0</v>
      </c>
      <c r="E104" s="145">
        <v>0</v>
      </c>
      <c r="F104" s="145">
        <v>0</v>
      </c>
      <c r="G104" s="145" t="s">
        <v>78</v>
      </c>
      <c r="H104" s="145">
        <v>2</v>
      </c>
      <c r="I104" s="145">
        <v>0</v>
      </c>
      <c r="J104" s="145">
        <v>2</v>
      </c>
      <c r="K104" s="145">
        <v>0</v>
      </c>
      <c r="L104" s="145">
        <v>0</v>
      </c>
      <c r="M104" s="145" t="s">
        <v>25</v>
      </c>
      <c r="N104" s="145">
        <v>4</v>
      </c>
      <c r="O104" s="145" t="s">
        <v>52</v>
      </c>
      <c r="P104" s="145" t="s">
        <v>189</v>
      </c>
      <c r="Q104" s="145" t="s">
        <v>190</v>
      </c>
      <c r="R104" s="145" t="s">
        <v>54</v>
      </c>
      <c r="S104" s="145" t="s">
        <v>248</v>
      </c>
      <c r="T104" s="148"/>
    </row>
    <row r="105" spans="1:20" ht="15" x14ac:dyDescent="0.25">
      <c r="A105" s="145">
        <v>830</v>
      </c>
      <c r="B105" s="145">
        <v>20</v>
      </c>
      <c r="C105" s="145">
        <v>21</v>
      </c>
      <c r="D105" s="145">
        <v>0</v>
      </c>
      <c r="E105" s="145">
        <v>0</v>
      </c>
      <c r="F105" s="145">
        <v>0</v>
      </c>
      <c r="G105" s="145" t="s">
        <v>77</v>
      </c>
      <c r="H105" s="145">
        <v>4</v>
      </c>
      <c r="I105" s="145">
        <v>1</v>
      </c>
      <c r="J105" s="145">
        <v>4</v>
      </c>
      <c r="K105" s="145">
        <v>0</v>
      </c>
      <c r="L105" s="145">
        <v>0</v>
      </c>
      <c r="M105" s="145" t="s">
        <v>30</v>
      </c>
      <c r="N105" s="145">
        <v>3</v>
      </c>
      <c r="O105" s="145" t="s">
        <v>51</v>
      </c>
      <c r="P105" s="145" t="s">
        <v>189</v>
      </c>
      <c r="Q105" s="145" t="s">
        <v>190</v>
      </c>
      <c r="R105" s="145" t="s">
        <v>55</v>
      </c>
      <c r="S105" s="145" t="s">
        <v>249</v>
      </c>
      <c r="T105" s="148"/>
    </row>
    <row r="106" spans="1:20" ht="15" x14ac:dyDescent="0.25">
      <c r="A106" s="145">
        <v>70</v>
      </c>
      <c r="B106" s="145">
        <v>20</v>
      </c>
      <c r="C106" s="145">
        <v>15</v>
      </c>
      <c r="D106" s="145">
        <v>1</v>
      </c>
      <c r="E106" s="145">
        <v>0</v>
      </c>
      <c r="F106" s="145">
        <v>0</v>
      </c>
      <c r="G106" s="145" t="s">
        <v>78</v>
      </c>
      <c r="H106" s="145">
        <v>2</v>
      </c>
      <c r="I106" s="145">
        <v>0</v>
      </c>
      <c r="J106" s="145">
        <v>2</v>
      </c>
      <c r="K106" s="145">
        <v>0</v>
      </c>
      <c r="L106" s="145">
        <v>0</v>
      </c>
      <c r="M106" s="145" t="s">
        <v>30</v>
      </c>
      <c r="N106" s="145">
        <v>2</v>
      </c>
      <c r="O106" s="145" t="s">
        <v>51</v>
      </c>
      <c r="P106" s="145" t="s">
        <v>189</v>
      </c>
      <c r="Q106" s="145" t="s">
        <v>190</v>
      </c>
      <c r="R106" s="145" t="s">
        <v>55</v>
      </c>
      <c r="S106" s="145" t="s">
        <v>250</v>
      </c>
      <c r="T106" s="148"/>
    </row>
    <row r="107" spans="1:20" ht="15" x14ac:dyDescent="0.25">
      <c r="A107" s="145">
        <v>3415</v>
      </c>
      <c r="B107" s="145">
        <v>20</v>
      </c>
      <c r="C107" s="145">
        <v>0</v>
      </c>
      <c r="D107" s="145">
        <v>0</v>
      </c>
      <c r="E107" s="145">
        <v>0</v>
      </c>
      <c r="F107" s="145">
        <v>0</v>
      </c>
      <c r="G107" s="145" t="s">
        <v>3</v>
      </c>
      <c r="H107" s="145">
        <v>0</v>
      </c>
      <c r="I107" s="145">
        <v>0</v>
      </c>
      <c r="J107" s="145">
        <v>0</v>
      </c>
      <c r="K107" s="145">
        <v>0</v>
      </c>
      <c r="L107" s="145">
        <v>0</v>
      </c>
      <c r="M107" s="145" t="s">
        <v>29</v>
      </c>
      <c r="N107" s="145">
        <v>3</v>
      </c>
      <c r="O107" s="145" t="s">
        <v>50</v>
      </c>
      <c r="P107" s="145" t="s">
        <v>189</v>
      </c>
      <c r="Q107" s="145" t="s">
        <v>190</v>
      </c>
      <c r="R107" s="145" t="s">
        <v>55</v>
      </c>
      <c r="S107" s="145" t="s">
        <v>250</v>
      </c>
      <c r="T107" s="148"/>
    </row>
    <row r="108" spans="1:20" ht="15" x14ac:dyDescent="0.25">
      <c r="A108" s="145">
        <v>3536</v>
      </c>
      <c r="B108" s="145">
        <v>20</v>
      </c>
      <c r="C108" s="145">
        <v>32</v>
      </c>
      <c r="D108" s="145">
        <v>0</v>
      </c>
      <c r="E108" s="145">
        <v>0</v>
      </c>
      <c r="F108" s="145">
        <v>1</v>
      </c>
      <c r="G108" s="145" t="s">
        <v>77</v>
      </c>
      <c r="H108" s="145">
        <v>0</v>
      </c>
      <c r="I108" s="145">
        <v>0</v>
      </c>
      <c r="J108" s="145">
        <v>0</v>
      </c>
      <c r="K108" s="145">
        <v>0</v>
      </c>
      <c r="L108" s="145">
        <v>0</v>
      </c>
      <c r="M108" s="145" t="s">
        <v>25</v>
      </c>
      <c r="N108" s="145">
        <v>4</v>
      </c>
      <c r="O108" s="145" t="s">
        <v>50</v>
      </c>
      <c r="P108" s="145" t="s">
        <v>192</v>
      </c>
      <c r="Q108" s="145" t="s">
        <v>190</v>
      </c>
      <c r="R108" s="145" t="s">
        <v>54</v>
      </c>
      <c r="S108" s="145" t="s">
        <v>250</v>
      </c>
      <c r="T108" s="148"/>
    </row>
    <row r="109" spans="1:20" ht="15" x14ac:dyDescent="0.25">
      <c r="A109" s="145">
        <v>830</v>
      </c>
      <c r="B109" s="145">
        <v>20</v>
      </c>
      <c r="C109" s="145">
        <v>21</v>
      </c>
      <c r="D109" s="145">
        <v>0</v>
      </c>
      <c r="E109" s="145">
        <v>0</v>
      </c>
      <c r="F109" s="145">
        <v>0</v>
      </c>
      <c r="G109" s="145" t="s">
        <v>77</v>
      </c>
      <c r="H109" s="145">
        <v>4</v>
      </c>
      <c r="I109" s="145">
        <v>1</v>
      </c>
      <c r="J109" s="145">
        <v>4</v>
      </c>
      <c r="K109" s="145">
        <v>0</v>
      </c>
      <c r="L109" s="145">
        <v>0</v>
      </c>
      <c r="M109" s="145" t="s">
        <v>30</v>
      </c>
      <c r="N109" s="145">
        <v>3</v>
      </c>
      <c r="O109" s="145" t="s">
        <v>51</v>
      </c>
      <c r="P109" s="145" t="s">
        <v>189</v>
      </c>
      <c r="Q109" s="145" t="s">
        <v>190</v>
      </c>
      <c r="R109" s="145" t="s">
        <v>55</v>
      </c>
      <c r="S109" s="145" t="s">
        <v>250</v>
      </c>
      <c r="T109" s="148"/>
    </row>
    <row r="110" spans="1:20" ht="15" x14ac:dyDescent="0.25">
      <c r="A110" s="145">
        <v>860</v>
      </c>
      <c r="B110" s="145">
        <v>20</v>
      </c>
      <c r="C110" s="145">
        <v>2</v>
      </c>
      <c r="D110" s="145">
        <v>0</v>
      </c>
      <c r="E110" s="145">
        <v>0</v>
      </c>
      <c r="F110" s="145">
        <v>0</v>
      </c>
      <c r="G110" s="145" t="s">
        <v>3</v>
      </c>
      <c r="H110" s="145">
        <v>1</v>
      </c>
      <c r="I110" s="145">
        <v>0</v>
      </c>
      <c r="J110" s="145">
        <v>0</v>
      </c>
      <c r="K110" s="145">
        <v>1</v>
      </c>
      <c r="L110" s="145">
        <v>0</v>
      </c>
      <c r="M110" s="145" t="s">
        <v>29</v>
      </c>
      <c r="N110" s="145">
        <v>3</v>
      </c>
      <c r="O110" s="145" t="s">
        <v>52</v>
      </c>
      <c r="P110" s="145" t="s">
        <v>189</v>
      </c>
      <c r="Q110" s="145" t="s">
        <v>190</v>
      </c>
      <c r="R110" s="145" t="s">
        <v>55</v>
      </c>
      <c r="S110" s="145" t="s">
        <v>251</v>
      </c>
      <c r="T110" s="148"/>
    </row>
    <row r="111" spans="1:20" ht="15" x14ac:dyDescent="0.25">
      <c r="A111" s="145">
        <v>3547</v>
      </c>
      <c r="B111" s="145">
        <v>21</v>
      </c>
      <c r="C111" s="145">
        <v>48</v>
      </c>
      <c r="D111" s="145">
        <v>0</v>
      </c>
      <c r="E111" s="145">
        <v>0</v>
      </c>
      <c r="F111" s="145">
        <v>0</v>
      </c>
      <c r="G111" s="145" t="s">
        <v>78</v>
      </c>
      <c r="H111" s="145">
        <v>3</v>
      </c>
      <c r="I111" s="145">
        <v>1</v>
      </c>
      <c r="J111" s="145">
        <v>3</v>
      </c>
      <c r="K111" s="145">
        <v>0</v>
      </c>
      <c r="L111" s="145">
        <v>0</v>
      </c>
      <c r="M111" s="145" t="s">
        <v>25</v>
      </c>
      <c r="N111" s="145">
        <v>3</v>
      </c>
      <c r="O111" s="145" t="s">
        <v>52</v>
      </c>
      <c r="P111" s="145" t="s">
        <v>189</v>
      </c>
      <c r="Q111" s="145" t="s">
        <v>190</v>
      </c>
      <c r="R111" s="145" t="s">
        <v>55</v>
      </c>
      <c r="S111" s="145" t="s">
        <v>252</v>
      </c>
      <c r="T111" s="148"/>
    </row>
    <row r="112" spans="1:20" ht="15" x14ac:dyDescent="0.25">
      <c r="A112" s="145">
        <v>2145</v>
      </c>
      <c r="B112" s="145">
        <v>21</v>
      </c>
      <c r="C112" s="145">
        <v>8</v>
      </c>
      <c r="D112" s="145">
        <v>0</v>
      </c>
      <c r="E112" s="145">
        <v>0</v>
      </c>
      <c r="F112" s="145">
        <v>0</v>
      </c>
      <c r="G112" s="145" t="s">
        <v>77</v>
      </c>
      <c r="H112" s="145">
        <v>3</v>
      </c>
      <c r="I112" s="145">
        <v>0</v>
      </c>
      <c r="J112" s="145">
        <v>2</v>
      </c>
      <c r="K112" s="145">
        <v>1</v>
      </c>
      <c r="L112" s="145">
        <v>0</v>
      </c>
      <c r="M112" s="145" t="s">
        <v>29</v>
      </c>
      <c r="N112" s="145">
        <v>4</v>
      </c>
      <c r="O112" s="145" t="s">
        <v>51</v>
      </c>
      <c r="P112" s="145" t="s">
        <v>203</v>
      </c>
      <c r="Q112" s="145" t="s">
        <v>204</v>
      </c>
      <c r="R112" s="145" t="s">
        <v>54</v>
      </c>
      <c r="S112" s="145" t="s">
        <v>252</v>
      </c>
      <c r="T112" s="148"/>
    </row>
    <row r="113" spans="1:20" ht="15" x14ac:dyDescent="0.25">
      <c r="A113" s="145">
        <v>66</v>
      </c>
      <c r="B113" s="145">
        <v>21</v>
      </c>
      <c r="C113" s="145">
        <v>6</v>
      </c>
      <c r="D113" s="145">
        <v>0</v>
      </c>
      <c r="E113" s="145">
        <v>0</v>
      </c>
      <c r="F113" s="145">
        <v>0</v>
      </c>
      <c r="G113" s="145" t="s">
        <v>77</v>
      </c>
      <c r="H113" s="145">
        <v>2</v>
      </c>
      <c r="I113" s="145">
        <v>0</v>
      </c>
      <c r="J113" s="145">
        <v>2</v>
      </c>
      <c r="K113" s="145">
        <v>0</v>
      </c>
      <c r="L113" s="145">
        <v>0</v>
      </c>
      <c r="M113" s="145" t="s">
        <v>29</v>
      </c>
      <c r="N113" s="145">
        <v>3</v>
      </c>
      <c r="O113" s="145" t="s">
        <v>52</v>
      </c>
      <c r="P113" s="145" t="s">
        <v>189</v>
      </c>
      <c r="Q113" s="145" t="s">
        <v>190</v>
      </c>
      <c r="R113" s="145" t="s">
        <v>55</v>
      </c>
      <c r="S113" s="145" t="s">
        <v>252</v>
      </c>
      <c r="T113" s="148"/>
    </row>
    <row r="114" spans="1:20" ht="15" x14ac:dyDescent="0.25">
      <c r="A114" s="145">
        <v>3537</v>
      </c>
      <c r="B114" s="145">
        <v>21</v>
      </c>
      <c r="C114" s="145">
        <v>0</v>
      </c>
      <c r="D114" s="145">
        <v>0</v>
      </c>
      <c r="E114" s="145">
        <v>0</v>
      </c>
      <c r="F114" s="145">
        <v>0</v>
      </c>
      <c r="G114" s="145" t="s">
        <v>3</v>
      </c>
      <c r="H114" s="145">
        <v>0</v>
      </c>
      <c r="I114" s="145">
        <v>0</v>
      </c>
      <c r="J114" s="145">
        <v>0</v>
      </c>
      <c r="K114" s="145">
        <v>0</v>
      </c>
      <c r="L114" s="145">
        <v>0</v>
      </c>
      <c r="M114" s="145" t="s">
        <v>30</v>
      </c>
      <c r="N114" s="145">
        <v>3</v>
      </c>
      <c r="O114" s="145" t="s">
        <v>50</v>
      </c>
      <c r="P114" s="145" t="s">
        <v>189</v>
      </c>
      <c r="Q114" s="145" t="s">
        <v>190</v>
      </c>
      <c r="R114" s="145" t="s">
        <v>55</v>
      </c>
      <c r="S114" s="145" t="s">
        <v>252</v>
      </c>
      <c r="T114" s="148"/>
    </row>
    <row r="115" spans="1:20" ht="15" x14ac:dyDescent="0.25">
      <c r="A115" s="145">
        <v>1684</v>
      </c>
      <c r="B115" s="145">
        <v>21</v>
      </c>
      <c r="C115" s="145">
        <v>6</v>
      </c>
      <c r="D115" s="145">
        <v>0</v>
      </c>
      <c r="E115" s="145">
        <v>0</v>
      </c>
      <c r="F115" s="145">
        <v>0</v>
      </c>
      <c r="G115" s="145" t="s">
        <v>3</v>
      </c>
      <c r="H115" s="145">
        <v>2</v>
      </c>
      <c r="I115" s="145">
        <v>0</v>
      </c>
      <c r="J115" s="145">
        <v>2</v>
      </c>
      <c r="K115" s="145">
        <v>0</v>
      </c>
      <c r="L115" s="145">
        <v>0</v>
      </c>
      <c r="M115" s="145" t="s">
        <v>29</v>
      </c>
      <c r="N115" s="145">
        <v>4</v>
      </c>
      <c r="O115" s="145" t="s">
        <v>52</v>
      </c>
      <c r="P115" s="145" t="s">
        <v>189</v>
      </c>
      <c r="Q115" s="145" t="s">
        <v>190</v>
      </c>
      <c r="R115" s="145" t="s">
        <v>54</v>
      </c>
      <c r="S115" s="145" t="s">
        <v>253</v>
      </c>
      <c r="T115" s="148"/>
    </row>
    <row r="116" spans="1:20" ht="15" x14ac:dyDescent="0.25">
      <c r="A116" s="145">
        <v>1025</v>
      </c>
      <c r="B116" s="145">
        <v>22</v>
      </c>
      <c r="C116" s="145">
        <v>0</v>
      </c>
      <c r="D116" s="145">
        <v>0</v>
      </c>
      <c r="E116" s="145">
        <v>0</v>
      </c>
      <c r="F116" s="145">
        <v>0</v>
      </c>
      <c r="G116" s="145" t="s">
        <v>77</v>
      </c>
      <c r="H116" s="145">
        <v>0</v>
      </c>
      <c r="I116" s="145">
        <v>0</v>
      </c>
      <c r="J116" s="145">
        <v>0</v>
      </c>
      <c r="K116" s="145">
        <v>0</v>
      </c>
      <c r="L116" s="145">
        <v>0</v>
      </c>
      <c r="M116" s="145" t="s">
        <v>30</v>
      </c>
      <c r="N116" s="145">
        <v>2</v>
      </c>
      <c r="O116" s="145" t="s">
        <v>52</v>
      </c>
      <c r="P116" s="145" t="s">
        <v>189</v>
      </c>
      <c r="Q116" s="145" t="s">
        <v>190</v>
      </c>
      <c r="R116" s="145" t="s">
        <v>55</v>
      </c>
      <c r="S116" s="145" t="s">
        <v>254</v>
      </c>
      <c r="T116" s="148"/>
    </row>
    <row r="117" spans="1:20" ht="15" x14ac:dyDescent="0.25">
      <c r="A117" s="145">
        <v>3773</v>
      </c>
      <c r="B117" s="145">
        <v>22</v>
      </c>
      <c r="C117" s="145">
        <v>0</v>
      </c>
      <c r="D117" s="145">
        <v>0</v>
      </c>
      <c r="E117" s="145">
        <v>0</v>
      </c>
      <c r="F117" s="145">
        <v>0</v>
      </c>
      <c r="G117" s="145" t="s">
        <v>3</v>
      </c>
      <c r="H117" s="145">
        <v>0</v>
      </c>
      <c r="I117" s="145">
        <v>0</v>
      </c>
      <c r="J117" s="145">
        <v>0</v>
      </c>
      <c r="K117" s="145">
        <v>0</v>
      </c>
      <c r="L117" s="145">
        <v>0</v>
      </c>
      <c r="M117" s="145" t="s">
        <v>29</v>
      </c>
      <c r="N117" s="145">
        <v>3</v>
      </c>
      <c r="O117" s="145" t="s">
        <v>52</v>
      </c>
      <c r="P117" s="145" t="s">
        <v>206</v>
      </c>
      <c r="Q117" s="145" t="s">
        <v>206</v>
      </c>
      <c r="R117" s="145" t="s">
        <v>55</v>
      </c>
      <c r="S117" s="145" t="s">
        <v>255</v>
      </c>
      <c r="T117" s="148"/>
    </row>
    <row r="118" spans="1:20" ht="15" x14ac:dyDescent="0.25">
      <c r="A118" s="145">
        <v>240</v>
      </c>
      <c r="B118" s="145">
        <v>22</v>
      </c>
      <c r="C118" s="145">
        <v>0</v>
      </c>
      <c r="D118" s="145">
        <v>0</v>
      </c>
      <c r="E118" s="145">
        <v>0</v>
      </c>
      <c r="F118" s="145">
        <v>0</v>
      </c>
      <c r="G118" s="145" t="s">
        <v>77</v>
      </c>
      <c r="H118" s="145">
        <v>0</v>
      </c>
      <c r="I118" s="145">
        <v>0</v>
      </c>
      <c r="J118" s="145">
        <v>0</v>
      </c>
      <c r="K118" s="145">
        <v>0</v>
      </c>
      <c r="L118" s="145">
        <v>0</v>
      </c>
      <c r="M118" s="145" t="s">
        <v>29</v>
      </c>
      <c r="N118" s="145">
        <v>1</v>
      </c>
      <c r="O118" s="145" t="s">
        <v>51</v>
      </c>
      <c r="P118" s="145" t="s">
        <v>206</v>
      </c>
      <c r="Q118" s="145" t="s">
        <v>204</v>
      </c>
      <c r="R118" s="145" t="s">
        <v>54</v>
      </c>
      <c r="S118" s="145" t="s">
        <v>256</v>
      </c>
      <c r="T118" s="148"/>
    </row>
    <row r="119" spans="1:20" ht="15" x14ac:dyDescent="0.25">
      <c r="A119" s="145">
        <v>3668</v>
      </c>
      <c r="B119" s="145">
        <v>22</v>
      </c>
      <c r="C119" s="145">
        <v>0</v>
      </c>
      <c r="D119" s="145">
        <v>0</v>
      </c>
      <c r="E119" s="145">
        <v>0</v>
      </c>
      <c r="F119" s="145">
        <v>0</v>
      </c>
      <c r="G119" s="145" t="s">
        <v>3</v>
      </c>
      <c r="H119" s="145">
        <v>0</v>
      </c>
      <c r="I119" s="145">
        <v>0</v>
      </c>
      <c r="J119" s="145">
        <v>0</v>
      </c>
      <c r="K119" s="145">
        <v>0</v>
      </c>
      <c r="L119" s="145">
        <v>0</v>
      </c>
      <c r="M119" s="145" t="s">
        <v>29</v>
      </c>
      <c r="N119" s="145">
        <v>3</v>
      </c>
      <c r="O119" s="145" t="s">
        <v>52</v>
      </c>
      <c r="P119" s="145" t="s">
        <v>206</v>
      </c>
      <c r="Q119" s="145" t="s">
        <v>206</v>
      </c>
      <c r="R119" s="145" t="s">
        <v>55</v>
      </c>
      <c r="S119" s="145" t="s">
        <v>257</v>
      </c>
      <c r="T119" s="148"/>
    </row>
    <row r="120" spans="1:20" ht="15" x14ac:dyDescent="0.25">
      <c r="A120" s="145">
        <v>573</v>
      </c>
      <c r="B120" s="145">
        <v>22</v>
      </c>
      <c r="C120" s="145">
        <v>37</v>
      </c>
      <c r="D120" s="145">
        <v>1</v>
      </c>
      <c r="E120" s="145">
        <v>0</v>
      </c>
      <c r="F120" s="145">
        <v>0</v>
      </c>
      <c r="G120" s="145" t="s">
        <v>77</v>
      </c>
      <c r="H120" s="145">
        <v>6</v>
      </c>
      <c r="I120" s="145">
        <v>1</v>
      </c>
      <c r="J120" s="145">
        <v>4</v>
      </c>
      <c r="K120" s="145">
        <v>2</v>
      </c>
      <c r="L120" s="145">
        <v>0</v>
      </c>
      <c r="M120" s="145" t="s">
        <v>30</v>
      </c>
      <c r="N120" s="145">
        <v>4</v>
      </c>
      <c r="O120" s="145" t="s">
        <v>51</v>
      </c>
      <c r="P120" s="145" t="s">
        <v>189</v>
      </c>
      <c r="Q120" s="145" t="s">
        <v>190</v>
      </c>
      <c r="R120" s="145" t="s">
        <v>55</v>
      </c>
      <c r="S120" s="145" t="s">
        <v>257</v>
      </c>
      <c r="T120" s="148"/>
    </row>
    <row r="121" spans="1:20" ht="15" x14ac:dyDescent="0.25">
      <c r="A121" s="145">
        <v>2337</v>
      </c>
      <c r="B121" s="145">
        <v>22</v>
      </c>
      <c r="C121" s="145">
        <v>43</v>
      </c>
      <c r="D121" s="145">
        <v>0</v>
      </c>
      <c r="E121" s="145">
        <v>0</v>
      </c>
      <c r="F121" s="145">
        <v>0</v>
      </c>
      <c r="G121" s="145" t="s">
        <v>78</v>
      </c>
      <c r="H121" s="145">
        <v>5</v>
      </c>
      <c r="I121" s="145">
        <v>0</v>
      </c>
      <c r="J121" s="145">
        <v>3</v>
      </c>
      <c r="K121" s="145">
        <v>2</v>
      </c>
      <c r="L121" s="145">
        <v>0</v>
      </c>
      <c r="M121" s="145" t="s">
        <v>25</v>
      </c>
      <c r="N121" s="145">
        <v>5</v>
      </c>
      <c r="O121" s="145" t="s">
        <v>51</v>
      </c>
      <c r="P121" s="145" t="s">
        <v>189</v>
      </c>
      <c r="Q121" s="145" t="s">
        <v>190</v>
      </c>
      <c r="R121" s="145" t="s">
        <v>55</v>
      </c>
      <c r="S121" s="145" t="s">
        <v>255</v>
      </c>
      <c r="T121" s="148"/>
    </row>
    <row r="122" spans="1:20" ht="15" x14ac:dyDescent="0.25">
      <c r="A122" s="145">
        <v>70</v>
      </c>
      <c r="B122" s="145">
        <v>23</v>
      </c>
      <c r="C122" s="145">
        <v>30</v>
      </c>
      <c r="D122" s="145">
        <v>1</v>
      </c>
      <c r="E122" s="145">
        <v>0</v>
      </c>
      <c r="F122" s="145">
        <v>0</v>
      </c>
      <c r="G122" s="145" t="s">
        <v>77</v>
      </c>
      <c r="H122" s="145">
        <v>3</v>
      </c>
      <c r="I122" s="145">
        <v>1</v>
      </c>
      <c r="J122" s="145">
        <v>3</v>
      </c>
      <c r="K122" s="145">
        <v>0</v>
      </c>
      <c r="L122" s="145">
        <v>0</v>
      </c>
      <c r="M122" s="145" t="s">
        <v>30</v>
      </c>
      <c r="N122" s="145">
        <v>3</v>
      </c>
      <c r="O122" s="145" t="s">
        <v>51</v>
      </c>
      <c r="P122" s="145" t="s">
        <v>189</v>
      </c>
      <c r="Q122" s="145" t="s">
        <v>190</v>
      </c>
      <c r="R122" s="145" t="s">
        <v>54</v>
      </c>
      <c r="S122" s="145" t="s">
        <v>258</v>
      </c>
      <c r="T122" s="148"/>
    </row>
    <row r="123" spans="1:20" ht="15" x14ac:dyDescent="0.25">
      <c r="A123" s="145">
        <v>2627</v>
      </c>
      <c r="B123" s="145">
        <v>23</v>
      </c>
      <c r="C123" s="145">
        <v>0</v>
      </c>
      <c r="D123" s="145">
        <v>0</v>
      </c>
      <c r="E123" s="145">
        <v>0</v>
      </c>
      <c r="F123" s="145">
        <v>0</v>
      </c>
      <c r="G123" s="145" t="s">
        <v>3</v>
      </c>
      <c r="H123" s="145">
        <v>0</v>
      </c>
      <c r="I123" s="145">
        <v>0</v>
      </c>
      <c r="J123" s="145">
        <v>0</v>
      </c>
      <c r="K123" s="145">
        <v>0</v>
      </c>
      <c r="L123" s="145">
        <v>0</v>
      </c>
      <c r="M123" s="145" t="s">
        <v>29</v>
      </c>
      <c r="N123" s="145">
        <v>5</v>
      </c>
      <c r="O123" s="145" t="s">
        <v>50</v>
      </c>
      <c r="P123" s="145" t="s">
        <v>192</v>
      </c>
      <c r="Q123" s="145" t="s">
        <v>190</v>
      </c>
      <c r="R123" s="145" t="s">
        <v>55</v>
      </c>
      <c r="S123" s="145" t="s">
        <v>259</v>
      </c>
      <c r="T123" s="148"/>
    </row>
    <row r="124" spans="1:20" ht="15" x14ac:dyDescent="0.25">
      <c r="A124" s="145">
        <v>70</v>
      </c>
      <c r="B124" s="145">
        <v>23</v>
      </c>
      <c r="C124" s="145">
        <v>15</v>
      </c>
      <c r="D124" s="145">
        <v>1</v>
      </c>
      <c r="E124" s="145">
        <v>0</v>
      </c>
      <c r="F124" s="145">
        <v>0</v>
      </c>
      <c r="G124" s="145" t="s">
        <v>77</v>
      </c>
      <c r="H124" s="145">
        <v>2</v>
      </c>
      <c r="I124" s="145">
        <v>0</v>
      </c>
      <c r="J124" s="145">
        <v>2</v>
      </c>
      <c r="K124" s="145">
        <v>0</v>
      </c>
      <c r="L124" s="145">
        <v>0</v>
      </c>
      <c r="M124" s="145" t="s">
        <v>30</v>
      </c>
      <c r="N124" s="145">
        <v>3</v>
      </c>
      <c r="O124" s="145" t="s">
        <v>52</v>
      </c>
      <c r="P124" s="145" t="s">
        <v>189</v>
      </c>
      <c r="Q124" s="145" t="s">
        <v>190</v>
      </c>
      <c r="R124" s="145" t="s">
        <v>55</v>
      </c>
      <c r="S124" s="145" t="s">
        <v>260</v>
      </c>
      <c r="T124" s="148"/>
    </row>
    <row r="125" spans="1:20" ht="15" x14ac:dyDescent="0.25">
      <c r="A125" s="145">
        <v>1502</v>
      </c>
      <c r="B125" s="145">
        <v>23</v>
      </c>
      <c r="C125" s="145">
        <v>0</v>
      </c>
      <c r="D125" s="145">
        <v>0</v>
      </c>
      <c r="E125" s="145">
        <v>0</v>
      </c>
      <c r="F125" s="145">
        <v>0</v>
      </c>
      <c r="G125" s="145" t="s">
        <v>3</v>
      </c>
      <c r="H125" s="145">
        <v>0</v>
      </c>
      <c r="I125" s="145">
        <v>0</v>
      </c>
      <c r="J125" s="145">
        <v>0</v>
      </c>
      <c r="K125" s="145">
        <v>0</v>
      </c>
      <c r="L125" s="145">
        <v>0</v>
      </c>
      <c r="M125" s="145" t="s">
        <v>29</v>
      </c>
      <c r="N125" s="145">
        <v>3</v>
      </c>
      <c r="O125" s="145" t="s">
        <v>52</v>
      </c>
      <c r="P125" s="145" t="s">
        <v>189</v>
      </c>
      <c r="Q125" s="145" t="s">
        <v>190</v>
      </c>
      <c r="R125" s="145" t="s">
        <v>54</v>
      </c>
      <c r="S125" s="145" t="s">
        <v>254</v>
      </c>
      <c r="T125" s="148"/>
    </row>
    <row r="126" spans="1:20" ht="15" x14ac:dyDescent="0.25">
      <c r="A126" s="145">
        <v>3536</v>
      </c>
      <c r="B126" s="145">
        <v>23</v>
      </c>
      <c r="C126" s="145">
        <v>32</v>
      </c>
      <c r="D126" s="145">
        <v>0</v>
      </c>
      <c r="E126" s="145">
        <v>0</v>
      </c>
      <c r="F126" s="145">
        <v>1</v>
      </c>
      <c r="G126" s="145" t="s">
        <v>78</v>
      </c>
      <c r="H126" s="145">
        <v>0</v>
      </c>
      <c r="I126" s="145">
        <v>0</v>
      </c>
      <c r="J126" s="145">
        <v>0</v>
      </c>
      <c r="K126" s="145">
        <v>0</v>
      </c>
      <c r="L126" s="145">
        <v>0</v>
      </c>
      <c r="M126" s="145" t="s">
        <v>25</v>
      </c>
      <c r="N126" s="145">
        <v>5</v>
      </c>
      <c r="O126" s="145" t="s">
        <v>50</v>
      </c>
      <c r="P126" s="145" t="s">
        <v>192</v>
      </c>
      <c r="Q126" s="145" t="s">
        <v>190</v>
      </c>
      <c r="R126" s="145" t="s">
        <v>54</v>
      </c>
      <c r="S126" s="145" t="s">
        <v>261</v>
      </c>
      <c r="T126" s="148"/>
    </row>
    <row r="127" spans="1:20" ht="15" x14ac:dyDescent="0.25">
      <c r="A127" s="145">
        <v>894</v>
      </c>
      <c r="B127" s="145">
        <v>23</v>
      </c>
      <c r="C127" s="145">
        <v>3</v>
      </c>
      <c r="D127" s="145">
        <v>0</v>
      </c>
      <c r="E127" s="145">
        <v>0</v>
      </c>
      <c r="F127" s="145">
        <v>0</v>
      </c>
      <c r="G127" s="145" t="s">
        <v>77</v>
      </c>
      <c r="H127" s="145">
        <v>1</v>
      </c>
      <c r="I127" s="145">
        <v>0</v>
      </c>
      <c r="J127" s="145">
        <v>1</v>
      </c>
      <c r="K127" s="145">
        <v>0</v>
      </c>
      <c r="L127" s="145">
        <v>0</v>
      </c>
      <c r="M127" s="145" t="s">
        <v>30</v>
      </c>
      <c r="N127" s="145">
        <v>3</v>
      </c>
      <c r="O127" s="145" t="s">
        <v>52</v>
      </c>
      <c r="P127" s="145" t="s">
        <v>189</v>
      </c>
      <c r="Q127" s="145" t="s">
        <v>190</v>
      </c>
      <c r="R127" s="145" t="s">
        <v>55</v>
      </c>
      <c r="S127" s="145" t="s">
        <v>262</v>
      </c>
      <c r="T127" s="148"/>
    </row>
    <row r="128" spans="1:20" ht="15" x14ac:dyDescent="0.25">
      <c r="A128" s="145">
        <v>1076</v>
      </c>
      <c r="B128" s="145">
        <v>24</v>
      </c>
      <c r="C128" s="145">
        <v>0</v>
      </c>
      <c r="D128" s="145">
        <v>0</v>
      </c>
      <c r="E128" s="145">
        <v>0</v>
      </c>
      <c r="F128" s="145">
        <v>0</v>
      </c>
      <c r="G128" s="145" t="s">
        <v>77</v>
      </c>
      <c r="H128" s="145">
        <v>0</v>
      </c>
      <c r="I128" s="145">
        <v>0</v>
      </c>
      <c r="J128" s="145">
        <v>0</v>
      </c>
      <c r="K128" s="145">
        <v>0</v>
      </c>
      <c r="L128" s="145">
        <v>0</v>
      </c>
      <c r="M128" s="145" t="s">
        <v>29</v>
      </c>
      <c r="N128" s="145">
        <v>2</v>
      </c>
      <c r="O128" s="145" t="s">
        <v>52</v>
      </c>
      <c r="P128" s="145" t="s">
        <v>206</v>
      </c>
      <c r="Q128" s="145" t="s">
        <v>206</v>
      </c>
      <c r="R128" s="145" t="s">
        <v>55</v>
      </c>
      <c r="S128" s="145" t="s">
        <v>263</v>
      </c>
      <c r="T128" s="148"/>
    </row>
    <row r="129" spans="1:20" ht="15" x14ac:dyDescent="0.25">
      <c r="A129" s="145">
        <v>3638</v>
      </c>
      <c r="B129" s="145">
        <v>24</v>
      </c>
      <c r="C129" s="145">
        <v>4</v>
      </c>
      <c r="D129" s="145">
        <v>0</v>
      </c>
      <c r="E129" s="145">
        <v>1</v>
      </c>
      <c r="F129" s="145">
        <v>0</v>
      </c>
      <c r="G129" s="145" t="s">
        <v>78</v>
      </c>
      <c r="H129" s="145">
        <v>0</v>
      </c>
      <c r="I129" s="145">
        <v>0</v>
      </c>
      <c r="J129" s="145">
        <v>0</v>
      </c>
      <c r="K129" s="145">
        <v>0</v>
      </c>
      <c r="L129" s="145">
        <v>0</v>
      </c>
      <c r="M129" s="145" t="s">
        <v>29</v>
      </c>
      <c r="N129" s="145">
        <v>2</v>
      </c>
      <c r="O129" s="145" t="s">
        <v>50</v>
      </c>
      <c r="P129" s="145" t="s">
        <v>192</v>
      </c>
      <c r="Q129" s="145" t="s">
        <v>204</v>
      </c>
      <c r="R129" s="145" t="s">
        <v>55</v>
      </c>
      <c r="S129" s="145" t="s">
        <v>263</v>
      </c>
      <c r="T129" s="148"/>
    </row>
    <row r="130" spans="1:20" ht="15" x14ac:dyDescent="0.25">
      <c r="A130" s="145">
        <v>862</v>
      </c>
      <c r="B130" s="145">
        <v>24</v>
      </c>
      <c r="C130" s="145">
        <v>3</v>
      </c>
      <c r="D130" s="145">
        <v>0</v>
      </c>
      <c r="E130" s="145">
        <v>0</v>
      </c>
      <c r="F130" s="145">
        <v>0</v>
      </c>
      <c r="G130" s="145" t="s">
        <v>3</v>
      </c>
      <c r="H130" s="145">
        <v>1</v>
      </c>
      <c r="I130" s="145">
        <v>0</v>
      </c>
      <c r="J130" s="145">
        <v>1</v>
      </c>
      <c r="K130" s="145">
        <v>0</v>
      </c>
      <c r="L130" s="145">
        <v>0</v>
      </c>
      <c r="M130" s="145" t="s">
        <v>29</v>
      </c>
      <c r="N130" s="145">
        <v>3</v>
      </c>
      <c r="O130" s="145" t="s">
        <v>52</v>
      </c>
      <c r="P130" s="145" t="s">
        <v>189</v>
      </c>
      <c r="Q130" s="145" t="s">
        <v>190</v>
      </c>
      <c r="R130" s="145" t="s">
        <v>55</v>
      </c>
      <c r="S130" s="145" t="s">
        <v>263</v>
      </c>
      <c r="T130" s="148"/>
    </row>
    <row r="131" spans="1:20" ht="15" x14ac:dyDescent="0.25">
      <c r="A131" s="145">
        <v>3098</v>
      </c>
      <c r="B131" s="145">
        <v>24</v>
      </c>
      <c r="C131" s="145">
        <v>36</v>
      </c>
      <c r="D131" s="145">
        <v>0</v>
      </c>
      <c r="E131" s="145">
        <v>0</v>
      </c>
      <c r="F131" s="145">
        <v>0</v>
      </c>
      <c r="G131" s="145" t="s">
        <v>3</v>
      </c>
      <c r="H131" s="145">
        <v>6</v>
      </c>
      <c r="I131" s="145">
        <v>2</v>
      </c>
      <c r="J131" s="145">
        <v>6</v>
      </c>
      <c r="K131" s="145">
        <v>0</v>
      </c>
      <c r="L131" s="145">
        <v>0</v>
      </c>
      <c r="M131" s="145" t="s">
        <v>30</v>
      </c>
      <c r="N131" s="145">
        <v>4</v>
      </c>
      <c r="O131" s="145" t="s">
        <v>51</v>
      </c>
      <c r="P131" s="145" t="s">
        <v>189</v>
      </c>
      <c r="Q131" s="145" t="s">
        <v>190</v>
      </c>
      <c r="R131" s="145" t="s">
        <v>55</v>
      </c>
      <c r="S131" s="145" t="s">
        <v>263</v>
      </c>
      <c r="T131" s="148"/>
    </row>
    <row r="132" spans="1:20" ht="15" x14ac:dyDescent="0.25">
      <c r="A132" s="145">
        <v>1076</v>
      </c>
      <c r="B132" s="145">
        <v>24</v>
      </c>
      <c r="C132" s="145">
        <v>0</v>
      </c>
      <c r="D132" s="145">
        <v>0</v>
      </c>
      <c r="E132" s="145">
        <v>0</v>
      </c>
      <c r="F132" s="145">
        <v>0</v>
      </c>
      <c r="G132" s="145" t="s">
        <v>77</v>
      </c>
      <c r="H132" s="145">
        <v>0</v>
      </c>
      <c r="I132" s="145">
        <v>0</v>
      </c>
      <c r="J132" s="145">
        <v>0</v>
      </c>
      <c r="K132" s="145">
        <v>0</v>
      </c>
      <c r="L132" s="145">
        <v>0</v>
      </c>
      <c r="M132" s="145" t="s">
        <v>30</v>
      </c>
      <c r="N132" s="145">
        <v>2</v>
      </c>
      <c r="O132" s="145" t="s">
        <v>52</v>
      </c>
      <c r="P132" s="145" t="s">
        <v>206</v>
      </c>
      <c r="Q132" s="145" t="s">
        <v>204</v>
      </c>
      <c r="R132" s="145" t="s">
        <v>55</v>
      </c>
      <c r="S132" s="145" t="s">
        <v>263</v>
      </c>
      <c r="T132" s="148"/>
    </row>
    <row r="133" spans="1:20" ht="15" x14ac:dyDescent="0.25">
      <c r="A133" s="145">
        <v>470</v>
      </c>
      <c r="B133" s="145">
        <v>25</v>
      </c>
      <c r="C133" s="145">
        <v>3</v>
      </c>
      <c r="D133" s="145">
        <v>0</v>
      </c>
      <c r="E133" s="145">
        <v>0</v>
      </c>
      <c r="F133" s="145">
        <v>0</v>
      </c>
      <c r="G133" s="145" t="s">
        <v>77</v>
      </c>
      <c r="H133" s="145">
        <v>1</v>
      </c>
      <c r="I133" s="145">
        <v>0</v>
      </c>
      <c r="J133" s="145">
        <v>1</v>
      </c>
      <c r="K133" s="145">
        <v>0</v>
      </c>
      <c r="L133" s="145">
        <v>0</v>
      </c>
      <c r="M133" s="145" t="s">
        <v>29</v>
      </c>
      <c r="N133" s="145">
        <v>2</v>
      </c>
      <c r="O133" s="145" t="s">
        <v>52</v>
      </c>
      <c r="P133" s="145" t="s">
        <v>189</v>
      </c>
      <c r="Q133" s="145" t="s">
        <v>190</v>
      </c>
      <c r="R133" s="145" t="s">
        <v>55</v>
      </c>
      <c r="S133" s="145" t="s">
        <v>264</v>
      </c>
      <c r="T133" s="148"/>
    </row>
    <row r="134" spans="1:20" ht="15" x14ac:dyDescent="0.25">
      <c r="A134" s="145">
        <v>3535</v>
      </c>
      <c r="B134" s="145">
        <v>25</v>
      </c>
      <c r="C134" s="145">
        <v>4</v>
      </c>
      <c r="D134" s="145">
        <v>0</v>
      </c>
      <c r="E134" s="145">
        <v>0</v>
      </c>
      <c r="F134" s="145">
        <v>0</v>
      </c>
      <c r="G134" s="145" t="s">
        <v>77</v>
      </c>
      <c r="H134" s="145">
        <v>2</v>
      </c>
      <c r="I134" s="145">
        <v>0</v>
      </c>
      <c r="J134" s="145">
        <v>0</v>
      </c>
      <c r="K134" s="145">
        <v>2</v>
      </c>
      <c r="L134" s="145">
        <v>0</v>
      </c>
      <c r="M134" s="145" t="s">
        <v>30</v>
      </c>
      <c r="N134" s="145">
        <v>2</v>
      </c>
      <c r="O134" s="145" t="s">
        <v>51</v>
      </c>
      <c r="P134" s="145" t="s">
        <v>189</v>
      </c>
      <c r="Q134" s="145" t="s">
        <v>190</v>
      </c>
      <c r="R134" s="145" t="s">
        <v>55</v>
      </c>
      <c r="S134" s="145" t="s">
        <v>265</v>
      </c>
      <c r="T134" s="148"/>
    </row>
    <row r="135" spans="1:20" ht="15" x14ac:dyDescent="0.25">
      <c r="A135" s="145">
        <v>3548</v>
      </c>
      <c r="B135" s="145">
        <v>25</v>
      </c>
      <c r="C135" s="145">
        <v>0</v>
      </c>
      <c r="D135" s="145">
        <v>0</v>
      </c>
      <c r="E135" s="145">
        <v>0</v>
      </c>
      <c r="F135" s="145">
        <v>0</v>
      </c>
      <c r="G135" s="145" t="s">
        <v>3</v>
      </c>
      <c r="H135" s="145">
        <v>0</v>
      </c>
      <c r="I135" s="145">
        <v>0</v>
      </c>
      <c r="J135" s="145">
        <v>0</v>
      </c>
      <c r="K135" s="145">
        <v>0</v>
      </c>
      <c r="L135" s="145">
        <v>0</v>
      </c>
      <c r="M135" s="145" t="s">
        <v>29</v>
      </c>
      <c r="N135" s="145">
        <v>3</v>
      </c>
      <c r="O135" s="145" t="s">
        <v>52</v>
      </c>
      <c r="P135" s="145" t="s">
        <v>203</v>
      </c>
      <c r="Q135" s="145" t="s">
        <v>190</v>
      </c>
      <c r="R135" s="145" t="s">
        <v>54</v>
      </c>
      <c r="S135" s="145" t="s">
        <v>266</v>
      </c>
      <c r="T135" s="148"/>
    </row>
    <row r="136" spans="1:20" ht="15" x14ac:dyDescent="0.25">
      <c r="A136" s="145">
        <v>3535</v>
      </c>
      <c r="B136" s="145">
        <v>25</v>
      </c>
      <c r="C136" s="145">
        <v>4</v>
      </c>
      <c r="D136" s="145">
        <v>0</v>
      </c>
      <c r="E136" s="145">
        <v>0</v>
      </c>
      <c r="F136" s="145">
        <v>0</v>
      </c>
      <c r="G136" s="145" t="s">
        <v>77</v>
      </c>
      <c r="H136" s="145">
        <v>2</v>
      </c>
      <c r="I136" s="145">
        <v>0</v>
      </c>
      <c r="J136" s="145">
        <v>0</v>
      </c>
      <c r="K136" s="145">
        <v>2</v>
      </c>
      <c r="L136" s="145">
        <v>0</v>
      </c>
      <c r="M136" s="145" t="s">
        <v>30</v>
      </c>
      <c r="N136" s="145">
        <v>2</v>
      </c>
      <c r="O136" s="145" t="s">
        <v>51</v>
      </c>
      <c r="P136" s="145" t="s">
        <v>189</v>
      </c>
      <c r="Q136" s="145" t="s">
        <v>190</v>
      </c>
      <c r="R136" s="145" t="s">
        <v>55</v>
      </c>
      <c r="S136" s="145" t="s">
        <v>264</v>
      </c>
      <c r="T136" s="148"/>
    </row>
    <row r="137" spans="1:20" ht="15" x14ac:dyDescent="0.25">
      <c r="A137" s="145">
        <v>3707</v>
      </c>
      <c r="B137" s="145">
        <v>25</v>
      </c>
      <c r="C137" s="145">
        <v>12</v>
      </c>
      <c r="D137" s="145">
        <v>0</v>
      </c>
      <c r="E137" s="145">
        <v>0</v>
      </c>
      <c r="F137" s="145">
        <v>0</v>
      </c>
      <c r="G137" s="145" t="s">
        <v>3</v>
      </c>
      <c r="H137" s="145">
        <v>3</v>
      </c>
      <c r="I137" s="145">
        <v>1</v>
      </c>
      <c r="J137" s="145">
        <v>0</v>
      </c>
      <c r="K137" s="145">
        <v>3</v>
      </c>
      <c r="L137" s="145">
        <v>0</v>
      </c>
      <c r="M137" s="145" t="s">
        <v>29</v>
      </c>
      <c r="N137" s="145">
        <v>5</v>
      </c>
      <c r="O137" s="145" t="s">
        <v>51</v>
      </c>
      <c r="P137" s="145" t="s">
        <v>206</v>
      </c>
      <c r="Q137" s="145" t="s">
        <v>204</v>
      </c>
      <c r="R137" s="145" t="s">
        <v>55</v>
      </c>
      <c r="S137" s="145" t="s">
        <v>266</v>
      </c>
      <c r="T137" s="148"/>
    </row>
    <row r="138" spans="1:20" ht="15" x14ac:dyDescent="0.25">
      <c r="A138" s="145">
        <v>3641</v>
      </c>
      <c r="B138" s="145">
        <v>25</v>
      </c>
      <c r="C138" s="145">
        <v>0</v>
      </c>
      <c r="D138" s="145">
        <v>0</v>
      </c>
      <c r="E138" s="145">
        <v>0</v>
      </c>
      <c r="F138" s="145">
        <v>0</v>
      </c>
      <c r="G138" s="145" t="s">
        <v>78</v>
      </c>
      <c r="H138" s="145">
        <v>0</v>
      </c>
      <c r="I138" s="145">
        <v>0</v>
      </c>
      <c r="J138" s="145">
        <v>0</v>
      </c>
      <c r="K138" s="145">
        <v>0</v>
      </c>
      <c r="L138" s="145">
        <v>0</v>
      </c>
      <c r="M138" s="145" t="s">
        <v>29</v>
      </c>
      <c r="N138" s="145">
        <v>1</v>
      </c>
      <c r="O138" s="145" t="s">
        <v>50</v>
      </c>
      <c r="P138" s="145" t="s">
        <v>192</v>
      </c>
      <c r="Q138" s="145" t="s">
        <v>190</v>
      </c>
      <c r="R138" s="145" t="s">
        <v>55</v>
      </c>
      <c r="S138" s="145" t="s">
        <v>267</v>
      </c>
      <c r="T138" s="148"/>
    </row>
    <row r="139" spans="1:20" ht="15" x14ac:dyDescent="0.25">
      <c r="A139" s="145">
        <v>3535</v>
      </c>
      <c r="B139" s="145">
        <v>25</v>
      </c>
      <c r="C139" s="145">
        <v>4</v>
      </c>
      <c r="D139" s="145">
        <v>0</v>
      </c>
      <c r="E139" s="145">
        <v>0</v>
      </c>
      <c r="F139" s="145">
        <v>0</v>
      </c>
      <c r="G139" s="145" t="s">
        <v>77</v>
      </c>
      <c r="H139" s="145">
        <v>2</v>
      </c>
      <c r="I139" s="145">
        <v>0</v>
      </c>
      <c r="J139" s="145">
        <v>0</v>
      </c>
      <c r="K139" s="145">
        <v>2</v>
      </c>
      <c r="L139" s="145">
        <v>0</v>
      </c>
      <c r="M139" s="145" t="s">
        <v>30</v>
      </c>
      <c r="N139" s="145">
        <v>2</v>
      </c>
      <c r="O139" s="145" t="s">
        <v>51</v>
      </c>
      <c r="P139" s="145" t="s">
        <v>189</v>
      </c>
      <c r="Q139" s="145" t="s">
        <v>190</v>
      </c>
      <c r="R139" s="145" t="s">
        <v>55</v>
      </c>
      <c r="S139" s="145" t="s">
        <v>268</v>
      </c>
      <c r="T139" s="148"/>
    </row>
    <row r="140" spans="1:20" ht="15" x14ac:dyDescent="0.25">
      <c r="A140" s="145">
        <v>3322</v>
      </c>
      <c r="B140" s="145">
        <v>26</v>
      </c>
      <c r="C140" s="145">
        <v>0</v>
      </c>
      <c r="D140" s="145">
        <v>0</v>
      </c>
      <c r="E140" s="145">
        <v>0</v>
      </c>
      <c r="F140" s="145">
        <v>0</v>
      </c>
      <c r="G140" s="145" t="s">
        <v>77</v>
      </c>
      <c r="H140" s="145">
        <v>0</v>
      </c>
      <c r="I140" s="145">
        <v>0</v>
      </c>
      <c r="J140" s="145">
        <v>0</v>
      </c>
      <c r="K140" s="145">
        <v>0</v>
      </c>
      <c r="L140" s="145">
        <v>0</v>
      </c>
      <c r="M140" s="145" t="s">
        <v>30</v>
      </c>
      <c r="N140" s="145">
        <v>3</v>
      </c>
      <c r="O140" s="145" t="s">
        <v>50</v>
      </c>
      <c r="P140" s="145" t="s">
        <v>189</v>
      </c>
      <c r="Q140" s="145" t="s">
        <v>190</v>
      </c>
      <c r="R140" s="145" t="s">
        <v>55</v>
      </c>
      <c r="S140" s="145" t="s">
        <v>269</v>
      </c>
      <c r="T140" s="148"/>
    </row>
    <row r="141" spans="1:20" ht="15" x14ac:dyDescent="0.25">
      <c r="A141" s="145">
        <v>302</v>
      </c>
      <c r="B141" s="145">
        <v>26</v>
      </c>
      <c r="C141" s="145">
        <v>4</v>
      </c>
      <c r="D141" s="145">
        <v>0</v>
      </c>
      <c r="E141" s="145">
        <v>0</v>
      </c>
      <c r="F141" s="145">
        <v>0</v>
      </c>
      <c r="G141" s="145" t="s">
        <v>3</v>
      </c>
      <c r="H141" s="145">
        <v>2</v>
      </c>
      <c r="I141" s="145">
        <v>0</v>
      </c>
      <c r="J141" s="145">
        <v>0</v>
      </c>
      <c r="K141" s="145">
        <v>2</v>
      </c>
      <c r="L141" s="145">
        <v>0</v>
      </c>
      <c r="M141" s="145" t="s">
        <v>29</v>
      </c>
      <c r="N141" s="145">
        <v>4</v>
      </c>
      <c r="O141" s="145" t="s">
        <v>52</v>
      </c>
      <c r="P141" s="145" t="s">
        <v>189</v>
      </c>
      <c r="Q141" s="145" t="s">
        <v>190</v>
      </c>
      <c r="R141" s="145" t="s">
        <v>55</v>
      </c>
      <c r="S141" s="145" t="s">
        <v>270</v>
      </c>
      <c r="T141" s="148"/>
    </row>
    <row r="142" spans="1:20" ht="15" x14ac:dyDescent="0.25">
      <c r="A142" s="145">
        <v>247</v>
      </c>
      <c r="B142" s="145">
        <v>26</v>
      </c>
      <c r="C142" s="145">
        <v>18</v>
      </c>
      <c r="D142" s="145">
        <v>0</v>
      </c>
      <c r="E142" s="145">
        <v>0</v>
      </c>
      <c r="F142" s="145">
        <v>0</v>
      </c>
      <c r="G142" s="145" t="s">
        <v>77</v>
      </c>
      <c r="H142" s="145">
        <v>3</v>
      </c>
      <c r="I142" s="145">
        <v>1</v>
      </c>
      <c r="J142" s="145">
        <v>3</v>
      </c>
      <c r="K142" s="145">
        <v>0</v>
      </c>
      <c r="L142" s="145">
        <v>0</v>
      </c>
      <c r="M142" s="145" t="s">
        <v>30</v>
      </c>
      <c r="N142" s="145">
        <v>4</v>
      </c>
      <c r="O142" s="145" t="s">
        <v>52</v>
      </c>
      <c r="P142" s="145" t="s">
        <v>189</v>
      </c>
      <c r="Q142" s="145" t="s">
        <v>190</v>
      </c>
      <c r="R142" s="145" t="s">
        <v>55</v>
      </c>
      <c r="S142" s="145" t="s">
        <v>269</v>
      </c>
      <c r="T142" s="148"/>
    </row>
    <row r="143" spans="1:20" ht="15" x14ac:dyDescent="0.25">
      <c r="A143" s="145">
        <v>2619</v>
      </c>
      <c r="B143" s="145">
        <v>26</v>
      </c>
      <c r="C143" s="145">
        <v>15</v>
      </c>
      <c r="D143" s="145">
        <v>1</v>
      </c>
      <c r="E143" s="145">
        <v>0</v>
      </c>
      <c r="F143" s="145">
        <v>0</v>
      </c>
      <c r="G143" s="145" t="s">
        <v>78</v>
      </c>
      <c r="H143" s="145">
        <v>2</v>
      </c>
      <c r="I143" s="145">
        <v>0</v>
      </c>
      <c r="J143" s="145">
        <v>2</v>
      </c>
      <c r="K143" s="145">
        <v>0</v>
      </c>
      <c r="L143" s="145">
        <v>0</v>
      </c>
      <c r="M143" s="145" t="s">
        <v>30</v>
      </c>
      <c r="N143" s="145">
        <v>4</v>
      </c>
      <c r="O143" s="145" t="s">
        <v>52</v>
      </c>
      <c r="P143" s="145" t="s">
        <v>189</v>
      </c>
      <c r="Q143" s="145" t="s">
        <v>190</v>
      </c>
      <c r="R143" s="145" t="s">
        <v>55</v>
      </c>
      <c r="S143" s="145" t="s">
        <v>270</v>
      </c>
      <c r="T143" s="148"/>
    </row>
    <row r="144" spans="1:20" ht="15" x14ac:dyDescent="0.25">
      <c r="A144" s="145">
        <v>3415</v>
      </c>
      <c r="B144" s="145">
        <v>26</v>
      </c>
      <c r="C144" s="145">
        <v>0</v>
      </c>
      <c r="D144" s="145">
        <v>0</v>
      </c>
      <c r="E144" s="145">
        <v>0</v>
      </c>
      <c r="F144" s="145">
        <v>0</v>
      </c>
      <c r="G144" s="145" t="s">
        <v>77</v>
      </c>
      <c r="H144" s="145">
        <v>0</v>
      </c>
      <c r="I144" s="145">
        <v>0</v>
      </c>
      <c r="J144" s="145">
        <v>0</v>
      </c>
      <c r="K144" s="145">
        <v>0</v>
      </c>
      <c r="L144" s="145">
        <v>0</v>
      </c>
      <c r="M144" s="145" t="s">
        <v>29</v>
      </c>
      <c r="N144" s="145">
        <v>3</v>
      </c>
      <c r="O144" s="145" t="s">
        <v>50</v>
      </c>
      <c r="P144" s="145" t="s">
        <v>189</v>
      </c>
      <c r="Q144" s="145" t="s">
        <v>190</v>
      </c>
      <c r="R144" s="145" t="s">
        <v>55</v>
      </c>
      <c r="S144" s="145" t="s">
        <v>271</v>
      </c>
      <c r="T144" s="148"/>
    </row>
    <row r="145" spans="1:20" ht="15" x14ac:dyDescent="0.25">
      <c r="A145" s="145">
        <v>1504</v>
      </c>
      <c r="B145" s="145">
        <v>26</v>
      </c>
      <c r="C145" s="145">
        <v>0</v>
      </c>
      <c r="D145" s="145">
        <v>0</v>
      </c>
      <c r="E145" s="145">
        <v>0</v>
      </c>
      <c r="F145" s="145">
        <v>0</v>
      </c>
      <c r="G145" s="145" t="s">
        <v>3</v>
      </c>
      <c r="H145" s="145">
        <v>0</v>
      </c>
      <c r="I145" s="145">
        <v>0</v>
      </c>
      <c r="J145" s="145">
        <v>0</v>
      </c>
      <c r="K145" s="145">
        <v>0</v>
      </c>
      <c r="L145" s="145">
        <v>0</v>
      </c>
      <c r="M145" s="145" t="s">
        <v>29</v>
      </c>
      <c r="N145" s="145">
        <v>1</v>
      </c>
      <c r="O145" s="145" t="s">
        <v>52</v>
      </c>
      <c r="P145" s="145" t="s">
        <v>192</v>
      </c>
      <c r="Q145" s="145" t="s">
        <v>192</v>
      </c>
      <c r="R145" s="145" t="s">
        <v>55</v>
      </c>
      <c r="S145" s="145" t="s">
        <v>272</v>
      </c>
      <c r="T145" s="148"/>
    </row>
    <row r="146" spans="1:20" ht="15" x14ac:dyDescent="0.25">
      <c r="A146" s="145">
        <v>494</v>
      </c>
      <c r="B146" s="145">
        <v>27</v>
      </c>
      <c r="C146" s="145">
        <v>36</v>
      </c>
      <c r="D146" s="145">
        <v>0</v>
      </c>
      <c r="E146" s="145">
        <v>0</v>
      </c>
      <c r="F146" s="145">
        <v>0</v>
      </c>
      <c r="G146" s="145" t="s">
        <v>77</v>
      </c>
      <c r="H146" s="145">
        <v>2</v>
      </c>
      <c r="I146" s="145">
        <v>0</v>
      </c>
      <c r="J146" s="145">
        <v>2</v>
      </c>
      <c r="K146" s="145">
        <v>0</v>
      </c>
      <c r="L146" s="145">
        <v>0</v>
      </c>
      <c r="M146" s="145" t="s">
        <v>25</v>
      </c>
      <c r="N146" s="145">
        <v>3</v>
      </c>
      <c r="O146" s="145" t="s">
        <v>52</v>
      </c>
      <c r="P146" s="145" t="s">
        <v>189</v>
      </c>
      <c r="Q146" s="145" t="s">
        <v>190</v>
      </c>
      <c r="R146" s="145" t="s">
        <v>55</v>
      </c>
      <c r="S146" s="145" t="s">
        <v>273</v>
      </c>
      <c r="T146" s="148"/>
    </row>
    <row r="147" spans="1:20" ht="15" x14ac:dyDescent="0.25">
      <c r="A147" s="145">
        <v>1322</v>
      </c>
      <c r="B147" s="145">
        <v>27</v>
      </c>
      <c r="C147" s="145">
        <v>35</v>
      </c>
      <c r="D147" s="145">
        <v>0</v>
      </c>
      <c r="E147" s="145">
        <v>1</v>
      </c>
      <c r="F147" s="145">
        <v>0</v>
      </c>
      <c r="G147" s="145" t="s">
        <v>78</v>
      </c>
      <c r="H147" s="145">
        <v>3</v>
      </c>
      <c r="I147" s="145">
        <v>1</v>
      </c>
      <c r="J147" s="145">
        <v>0</v>
      </c>
      <c r="K147" s="145">
        <v>3</v>
      </c>
      <c r="L147" s="145">
        <v>0</v>
      </c>
      <c r="M147" s="145" t="s">
        <v>27</v>
      </c>
      <c r="N147" s="145">
        <v>4</v>
      </c>
      <c r="O147" s="145" t="s">
        <v>52</v>
      </c>
      <c r="P147" s="145" t="s">
        <v>189</v>
      </c>
      <c r="Q147" s="145" t="s">
        <v>190</v>
      </c>
      <c r="R147" s="145" t="s">
        <v>55</v>
      </c>
      <c r="S147" s="145" t="s">
        <v>274</v>
      </c>
      <c r="T147" s="148"/>
    </row>
    <row r="148" spans="1:20" ht="15" x14ac:dyDescent="0.25">
      <c r="A148" s="145">
        <v>894</v>
      </c>
      <c r="B148" s="145">
        <v>27</v>
      </c>
      <c r="C148" s="145">
        <v>3</v>
      </c>
      <c r="D148" s="145">
        <v>0</v>
      </c>
      <c r="E148" s="145">
        <v>0</v>
      </c>
      <c r="F148" s="145">
        <v>0</v>
      </c>
      <c r="G148" s="145" t="s">
        <v>77</v>
      </c>
      <c r="H148" s="145">
        <v>1</v>
      </c>
      <c r="I148" s="145">
        <v>0</v>
      </c>
      <c r="J148" s="145">
        <v>1</v>
      </c>
      <c r="K148" s="145">
        <v>0</v>
      </c>
      <c r="L148" s="145">
        <v>0</v>
      </c>
      <c r="M148" s="145" t="s">
        <v>29</v>
      </c>
      <c r="N148" s="145">
        <v>2</v>
      </c>
      <c r="O148" s="145" t="s">
        <v>52</v>
      </c>
      <c r="P148" s="145" t="s">
        <v>189</v>
      </c>
      <c r="Q148" s="145" t="s">
        <v>190</v>
      </c>
      <c r="R148" s="145" t="s">
        <v>55</v>
      </c>
      <c r="S148" s="145" t="s">
        <v>274</v>
      </c>
      <c r="T148" s="148"/>
    </row>
    <row r="149" spans="1:20" ht="15" x14ac:dyDescent="0.25">
      <c r="A149" s="145">
        <v>548</v>
      </c>
      <c r="B149" s="145">
        <v>27</v>
      </c>
      <c r="C149" s="145">
        <v>31</v>
      </c>
      <c r="D149" s="145">
        <v>0</v>
      </c>
      <c r="E149" s="145">
        <v>0</v>
      </c>
      <c r="F149" s="145">
        <v>0</v>
      </c>
      <c r="G149" s="145" t="s">
        <v>3</v>
      </c>
      <c r="H149" s="145">
        <v>4</v>
      </c>
      <c r="I149" s="145">
        <v>0</v>
      </c>
      <c r="J149" s="145">
        <v>3</v>
      </c>
      <c r="K149" s="145">
        <v>1</v>
      </c>
      <c r="L149" s="145">
        <v>0</v>
      </c>
      <c r="M149" s="145" t="s">
        <v>26</v>
      </c>
      <c r="N149" s="145">
        <v>5</v>
      </c>
      <c r="O149" s="145" t="s">
        <v>52</v>
      </c>
      <c r="P149" s="145" t="s">
        <v>189</v>
      </c>
      <c r="Q149" s="145" t="s">
        <v>190</v>
      </c>
      <c r="R149" s="145" t="s">
        <v>55</v>
      </c>
      <c r="S149" s="145" t="s">
        <v>274</v>
      </c>
      <c r="T149" s="148"/>
    </row>
    <row r="150" spans="1:20" ht="15" x14ac:dyDescent="0.25">
      <c r="A150" s="145">
        <v>3668</v>
      </c>
      <c r="B150" s="145">
        <v>28</v>
      </c>
      <c r="C150" s="145">
        <v>0</v>
      </c>
      <c r="D150" s="145">
        <v>0</v>
      </c>
      <c r="E150" s="145">
        <v>0</v>
      </c>
      <c r="F150" s="145">
        <v>0</v>
      </c>
      <c r="G150" s="145" t="s">
        <v>3</v>
      </c>
      <c r="H150" s="145">
        <v>0</v>
      </c>
      <c r="I150" s="145">
        <v>0</v>
      </c>
      <c r="J150" s="145">
        <v>0</v>
      </c>
      <c r="K150" s="145">
        <v>0</v>
      </c>
      <c r="L150" s="145">
        <v>0</v>
      </c>
      <c r="M150" s="145" t="s">
        <v>29</v>
      </c>
      <c r="N150" s="145">
        <v>3</v>
      </c>
      <c r="O150" s="145" t="s">
        <v>52</v>
      </c>
      <c r="P150" s="145" t="s">
        <v>189</v>
      </c>
      <c r="Q150" s="145" t="s">
        <v>190</v>
      </c>
      <c r="R150" s="145" t="s">
        <v>55</v>
      </c>
      <c r="S150" s="145" t="s">
        <v>275</v>
      </c>
      <c r="T150" s="148"/>
    </row>
    <row r="151" spans="1:20" ht="15" x14ac:dyDescent="0.25">
      <c r="A151" s="145">
        <v>470</v>
      </c>
      <c r="B151" s="145">
        <v>28</v>
      </c>
      <c r="C151" s="145">
        <v>0</v>
      </c>
      <c r="D151" s="145">
        <v>0</v>
      </c>
      <c r="E151" s="145">
        <v>0</v>
      </c>
      <c r="F151" s="145">
        <v>0</v>
      </c>
      <c r="G151" s="145" t="s">
        <v>77</v>
      </c>
      <c r="H151" s="145">
        <v>0</v>
      </c>
      <c r="I151" s="145">
        <v>0</v>
      </c>
      <c r="J151" s="145">
        <v>0</v>
      </c>
      <c r="K151" s="145">
        <v>0</v>
      </c>
      <c r="L151" s="145">
        <v>0</v>
      </c>
      <c r="M151" s="145" t="s">
        <v>29</v>
      </c>
      <c r="N151" s="145">
        <v>2</v>
      </c>
      <c r="O151" s="145" t="s">
        <v>52</v>
      </c>
      <c r="P151" s="145" t="s">
        <v>189</v>
      </c>
      <c r="Q151" s="145" t="s">
        <v>190</v>
      </c>
      <c r="R151" s="145" t="s">
        <v>55</v>
      </c>
      <c r="S151" s="145" t="s">
        <v>275</v>
      </c>
      <c r="T151" s="148"/>
    </row>
    <row r="152" spans="1:20" ht="15" x14ac:dyDescent="0.25">
      <c r="A152" s="145">
        <v>835</v>
      </c>
      <c r="B152" s="145">
        <v>28</v>
      </c>
      <c r="C152" s="145">
        <v>18</v>
      </c>
      <c r="D152" s="145">
        <v>0</v>
      </c>
      <c r="E152" s="145">
        <v>0</v>
      </c>
      <c r="F152" s="145">
        <v>0</v>
      </c>
      <c r="G152" s="145" t="s">
        <v>3</v>
      </c>
      <c r="H152" s="145">
        <v>3</v>
      </c>
      <c r="I152" s="145">
        <v>1</v>
      </c>
      <c r="J152" s="145">
        <v>3</v>
      </c>
      <c r="K152" s="145">
        <v>0</v>
      </c>
      <c r="L152" s="145">
        <v>0</v>
      </c>
      <c r="M152" s="145" t="s">
        <v>30</v>
      </c>
      <c r="N152" s="145">
        <v>2</v>
      </c>
      <c r="O152" s="145" t="s">
        <v>52</v>
      </c>
      <c r="P152" s="145" t="s">
        <v>189</v>
      </c>
      <c r="Q152" s="145" t="s">
        <v>190</v>
      </c>
      <c r="R152" s="145" t="s">
        <v>54</v>
      </c>
      <c r="S152" s="145" t="s">
        <v>276</v>
      </c>
      <c r="T152" s="148"/>
    </row>
    <row r="153" spans="1:20" ht="15" x14ac:dyDescent="0.25">
      <c r="A153" s="145">
        <v>68</v>
      </c>
      <c r="B153" s="145">
        <v>28</v>
      </c>
      <c r="C153" s="145">
        <v>12</v>
      </c>
      <c r="D153" s="145">
        <v>0</v>
      </c>
      <c r="E153" s="145">
        <v>0</v>
      </c>
      <c r="F153" s="145">
        <v>0</v>
      </c>
      <c r="G153" s="145" t="s">
        <v>77</v>
      </c>
      <c r="H153" s="145">
        <v>4</v>
      </c>
      <c r="I153" s="145">
        <v>0</v>
      </c>
      <c r="J153" s="145">
        <v>4</v>
      </c>
      <c r="K153" s="145">
        <v>0</v>
      </c>
      <c r="L153" s="145">
        <v>0</v>
      </c>
      <c r="M153" s="145" t="s">
        <v>29</v>
      </c>
      <c r="N153" s="145">
        <v>3</v>
      </c>
      <c r="O153" s="145" t="s">
        <v>52</v>
      </c>
      <c r="P153" s="145" t="s">
        <v>189</v>
      </c>
      <c r="Q153" s="145" t="s">
        <v>204</v>
      </c>
      <c r="R153" s="145" t="s">
        <v>55</v>
      </c>
      <c r="S153" s="145" t="s">
        <v>277</v>
      </c>
      <c r="T153" s="148"/>
    </row>
    <row r="154" spans="1:20" ht="15" x14ac:dyDescent="0.25">
      <c r="A154" s="145">
        <v>3638</v>
      </c>
      <c r="B154" s="145">
        <v>28</v>
      </c>
      <c r="C154" s="145">
        <v>4</v>
      </c>
      <c r="D154" s="145">
        <v>0</v>
      </c>
      <c r="E154" s="145">
        <v>1</v>
      </c>
      <c r="F154" s="145">
        <v>0</v>
      </c>
      <c r="G154" s="145" t="s">
        <v>78</v>
      </c>
      <c r="H154" s="145">
        <v>0</v>
      </c>
      <c r="I154" s="145">
        <v>0</v>
      </c>
      <c r="J154" s="145">
        <v>0</v>
      </c>
      <c r="K154" s="145">
        <v>0</v>
      </c>
      <c r="L154" s="145">
        <v>0</v>
      </c>
      <c r="M154" s="145" t="s">
        <v>29</v>
      </c>
      <c r="N154" s="145">
        <v>4</v>
      </c>
      <c r="O154" s="145" t="s">
        <v>50</v>
      </c>
      <c r="P154" s="145" t="s">
        <v>192</v>
      </c>
      <c r="Q154" s="145" t="s">
        <v>190</v>
      </c>
      <c r="R154" s="145" t="s">
        <v>55</v>
      </c>
      <c r="S154" s="145" t="s">
        <v>277</v>
      </c>
      <c r="T154" s="148"/>
    </row>
    <row r="155" spans="1:20" ht="15" x14ac:dyDescent="0.25">
      <c r="A155" s="145">
        <v>3535</v>
      </c>
      <c r="B155" s="145">
        <v>28</v>
      </c>
      <c r="C155" s="145">
        <v>0</v>
      </c>
      <c r="D155" s="145">
        <v>0</v>
      </c>
      <c r="E155" s="145">
        <v>0</v>
      </c>
      <c r="F155" s="145">
        <v>0</v>
      </c>
      <c r="G155" s="145" t="s">
        <v>77</v>
      </c>
      <c r="H155" s="145">
        <v>0</v>
      </c>
      <c r="I155" s="145">
        <v>0</v>
      </c>
      <c r="J155" s="145">
        <v>0</v>
      </c>
      <c r="K155" s="145">
        <v>0</v>
      </c>
      <c r="L155" s="145">
        <v>0</v>
      </c>
      <c r="M155" s="145" t="s">
        <v>29</v>
      </c>
      <c r="N155" s="145">
        <v>3</v>
      </c>
      <c r="O155" s="145" t="s">
        <v>51</v>
      </c>
      <c r="P155" s="145" t="s">
        <v>189</v>
      </c>
      <c r="Q155" s="145" t="s">
        <v>190</v>
      </c>
      <c r="R155" s="145" t="s">
        <v>55</v>
      </c>
      <c r="S155" s="145" t="s">
        <v>278</v>
      </c>
      <c r="T155" s="148"/>
    </row>
    <row r="156" spans="1:20" ht="15" x14ac:dyDescent="0.25">
      <c r="A156" s="145">
        <v>3098</v>
      </c>
      <c r="B156" s="145">
        <v>29</v>
      </c>
      <c r="C156" s="145">
        <v>30</v>
      </c>
      <c r="D156" s="145">
        <v>0</v>
      </c>
      <c r="E156" s="145">
        <v>0</v>
      </c>
      <c r="F156" s="145">
        <v>0</v>
      </c>
      <c r="G156" s="145" t="s">
        <v>3</v>
      </c>
      <c r="H156" s="145">
        <v>0</v>
      </c>
      <c r="I156" s="145">
        <v>0</v>
      </c>
      <c r="J156" s="145">
        <v>0</v>
      </c>
      <c r="K156" s="145">
        <v>0</v>
      </c>
      <c r="L156" s="145">
        <v>0</v>
      </c>
      <c r="M156" s="145" t="s">
        <v>25</v>
      </c>
      <c r="N156" s="145">
        <v>3</v>
      </c>
      <c r="O156" s="145" t="s">
        <v>51</v>
      </c>
      <c r="P156" s="145" t="s">
        <v>189</v>
      </c>
      <c r="Q156" s="145" t="s">
        <v>190</v>
      </c>
      <c r="R156" s="145" t="s">
        <v>55</v>
      </c>
      <c r="S156" s="145" t="s">
        <v>279</v>
      </c>
      <c r="T156" s="148"/>
    </row>
    <row r="157" spans="1:20" ht="15" x14ac:dyDescent="0.25">
      <c r="A157" s="145">
        <v>70</v>
      </c>
      <c r="B157" s="145">
        <v>29</v>
      </c>
      <c r="C157" s="145">
        <v>52</v>
      </c>
      <c r="D157" s="145">
        <v>1</v>
      </c>
      <c r="E157" s="145">
        <v>0</v>
      </c>
      <c r="F157" s="145">
        <v>0</v>
      </c>
      <c r="G157" s="145" t="s">
        <v>78</v>
      </c>
      <c r="H157" s="145">
        <v>4</v>
      </c>
      <c r="I157" s="145">
        <v>1</v>
      </c>
      <c r="J157" s="145">
        <v>3</v>
      </c>
      <c r="K157" s="145">
        <v>1</v>
      </c>
      <c r="L157" s="145">
        <v>0</v>
      </c>
      <c r="M157" s="145" t="s">
        <v>26</v>
      </c>
      <c r="N157" s="145">
        <v>3</v>
      </c>
      <c r="O157" s="145" t="s">
        <v>51</v>
      </c>
      <c r="P157" s="145" t="s">
        <v>189</v>
      </c>
      <c r="Q157" s="145" t="s">
        <v>190</v>
      </c>
      <c r="R157" s="145" t="s">
        <v>55</v>
      </c>
      <c r="S157" s="145" t="s">
        <v>279</v>
      </c>
      <c r="T157" s="148"/>
    </row>
    <row r="158" spans="1:20" ht="15" x14ac:dyDescent="0.25">
      <c r="A158" s="145">
        <v>1025</v>
      </c>
      <c r="B158" s="145">
        <v>29</v>
      </c>
      <c r="C158" s="145">
        <v>15</v>
      </c>
      <c r="D158" s="145">
        <v>0</v>
      </c>
      <c r="E158" s="145">
        <v>0</v>
      </c>
      <c r="F158" s="145">
        <v>0</v>
      </c>
      <c r="G158" s="145" t="s">
        <v>77</v>
      </c>
      <c r="H158" s="145">
        <v>0</v>
      </c>
      <c r="I158" s="145">
        <v>0</v>
      </c>
      <c r="J158" s="145">
        <v>0</v>
      </c>
      <c r="K158" s="145">
        <v>0</v>
      </c>
      <c r="L158" s="145">
        <v>0</v>
      </c>
      <c r="M158" s="145" t="s">
        <v>27</v>
      </c>
      <c r="N158" s="145">
        <v>3</v>
      </c>
      <c r="O158" s="145" t="s">
        <v>52</v>
      </c>
      <c r="P158" s="145" t="s">
        <v>189</v>
      </c>
      <c r="Q158" s="145" t="s">
        <v>190</v>
      </c>
      <c r="R158" s="145" t="s">
        <v>55</v>
      </c>
      <c r="S158" s="145" t="s">
        <v>279</v>
      </c>
      <c r="T158" s="148"/>
    </row>
    <row r="159" spans="1:20" ht="15" x14ac:dyDescent="0.25">
      <c r="A159" s="145">
        <v>3656</v>
      </c>
      <c r="B159" s="145">
        <v>29</v>
      </c>
      <c r="C159" s="145">
        <v>0</v>
      </c>
      <c r="D159" s="145">
        <v>0</v>
      </c>
      <c r="E159" s="145">
        <v>0</v>
      </c>
      <c r="F159" s="145">
        <v>0</v>
      </c>
      <c r="G159" s="145" t="s">
        <v>3</v>
      </c>
      <c r="H159" s="145">
        <v>0</v>
      </c>
      <c r="I159" s="145">
        <v>0</v>
      </c>
      <c r="J159" s="145">
        <v>0</v>
      </c>
      <c r="K159" s="145">
        <v>0</v>
      </c>
      <c r="L159" s="145">
        <v>0</v>
      </c>
      <c r="M159" s="145" t="s">
        <v>29</v>
      </c>
      <c r="N159" s="145">
        <v>1</v>
      </c>
      <c r="O159" s="145" t="s">
        <v>51</v>
      </c>
      <c r="P159" s="145" t="s">
        <v>189</v>
      </c>
      <c r="Q159" s="145" t="s">
        <v>190</v>
      </c>
      <c r="R159" s="145" t="s">
        <v>55</v>
      </c>
      <c r="S159" s="145" t="s">
        <v>279</v>
      </c>
      <c r="T159" s="148"/>
    </row>
    <row r="160" spans="1:20" ht="15" x14ac:dyDescent="0.25">
      <c r="A160" s="145">
        <v>2145</v>
      </c>
      <c r="B160" s="145">
        <v>30</v>
      </c>
      <c r="C160" s="145">
        <v>51</v>
      </c>
      <c r="D160" s="145">
        <v>0</v>
      </c>
      <c r="E160" s="145">
        <v>0</v>
      </c>
      <c r="F160" s="145">
        <v>0</v>
      </c>
      <c r="G160" s="145" t="s">
        <v>78</v>
      </c>
      <c r="H160" s="145">
        <v>4</v>
      </c>
      <c r="I160" s="145">
        <v>1</v>
      </c>
      <c r="J160" s="145">
        <v>4</v>
      </c>
      <c r="K160" s="145">
        <v>0</v>
      </c>
      <c r="L160" s="145">
        <v>0</v>
      </c>
      <c r="M160" s="145" t="s">
        <v>25</v>
      </c>
      <c r="N160" s="145">
        <v>3</v>
      </c>
      <c r="O160" s="145" t="s">
        <v>52</v>
      </c>
      <c r="P160" s="145" t="s">
        <v>203</v>
      </c>
      <c r="Q160" s="145" t="s">
        <v>204</v>
      </c>
      <c r="R160" s="145" t="s">
        <v>54</v>
      </c>
      <c r="S160" s="145" t="s">
        <v>280</v>
      </c>
      <c r="T160" s="148"/>
    </row>
    <row r="161" spans="1:20" ht="15" x14ac:dyDescent="0.25">
      <c r="A161" s="145">
        <v>1025</v>
      </c>
      <c r="B161" s="145">
        <v>30</v>
      </c>
      <c r="C161" s="145">
        <v>0</v>
      </c>
      <c r="D161" s="145">
        <v>0</v>
      </c>
      <c r="E161" s="145">
        <v>0</v>
      </c>
      <c r="F161" s="145">
        <v>0</v>
      </c>
      <c r="G161" s="145" t="s">
        <v>77</v>
      </c>
      <c r="H161" s="145">
        <v>0</v>
      </c>
      <c r="I161" s="145">
        <v>0</v>
      </c>
      <c r="J161" s="145">
        <v>0</v>
      </c>
      <c r="K161" s="145">
        <v>0</v>
      </c>
      <c r="L161" s="145">
        <v>0</v>
      </c>
      <c r="M161" s="145" t="s">
        <v>29</v>
      </c>
      <c r="N161" s="145">
        <v>3</v>
      </c>
      <c r="O161" s="145" t="s">
        <v>50</v>
      </c>
      <c r="P161" s="145" t="s">
        <v>206</v>
      </c>
      <c r="Q161" s="145" t="s">
        <v>190</v>
      </c>
      <c r="R161" s="145" t="s">
        <v>55</v>
      </c>
      <c r="S161" s="145" t="s">
        <v>278</v>
      </c>
      <c r="T161" s="148"/>
    </row>
    <row r="162" spans="1:20" ht="15" x14ac:dyDescent="0.25">
      <c r="A162" s="145">
        <v>3537</v>
      </c>
      <c r="B162" s="145">
        <v>30</v>
      </c>
      <c r="C162" s="145">
        <v>2</v>
      </c>
      <c r="D162" s="145">
        <v>0</v>
      </c>
      <c r="E162" s="145">
        <v>0</v>
      </c>
      <c r="F162" s="145">
        <v>0</v>
      </c>
      <c r="G162" s="145" t="s">
        <v>77</v>
      </c>
      <c r="H162" s="145">
        <v>1</v>
      </c>
      <c r="I162" s="145">
        <v>0</v>
      </c>
      <c r="J162" s="145">
        <v>0</v>
      </c>
      <c r="K162" s="145">
        <v>1</v>
      </c>
      <c r="L162" s="145">
        <v>0</v>
      </c>
      <c r="M162" s="145" t="s">
        <v>30</v>
      </c>
      <c r="N162" s="145">
        <v>2</v>
      </c>
      <c r="O162" s="145" t="s">
        <v>52</v>
      </c>
      <c r="P162" s="145" t="s">
        <v>189</v>
      </c>
      <c r="Q162" s="145" t="s">
        <v>190</v>
      </c>
      <c r="R162" s="145" t="s">
        <v>55</v>
      </c>
      <c r="S162" s="145" t="s">
        <v>281</v>
      </c>
      <c r="T162" s="148"/>
    </row>
    <row r="163" spans="1:20" ht="15" x14ac:dyDescent="0.25">
      <c r="A163" s="145">
        <v>3773</v>
      </c>
      <c r="B163" s="145">
        <v>30</v>
      </c>
      <c r="C163" s="145">
        <v>0</v>
      </c>
      <c r="D163" s="145">
        <v>0</v>
      </c>
      <c r="E163" s="145">
        <v>0</v>
      </c>
      <c r="F163" s="145">
        <v>0</v>
      </c>
      <c r="G163" s="145" t="s">
        <v>3</v>
      </c>
      <c r="H163" s="145">
        <v>0</v>
      </c>
      <c r="I163" s="145">
        <v>0</v>
      </c>
      <c r="J163" s="145">
        <v>0</v>
      </c>
      <c r="K163" s="145">
        <v>0</v>
      </c>
      <c r="L163" s="145">
        <v>0</v>
      </c>
      <c r="M163" s="145" t="s">
        <v>30</v>
      </c>
      <c r="N163" s="145">
        <v>3</v>
      </c>
      <c r="O163" s="145" t="s">
        <v>50</v>
      </c>
      <c r="P163" s="145" t="s">
        <v>192</v>
      </c>
      <c r="Q163" s="145" t="s">
        <v>190</v>
      </c>
      <c r="R163" s="145" t="s">
        <v>54</v>
      </c>
      <c r="S163" s="145" t="s">
        <v>282</v>
      </c>
      <c r="T163" s="148"/>
    </row>
    <row r="164" spans="1:20" ht="15" x14ac:dyDescent="0.25">
      <c r="A164" s="145">
        <v>3415</v>
      </c>
      <c r="B164" s="145">
        <v>31</v>
      </c>
      <c r="C164" s="145">
        <v>0</v>
      </c>
      <c r="D164" s="145">
        <v>0</v>
      </c>
      <c r="E164" s="145">
        <v>0</v>
      </c>
      <c r="F164" s="145">
        <v>0</v>
      </c>
      <c r="G164" s="145" t="s">
        <v>3</v>
      </c>
      <c r="H164" s="145">
        <v>0</v>
      </c>
      <c r="I164" s="145">
        <v>0</v>
      </c>
      <c r="J164" s="145">
        <v>0</v>
      </c>
      <c r="K164" s="145">
        <v>0</v>
      </c>
      <c r="L164" s="145">
        <v>0</v>
      </c>
      <c r="M164" s="145" t="s">
        <v>29</v>
      </c>
      <c r="N164" s="145">
        <v>4</v>
      </c>
      <c r="O164" s="145" t="s">
        <v>50</v>
      </c>
      <c r="P164" s="145" t="s">
        <v>192</v>
      </c>
      <c r="Q164" s="145" t="s">
        <v>190</v>
      </c>
      <c r="R164" s="145" t="s">
        <v>54</v>
      </c>
      <c r="S164" s="145" t="s">
        <v>283</v>
      </c>
      <c r="T164" s="148"/>
    </row>
    <row r="165" spans="1:20" ht="15" x14ac:dyDescent="0.25">
      <c r="A165" s="145">
        <v>3536</v>
      </c>
      <c r="B165" s="145">
        <v>31</v>
      </c>
      <c r="C165" s="145">
        <v>2</v>
      </c>
      <c r="D165" s="145">
        <v>0</v>
      </c>
      <c r="E165" s="145">
        <v>0</v>
      </c>
      <c r="F165" s="145">
        <v>1</v>
      </c>
      <c r="G165" s="145" t="s">
        <v>78</v>
      </c>
      <c r="H165" s="145">
        <v>0</v>
      </c>
      <c r="I165" s="145">
        <v>0</v>
      </c>
      <c r="J165" s="145">
        <v>0</v>
      </c>
      <c r="K165" s="145">
        <v>0</v>
      </c>
      <c r="L165" s="145">
        <v>0</v>
      </c>
      <c r="M165" s="145" t="s">
        <v>30</v>
      </c>
      <c r="N165" s="145">
        <v>3</v>
      </c>
      <c r="O165" s="145" t="s">
        <v>50</v>
      </c>
      <c r="P165" s="145" t="s">
        <v>192</v>
      </c>
      <c r="Q165" s="145" t="s">
        <v>190</v>
      </c>
      <c r="R165" s="145" t="s">
        <v>54</v>
      </c>
      <c r="S165" s="145" t="s">
        <v>284</v>
      </c>
      <c r="T165" s="148"/>
    </row>
    <row r="166" spans="1:20" ht="15" x14ac:dyDescent="0.25">
      <c r="A166" s="145">
        <v>494</v>
      </c>
      <c r="B166" s="145">
        <v>31</v>
      </c>
      <c r="C166" s="145">
        <v>78</v>
      </c>
      <c r="D166" s="145">
        <v>1</v>
      </c>
      <c r="E166" s="145">
        <v>0</v>
      </c>
      <c r="F166" s="145">
        <v>0</v>
      </c>
      <c r="G166" s="145" t="s">
        <v>77</v>
      </c>
      <c r="H166" s="145">
        <v>6</v>
      </c>
      <c r="I166" s="145">
        <v>2</v>
      </c>
      <c r="J166" s="145">
        <v>6</v>
      </c>
      <c r="K166" s="145">
        <v>0</v>
      </c>
      <c r="L166" s="145">
        <v>0</v>
      </c>
      <c r="M166" s="145" t="s">
        <v>25</v>
      </c>
      <c r="N166" s="145">
        <v>4</v>
      </c>
      <c r="O166" s="145" t="s">
        <v>51</v>
      </c>
      <c r="P166" s="145" t="s">
        <v>189</v>
      </c>
      <c r="Q166" s="145" t="s">
        <v>190</v>
      </c>
      <c r="R166" s="145" t="s">
        <v>55</v>
      </c>
      <c r="S166" s="145" t="s">
        <v>285</v>
      </c>
      <c r="T166" s="148"/>
    </row>
    <row r="167" spans="1:20" ht="15" x14ac:dyDescent="0.25">
      <c r="A167" s="145">
        <v>548</v>
      </c>
      <c r="B167" s="145">
        <v>31</v>
      </c>
      <c r="C167" s="145">
        <v>10</v>
      </c>
      <c r="D167" s="145">
        <v>0</v>
      </c>
      <c r="E167" s="145">
        <v>0</v>
      </c>
      <c r="F167" s="145">
        <v>0</v>
      </c>
      <c r="G167" s="145" t="s">
        <v>77</v>
      </c>
      <c r="H167" s="145">
        <v>4</v>
      </c>
      <c r="I167" s="145">
        <v>0</v>
      </c>
      <c r="J167" s="145">
        <v>2</v>
      </c>
      <c r="K167" s="145">
        <v>2</v>
      </c>
      <c r="L167" s="145">
        <v>0</v>
      </c>
      <c r="M167" s="145" t="s">
        <v>30</v>
      </c>
      <c r="N167" s="145">
        <v>4</v>
      </c>
      <c r="O167" s="145" t="s">
        <v>52</v>
      </c>
      <c r="P167" s="145" t="s">
        <v>189</v>
      </c>
      <c r="Q167" s="145" t="s">
        <v>190</v>
      </c>
      <c r="R167" s="145" t="s">
        <v>55</v>
      </c>
      <c r="S167" s="145" t="s">
        <v>284</v>
      </c>
      <c r="T167" s="148"/>
    </row>
    <row r="168" spans="1:20" ht="15" x14ac:dyDescent="0.25">
      <c r="A168" s="145">
        <v>3707</v>
      </c>
      <c r="B168" s="145">
        <v>31</v>
      </c>
      <c r="C168" s="145">
        <v>2</v>
      </c>
      <c r="D168" s="145">
        <v>0</v>
      </c>
      <c r="E168" s="145">
        <v>0</v>
      </c>
      <c r="F168" s="145">
        <v>0</v>
      </c>
      <c r="G168" s="145" t="s">
        <v>77</v>
      </c>
      <c r="H168" s="145">
        <v>1</v>
      </c>
      <c r="I168" s="145">
        <v>0</v>
      </c>
      <c r="J168" s="145">
        <v>0</v>
      </c>
      <c r="K168" s="145">
        <v>1</v>
      </c>
      <c r="L168" s="145">
        <v>0</v>
      </c>
      <c r="M168" s="145" t="s">
        <v>29</v>
      </c>
      <c r="N168" s="145">
        <v>3</v>
      </c>
      <c r="O168" s="145" t="s">
        <v>52</v>
      </c>
      <c r="P168" s="145" t="s">
        <v>189</v>
      </c>
      <c r="Q168" s="145" t="s">
        <v>190</v>
      </c>
      <c r="R168" s="145" t="s">
        <v>55</v>
      </c>
      <c r="S168" s="145" t="s">
        <v>283</v>
      </c>
      <c r="T168" s="148"/>
    </row>
    <row r="169" spans="1:20" ht="15" x14ac:dyDescent="0.25">
      <c r="A169" s="145">
        <v>207</v>
      </c>
      <c r="B169" s="145">
        <v>32</v>
      </c>
      <c r="C169" s="145">
        <v>18</v>
      </c>
      <c r="D169" s="145">
        <v>0</v>
      </c>
      <c r="E169" s="145">
        <v>0</v>
      </c>
      <c r="F169" s="145">
        <v>0</v>
      </c>
      <c r="G169" s="145" t="s">
        <v>77</v>
      </c>
      <c r="H169" s="145">
        <v>3</v>
      </c>
      <c r="I169" s="145">
        <v>1</v>
      </c>
      <c r="J169" s="145">
        <v>3</v>
      </c>
      <c r="K169" s="145">
        <v>0</v>
      </c>
      <c r="L169" s="145">
        <v>0</v>
      </c>
      <c r="M169" s="145" t="s">
        <v>29</v>
      </c>
      <c r="N169" s="145">
        <v>3</v>
      </c>
      <c r="O169" s="145" t="s">
        <v>52</v>
      </c>
      <c r="P169" s="145" t="s">
        <v>189</v>
      </c>
      <c r="Q169" s="145" t="s">
        <v>190</v>
      </c>
      <c r="R169" s="145" t="s">
        <v>55</v>
      </c>
      <c r="S169" s="145" t="s">
        <v>286</v>
      </c>
      <c r="T169" s="148"/>
    </row>
    <row r="170" spans="1:20" ht="15" x14ac:dyDescent="0.25">
      <c r="A170" s="145">
        <v>2619</v>
      </c>
      <c r="B170" s="145">
        <v>32</v>
      </c>
      <c r="C170" s="145">
        <v>29</v>
      </c>
      <c r="D170" s="145">
        <v>1</v>
      </c>
      <c r="E170" s="145">
        <v>0</v>
      </c>
      <c r="F170" s="145">
        <v>0</v>
      </c>
      <c r="G170" s="145" t="s">
        <v>77</v>
      </c>
      <c r="H170" s="145">
        <v>1</v>
      </c>
      <c r="I170" s="145">
        <v>0</v>
      </c>
      <c r="J170" s="145">
        <v>1</v>
      </c>
      <c r="K170" s="145">
        <v>0</v>
      </c>
      <c r="L170" s="145">
        <v>0</v>
      </c>
      <c r="M170" s="145" t="s">
        <v>26</v>
      </c>
      <c r="N170" s="145">
        <v>3</v>
      </c>
      <c r="O170" s="145" t="s">
        <v>51</v>
      </c>
      <c r="P170" s="145" t="s">
        <v>189</v>
      </c>
      <c r="Q170" s="145" t="s">
        <v>190</v>
      </c>
      <c r="R170" s="145" t="s">
        <v>55</v>
      </c>
      <c r="S170" s="145" t="s">
        <v>286</v>
      </c>
      <c r="T170" s="148"/>
    </row>
    <row r="171" spans="1:20" ht="15" x14ac:dyDescent="0.25">
      <c r="A171" s="145">
        <v>862</v>
      </c>
      <c r="B171" s="145">
        <v>32</v>
      </c>
      <c r="C171" s="145">
        <v>0</v>
      </c>
      <c r="D171" s="145">
        <v>0</v>
      </c>
      <c r="E171" s="145">
        <v>0</v>
      </c>
      <c r="F171" s="145">
        <v>0</v>
      </c>
      <c r="G171" s="145" t="s">
        <v>3</v>
      </c>
      <c r="H171" s="145">
        <v>0</v>
      </c>
      <c r="I171" s="145">
        <v>0</v>
      </c>
      <c r="J171" s="145">
        <v>0</v>
      </c>
      <c r="K171" s="145">
        <v>0</v>
      </c>
      <c r="L171" s="145">
        <v>0</v>
      </c>
      <c r="M171" s="145" t="s">
        <v>30</v>
      </c>
      <c r="N171" s="145">
        <v>3</v>
      </c>
      <c r="O171" s="145" t="s">
        <v>50</v>
      </c>
      <c r="P171" s="145" t="s">
        <v>192</v>
      </c>
      <c r="Q171" s="145" t="s">
        <v>192</v>
      </c>
      <c r="R171" s="145" t="s">
        <v>54</v>
      </c>
      <c r="S171" s="145" t="s">
        <v>287</v>
      </c>
      <c r="T171" s="148"/>
    </row>
    <row r="172" spans="1:20" ht="15" x14ac:dyDescent="0.25">
      <c r="A172" s="145">
        <v>1322</v>
      </c>
      <c r="B172" s="145">
        <v>32</v>
      </c>
      <c r="C172" s="145">
        <v>42</v>
      </c>
      <c r="D172" s="145">
        <v>0</v>
      </c>
      <c r="E172" s="145">
        <v>0</v>
      </c>
      <c r="F172" s="145">
        <v>0</v>
      </c>
      <c r="G172" s="145" t="s">
        <v>78</v>
      </c>
      <c r="H172" s="145">
        <v>3</v>
      </c>
      <c r="I172" s="145">
        <v>1</v>
      </c>
      <c r="J172" s="145">
        <v>0</v>
      </c>
      <c r="K172" s="145">
        <v>3</v>
      </c>
      <c r="L172" s="145">
        <v>0</v>
      </c>
      <c r="M172" s="145" t="s">
        <v>25</v>
      </c>
      <c r="N172" s="145">
        <v>3</v>
      </c>
      <c r="O172" s="145" t="s">
        <v>51</v>
      </c>
      <c r="P172" s="145" t="s">
        <v>189</v>
      </c>
      <c r="Q172" s="145" t="s">
        <v>190</v>
      </c>
      <c r="R172" s="145" t="s">
        <v>54</v>
      </c>
      <c r="S172" s="145" t="s">
        <v>288</v>
      </c>
      <c r="T172" s="148"/>
    </row>
    <row r="173" spans="1:20" ht="15" x14ac:dyDescent="0.25">
      <c r="A173" s="145">
        <v>1076</v>
      </c>
      <c r="B173" s="145">
        <v>33</v>
      </c>
      <c r="C173" s="145">
        <v>0</v>
      </c>
      <c r="D173" s="145">
        <v>0</v>
      </c>
      <c r="E173" s="145">
        <v>0</v>
      </c>
      <c r="F173" s="145">
        <v>0</v>
      </c>
      <c r="G173" s="145" t="s">
        <v>3</v>
      </c>
      <c r="H173" s="145">
        <v>0</v>
      </c>
      <c r="I173" s="145">
        <v>0</v>
      </c>
      <c r="J173" s="145">
        <v>0</v>
      </c>
      <c r="K173" s="145">
        <v>0</v>
      </c>
      <c r="L173" s="145">
        <v>0</v>
      </c>
      <c r="M173" s="145" t="s">
        <v>29</v>
      </c>
      <c r="N173" s="145">
        <v>3</v>
      </c>
      <c r="O173" s="145" t="s">
        <v>50</v>
      </c>
      <c r="P173" s="145" t="s">
        <v>192</v>
      </c>
      <c r="Q173" s="145" t="s">
        <v>190</v>
      </c>
      <c r="R173" s="145" t="s">
        <v>55</v>
      </c>
      <c r="S173" s="145" t="s">
        <v>289</v>
      </c>
      <c r="T173" s="148"/>
    </row>
    <row r="174" spans="1:20" ht="15" x14ac:dyDescent="0.25">
      <c r="A174" s="145">
        <v>302</v>
      </c>
      <c r="B174" s="145">
        <v>33</v>
      </c>
      <c r="C174" s="145">
        <v>30</v>
      </c>
      <c r="D174" s="145">
        <v>0</v>
      </c>
      <c r="E174" s="145">
        <v>0</v>
      </c>
      <c r="F174" s="145">
        <v>0</v>
      </c>
      <c r="G174" s="145" t="s">
        <v>3</v>
      </c>
      <c r="H174" s="145">
        <v>6</v>
      </c>
      <c r="I174" s="145">
        <v>2</v>
      </c>
      <c r="J174" s="145">
        <v>3</v>
      </c>
      <c r="K174" s="145">
        <v>3</v>
      </c>
      <c r="L174" s="145">
        <v>0</v>
      </c>
      <c r="M174" s="145" t="s">
        <v>30</v>
      </c>
      <c r="N174" s="145">
        <v>2</v>
      </c>
      <c r="O174" s="145" t="s">
        <v>51</v>
      </c>
      <c r="P174" s="145" t="s">
        <v>189</v>
      </c>
      <c r="Q174" s="145" t="s">
        <v>190</v>
      </c>
      <c r="R174" s="145" t="s">
        <v>54</v>
      </c>
      <c r="S174" s="145" t="s">
        <v>289</v>
      </c>
      <c r="T174" s="148"/>
    </row>
    <row r="175" spans="1:20" ht="15" x14ac:dyDescent="0.25">
      <c r="A175" s="145">
        <v>3548</v>
      </c>
      <c r="B175" s="145">
        <v>33</v>
      </c>
      <c r="C175" s="145">
        <v>0</v>
      </c>
      <c r="D175" s="145">
        <v>0</v>
      </c>
      <c r="E175" s="145">
        <v>0</v>
      </c>
      <c r="F175" s="145">
        <v>0</v>
      </c>
      <c r="G175" s="145" t="s">
        <v>77</v>
      </c>
      <c r="H175" s="145">
        <v>0</v>
      </c>
      <c r="I175" s="145">
        <v>0</v>
      </c>
      <c r="J175" s="145">
        <v>0</v>
      </c>
      <c r="K175" s="145">
        <v>0</v>
      </c>
      <c r="L175" s="145">
        <v>0</v>
      </c>
      <c r="M175" s="145" t="s">
        <v>29</v>
      </c>
      <c r="N175" s="145">
        <v>3</v>
      </c>
      <c r="O175" s="145" t="s">
        <v>52</v>
      </c>
      <c r="P175" s="145" t="s">
        <v>192</v>
      </c>
      <c r="Q175" s="145" t="s">
        <v>190</v>
      </c>
      <c r="R175" s="145" t="s">
        <v>55</v>
      </c>
      <c r="S175" s="145" t="s">
        <v>289</v>
      </c>
      <c r="T175" s="148"/>
    </row>
    <row r="176" spans="1:20" ht="15" x14ac:dyDescent="0.25">
      <c r="A176" s="145">
        <v>830</v>
      </c>
      <c r="B176" s="145">
        <v>33</v>
      </c>
      <c r="C176" s="145">
        <v>6</v>
      </c>
      <c r="D176" s="145">
        <v>0</v>
      </c>
      <c r="E176" s="145">
        <v>0</v>
      </c>
      <c r="F176" s="145">
        <v>0</v>
      </c>
      <c r="G176" s="145" t="s">
        <v>78</v>
      </c>
      <c r="H176" s="145">
        <v>2</v>
      </c>
      <c r="I176" s="145">
        <v>0</v>
      </c>
      <c r="J176" s="145">
        <v>2</v>
      </c>
      <c r="K176" s="145">
        <v>0</v>
      </c>
      <c r="L176" s="145">
        <v>0</v>
      </c>
      <c r="M176" s="145" t="s">
        <v>30</v>
      </c>
      <c r="N176" s="145">
        <v>4</v>
      </c>
      <c r="O176" s="145" t="s">
        <v>52</v>
      </c>
      <c r="P176" s="145" t="s">
        <v>189</v>
      </c>
      <c r="Q176" s="145" t="s">
        <v>190</v>
      </c>
      <c r="R176" s="145" t="s">
        <v>55</v>
      </c>
      <c r="S176" s="145" t="s">
        <v>289</v>
      </c>
    </row>
    <row r="177" spans="1:19" ht="15" x14ac:dyDescent="0.25">
      <c r="A177" s="145">
        <v>1504</v>
      </c>
      <c r="B177" s="145">
        <v>33</v>
      </c>
      <c r="C177" s="145">
        <v>33</v>
      </c>
      <c r="D177" s="145">
        <v>0</v>
      </c>
      <c r="E177" s="145">
        <v>0</v>
      </c>
      <c r="F177" s="145">
        <v>0</v>
      </c>
      <c r="G177" s="145" t="s">
        <v>77</v>
      </c>
      <c r="H177" s="145">
        <v>1</v>
      </c>
      <c r="I177" s="145">
        <v>0</v>
      </c>
      <c r="J177" s="145">
        <v>1</v>
      </c>
      <c r="K177" s="145">
        <v>0</v>
      </c>
      <c r="L177" s="145">
        <v>0</v>
      </c>
      <c r="M177" s="145" t="s">
        <v>25</v>
      </c>
      <c r="N177" s="145">
        <v>2</v>
      </c>
      <c r="O177" s="145" t="s">
        <v>51</v>
      </c>
      <c r="P177" s="145" t="s">
        <v>189</v>
      </c>
      <c r="Q177" s="145" t="s">
        <v>190</v>
      </c>
      <c r="R177" s="145" t="s">
        <v>55</v>
      </c>
      <c r="S177" s="145" t="s">
        <v>289</v>
      </c>
    </row>
    <row r="178" spans="1:19" ht="15" x14ac:dyDescent="0.25">
      <c r="A178" s="145">
        <v>2337</v>
      </c>
      <c r="B178" s="145">
        <v>34</v>
      </c>
      <c r="C178" s="145">
        <v>37</v>
      </c>
      <c r="D178" s="145">
        <v>1</v>
      </c>
      <c r="E178" s="145">
        <v>0</v>
      </c>
      <c r="F178" s="145">
        <v>0</v>
      </c>
      <c r="G178" s="145" t="s">
        <v>78</v>
      </c>
      <c r="H178" s="145">
        <v>6</v>
      </c>
      <c r="I178" s="145">
        <v>1</v>
      </c>
      <c r="J178" s="145">
        <v>4</v>
      </c>
      <c r="K178" s="145">
        <v>2</v>
      </c>
      <c r="L178" s="145">
        <v>0</v>
      </c>
      <c r="M178" s="145" t="s">
        <v>30</v>
      </c>
      <c r="N178" s="145">
        <v>5</v>
      </c>
      <c r="O178" s="145" t="s">
        <v>51</v>
      </c>
      <c r="P178" s="145" t="s">
        <v>189</v>
      </c>
      <c r="Q178" s="145" t="s">
        <v>190</v>
      </c>
      <c r="R178" s="145" t="s">
        <v>55</v>
      </c>
      <c r="S178" s="145" t="s">
        <v>290</v>
      </c>
    </row>
    <row r="179" spans="1:19" ht="15" x14ac:dyDescent="0.25">
      <c r="A179" s="145">
        <v>894</v>
      </c>
      <c r="B179" s="145">
        <v>34</v>
      </c>
      <c r="C179" s="145">
        <v>6</v>
      </c>
      <c r="D179" s="145">
        <v>0</v>
      </c>
      <c r="E179" s="145">
        <v>0</v>
      </c>
      <c r="F179" s="145">
        <v>0</v>
      </c>
      <c r="G179" s="145" t="s">
        <v>77</v>
      </c>
      <c r="H179" s="145">
        <v>2</v>
      </c>
      <c r="I179" s="145">
        <v>0</v>
      </c>
      <c r="J179" s="145">
        <v>2</v>
      </c>
      <c r="K179" s="145">
        <v>0</v>
      </c>
      <c r="L179" s="145">
        <v>0</v>
      </c>
      <c r="M179" s="145" t="s">
        <v>29</v>
      </c>
      <c r="N179" s="145">
        <v>2</v>
      </c>
      <c r="O179" s="145" t="s">
        <v>51</v>
      </c>
      <c r="P179" s="145" t="s">
        <v>189</v>
      </c>
      <c r="Q179" s="145" t="s">
        <v>190</v>
      </c>
      <c r="R179" s="145" t="s">
        <v>54</v>
      </c>
      <c r="S179" s="145" t="s">
        <v>291</v>
      </c>
    </row>
    <row r="180" spans="1:19" ht="15" x14ac:dyDescent="0.25">
      <c r="A180" s="145">
        <v>3415</v>
      </c>
      <c r="B180" s="145">
        <v>34</v>
      </c>
      <c r="C180" s="145">
        <v>0</v>
      </c>
      <c r="D180" s="145">
        <v>0</v>
      </c>
      <c r="E180" s="145">
        <v>0</v>
      </c>
      <c r="F180" s="145">
        <v>0</v>
      </c>
      <c r="G180" s="145" t="s">
        <v>3</v>
      </c>
      <c r="H180" s="145">
        <v>0</v>
      </c>
      <c r="I180" s="145">
        <v>0</v>
      </c>
      <c r="J180" s="145">
        <v>0</v>
      </c>
      <c r="K180" s="145">
        <v>0</v>
      </c>
      <c r="L180" s="145">
        <v>0</v>
      </c>
      <c r="M180" s="145" t="s">
        <v>29</v>
      </c>
      <c r="N180" s="145">
        <v>3</v>
      </c>
      <c r="O180" s="145" t="s">
        <v>50</v>
      </c>
      <c r="P180" s="145" t="s">
        <v>189</v>
      </c>
      <c r="Q180" s="145" t="s">
        <v>190</v>
      </c>
      <c r="R180" s="145" t="s">
        <v>55</v>
      </c>
      <c r="S180" s="145" t="s">
        <v>290</v>
      </c>
    </row>
    <row r="181" spans="1:19" ht="15" x14ac:dyDescent="0.25">
      <c r="A181" s="145">
        <v>835</v>
      </c>
      <c r="B181" s="145">
        <v>34</v>
      </c>
      <c r="C181" s="145">
        <v>0</v>
      </c>
      <c r="D181" s="145">
        <v>0</v>
      </c>
      <c r="E181" s="145">
        <v>0</v>
      </c>
      <c r="F181" s="145">
        <v>0</v>
      </c>
      <c r="G181" s="145" t="s">
        <v>77</v>
      </c>
      <c r="H181" s="145">
        <v>0</v>
      </c>
      <c r="I181" s="145">
        <v>0</v>
      </c>
      <c r="J181" s="145">
        <v>0</v>
      </c>
      <c r="K181" s="145">
        <v>0</v>
      </c>
      <c r="L181" s="145">
        <v>0</v>
      </c>
      <c r="M181" s="145" t="s">
        <v>29</v>
      </c>
      <c r="N181" s="145">
        <v>2</v>
      </c>
      <c r="O181" s="145" t="s">
        <v>52</v>
      </c>
      <c r="P181" s="145" t="s">
        <v>189</v>
      </c>
      <c r="Q181" s="145" t="s">
        <v>190</v>
      </c>
      <c r="R181" s="145" t="s">
        <v>55</v>
      </c>
      <c r="S181" s="145" t="s">
        <v>290</v>
      </c>
    </row>
    <row r="182" spans="1:19" ht="15" x14ac:dyDescent="0.25">
      <c r="A182" s="145">
        <v>882</v>
      </c>
      <c r="B182" s="145">
        <v>35</v>
      </c>
      <c r="C182" s="145">
        <v>0</v>
      </c>
      <c r="D182" s="145">
        <v>0</v>
      </c>
      <c r="E182" s="145">
        <v>0</v>
      </c>
      <c r="F182" s="145">
        <v>0</v>
      </c>
      <c r="G182" s="145" t="s">
        <v>3</v>
      </c>
      <c r="H182" s="145">
        <v>0</v>
      </c>
      <c r="I182" s="145">
        <v>0</v>
      </c>
      <c r="J182" s="145">
        <v>0</v>
      </c>
      <c r="K182" s="145">
        <v>0</v>
      </c>
      <c r="L182" s="145">
        <v>0</v>
      </c>
      <c r="M182" s="145" t="s">
        <v>29</v>
      </c>
      <c r="N182" s="145">
        <v>4</v>
      </c>
      <c r="O182" s="145" t="s">
        <v>50</v>
      </c>
      <c r="P182" s="145" t="s">
        <v>192</v>
      </c>
      <c r="Q182" s="145" t="s">
        <v>190</v>
      </c>
      <c r="R182" s="145" t="s">
        <v>55</v>
      </c>
      <c r="S182" s="145" t="s">
        <v>292</v>
      </c>
    </row>
    <row r="183" spans="1:19" ht="15" x14ac:dyDescent="0.25">
      <c r="A183" s="145">
        <v>3535</v>
      </c>
      <c r="B183" s="145">
        <v>35</v>
      </c>
      <c r="C183" s="145">
        <v>6</v>
      </c>
      <c r="D183" s="145">
        <v>0</v>
      </c>
      <c r="E183" s="145">
        <v>0</v>
      </c>
      <c r="F183" s="145">
        <v>0</v>
      </c>
      <c r="G183" s="145" t="s">
        <v>78</v>
      </c>
      <c r="H183" s="145">
        <v>2</v>
      </c>
      <c r="I183" s="145">
        <v>0</v>
      </c>
      <c r="J183" s="145">
        <v>2</v>
      </c>
      <c r="K183" s="145">
        <v>0</v>
      </c>
      <c r="L183" s="145">
        <v>0</v>
      </c>
      <c r="M183" s="145" t="s">
        <v>30</v>
      </c>
      <c r="N183" s="145">
        <v>3</v>
      </c>
      <c r="O183" s="145" t="s">
        <v>51</v>
      </c>
      <c r="P183" s="145" t="s">
        <v>189</v>
      </c>
      <c r="Q183" s="145" t="s">
        <v>190</v>
      </c>
      <c r="R183" s="145" t="s">
        <v>55</v>
      </c>
      <c r="S183" s="145" t="s">
        <v>292</v>
      </c>
    </row>
    <row r="184" spans="1:19" ht="15" x14ac:dyDescent="0.25">
      <c r="A184" s="145">
        <v>2075</v>
      </c>
      <c r="B184" s="145">
        <v>35</v>
      </c>
      <c r="C184" s="145">
        <v>18</v>
      </c>
      <c r="D184" s="145">
        <v>0</v>
      </c>
      <c r="E184" s="145">
        <v>0</v>
      </c>
      <c r="F184" s="145">
        <v>0</v>
      </c>
      <c r="G184" s="145" t="s">
        <v>77</v>
      </c>
      <c r="H184" s="145">
        <v>3</v>
      </c>
      <c r="I184" s="145">
        <v>1</v>
      </c>
      <c r="J184" s="145">
        <v>3</v>
      </c>
      <c r="K184" s="145">
        <v>0</v>
      </c>
      <c r="L184" s="145">
        <v>0</v>
      </c>
      <c r="M184" s="145" t="s">
        <v>29</v>
      </c>
      <c r="N184" s="145">
        <v>4</v>
      </c>
      <c r="O184" s="145" t="s">
        <v>52</v>
      </c>
      <c r="P184" s="145" t="s">
        <v>189</v>
      </c>
      <c r="Q184" s="145" t="s">
        <v>190</v>
      </c>
      <c r="R184" s="145" t="s">
        <v>55</v>
      </c>
      <c r="S184" s="145" t="s">
        <v>292</v>
      </c>
    </row>
    <row r="185" spans="1:19" ht="15" x14ac:dyDescent="0.25">
      <c r="A185" s="145">
        <v>1025</v>
      </c>
      <c r="B185" s="145">
        <v>35</v>
      </c>
      <c r="C185" s="145">
        <v>30</v>
      </c>
      <c r="D185" s="145">
        <v>0</v>
      </c>
      <c r="E185" s="145">
        <v>0</v>
      </c>
      <c r="F185" s="145">
        <v>0</v>
      </c>
      <c r="G185" s="145" t="s">
        <v>77</v>
      </c>
      <c r="H185" s="145">
        <v>0</v>
      </c>
      <c r="I185" s="145">
        <v>0</v>
      </c>
      <c r="J185" s="145">
        <v>0</v>
      </c>
      <c r="K185" s="145">
        <v>0</v>
      </c>
      <c r="L185" s="145">
        <v>0</v>
      </c>
      <c r="M185" s="145" t="s">
        <v>25</v>
      </c>
      <c r="N185" s="145">
        <v>2</v>
      </c>
      <c r="O185" s="145" t="s">
        <v>52</v>
      </c>
      <c r="P185" s="145" t="s">
        <v>189</v>
      </c>
      <c r="Q185" s="145" t="s">
        <v>190</v>
      </c>
      <c r="R185" s="145" t="s">
        <v>55</v>
      </c>
      <c r="S185" s="145" t="s">
        <v>292</v>
      </c>
    </row>
    <row r="186" spans="1:19" ht="15" x14ac:dyDescent="0.25">
      <c r="A186" s="145">
        <v>3642</v>
      </c>
      <c r="B186" s="145">
        <v>35</v>
      </c>
      <c r="C186" s="145">
        <v>0</v>
      </c>
      <c r="D186" s="145">
        <v>0</v>
      </c>
      <c r="E186" s="145">
        <v>0</v>
      </c>
      <c r="F186" s="145">
        <v>0</v>
      </c>
      <c r="G186" s="145" t="s">
        <v>3</v>
      </c>
      <c r="H186" s="145">
        <v>0</v>
      </c>
      <c r="I186" s="145">
        <v>0</v>
      </c>
      <c r="J186" s="145">
        <v>0</v>
      </c>
      <c r="K186" s="145">
        <v>0</v>
      </c>
      <c r="L186" s="145">
        <v>0</v>
      </c>
      <c r="M186" s="145" t="s">
        <v>29</v>
      </c>
      <c r="N186" s="145">
        <v>3</v>
      </c>
      <c r="O186" s="145" t="s">
        <v>50</v>
      </c>
      <c r="P186" s="145" t="s">
        <v>192</v>
      </c>
      <c r="Q186" s="145" t="s">
        <v>190</v>
      </c>
      <c r="R186" s="145" t="s">
        <v>55</v>
      </c>
      <c r="S186" s="145" t="s">
        <v>292</v>
      </c>
    </row>
    <row r="187" spans="1:19" ht="15" x14ac:dyDescent="0.25">
      <c r="A187" s="145">
        <v>3641</v>
      </c>
      <c r="B187" s="145">
        <v>35</v>
      </c>
      <c r="C187" s="145">
        <v>0</v>
      </c>
      <c r="D187" s="145">
        <v>0</v>
      </c>
      <c r="E187" s="145">
        <v>0</v>
      </c>
      <c r="F187" s="145">
        <v>0</v>
      </c>
      <c r="G187" s="145" t="s">
        <v>3</v>
      </c>
      <c r="H187" s="145">
        <v>0</v>
      </c>
      <c r="I187" s="145">
        <v>0</v>
      </c>
      <c r="J187" s="145">
        <v>0</v>
      </c>
      <c r="K187" s="145">
        <v>0</v>
      </c>
      <c r="L187" s="145">
        <v>0</v>
      </c>
      <c r="M187" s="145" t="s">
        <v>29</v>
      </c>
      <c r="N187" s="145">
        <v>3</v>
      </c>
      <c r="O187" s="145" t="s">
        <v>52</v>
      </c>
      <c r="P187" s="145" t="s">
        <v>192</v>
      </c>
      <c r="Q187" s="145" t="s">
        <v>204</v>
      </c>
      <c r="R187" s="145" t="s">
        <v>55</v>
      </c>
      <c r="S187" s="145" t="s">
        <v>293</v>
      </c>
    </row>
    <row r="188" spans="1:19" ht="15" x14ac:dyDescent="0.25">
      <c r="A188" s="145">
        <v>240</v>
      </c>
      <c r="B188" s="145">
        <v>36</v>
      </c>
      <c r="C188" s="145">
        <v>0</v>
      </c>
      <c r="D188" s="145">
        <v>0</v>
      </c>
      <c r="E188" s="145">
        <v>0</v>
      </c>
      <c r="F188" s="145">
        <v>0</v>
      </c>
      <c r="G188" s="145" t="s">
        <v>3</v>
      </c>
      <c r="H188" s="145">
        <v>0</v>
      </c>
      <c r="I188" s="145">
        <v>0</v>
      </c>
      <c r="J188" s="145">
        <v>0</v>
      </c>
      <c r="K188" s="145">
        <v>0</v>
      </c>
      <c r="L188" s="145">
        <v>0</v>
      </c>
      <c r="M188" s="145" t="s">
        <v>29</v>
      </c>
      <c r="N188" s="145">
        <v>3</v>
      </c>
      <c r="O188" s="145" t="s">
        <v>50</v>
      </c>
      <c r="P188" s="145" t="s">
        <v>192</v>
      </c>
      <c r="Q188" s="145" t="s">
        <v>190</v>
      </c>
      <c r="R188" s="145" t="s">
        <v>55</v>
      </c>
      <c r="S188" s="145" t="s">
        <v>294</v>
      </c>
    </row>
    <row r="189" spans="1:19" ht="15" x14ac:dyDescent="0.25">
      <c r="A189" s="145">
        <v>2627</v>
      </c>
      <c r="B189" s="145">
        <v>36</v>
      </c>
      <c r="C189" s="145">
        <v>0</v>
      </c>
      <c r="D189" s="145">
        <v>0</v>
      </c>
      <c r="E189" s="145">
        <v>0</v>
      </c>
      <c r="F189" s="145">
        <v>0</v>
      </c>
      <c r="G189" s="145" t="s">
        <v>77</v>
      </c>
      <c r="H189" s="145">
        <v>0</v>
      </c>
      <c r="I189" s="145">
        <v>0</v>
      </c>
      <c r="J189" s="145">
        <v>0</v>
      </c>
      <c r="K189" s="145">
        <v>0</v>
      </c>
      <c r="L189" s="145">
        <v>0</v>
      </c>
      <c r="M189" s="145" t="s">
        <v>29</v>
      </c>
      <c r="N189" s="145">
        <v>4</v>
      </c>
      <c r="O189" s="145" t="s">
        <v>50</v>
      </c>
      <c r="P189" s="145" t="s">
        <v>192</v>
      </c>
      <c r="Q189" s="145" t="s">
        <v>204</v>
      </c>
      <c r="R189" s="145" t="s">
        <v>54</v>
      </c>
      <c r="S189" s="145" t="s">
        <v>294</v>
      </c>
    </row>
    <row r="190" spans="1:19" ht="15" x14ac:dyDescent="0.25">
      <c r="A190" s="145">
        <v>573</v>
      </c>
      <c r="B190" s="145">
        <v>36</v>
      </c>
      <c r="C190" s="145">
        <v>37</v>
      </c>
      <c r="D190" s="145">
        <v>1</v>
      </c>
      <c r="E190" s="145">
        <v>0</v>
      </c>
      <c r="F190" s="145">
        <v>0</v>
      </c>
      <c r="G190" s="145" t="s">
        <v>77</v>
      </c>
      <c r="H190" s="145">
        <v>3</v>
      </c>
      <c r="I190" s="145">
        <v>0</v>
      </c>
      <c r="J190" s="145">
        <v>2</v>
      </c>
      <c r="K190" s="145">
        <v>1</v>
      </c>
      <c r="L190" s="145">
        <v>0</v>
      </c>
      <c r="M190" s="145" t="s">
        <v>26</v>
      </c>
      <c r="N190" s="145">
        <v>3</v>
      </c>
      <c r="O190" s="145" t="s">
        <v>51</v>
      </c>
      <c r="P190" s="145" t="s">
        <v>189</v>
      </c>
      <c r="Q190" s="145" t="s">
        <v>190</v>
      </c>
      <c r="R190" s="145" t="s">
        <v>55</v>
      </c>
      <c r="S190" s="145" t="s">
        <v>295</v>
      </c>
    </row>
    <row r="191" spans="1:19" ht="15" x14ac:dyDescent="0.25">
      <c r="A191" s="145">
        <v>3638</v>
      </c>
      <c r="B191" s="145">
        <v>36</v>
      </c>
      <c r="C191" s="145">
        <v>4</v>
      </c>
      <c r="D191" s="145">
        <v>0</v>
      </c>
      <c r="E191" s="145">
        <v>1</v>
      </c>
      <c r="F191" s="145">
        <v>0</v>
      </c>
      <c r="G191" s="145" t="s">
        <v>78</v>
      </c>
      <c r="H191" s="145">
        <v>0</v>
      </c>
      <c r="I191" s="145">
        <v>0</v>
      </c>
      <c r="J191" s="145">
        <v>0</v>
      </c>
      <c r="K191" s="145">
        <v>0</v>
      </c>
      <c r="L191" s="145">
        <v>0</v>
      </c>
      <c r="M191" s="145" t="s">
        <v>29</v>
      </c>
      <c r="N191" s="145">
        <v>4</v>
      </c>
      <c r="O191" s="145" t="s">
        <v>50</v>
      </c>
      <c r="P191" s="145" t="s">
        <v>192</v>
      </c>
      <c r="Q191" s="145" t="s">
        <v>190</v>
      </c>
      <c r="R191" s="145" t="s">
        <v>54</v>
      </c>
      <c r="S191" s="145" t="s">
        <v>294</v>
      </c>
    </row>
    <row r="192" spans="1:19" ht="15" x14ac:dyDescent="0.25">
      <c r="A192" s="145">
        <v>302</v>
      </c>
      <c r="B192" s="145">
        <v>36</v>
      </c>
      <c r="C192" s="145">
        <v>6</v>
      </c>
      <c r="D192" s="145">
        <v>0</v>
      </c>
      <c r="E192" s="145">
        <v>0</v>
      </c>
      <c r="F192" s="145">
        <v>0</v>
      </c>
      <c r="G192" s="145" t="s">
        <v>77</v>
      </c>
      <c r="H192" s="145">
        <v>2</v>
      </c>
      <c r="I192" s="145">
        <v>0</v>
      </c>
      <c r="J192" s="145">
        <v>2</v>
      </c>
      <c r="K192" s="145">
        <v>0</v>
      </c>
      <c r="L192" s="145">
        <v>0</v>
      </c>
      <c r="M192" s="145" t="s">
        <v>29</v>
      </c>
      <c r="N192" s="145">
        <v>2</v>
      </c>
      <c r="O192" s="145" t="s">
        <v>52</v>
      </c>
      <c r="P192" s="145" t="s">
        <v>189</v>
      </c>
      <c r="Q192" s="145" t="s">
        <v>190</v>
      </c>
      <c r="R192" s="145" t="s">
        <v>55</v>
      </c>
      <c r="S192" s="145" t="s">
        <v>295</v>
      </c>
    </row>
    <row r="193" spans="1:19" ht="15" x14ac:dyDescent="0.25">
      <c r="A193" s="145">
        <v>470</v>
      </c>
      <c r="B193" s="145">
        <v>37</v>
      </c>
      <c r="C193" s="145">
        <v>3</v>
      </c>
      <c r="D193" s="145">
        <v>0</v>
      </c>
      <c r="E193" s="145">
        <v>0</v>
      </c>
      <c r="F193" s="145">
        <v>0</v>
      </c>
      <c r="G193" s="145" t="s">
        <v>3</v>
      </c>
      <c r="H193" s="145">
        <v>1</v>
      </c>
      <c r="I193" s="145">
        <v>0</v>
      </c>
      <c r="J193" s="145">
        <v>1</v>
      </c>
      <c r="K193" s="145">
        <v>0</v>
      </c>
      <c r="L193" s="145">
        <v>0</v>
      </c>
      <c r="M193" s="145" t="s">
        <v>29</v>
      </c>
      <c r="N193" s="145">
        <v>2</v>
      </c>
      <c r="O193" s="145" t="s">
        <v>51</v>
      </c>
      <c r="P193" s="145" t="s">
        <v>192</v>
      </c>
      <c r="Q193" s="145" t="s">
        <v>190</v>
      </c>
      <c r="R193" s="145" t="s">
        <v>55</v>
      </c>
      <c r="S193" s="145" t="s">
        <v>296</v>
      </c>
    </row>
    <row r="194" spans="1:19" ht="15" x14ac:dyDescent="0.25">
      <c r="A194" s="145">
        <v>3658</v>
      </c>
      <c r="B194" s="145">
        <v>37</v>
      </c>
      <c r="C194" s="145">
        <v>3</v>
      </c>
      <c r="D194" s="145">
        <v>0</v>
      </c>
      <c r="E194" s="145">
        <v>0</v>
      </c>
      <c r="F194" s="145">
        <v>0</v>
      </c>
      <c r="G194" s="145" t="s">
        <v>3</v>
      </c>
      <c r="H194" s="145">
        <v>1</v>
      </c>
      <c r="I194" s="145">
        <v>0</v>
      </c>
      <c r="J194" s="145">
        <v>1</v>
      </c>
      <c r="K194" s="145">
        <v>0</v>
      </c>
      <c r="L194" s="145">
        <v>0</v>
      </c>
      <c r="M194" s="145" t="s">
        <v>29</v>
      </c>
      <c r="N194" s="145">
        <v>3</v>
      </c>
      <c r="O194" s="145" t="s">
        <v>52</v>
      </c>
      <c r="P194" s="145" t="s">
        <v>189</v>
      </c>
      <c r="Q194" s="145" t="s">
        <v>190</v>
      </c>
      <c r="R194" s="145" t="s">
        <v>55</v>
      </c>
      <c r="S194" s="145" t="s">
        <v>297</v>
      </c>
    </row>
    <row r="195" spans="1:19" ht="15" x14ac:dyDescent="0.25">
      <c r="A195" s="145">
        <v>3773</v>
      </c>
      <c r="B195" s="145">
        <v>37</v>
      </c>
      <c r="C195" s="145">
        <v>0</v>
      </c>
      <c r="D195" s="145">
        <v>0</v>
      </c>
      <c r="E195" s="145">
        <v>0</v>
      </c>
      <c r="F195" s="145">
        <v>0</v>
      </c>
      <c r="G195" s="145" t="s">
        <v>77</v>
      </c>
      <c r="H195" s="145">
        <v>0</v>
      </c>
      <c r="I195" s="145">
        <v>0</v>
      </c>
      <c r="J195" s="145">
        <v>0</v>
      </c>
      <c r="K195" s="145">
        <v>0</v>
      </c>
      <c r="L195" s="145">
        <v>0</v>
      </c>
      <c r="M195" s="145" t="s">
        <v>29</v>
      </c>
      <c r="N195" s="145">
        <v>3</v>
      </c>
      <c r="O195" s="145" t="s">
        <v>52</v>
      </c>
      <c r="P195" s="145" t="s">
        <v>206</v>
      </c>
      <c r="Q195" s="145" t="s">
        <v>204</v>
      </c>
      <c r="R195" s="145" t="s">
        <v>54</v>
      </c>
      <c r="S195" s="145" t="s">
        <v>298</v>
      </c>
    </row>
    <row r="196" spans="1:19" ht="15" x14ac:dyDescent="0.25">
      <c r="A196" s="145">
        <v>830</v>
      </c>
      <c r="B196" s="145">
        <v>38</v>
      </c>
      <c r="C196" s="145">
        <v>34</v>
      </c>
      <c r="D196" s="145">
        <v>1</v>
      </c>
      <c r="E196" s="145">
        <v>0</v>
      </c>
      <c r="F196" s="145">
        <v>0</v>
      </c>
      <c r="G196" s="145" t="s">
        <v>77</v>
      </c>
      <c r="H196" s="145">
        <v>5</v>
      </c>
      <c r="I196" s="145">
        <v>1</v>
      </c>
      <c r="J196" s="145">
        <v>3</v>
      </c>
      <c r="K196" s="145">
        <v>2</v>
      </c>
      <c r="L196" s="145">
        <v>0</v>
      </c>
      <c r="M196" s="145" t="s">
        <v>29</v>
      </c>
      <c r="N196" s="145">
        <v>4</v>
      </c>
      <c r="O196" s="145" t="s">
        <v>51</v>
      </c>
      <c r="P196" s="145" t="s">
        <v>189</v>
      </c>
      <c r="Q196" s="145" t="s">
        <v>190</v>
      </c>
      <c r="R196" s="145" t="s">
        <v>55</v>
      </c>
      <c r="S196" s="145" t="s">
        <v>297</v>
      </c>
    </row>
    <row r="197" spans="1:19" ht="15" x14ac:dyDescent="0.25">
      <c r="A197" s="145">
        <v>3322</v>
      </c>
      <c r="B197" s="145">
        <v>39</v>
      </c>
      <c r="C197" s="145">
        <v>9</v>
      </c>
      <c r="D197" s="145">
        <v>0</v>
      </c>
      <c r="E197" s="145">
        <v>0</v>
      </c>
      <c r="F197" s="145">
        <v>0</v>
      </c>
      <c r="G197" s="145" t="s">
        <v>78</v>
      </c>
      <c r="H197" s="145">
        <v>3</v>
      </c>
      <c r="I197" s="145">
        <v>0</v>
      </c>
      <c r="J197" s="145">
        <v>3</v>
      </c>
      <c r="K197" s="145">
        <v>0</v>
      </c>
      <c r="L197" s="145">
        <v>0</v>
      </c>
      <c r="M197" s="146" t="s">
        <v>25</v>
      </c>
      <c r="N197" s="145">
        <v>3</v>
      </c>
      <c r="O197" s="145" t="s">
        <v>52</v>
      </c>
      <c r="P197" s="145" t="s">
        <v>203</v>
      </c>
      <c r="Q197" s="145" t="s">
        <v>190</v>
      </c>
      <c r="R197" s="145" t="s">
        <v>55</v>
      </c>
      <c r="S197" s="145" t="s">
        <v>299</v>
      </c>
    </row>
    <row r="198" spans="1:19" ht="15" x14ac:dyDescent="0.25">
      <c r="A198" s="145">
        <v>3536</v>
      </c>
      <c r="B198" s="145">
        <v>39</v>
      </c>
      <c r="C198" s="145">
        <v>2</v>
      </c>
      <c r="D198" s="145">
        <v>0</v>
      </c>
      <c r="E198" s="145">
        <v>0</v>
      </c>
      <c r="F198" s="145">
        <v>1</v>
      </c>
      <c r="G198" s="145" t="s">
        <v>77</v>
      </c>
      <c r="H198" s="145">
        <v>0</v>
      </c>
      <c r="I198" s="145">
        <v>0</v>
      </c>
      <c r="J198" s="145">
        <v>0</v>
      </c>
      <c r="K198" s="145">
        <v>0</v>
      </c>
      <c r="L198" s="145">
        <v>0</v>
      </c>
      <c r="M198" s="145" t="s">
        <v>30</v>
      </c>
      <c r="N198" s="145">
        <v>4</v>
      </c>
      <c r="O198" s="145" t="s">
        <v>50</v>
      </c>
      <c r="P198" s="145" t="s">
        <v>192</v>
      </c>
      <c r="Q198" s="145" t="s">
        <v>192</v>
      </c>
      <c r="R198" s="145" t="s">
        <v>55</v>
      </c>
      <c r="S198" s="145" t="s">
        <v>299</v>
      </c>
    </row>
    <row r="199" spans="1:19" ht="15" x14ac:dyDescent="0.25">
      <c r="A199" s="145">
        <v>3537</v>
      </c>
      <c r="B199" s="145">
        <v>39</v>
      </c>
      <c r="C199" s="145">
        <v>0</v>
      </c>
      <c r="D199" s="145">
        <v>0</v>
      </c>
      <c r="E199" s="145">
        <v>0</v>
      </c>
      <c r="F199" s="145">
        <v>0</v>
      </c>
      <c r="G199" s="145" t="s">
        <v>3</v>
      </c>
      <c r="H199" s="145">
        <v>0</v>
      </c>
      <c r="I199" s="145">
        <v>0</v>
      </c>
      <c r="J199" s="145">
        <v>0</v>
      </c>
      <c r="K199" s="145">
        <v>0</v>
      </c>
      <c r="L199" s="145">
        <v>0</v>
      </c>
      <c r="M199" s="145" t="s">
        <v>29</v>
      </c>
      <c r="N199" s="145">
        <v>3</v>
      </c>
      <c r="O199" s="145" t="s">
        <v>50</v>
      </c>
      <c r="P199" s="145" t="s">
        <v>192</v>
      </c>
      <c r="Q199" s="145" t="s">
        <v>190</v>
      </c>
      <c r="R199" s="145" t="s">
        <v>54</v>
      </c>
      <c r="S199" s="145" t="s">
        <v>300</v>
      </c>
    </row>
    <row r="200" spans="1:19" ht="15" x14ac:dyDescent="0.25">
      <c r="A200" s="145">
        <v>2337</v>
      </c>
      <c r="B200" s="145">
        <v>39</v>
      </c>
      <c r="C200" s="145">
        <v>50</v>
      </c>
      <c r="D200" s="145">
        <v>1</v>
      </c>
      <c r="E200" s="145">
        <v>0</v>
      </c>
      <c r="F200" s="145">
        <v>0</v>
      </c>
      <c r="G200" s="145" t="s">
        <v>77</v>
      </c>
      <c r="H200" s="145">
        <v>7</v>
      </c>
      <c r="I200" s="145">
        <v>2</v>
      </c>
      <c r="J200" s="145">
        <v>6</v>
      </c>
      <c r="K200" s="145">
        <v>1</v>
      </c>
      <c r="L200" s="145">
        <v>0</v>
      </c>
      <c r="M200" s="145" t="s">
        <v>29</v>
      </c>
      <c r="N200" s="145">
        <v>3</v>
      </c>
      <c r="O200" s="145" t="s">
        <v>52</v>
      </c>
      <c r="P200" s="145" t="s">
        <v>189</v>
      </c>
      <c r="Q200" s="145" t="s">
        <v>190</v>
      </c>
      <c r="R200" s="145" t="s">
        <v>55</v>
      </c>
      <c r="S200" s="145" t="s">
        <v>300</v>
      </c>
    </row>
    <row r="201" spans="1:19" ht="15" x14ac:dyDescent="0.25">
      <c r="A201" s="145">
        <v>3635</v>
      </c>
      <c r="B201" s="145">
        <v>39</v>
      </c>
      <c r="C201" s="145">
        <v>0</v>
      </c>
      <c r="D201" s="145">
        <v>0</v>
      </c>
      <c r="E201" s="145">
        <v>0</v>
      </c>
      <c r="F201" s="145">
        <v>0</v>
      </c>
      <c r="G201" s="145" t="s">
        <v>77</v>
      </c>
      <c r="H201" s="145">
        <v>0</v>
      </c>
      <c r="I201" s="145">
        <v>0</v>
      </c>
      <c r="J201" s="145">
        <v>0</v>
      </c>
      <c r="K201" s="145">
        <v>0</v>
      </c>
      <c r="L201" s="145">
        <v>0</v>
      </c>
      <c r="M201" s="145" t="s">
        <v>29</v>
      </c>
      <c r="N201" s="145">
        <v>3</v>
      </c>
      <c r="O201" s="145" t="s">
        <v>52</v>
      </c>
      <c r="P201" s="145" t="s">
        <v>206</v>
      </c>
      <c r="Q201" s="145" t="s">
        <v>204</v>
      </c>
      <c r="R201" s="145" t="s">
        <v>55</v>
      </c>
      <c r="S201" s="145" t="s">
        <v>300</v>
      </c>
    </row>
    <row r="202" spans="1:19" ht="15" x14ac:dyDescent="0.25">
      <c r="A202" s="145">
        <v>548</v>
      </c>
      <c r="B202" s="145">
        <v>40</v>
      </c>
      <c r="C202" s="145">
        <v>7</v>
      </c>
      <c r="D202" s="145">
        <v>0</v>
      </c>
      <c r="E202" s="145">
        <v>1</v>
      </c>
      <c r="F202" s="145">
        <v>0</v>
      </c>
      <c r="G202" s="145" t="s">
        <v>78</v>
      </c>
      <c r="H202" s="145">
        <v>1</v>
      </c>
      <c r="I202" s="145">
        <v>0</v>
      </c>
      <c r="J202" s="145">
        <v>1</v>
      </c>
      <c r="K202" s="145">
        <v>0</v>
      </c>
      <c r="L202" s="145">
        <v>0</v>
      </c>
      <c r="M202" s="145" t="s">
        <v>30</v>
      </c>
      <c r="N202" s="145">
        <v>3</v>
      </c>
      <c r="O202" s="145" t="s">
        <v>52</v>
      </c>
      <c r="P202" s="145" t="s">
        <v>189</v>
      </c>
      <c r="Q202" s="145" t="s">
        <v>190</v>
      </c>
      <c r="R202" s="145" t="s">
        <v>55</v>
      </c>
      <c r="S202" s="145" t="s">
        <v>301</v>
      </c>
    </row>
    <row r="203" spans="1:19" ht="15" x14ac:dyDescent="0.25">
      <c r="A203" s="145">
        <v>3707</v>
      </c>
      <c r="B203" s="145">
        <v>40</v>
      </c>
      <c r="C203" s="145">
        <v>4</v>
      </c>
      <c r="D203" s="145">
        <v>0</v>
      </c>
      <c r="E203" s="145">
        <v>0</v>
      </c>
      <c r="F203" s="145">
        <v>0</v>
      </c>
      <c r="G203" s="145" t="s">
        <v>3</v>
      </c>
      <c r="H203" s="145">
        <v>2</v>
      </c>
      <c r="I203" s="145">
        <v>0</v>
      </c>
      <c r="J203" s="145">
        <v>0</v>
      </c>
      <c r="K203" s="145">
        <v>2</v>
      </c>
      <c r="L203" s="145">
        <v>0</v>
      </c>
      <c r="M203" s="145" t="s">
        <v>29</v>
      </c>
      <c r="N203" s="145">
        <v>5</v>
      </c>
      <c r="O203" s="145" t="s">
        <v>52</v>
      </c>
      <c r="P203" s="145" t="s">
        <v>203</v>
      </c>
      <c r="Q203" s="145" t="s">
        <v>204</v>
      </c>
      <c r="R203" s="145" t="s">
        <v>54</v>
      </c>
      <c r="S203" s="145" t="s">
        <v>301</v>
      </c>
    </row>
    <row r="204" spans="1:19" ht="15" x14ac:dyDescent="0.25">
      <c r="A204" s="145">
        <v>70</v>
      </c>
      <c r="B204" s="145">
        <v>40</v>
      </c>
      <c r="C204" s="145">
        <v>13</v>
      </c>
      <c r="D204" s="145">
        <v>1</v>
      </c>
      <c r="E204" s="145">
        <v>0</v>
      </c>
      <c r="F204" s="145">
        <v>0</v>
      </c>
      <c r="G204" s="145" t="s">
        <v>78</v>
      </c>
      <c r="H204" s="145">
        <v>3</v>
      </c>
      <c r="I204" s="145">
        <v>0</v>
      </c>
      <c r="J204" s="145">
        <v>1</v>
      </c>
      <c r="K204" s="145">
        <v>2</v>
      </c>
      <c r="L204" s="145">
        <v>0</v>
      </c>
      <c r="M204" s="145" t="s">
        <v>29</v>
      </c>
      <c r="N204" s="145">
        <v>3</v>
      </c>
      <c r="O204" s="145" t="s">
        <v>52</v>
      </c>
      <c r="P204" s="145" t="s">
        <v>203</v>
      </c>
      <c r="Q204" s="145" t="s">
        <v>204</v>
      </c>
      <c r="R204" s="145" t="s">
        <v>54</v>
      </c>
      <c r="S204" s="145" t="s">
        <v>302</v>
      </c>
    </row>
    <row r="205" spans="1:19" ht="15" x14ac:dyDescent="0.25">
      <c r="A205" s="145">
        <v>70</v>
      </c>
      <c r="B205" s="145">
        <v>40</v>
      </c>
      <c r="C205" s="145">
        <v>52</v>
      </c>
      <c r="D205" s="145">
        <v>1</v>
      </c>
      <c r="E205" s="145">
        <v>0</v>
      </c>
      <c r="F205" s="145">
        <v>0</v>
      </c>
      <c r="G205" s="145" t="s">
        <v>78</v>
      </c>
      <c r="H205" s="145">
        <v>5</v>
      </c>
      <c r="I205" s="145">
        <v>1</v>
      </c>
      <c r="J205" s="145">
        <v>1</v>
      </c>
      <c r="K205" s="145">
        <v>3</v>
      </c>
      <c r="L205" s="145">
        <v>1</v>
      </c>
      <c r="M205" s="145" t="s">
        <v>25</v>
      </c>
      <c r="N205" s="145">
        <v>5</v>
      </c>
      <c r="O205" s="145" t="s">
        <v>51</v>
      </c>
      <c r="P205" s="145" t="s">
        <v>189</v>
      </c>
      <c r="Q205" s="145" t="s">
        <v>190</v>
      </c>
      <c r="R205" s="145" t="s">
        <v>55</v>
      </c>
      <c r="S205" s="145" t="s">
        <v>302</v>
      </c>
    </row>
    <row r="206" spans="1:19" ht="15" x14ac:dyDescent="0.25">
      <c r="A206" s="145">
        <v>1507</v>
      </c>
      <c r="B206" s="145">
        <v>40</v>
      </c>
      <c r="C206" s="145">
        <v>0</v>
      </c>
      <c r="D206" s="145">
        <v>0</v>
      </c>
      <c r="E206" s="145">
        <v>0</v>
      </c>
      <c r="F206" s="145">
        <v>0</v>
      </c>
      <c r="G206" s="145" t="s">
        <v>3</v>
      </c>
      <c r="H206" s="145">
        <v>0</v>
      </c>
      <c r="I206" s="145">
        <v>0</v>
      </c>
      <c r="J206" s="145">
        <v>0</v>
      </c>
      <c r="K206" s="145">
        <v>0</v>
      </c>
      <c r="L206" s="145">
        <v>0</v>
      </c>
      <c r="M206" s="145" t="s">
        <v>29</v>
      </c>
      <c r="N206" s="145">
        <v>3</v>
      </c>
      <c r="O206" s="145" t="s">
        <v>50</v>
      </c>
      <c r="P206" s="145" t="s">
        <v>192</v>
      </c>
      <c r="Q206" s="145" t="s">
        <v>204</v>
      </c>
      <c r="R206" s="145" t="s">
        <v>55</v>
      </c>
      <c r="S206" s="145" t="s">
        <v>303</v>
      </c>
    </row>
    <row r="207" spans="1:19" ht="15" x14ac:dyDescent="0.25">
      <c r="A207" s="145">
        <v>247</v>
      </c>
      <c r="B207" s="145">
        <v>40</v>
      </c>
      <c r="C207" s="145">
        <v>6</v>
      </c>
      <c r="D207" s="145">
        <v>0</v>
      </c>
      <c r="E207" s="145">
        <v>0</v>
      </c>
      <c r="F207" s="145">
        <v>0</v>
      </c>
      <c r="G207" s="145" t="s">
        <v>77</v>
      </c>
      <c r="H207" s="145">
        <v>2</v>
      </c>
      <c r="I207" s="145">
        <v>0</v>
      </c>
      <c r="J207" s="145">
        <v>2</v>
      </c>
      <c r="K207" s="145">
        <v>0</v>
      </c>
      <c r="L207" s="145">
        <v>0</v>
      </c>
      <c r="M207" s="145" t="s">
        <v>30</v>
      </c>
      <c r="N207" s="145">
        <v>3</v>
      </c>
      <c r="O207" s="145" t="s">
        <v>52</v>
      </c>
      <c r="P207" s="145" t="s">
        <v>189</v>
      </c>
      <c r="Q207" s="145" t="s">
        <v>190</v>
      </c>
      <c r="R207" s="145" t="s">
        <v>55</v>
      </c>
      <c r="S207" s="145" t="s">
        <v>301</v>
      </c>
    </row>
    <row r="208" spans="1:19" ht="15" x14ac:dyDescent="0.25">
      <c r="A208" s="145">
        <v>894</v>
      </c>
      <c r="B208" s="145">
        <v>41</v>
      </c>
      <c r="C208" s="145">
        <v>0</v>
      </c>
      <c r="D208" s="145">
        <v>0</v>
      </c>
      <c r="E208" s="145">
        <v>0</v>
      </c>
      <c r="F208" s="145">
        <v>0</v>
      </c>
      <c r="G208" s="145" t="s">
        <v>77</v>
      </c>
      <c r="H208" s="145">
        <v>0</v>
      </c>
      <c r="I208" s="145">
        <v>0</v>
      </c>
      <c r="J208" s="145">
        <v>0</v>
      </c>
      <c r="K208" s="145">
        <v>0</v>
      </c>
      <c r="L208" s="145">
        <v>0</v>
      </c>
      <c r="M208" s="145" t="s">
        <v>29</v>
      </c>
      <c r="N208" s="145">
        <v>3</v>
      </c>
      <c r="O208" s="145" t="s">
        <v>52</v>
      </c>
      <c r="P208" s="145" t="s">
        <v>189</v>
      </c>
      <c r="Q208" s="145" t="s">
        <v>190</v>
      </c>
      <c r="R208" s="145" t="s">
        <v>55</v>
      </c>
      <c r="S208" s="145" t="s">
        <v>304</v>
      </c>
    </row>
    <row r="209" spans="1:19" ht="15" x14ac:dyDescent="0.25">
      <c r="A209" s="145">
        <v>2627</v>
      </c>
      <c r="B209" s="145">
        <v>41</v>
      </c>
      <c r="C209" s="145">
        <v>0</v>
      </c>
      <c r="D209" s="145">
        <v>0</v>
      </c>
      <c r="E209" s="145">
        <v>0</v>
      </c>
      <c r="F209" s="145">
        <v>0</v>
      </c>
      <c r="G209" s="145" t="s">
        <v>3</v>
      </c>
      <c r="H209" s="145">
        <v>0</v>
      </c>
      <c r="I209" s="145">
        <v>0</v>
      </c>
      <c r="J209" s="145">
        <v>0</v>
      </c>
      <c r="K209" s="145">
        <v>0</v>
      </c>
      <c r="L209" s="145">
        <v>0</v>
      </c>
      <c r="M209" s="145" t="s">
        <v>29</v>
      </c>
      <c r="N209" s="145">
        <v>1</v>
      </c>
      <c r="O209" s="145" t="s">
        <v>52</v>
      </c>
      <c r="P209" s="145" t="s">
        <v>192</v>
      </c>
      <c r="Q209" s="145" t="s">
        <v>192</v>
      </c>
      <c r="R209" s="145" t="s">
        <v>55</v>
      </c>
      <c r="S209" s="145" t="s">
        <v>304</v>
      </c>
    </row>
    <row r="210" spans="1:19" ht="15" x14ac:dyDescent="0.25">
      <c r="A210" s="145">
        <v>3547</v>
      </c>
      <c r="B210" s="145">
        <v>41</v>
      </c>
      <c r="C210" s="145">
        <v>38</v>
      </c>
      <c r="D210" s="145">
        <v>0</v>
      </c>
      <c r="E210" s="145">
        <v>0</v>
      </c>
      <c r="F210" s="145">
        <v>0</v>
      </c>
      <c r="G210" s="145" t="s">
        <v>77</v>
      </c>
      <c r="H210" s="145">
        <v>3</v>
      </c>
      <c r="I210" s="145">
        <v>1</v>
      </c>
      <c r="J210" s="145">
        <v>3</v>
      </c>
      <c r="K210" s="145">
        <v>0</v>
      </c>
      <c r="L210" s="145">
        <v>0</v>
      </c>
      <c r="M210" s="145" t="s">
        <v>26</v>
      </c>
      <c r="N210" s="145">
        <v>3</v>
      </c>
      <c r="O210" s="145" t="s">
        <v>51</v>
      </c>
      <c r="P210" s="145" t="s">
        <v>189</v>
      </c>
      <c r="Q210" s="145" t="s">
        <v>190</v>
      </c>
      <c r="R210" s="145" t="s">
        <v>55</v>
      </c>
      <c r="S210" s="145" t="s">
        <v>305</v>
      </c>
    </row>
    <row r="211" spans="1:19" ht="15" x14ac:dyDescent="0.25">
      <c r="A211" s="145">
        <v>2619</v>
      </c>
      <c r="B211" s="145">
        <v>41</v>
      </c>
      <c r="C211" s="145">
        <v>12</v>
      </c>
      <c r="D211" s="145">
        <v>1</v>
      </c>
      <c r="E211" s="145">
        <v>0</v>
      </c>
      <c r="F211" s="145">
        <v>0</v>
      </c>
      <c r="G211" s="145" t="s">
        <v>77</v>
      </c>
      <c r="H211" s="145">
        <v>2</v>
      </c>
      <c r="I211" s="145">
        <v>0</v>
      </c>
      <c r="J211" s="145">
        <v>2</v>
      </c>
      <c r="K211" s="145">
        <v>0</v>
      </c>
      <c r="L211" s="145">
        <v>0</v>
      </c>
      <c r="M211" s="145" t="s">
        <v>29</v>
      </c>
      <c r="N211" s="145">
        <v>4</v>
      </c>
      <c r="O211" s="145" t="s">
        <v>51</v>
      </c>
      <c r="P211" s="145" t="s">
        <v>189</v>
      </c>
      <c r="Q211" s="145" t="s">
        <v>190</v>
      </c>
      <c r="R211" s="145" t="s">
        <v>55</v>
      </c>
      <c r="S211" s="145" t="s">
        <v>305</v>
      </c>
    </row>
    <row r="212" spans="1:19" ht="15" x14ac:dyDescent="0.25">
      <c r="A212" s="145">
        <v>573</v>
      </c>
      <c r="B212" s="145">
        <v>42</v>
      </c>
      <c r="C212" s="145">
        <v>32</v>
      </c>
      <c r="D212" s="145">
        <v>1</v>
      </c>
      <c r="E212" s="145">
        <v>0</v>
      </c>
      <c r="F212" s="145">
        <v>0</v>
      </c>
      <c r="G212" s="145" t="s">
        <v>77</v>
      </c>
      <c r="H212" s="145">
        <v>4</v>
      </c>
      <c r="I212" s="145">
        <v>1</v>
      </c>
      <c r="J212" s="145">
        <v>3</v>
      </c>
      <c r="K212" s="145">
        <v>1</v>
      </c>
      <c r="L212" s="145">
        <v>0</v>
      </c>
      <c r="M212" s="145" t="s">
        <v>30</v>
      </c>
      <c r="N212" s="145">
        <v>3</v>
      </c>
      <c r="O212" s="145" t="s">
        <v>51</v>
      </c>
      <c r="P212" s="145" t="s">
        <v>189</v>
      </c>
      <c r="Q212" s="145" t="s">
        <v>190</v>
      </c>
      <c r="R212" s="145" t="s">
        <v>55</v>
      </c>
      <c r="S212" s="145" t="s">
        <v>306</v>
      </c>
    </row>
    <row r="213" spans="1:19" ht="15" x14ac:dyDescent="0.25">
      <c r="A213" s="145">
        <v>302</v>
      </c>
      <c r="B213" s="145">
        <v>42</v>
      </c>
      <c r="C213" s="145">
        <v>48</v>
      </c>
      <c r="D213" s="145">
        <v>0</v>
      </c>
      <c r="E213" s="145">
        <v>0</v>
      </c>
      <c r="F213" s="145">
        <v>0</v>
      </c>
      <c r="G213" s="145" t="s">
        <v>77</v>
      </c>
      <c r="H213" s="145">
        <v>3</v>
      </c>
      <c r="I213" s="145">
        <v>1</v>
      </c>
      <c r="J213" s="145">
        <v>3</v>
      </c>
      <c r="K213" s="145">
        <v>0</v>
      </c>
      <c r="L213" s="145">
        <v>0</v>
      </c>
      <c r="M213" s="145" t="s">
        <v>25</v>
      </c>
      <c r="N213" s="145">
        <v>4</v>
      </c>
      <c r="O213" s="145" t="s">
        <v>51</v>
      </c>
      <c r="P213" s="145" t="s">
        <v>189</v>
      </c>
      <c r="Q213" s="145" t="s">
        <v>190</v>
      </c>
      <c r="R213" s="145" t="s">
        <v>55</v>
      </c>
      <c r="S213" s="145" t="s">
        <v>307</v>
      </c>
    </row>
    <row r="214" spans="1:19" ht="15" x14ac:dyDescent="0.25">
      <c r="A214" s="145">
        <v>3656</v>
      </c>
      <c r="B214" s="145">
        <v>42</v>
      </c>
      <c r="C214" s="145">
        <v>3</v>
      </c>
      <c r="D214" s="145">
        <v>0</v>
      </c>
      <c r="E214" s="145">
        <v>0</v>
      </c>
      <c r="F214" s="145">
        <v>0</v>
      </c>
      <c r="G214" s="145" t="s">
        <v>3</v>
      </c>
      <c r="H214" s="145">
        <v>1</v>
      </c>
      <c r="I214" s="145">
        <v>0</v>
      </c>
      <c r="J214" s="145">
        <v>1</v>
      </c>
      <c r="K214" s="145">
        <v>0</v>
      </c>
      <c r="L214" s="145">
        <v>0</v>
      </c>
      <c r="M214" s="145" t="s">
        <v>29</v>
      </c>
      <c r="N214" s="145">
        <v>1</v>
      </c>
      <c r="O214" s="145" t="s">
        <v>51</v>
      </c>
      <c r="P214" s="145" t="s">
        <v>189</v>
      </c>
      <c r="Q214" s="145" t="s">
        <v>190</v>
      </c>
      <c r="R214" s="145" t="s">
        <v>55</v>
      </c>
      <c r="S214" s="145" t="s">
        <v>306</v>
      </c>
    </row>
    <row r="215" spans="1:19" ht="15" x14ac:dyDescent="0.25">
      <c r="A215" s="145">
        <v>3655</v>
      </c>
      <c r="B215" s="145">
        <v>42</v>
      </c>
      <c r="C215" s="145">
        <v>0</v>
      </c>
      <c r="D215" s="145">
        <v>0</v>
      </c>
      <c r="E215" s="145">
        <v>0</v>
      </c>
      <c r="F215" s="145">
        <v>0</v>
      </c>
      <c r="G215" s="145" t="s">
        <v>3</v>
      </c>
      <c r="H215" s="145">
        <v>0</v>
      </c>
      <c r="I215" s="145">
        <v>0</v>
      </c>
      <c r="J215" s="145">
        <v>0</v>
      </c>
      <c r="K215" s="145">
        <v>0</v>
      </c>
      <c r="L215" s="145">
        <v>0</v>
      </c>
      <c r="M215" s="145" t="s">
        <v>29</v>
      </c>
      <c r="N215" s="145">
        <v>3</v>
      </c>
      <c r="O215" s="145" t="s">
        <v>52</v>
      </c>
      <c r="P215" s="145" t="s">
        <v>192</v>
      </c>
      <c r="Q215" s="145" t="s">
        <v>190</v>
      </c>
      <c r="R215" s="145" t="s">
        <v>55</v>
      </c>
      <c r="S215" s="145" t="s">
        <v>308</v>
      </c>
    </row>
    <row r="216" spans="1:19" ht="15" x14ac:dyDescent="0.25">
      <c r="A216" s="145">
        <v>470</v>
      </c>
      <c r="B216" s="145">
        <v>42</v>
      </c>
      <c r="C216" s="145">
        <v>0</v>
      </c>
      <c r="D216" s="145">
        <v>0</v>
      </c>
      <c r="E216" s="145">
        <v>0</v>
      </c>
      <c r="F216" s="145">
        <v>0</v>
      </c>
      <c r="G216" s="145" t="s">
        <v>77</v>
      </c>
      <c r="H216" s="145">
        <v>0</v>
      </c>
      <c r="I216" s="145">
        <v>0</v>
      </c>
      <c r="J216" s="145">
        <v>0</v>
      </c>
      <c r="K216" s="145">
        <v>0</v>
      </c>
      <c r="L216" s="145">
        <v>0</v>
      </c>
      <c r="M216" s="145" t="s">
        <v>29</v>
      </c>
      <c r="N216" s="145">
        <v>3</v>
      </c>
      <c r="O216" s="145" t="s">
        <v>52</v>
      </c>
      <c r="P216" s="145" t="s">
        <v>189</v>
      </c>
      <c r="Q216" s="145" t="s">
        <v>190</v>
      </c>
      <c r="R216" s="145" t="s">
        <v>55</v>
      </c>
      <c r="S216" s="145" t="s">
        <v>306</v>
      </c>
    </row>
    <row r="217" spans="1:19" ht="15" x14ac:dyDescent="0.25">
      <c r="A217" s="145">
        <v>1684</v>
      </c>
      <c r="B217" s="145">
        <v>43</v>
      </c>
      <c r="C217" s="145">
        <v>3</v>
      </c>
      <c r="D217" s="145">
        <v>0</v>
      </c>
      <c r="E217" s="145">
        <v>0</v>
      </c>
      <c r="F217" s="145">
        <v>0</v>
      </c>
      <c r="G217" s="145" t="s">
        <v>77</v>
      </c>
      <c r="H217" s="145">
        <v>1</v>
      </c>
      <c r="I217" s="145">
        <v>0</v>
      </c>
      <c r="J217" s="145">
        <v>1</v>
      </c>
      <c r="K217" s="145">
        <v>0</v>
      </c>
      <c r="L217" s="145">
        <v>0</v>
      </c>
      <c r="M217" s="145" t="s">
        <v>30</v>
      </c>
      <c r="N217" s="145">
        <v>4</v>
      </c>
      <c r="O217" s="145" t="s">
        <v>51</v>
      </c>
      <c r="P217" s="145" t="s">
        <v>189</v>
      </c>
      <c r="Q217" s="145" t="s">
        <v>190</v>
      </c>
      <c r="R217" s="145" t="s">
        <v>55</v>
      </c>
      <c r="S217" s="145" t="s">
        <v>309</v>
      </c>
    </row>
    <row r="218" spans="1:19" ht="15" x14ac:dyDescent="0.25">
      <c r="A218" s="145">
        <v>68</v>
      </c>
      <c r="B218" s="145">
        <v>43</v>
      </c>
      <c r="C218" s="145">
        <v>20</v>
      </c>
      <c r="D218" s="145">
        <v>0</v>
      </c>
      <c r="E218" s="145">
        <v>0</v>
      </c>
      <c r="F218" s="145">
        <v>0</v>
      </c>
      <c r="G218" s="145" t="s">
        <v>77</v>
      </c>
      <c r="H218" s="145">
        <v>4</v>
      </c>
      <c r="I218" s="145">
        <v>1</v>
      </c>
      <c r="J218" s="145">
        <v>3</v>
      </c>
      <c r="K218" s="145">
        <v>1</v>
      </c>
      <c r="L218" s="145">
        <v>0</v>
      </c>
      <c r="M218" s="145" t="s">
        <v>30</v>
      </c>
      <c r="N218" s="145">
        <v>3</v>
      </c>
      <c r="O218" s="145" t="s">
        <v>51</v>
      </c>
      <c r="P218" s="145" t="s">
        <v>189</v>
      </c>
      <c r="Q218" s="145" t="s">
        <v>190</v>
      </c>
      <c r="R218" s="145" t="s">
        <v>55</v>
      </c>
      <c r="S218" s="145" t="s">
        <v>309</v>
      </c>
    </row>
    <row r="219" spans="1:19" ht="15" x14ac:dyDescent="0.25">
      <c r="A219" s="145">
        <v>3707</v>
      </c>
      <c r="B219" s="145">
        <v>43</v>
      </c>
      <c r="C219" s="145">
        <v>3</v>
      </c>
      <c r="D219" s="145">
        <v>0</v>
      </c>
      <c r="E219" s="145">
        <v>0</v>
      </c>
      <c r="F219" s="145">
        <v>0</v>
      </c>
      <c r="G219" s="145" t="s">
        <v>3</v>
      </c>
      <c r="H219" s="145">
        <v>1</v>
      </c>
      <c r="I219" s="145">
        <v>0</v>
      </c>
      <c r="J219" s="145">
        <v>1</v>
      </c>
      <c r="K219" s="145">
        <v>0</v>
      </c>
      <c r="L219" s="145">
        <v>0</v>
      </c>
      <c r="M219" s="145" t="s">
        <v>29</v>
      </c>
      <c r="N219" s="145">
        <v>5</v>
      </c>
      <c r="O219" s="145" t="s">
        <v>51</v>
      </c>
      <c r="P219" s="145" t="s">
        <v>206</v>
      </c>
      <c r="Q219" s="145" t="s">
        <v>206</v>
      </c>
      <c r="R219" s="145" t="s">
        <v>55</v>
      </c>
      <c r="S219" s="145" t="s">
        <v>309</v>
      </c>
    </row>
    <row r="220" spans="1:19" ht="15" x14ac:dyDescent="0.25">
      <c r="A220" s="145">
        <v>3098</v>
      </c>
      <c r="B220" s="145">
        <v>43</v>
      </c>
      <c r="C220" s="145">
        <v>50</v>
      </c>
      <c r="D220" s="145">
        <v>1</v>
      </c>
      <c r="E220" s="145">
        <v>0</v>
      </c>
      <c r="F220" s="145">
        <v>0</v>
      </c>
      <c r="G220" s="145" t="s">
        <v>77</v>
      </c>
      <c r="H220" s="145">
        <v>7</v>
      </c>
      <c r="I220" s="145">
        <v>2</v>
      </c>
      <c r="J220" s="145">
        <v>6</v>
      </c>
      <c r="K220" s="145">
        <v>1</v>
      </c>
      <c r="L220" s="145">
        <v>0</v>
      </c>
      <c r="M220" s="145" t="s">
        <v>29</v>
      </c>
      <c r="N220" s="145">
        <v>4</v>
      </c>
      <c r="O220" s="145" t="s">
        <v>51</v>
      </c>
      <c r="P220" s="145" t="s">
        <v>189</v>
      </c>
      <c r="Q220" s="145" t="s">
        <v>190</v>
      </c>
      <c r="R220" s="145" t="s">
        <v>55</v>
      </c>
      <c r="S220" s="145" t="s">
        <v>309</v>
      </c>
    </row>
    <row r="221" spans="1:19" ht="15" x14ac:dyDescent="0.25">
      <c r="A221" s="145">
        <v>3548</v>
      </c>
      <c r="B221" s="145">
        <v>43</v>
      </c>
      <c r="C221" s="145">
        <v>0</v>
      </c>
      <c r="D221" s="145">
        <v>0</v>
      </c>
      <c r="E221" s="145">
        <v>0</v>
      </c>
      <c r="F221" s="145">
        <v>0</v>
      </c>
      <c r="G221" s="145" t="s">
        <v>3</v>
      </c>
      <c r="H221" s="145">
        <v>0</v>
      </c>
      <c r="I221" s="145">
        <v>0</v>
      </c>
      <c r="J221" s="145">
        <v>0</v>
      </c>
      <c r="K221" s="145">
        <v>0</v>
      </c>
      <c r="L221" s="145">
        <v>0</v>
      </c>
      <c r="M221" s="145" t="s">
        <v>29</v>
      </c>
      <c r="N221" s="145">
        <v>2</v>
      </c>
      <c r="O221" s="145" t="s">
        <v>52</v>
      </c>
      <c r="P221" s="145" t="s">
        <v>192</v>
      </c>
      <c r="Q221" s="145" t="s">
        <v>190</v>
      </c>
      <c r="R221" s="145" t="s">
        <v>55</v>
      </c>
      <c r="S221" s="145" t="s">
        <v>310</v>
      </c>
    </row>
    <row r="222" spans="1:19" ht="15" x14ac:dyDescent="0.25">
      <c r="A222" s="145">
        <v>3537</v>
      </c>
      <c r="B222" s="145">
        <v>44</v>
      </c>
      <c r="C222" s="145">
        <v>2</v>
      </c>
      <c r="D222" s="145">
        <v>0</v>
      </c>
      <c r="E222" s="145">
        <v>0</v>
      </c>
      <c r="F222" s="145">
        <v>0</v>
      </c>
      <c r="G222" s="145" t="s">
        <v>77</v>
      </c>
      <c r="H222" s="145">
        <v>1</v>
      </c>
      <c r="I222" s="145">
        <v>0</v>
      </c>
      <c r="J222" s="145">
        <v>0</v>
      </c>
      <c r="K222" s="145">
        <v>1</v>
      </c>
      <c r="L222" s="145">
        <v>0</v>
      </c>
      <c r="M222" s="145" t="s">
        <v>29</v>
      </c>
      <c r="N222" s="145">
        <v>2</v>
      </c>
      <c r="O222" s="145" t="s">
        <v>52</v>
      </c>
      <c r="P222" s="145" t="s">
        <v>206</v>
      </c>
      <c r="Q222" s="145" t="s">
        <v>204</v>
      </c>
      <c r="R222" s="145" t="s">
        <v>55</v>
      </c>
      <c r="S222" s="145" t="s">
        <v>311</v>
      </c>
    </row>
    <row r="223" spans="1:19" ht="15" x14ac:dyDescent="0.25">
      <c r="A223" s="145">
        <v>3322</v>
      </c>
      <c r="B223" s="145">
        <v>44</v>
      </c>
      <c r="C223" s="145">
        <v>6</v>
      </c>
      <c r="D223" s="145">
        <v>1</v>
      </c>
      <c r="E223" s="145">
        <v>0</v>
      </c>
      <c r="F223" s="145">
        <v>0</v>
      </c>
      <c r="G223" s="145" t="s">
        <v>77</v>
      </c>
      <c r="H223" s="145">
        <v>0</v>
      </c>
      <c r="I223" s="145">
        <v>0</v>
      </c>
      <c r="J223" s="145">
        <v>0</v>
      </c>
      <c r="K223" s="145">
        <v>0</v>
      </c>
      <c r="L223" s="145">
        <v>0</v>
      </c>
      <c r="M223" s="145" t="s">
        <v>29</v>
      </c>
      <c r="N223" s="145">
        <v>3</v>
      </c>
      <c r="O223" s="145" t="s">
        <v>52</v>
      </c>
      <c r="P223" s="145" t="s">
        <v>192</v>
      </c>
      <c r="Q223" s="145" t="s">
        <v>190</v>
      </c>
      <c r="R223" s="145" t="s">
        <v>55</v>
      </c>
      <c r="S223" s="145" t="s">
        <v>312</v>
      </c>
    </row>
    <row r="224" spans="1:19" ht="15" x14ac:dyDescent="0.25">
      <c r="A224" s="145">
        <v>548</v>
      </c>
      <c r="B224" s="145">
        <v>44</v>
      </c>
      <c r="C224" s="145">
        <v>4</v>
      </c>
      <c r="D224" s="145">
        <v>0</v>
      </c>
      <c r="E224" s="145">
        <v>1</v>
      </c>
      <c r="F224" s="145">
        <v>0</v>
      </c>
      <c r="G224" s="145" t="s">
        <v>77</v>
      </c>
      <c r="H224" s="145">
        <v>0</v>
      </c>
      <c r="I224" s="145">
        <v>0</v>
      </c>
      <c r="J224" s="145">
        <v>0</v>
      </c>
      <c r="K224" s="145">
        <v>0</v>
      </c>
      <c r="L224" s="145">
        <v>0</v>
      </c>
      <c r="M224" s="145" t="s">
        <v>29</v>
      </c>
      <c r="N224" s="145">
        <v>3</v>
      </c>
      <c r="O224" s="145" t="s">
        <v>52</v>
      </c>
      <c r="P224" s="145" t="s">
        <v>189</v>
      </c>
      <c r="Q224" s="145" t="s">
        <v>190</v>
      </c>
      <c r="R224" s="145" t="s">
        <v>55</v>
      </c>
      <c r="S224" s="145" t="s">
        <v>312</v>
      </c>
    </row>
    <row r="225" spans="1:19" ht="15" x14ac:dyDescent="0.25">
      <c r="A225" s="145">
        <v>1332</v>
      </c>
      <c r="B225" s="145">
        <v>44</v>
      </c>
      <c r="C225" s="145">
        <v>44</v>
      </c>
      <c r="D225" s="145">
        <v>0</v>
      </c>
      <c r="E225" s="145">
        <v>0</v>
      </c>
      <c r="F225" s="145">
        <v>0</v>
      </c>
      <c r="G225" s="145" t="s">
        <v>77</v>
      </c>
      <c r="H225" s="145">
        <v>4</v>
      </c>
      <c r="I225" s="145">
        <v>1</v>
      </c>
      <c r="J225" s="145">
        <v>0</v>
      </c>
      <c r="K225" s="145">
        <v>4</v>
      </c>
      <c r="L225" s="145">
        <v>0</v>
      </c>
      <c r="M225" s="145" t="s">
        <v>25</v>
      </c>
      <c r="N225" s="145">
        <v>3</v>
      </c>
      <c r="O225" s="145" t="s">
        <v>51</v>
      </c>
      <c r="P225" s="145" t="s">
        <v>189</v>
      </c>
      <c r="Q225" s="145" t="s">
        <v>190</v>
      </c>
      <c r="R225" s="145" t="s">
        <v>55</v>
      </c>
      <c r="S225" s="145" t="s">
        <v>312</v>
      </c>
    </row>
    <row r="226" spans="1:19" ht="15" x14ac:dyDescent="0.25">
      <c r="A226" s="145">
        <v>2145</v>
      </c>
      <c r="B226" s="145">
        <v>45</v>
      </c>
      <c r="C226" s="145">
        <v>8</v>
      </c>
      <c r="D226" s="145">
        <v>0</v>
      </c>
      <c r="E226" s="145">
        <v>0</v>
      </c>
      <c r="F226" s="145">
        <v>0</v>
      </c>
      <c r="G226" s="145" t="s">
        <v>77</v>
      </c>
      <c r="H226" s="145">
        <v>3</v>
      </c>
      <c r="I226" s="145">
        <v>0</v>
      </c>
      <c r="J226" s="145">
        <v>2</v>
      </c>
      <c r="K226" s="145">
        <v>1</v>
      </c>
      <c r="L226" s="145">
        <v>0</v>
      </c>
      <c r="M226" s="145" t="s">
        <v>30</v>
      </c>
      <c r="N226" s="145">
        <v>3</v>
      </c>
      <c r="O226" s="145" t="s">
        <v>52</v>
      </c>
      <c r="P226" s="145" t="s">
        <v>206</v>
      </c>
      <c r="Q226" s="145" t="s">
        <v>206</v>
      </c>
      <c r="R226" s="145" t="s">
        <v>55</v>
      </c>
      <c r="S226" s="145" t="s">
        <v>313</v>
      </c>
    </row>
    <row r="227" spans="1:19" ht="15" x14ac:dyDescent="0.25">
      <c r="A227" s="145">
        <v>247</v>
      </c>
      <c r="B227" s="145">
        <v>45</v>
      </c>
      <c r="C227" s="145">
        <v>0</v>
      </c>
      <c r="D227" s="145">
        <v>0</v>
      </c>
      <c r="E227" s="145">
        <v>0</v>
      </c>
      <c r="F227" s="145">
        <v>0</v>
      </c>
      <c r="G227" s="145" t="s">
        <v>3</v>
      </c>
      <c r="H227" s="145">
        <v>0</v>
      </c>
      <c r="I227" s="145">
        <v>0</v>
      </c>
      <c r="J227" s="145">
        <v>0</v>
      </c>
      <c r="K227" s="145">
        <v>0</v>
      </c>
      <c r="L227" s="145">
        <v>0</v>
      </c>
      <c r="M227" s="145" t="s">
        <v>30</v>
      </c>
      <c r="N227" s="145">
        <v>3</v>
      </c>
      <c r="O227" s="145" t="s">
        <v>52</v>
      </c>
      <c r="P227" s="145" t="s">
        <v>192</v>
      </c>
      <c r="Q227" s="145" t="s">
        <v>190</v>
      </c>
      <c r="R227" s="145" t="s">
        <v>55</v>
      </c>
      <c r="S227" s="145" t="s">
        <v>314</v>
      </c>
    </row>
    <row r="228" spans="1:19" ht="15" x14ac:dyDescent="0.25">
      <c r="A228" s="145">
        <v>70</v>
      </c>
      <c r="B228" s="145">
        <v>45</v>
      </c>
      <c r="C228" s="145">
        <v>42</v>
      </c>
      <c r="D228" s="145">
        <v>1</v>
      </c>
      <c r="E228" s="145">
        <v>0</v>
      </c>
      <c r="F228" s="145">
        <v>0</v>
      </c>
      <c r="G228" s="145" t="s">
        <v>77</v>
      </c>
      <c r="H228" s="145">
        <v>1</v>
      </c>
      <c r="I228" s="145">
        <v>0</v>
      </c>
      <c r="J228" s="145">
        <v>1</v>
      </c>
      <c r="K228" s="145">
        <v>0</v>
      </c>
      <c r="L228" s="145">
        <v>0</v>
      </c>
      <c r="M228" s="145" t="s">
        <v>25</v>
      </c>
      <c r="N228" s="145">
        <v>3</v>
      </c>
      <c r="O228" s="145" t="s">
        <v>51</v>
      </c>
      <c r="P228" s="145" t="s">
        <v>189</v>
      </c>
      <c r="Q228" s="145" t="s">
        <v>190</v>
      </c>
      <c r="R228" s="145" t="s">
        <v>55</v>
      </c>
      <c r="S228" s="145" t="s">
        <v>315</v>
      </c>
    </row>
    <row r="229" spans="1:19" ht="15" x14ac:dyDescent="0.25">
      <c r="A229" s="145">
        <v>494</v>
      </c>
      <c r="B229" s="145">
        <v>45</v>
      </c>
      <c r="C229" s="145">
        <v>32</v>
      </c>
      <c r="D229" s="145">
        <v>1</v>
      </c>
      <c r="E229" s="145">
        <v>0</v>
      </c>
      <c r="F229" s="145">
        <v>0</v>
      </c>
      <c r="G229" s="145" t="s">
        <v>77</v>
      </c>
      <c r="H229" s="145">
        <v>4</v>
      </c>
      <c r="I229" s="145">
        <v>1</v>
      </c>
      <c r="J229" s="145">
        <v>3</v>
      </c>
      <c r="K229" s="145">
        <v>1</v>
      </c>
      <c r="L229" s="145">
        <v>0</v>
      </c>
      <c r="M229" s="145" t="s">
        <v>30</v>
      </c>
      <c r="N229" s="145">
        <v>4</v>
      </c>
      <c r="O229" s="145" t="s">
        <v>51</v>
      </c>
      <c r="P229" s="145" t="s">
        <v>189</v>
      </c>
      <c r="Q229" s="145" t="s">
        <v>190</v>
      </c>
      <c r="R229" s="145" t="s">
        <v>55</v>
      </c>
      <c r="S229" s="145" t="s">
        <v>315</v>
      </c>
    </row>
    <row r="230" spans="1:19" ht="15" x14ac:dyDescent="0.25">
      <c r="A230" s="145">
        <v>66</v>
      </c>
      <c r="B230" s="145">
        <v>45</v>
      </c>
      <c r="C230" s="145">
        <v>2</v>
      </c>
      <c r="D230" s="145">
        <v>0</v>
      </c>
      <c r="E230" s="145">
        <v>0</v>
      </c>
      <c r="F230" s="145">
        <v>0</v>
      </c>
      <c r="G230" s="145" t="s">
        <v>3</v>
      </c>
      <c r="H230" s="145">
        <v>1</v>
      </c>
      <c r="I230" s="145">
        <v>0</v>
      </c>
      <c r="J230" s="145">
        <v>0</v>
      </c>
      <c r="K230" s="145">
        <v>1</v>
      </c>
      <c r="L230" s="145">
        <v>0</v>
      </c>
      <c r="M230" s="145" t="s">
        <v>29</v>
      </c>
      <c r="N230" s="145">
        <v>2</v>
      </c>
      <c r="O230" s="145" t="s">
        <v>51</v>
      </c>
      <c r="P230" s="145" t="s">
        <v>189</v>
      </c>
      <c r="Q230" s="145" t="s">
        <v>190</v>
      </c>
      <c r="R230" s="145" t="s">
        <v>54</v>
      </c>
      <c r="S230" s="145" t="s">
        <v>315</v>
      </c>
    </row>
    <row r="231" spans="1:19" ht="15" x14ac:dyDescent="0.25">
      <c r="A231" s="145">
        <v>240</v>
      </c>
      <c r="B231" s="145">
        <v>45</v>
      </c>
      <c r="C231" s="145">
        <v>0</v>
      </c>
      <c r="D231" s="145">
        <v>0</v>
      </c>
      <c r="E231" s="145">
        <v>0</v>
      </c>
      <c r="F231" s="145">
        <v>0</v>
      </c>
      <c r="G231" s="145" t="s">
        <v>3</v>
      </c>
      <c r="H231" s="145">
        <v>0</v>
      </c>
      <c r="I231" s="145">
        <v>0</v>
      </c>
      <c r="J231" s="145">
        <v>0</v>
      </c>
      <c r="K231" s="145">
        <v>0</v>
      </c>
      <c r="L231" s="145">
        <v>0</v>
      </c>
      <c r="M231" s="145" t="s">
        <v>29</v>
      </c>
      <c r="N231" s="145">
        <v>4</v>
      </c>
      <c r="O231" s="145" t="s">
        <v>50</v>
      </c>
      <c r="P231" s="145" t="s">
        <v>192</v>
      </c>
      <c r="Q231" s="145" t="s">
        <v>190</v>
      </c>
      <c r="R231" s="145" t="s">
        <v>55</v>
      </c>
      <c r="S231" s="145" t="s">
        <v>313</v>
      </c>
    </row>
    <row r="232" spans="1:19" ht="15" x14ac:dyDescent="0.25">
      <c r="A232" s="145">
        <v>830</v>
      </c>
      <c r="B232" s="145">
        <v>46</v>
      </c>
      <c r="C232" s="145">
        <v>24</v>
      </c>
      <c r="D232" s="145">
        <v>0</v>
      </c>
      <c r="E232" s="145">
        <v>0</v>
      </c>
      <c r="F232" s="145">
        <v>0</v>
      </c>
      <c r="G232" s="145" t="s">
        <v>77</v>
      </c>
      <c r="H232" s="145">
        <v>5</v>
      </c>
      <c r="I232" s="145">
        <v>1</v>
      </c>
      <c r="J232" s="145">
        <v>5</v>
      </c>
      <c r="K232" s="145">
        <v>0</v>
      </c>
      <c r="L232" s="145">
        <v>0</v>
      </c>
      <c r="M232" s="145" t="s">
        <v>29</v>
      </c>
      <c r="N232" s="145">
        <v>3</v>
      </c>
      <c r="O232" s="145" t="s">
        <v>51</v>
      </c>
      <c r="P232" s="145" t="s">
        <v>189</v>
      </c>
      <c r="Q232" s="145" t="s">
        <v>190</v>
      </c>
      <c r="R232" s="145" t="s">
        <v>55</v>
      </c>
      <c r="S232" s="145" t="s">
        <v>316</v>
      </c>
    </row>
    <row r="233" spans="1:19" ht="15" x14ac:dyDescent="0.25">
      <c r="A233" s="145">
        <v>3773</v>
      </c>
      <c r="B233" s="145">
        <v>46</v>
      </c>
      <c r="C233" s="145">
        <v>0</v>
      </c>
      <c r="D233" s="145">
        <v>0</v>
      </c>
      <c r="E233" s="145">
        <v>0</v>
      </c>
      <c r="F233" s="145">
        <v>0</v>
      </c>
      <c r="G233" s="145" t="s">
        <v>77</v>
      </c>
      <c r="H233" s="145">
        <v>0</v>
      </c>
      <c r="I233" s="145">
        <v>0</v>
      </c>
      <c r="J233" s="145">
        <v>0</v>
      </c>
      <c r="K233" s="145">
        <v>0</v>
      </c>
      <c r="L233" s="145">
        <v>0</v>
      </c>
      <c r="M233" s="145" t="s">
        <v>29</v>
      </c>
      <c r="N233" s="145">
        <v>3</v>
      </c>
      <c r="O233" s="145" t="s">
        <v>50</v>
      </c>
      <c r="P233" s="145" t="s">
        <v>206</v>
      </c>
      <c r="Q233" s="145" t="s">
        <v>206</v>
      </c>
      <c r="R233" s="145" t="s">
        <v>55</v>
      </c>
      <c r="S233" s="145" t="s">
        <v>316</v>
      </c>
    </row>
    <row r="234" spans="1:19" ht="15" x14ac:dyDescent="0.25">
      <c r="A234" s="145">
        <v>1502</v>
      </c>
      <c r="B234" s="145">
        <v>46</v>
      </c>
      <c r="C234" s="145">
        <v>0</v>
      </c>
      <c r="D234" s="145">
        <v>0</v>
      </c>
      <c r="E234" s="145">
        <v>0</v>
      </c>
      <c r="F234" s="145">
        <v>0</v>
      </c>
      <c r="G234" s="145" t="s">
        <v>3</v>
      </c>
      <c r="H234" s="145">
        <v>0</v>
      </c>
      <c r="I234" s="145">
        <v>0</v>
      </c>
      <c r="J234" s="145">
        <v>0</v>
      </c>
      <c r="K234" s="145">
        <v>0</v>
      </c>
      <c r="L234" s="145">
        <v>0</v>
      </c>
      <c r="M234" s="145" t="s">
        <v>30</v>
      </c>
      <c r="N234" s="145">
        <v>4</v>
      </c>
      <c r="O234" s="145" t="s">
        <v>50</v>
      </c>
      <c r="P234" s="145" t="s">
        <v>192</v>
      </c>
      <c r="Q234" s="145" t="s">
        <v>190</v>
      </c>
      <c r="R234" s="145" t="s">
        <v>54</v>
      </c>
      <c r="S234" s="145" t="s">
        <v>317</v>
      </c>
    </row>
    <row r="235" spans="1:19" ht="15" x14ac:dyDescent="0.25">
      <c r="A235" s="145">
        <v>3536</v>
      </c>
      <c r="B235" s="145">
        <v>46</v>
      </c>
      <c r="C235" s="145">
        <v>32</v>
      </c>
      <c r="D235" s="145">
        <v>0</v>
      </c>
      <c r="E235" s="145">
        <v>0</v>
      </c>
      <c r="F235" s="145">
        <v>1</v>
      </c>
      <c r="G235" s="145" t="s">
        <v>77</v>
      </c>
      <c r="H235" s="145">
        <v>0</v>
      </c>
      <c r="I235" s="145">
        <v>0</v>
      </c>
      <c r="J235" s="145">
        <v>0</v>
      </c>
      <c r="K235" s="145">
        <v>0</v>
      </c>
      <c r="L235" s="145">
        <v>0</v>
      </c>
      <c r="M235" s="145" t="s">
        <v>25</v>
      </c>
      <c r="N235" s="145">
        <v>3</v>
      </c>
      <c r="O235" s="145" t="s">
        <v>50</v>
      </c>
      <c r="P235" s="145" t="s">
        <v>192</v>
      </c>
      <c r="Q235" s="145" t="s">
        <v>190</v>
      </c>
      <c r="R235" s="145" t="s">
        <v>54</v>
      </c>
      <c r="S235" s="145" t="s">
        <v>317</v>
      </c>
    </row>
    <row r="236" spans="1:19" ht="15" x14ac:dyDescent="0.25">
      <c r="A236" s="145">
        <v>3656</v>
      </c>
      <c r="B236" s="145">
        <v>47</v>
      </c>
      <c r="C236" s="145">
        <v>0</v>
      </c>
      <c r="D236" s="145">
        <v>0</v>
      </c>
      <c r="E236" s="145">
        <v>0</v>
      </c>
      <c r="F236" s="145">
        <v>0</v>
      </c>
      <c r="G236" s="145" t="s">
        <v>77</v>
      </c>
      <c r="H236" s="145">
        <v>0</v>
      </c>
      <c r="I236" s="145">
        <v>0</v>
      </c>
      <c r="J236" s="145">
        <v>0</v>
      </c>
      <c r="K236" s="145">
        <v>0</v>
      </c>
      <c r="L236" s="145">
        <v>0</v>
      </c>
      <c r="M236" s="145" t="s">
        <v>29</v>
      </c>
      <c r="N236" s="145">
        <v>2</v>
      </c>
      <c r="O236" s="145" t="s">
        <v>50</v>
      </c>
      <c r="P236" s="145" t="s">
        <v>189</v>
      </c>
      <c r="Q236" s="145" t="s">
        <v>190</v>
      </c>
      <c r="R236" s="145" t="s">
        <v>55</v>
      </c>
      <c r="S236" s="145" t="s">
        <v>318</v>
      </c>
    </row>
    <row r="237" spans="1:19" ht="15" x14ac:dyDescent="0.25">
      <c r="A237" s="145">
        <v>3638</v>
      </c>
      <c r="B237" s="145">
        <v>47</v>
      </c>
      <c r="C237" s="145">
        <v>4</v>
      </c>
      <c r="D237" s="145">
        <v>0</v>
      </c>
      <c r="E237" s="145">
        <v>0</v>
      </c>
      <c r="F237" s="145">
        <v>0</v>
      </c>
      <c r="G237" s="145" t="s">
        <v>3</v>
      </c>
      <c r="H237" s="145">
        <v>2</v>
      </c>
      <c r="I237" s="145">
        <v>0</v>
      </c>
      <c r="J237" s="145">
        <v>0</v>
      </c>
      <c r="K237" s="145">
        <v>2</v>
      </c>
      <c r="L237" s="145">
        <v>0</v>
      </c>
      <c r="M237" s="145" t="s">
        <v>29</v>
      </c>
      <c r="N237" s="145">
        <v>2</v>
      </c>
      <c r="O237" s="145" t="s">
        <v>51</v>
      </c>
      <c r="P237" s="145" t="s">
        <v>189</v>
      </c>
      <c r="Q237" s="145" t="s">
        <v>190</v>
      </c>
      <c r="R237" s="145" t="s">
        <v>55</v>
      </c>
      <c r="S237" s="145" t="s">
        <v>318</v>
      </c>
    </row>
    <row r="238" spans="1:19" ht="15" x14ac:dyDescent="0.25">
      <c r="A238" s="145">
        <v>2337</v>
      </c>
      <c r="B238" s="145">
        <v>47</v>
      </c>
      <c r="C238" s="145">
        <v>60</v>
      </c>
      <c r="D238" s="145">
        <v>1</v>
      </c>
      <c r="E238" s="145">
        <v>0</v>
      </c>
      <c r="F238" s="145">
        <v>0</v>
      </c>
      <c r="G238" s="145" t="s">
        <v>77</v>
      </c>
      <c r="H238" s="145">
        <v>3</v>
      </c>
      <c r="I238" s="145">
        <v>1</v>
      </c>
      <c r="J238" s="145">
        <v>3</v>
      </c>
      <c r="K238" s="145">
        <v>0</v>
      </c>
      <c r="L238" s="145">
        <v>0</v>
      </c>
      <c r="M238" s="145" t="s">
        <v>25</v>
      </c>
      <c r="N238" s="145">
        <v>4</v>
      </c>
      <c r="O238" s="145" t="s">
        <v>51</v>
      </c>
      <c r="P238" s="145" t="s">
        <v>189</v>
      </c>
      <c r="Q238" s="145" t="s">
        <v>190</v>
      </c>
      <c r="R238" s="145" t="s">
        <v>55</v>
      </c>
      <c r="S238" s="145" t="s">
        <v>318</v>
      </c>
    </row>
    <row r="239" spans="1:19" ht="15" x14ac:dyDescent="0.25">
      <c r="A239" s="145">
        <v>1504</v>
      </c>
      <c r="B239" s="145">
        <v>47</v>
      </c>
      <c r="C239" s="145">
        <v>5</v>
      </c>
      <c r="D239" s="145">
        <v>0</v>
      </c>
      <c r="E239" s="145">
        <v>0</v>
      </c>
      <c r="F239" s="145">
        <v>0</v>
      </c>
      <c r="G239" s="145" t="s">
        <v>78</v>
      </c>
      <c r="H239" s="145">
        <v>2</v>
      </c>
      <c r="I239" s="145">
        <v>0</v>
      </c>
      <c r="J239" s="145">
        <v>1</v>
      </c>
      <c r="K239" s="145">
        <v>1</v>
      </c>
      <c r="L239" s="145">
        <v>0</v>
      </c>
      <c r="M239" s="145" t="s">
        <v>29</v>
      </c>
      <c r="N239" s="145">
        <v>4</v>
      </c>
      <c r="O239" s="145" t="s">
        <v>51</v>
      </c>
      <c r="P239" s="145" t="s">
        <v>189</v>
      </c>
      <c r="Q239" s="145" t="s">
        <v>190</v>
      </c>
      <c r="R239" s="145" t="s">
        <v>55</v>
      </c>
      <c r="S239" s="145" t="s">
        <v>318</v>
      </c>
    </row>
    <row r="240" spans="1:19" ht="15" x14ac:dyDescent="0.25">
      <c r="A240" s="145">
        <v>862</v>
      </c>
      <c r="B240" s="145">
        <v>47</v>
      </c>
      <c r="C240" s="145">
        <v>0</v>
      </c>
      <c r="D240" s="145">
        <v>0</v>
      </c>
      <c r="E240" s="145">
        <v>0</v>
      </c>
      <c r="F240" s="145">
        <v>0</v>
      </c>
      <c r="G240" s="145" t="s">
        <v>3</v>
      </c>
      <c r="H240" s="145">
        <v>0</v>
      </c>
      <c r="I240" s="145">
        <v>0</v>
      </c>
      <c r="J240" s="145">
        <v>0</v>
      </c>
      <c r="K240" s="145">
        <v>0</v>
      </c>
      <c r="L240" s="145">
        <v>0</v>
      </c>
      <c r="M240" s="145" t="s">
        <v>29</v>
      </c>
      <c r="N240" s="145">
        <v>2</v>
      </c>
      <c r="O240" s="145" t="s">
        <v>52</v>
      </c>
      <c r="P240" s="145" t="s">
        <v>192</v>
      </c>
      <c r="Q240" s="145" t="s">
        <v>190</v>
      </c>
      <c r="R240" s="145" t="s">
        <v>55</v>
      </c>
      <c r="S240" s="145" t="s">
        <v>319</v>
      </c>
    </row>
    <row r="241" spans="1:19" ht="15" x14ac:dyDescent="0.25">
      <c r="A241" s="145">
        <v>3707</v>
      </c>
      <c r="B241" s="145">
        <v>47</v>
      </c>
      <c r="C241" s="145">
        <v>4</v>
      </c>
      <c r="D241" s="145">
        <v>0</v>
      </c>
      <c r="E241" s="145">
        <v>0</v>
      </c>
      <c r="F241" s="145">
        <v>0</v>
      </c>
      <c r="G241" s="145" t="s">
        <v>78</v>
      </c>
      <c r="H241" s="145">
        <v>2</v>
      </c>
      <c r="I241" s="145">
        <v>0</v>
      </c>
      <c r="J241" s="145">
        <v>0</v>
      </c>
      <c r="K241" s="145">
        <v>2</v>
      </c>
      <c r="L241" s="145">
        <v>0</v>
      </c>
      <c r="M241" s="145" t="s">
        <v>29</v>
      </c>
      <c r="N241" s="145">
        <v>3</v>
      </c>
      <c r="O241" s="145" t="s">
        <v>51</v>
      </c>
      <c r="P241" s="145" t="s">
        <v>189</v>
      </c>
      <c r="Q241" s="145" t="s">
        <v>190</v>
      </c>
      <c r="R241" s="145" t="s">
        <v>55</v>
      </c>
      <c r="S241" s="145" t="s">
        <v>319</v>
      </c>
    </row>
    <row r="242" spans="1:19" ht="15" x14ac:dyDescent="0.25">
      <c r="A242" s="145">
        <v>2145</v>
      </c>
      <c r="B242" s="145">
        <v>48</v>
      </c>
      <c r="C242" s="145">
        <v>48</v>
      </c>
      <c r="D242" s="145">
        <v>0</v>
      </c>
      <c r="E242" s="145">
        <v>0</v>
      </c>
      <c r="F242" s="145">
        <v>0</v>
      </c>
      <c r="G242" s="145" t="s">
        <v>3</v>
      </c>
      <c r="H242" s="145">
        <v>3</v>
      </c>
      <c r="I242" s="145">
        <v>1</v>
      </c>
      <c r="J242" s="145">
        <v>3</v>
      </c>
      <c r="K242" s="145">
        <v>0</v>
      </c>
      <c r="L242" s="145">
        <v>0</v>
      </c>
      <c r="M242" s="145" t="s">
        <v>25</v>
      </c>
      <c r="N242" s="145">
        <v>3</v>
      </c>
      <c r="O242" s="145" t="s">
        <v>51</v>
      </c>
      <c r="P242" s="145" t="s">
        <v>189</v>
      </c>
      <c r="Q242" s="145" t="s">
        <v>190</v>
      </c>
      <c r="R242" s="145" t="s">
        <v>55</v>
      </c>
      <c r="S242" s="145" t="s">
        <v>320</v>
      </c>
    </row>
    <row r="243" spans="1:19" ht="15" x14ac:dyDescent="0.25">
      <c r="A243" s="145">
        <v>1076</v>
      </c>
      <c r="B243" s="145">
        <v>48</v>
      </c>
      <c r="C243" s="145">
        <v>0</v>
      </c>
      <c r="D243" s="145">
        <v>0</v>
      </c>
      <c r="E243" s="145">
        <v>0</v>
      </c>
      <c r="F243" s="145">
        <v>0</v>
      </c>
      <c r="G243" s="145" t="s">
        <v>77</v>
      </c>
      <c r="H243" s="145">
        <v>0</v>
      </c>
      <c r="I243" s="145">
        <v>0</v>
      </c>
      <c r="J243" s="145">
        <v>0</v>
      </c>
      <c r="K243" s="145">
        <v>0</v>
      </c>
      <c r="L243" s="145">
        <v>0</v>
      </c>
      <c r="M243" s="145" t="s">
        <v>29</v>
      </c>
      <c r="N243" s="145">
        <v>4</v>
      </c>
      <c r="O243" s="145" t="s">
        <v>52</v>
      </c>
      <c r="P243" s="145" t="s">
        <v>203</v>
      </c>
      <c r="Q243" s="145" t="s">
        <v>204</v>
      </c>
      <c r="R243" s="145" t="s">
        <v>55</v>
      </c>
      <c r="S243" s="145" t="s">
        <v>320</v>
      </c>
    </row>
    <row r="244" spans="1:19" ht="15" x14ac:dyDescent="0.25">
      <c r="A244" s="145">
        <v>2075</v>
      </c>
      <c r="B244" s="145">
        <v>48</v>
      </c>
      <c r="C244" s="145">
        <v>22</v>
      </c>
      <c r="D244" s="145">
        <v>0</v>
      </c>
      <c r="E244" s="145">
        <v>0</v>
      </c>
      <c r="F244" s="145">
        <v>0</v>
      </c>
      <c r="G244" s="145" t="s">
        <v>78</v>
      </c>
      <c r="H244" s="145">
        <v>5</v>
      </c>
      <c r="I244" s="145">
        <v>1</v>
      </c>
      <c r="J244" s="145">
        <v>3</v>
      </c>
      <c r="K244" s="145">
        <v>2</v>
      </c>
      <c r="L244" s="145">
        <v>0</v>
      </c>
      <c r="M244" s="145" t="s">
        <v>29</v>
      </c>
      <c r="N244" s="145">
        <v>3</v>
      </c>
      <c r="O244" s="145" t="s">
        <v>51</v>
      </c>
      <c r="P244" s="145" t="s">
        <v>189</v>
      </c>
      <c r="Q244" s="145" t="s">
        <v>190</v>
      </c>
      <c r="R244" s="145" t="s">
        <v>55</v>
      </c>
      <c r="S244" s="145" t="s">
        <v>320</v>
      </c>
    </row>
    <row r="245" spans="1:19" ht="15" x14ac:dyDescent="0.25">
      <c r="A245" s="145">
        <v>894</v>
      </c>
      <c r="B245" s="145">
        <v>48</v>
      </c>
      <c r="C245" s="145">
        <v>7</v>
      </c>
      <c r="D245" s="145">
        <v>0</v>
      </c>
      <c r="E245" s="145">
        <v>0</v>
      </c>
      <c r="F245" s="145">
        <v>0</v>
      </c>
      <c r="G245" s="145" t="s">
        <v>77</v>
      </c>
      <c r="H245" s="145">
        <v>3</v>
      </c>
      <c r="I245" s="145">
        <v>0</v>
      </c>
      <c r="J245" s="145">
        <v>1</v>
      </c>
      <c r="K245" s="145">
        <v>2</v>
      </c>
      <c r="L245" s="145">
        <v>0</v>
      </c>
      <c r="M245" s="145" t="s">
        <v>29</v>
      </c>
      <c r="N245" s="145">
        <v>3</v>
      </c>
      <c r="O245" s="145" t="s">
        <v>52</v>
      </c>
      <c r="P245" s="145" t="s">
        <v>189</v>
      </c>
      <c r="Q245" s="145" t="s">
        <v>190</v>
      </c>
      <c r="R245" s="145" t="s">
        <v>55</v>
      </c>
      <c r="S245" s="145" t="s">
        <v>321</v>
      </c>
    </row>
    <row r="246" spans="1:19" ht="15" x14ac:dyDescent="0.25">
      <c r="A246" s="145">
        <v>1684</v>
      </c>
      <c r="B246" s="145">
        <v>48</v>
      </c>
      <c r="C246" s="145">
        <v>12</v>
      </c>
      <c r="D246" s="145">
        <v>0</v>
      </c>
      <c r="E246" s="145">
        <v>0</v>
      </c>
      <c r="F246" s="145">
        <v>0</v>
      </c>
      <c r="G246" s="145" t="s">
        <v>78</v>
      </c>
      <c r="H246" s="145">
        <v>3</v>
      </c>
      <c r="I246" s="145">
        <v>1</v>
      </c>
      <c r="J246" s="145">
        <v>0</v>
      </c>
      <c r="K246" s="145">
        <v>3</v>
      </c>
      <c r="L246" s="145">
        <v>0</v>
      </c>
      <c r="M246" s="145" t="s">
        <v>29</v>
      </c>
      <c r="N246" s="145">
        <v>3</v>
      </c>
      <c r="O246" s="145" t="s">
        <v>51</v>
      </c>
      <c r="P246" s="145" t="s">
        <v>189</v>
      </c>
      <c r="Q246" s="145" t="s">
        <v>190</v>
      </c>
      <c r="R246" s="145" t="s">
        <v>55</v>
      </c>
      <c r="S246" s="145" t="s">
        <v>321</v>
      </c>
    </row>
    <row r="247" spans="1:19" ht="15" x14ac:dyDescent="0.25">
      <c r="A247" s="145">
        <v>302</v>
      </c>
      <c r="B247" s="145">
        <v>48</v>
      </c>
      <c r="C247" s="145">
        <v>12</v>
      </c>
      <c r="D247" s="145">
        <v>1</v>
      </c>
      <c r="E247" s="145">
        <v>0</v>
      </c>
      <c r="F247" s="145">
        <v>0</v>
      </c>
      <c r="G247" s="145" t="s">
        <v>3</v>
      </c>
      <c r="H247" s="145">
        <v>2</v>
      </c>
      <c r="I247" s="145">
        <v>0</v>
      </c>
      <c r="J247" s="145">
        <v>2</v>
      </c>
      <c r="K247" s="145">
        <v>0</v>
      </c>
      <c r="L247" s="145">
        <v>0</v>
      </c>
      <c r="M247" s="145" t="s">
        <v>30</v>
      </c>
      <c r="N247" s="145">
        <v>3</v>
      </c>
      <c r="O247" s="145" t="s">
        <v>52</v>
      </c>
      <c r="P247" s="145" t="s">
        <v>189</v>
      </c>
      <c r="Q247" s="145" t="s">
        <v>190</v>
      </c>
      <c r="R247" s="145" t="s">
        <v>55</v>
      </c>
      <c r="S247" s="145" t="s">
        <v>320</v>
      </c>
    </row>
    <row r="248" spans="1:19" ht="15" x14ac:dyDescent="0.25">
      <c r="A248" s="145">
        <v>3537</v>
      </c>
      <c r="B248" s="145">
        <v>49</v>
      </c>
      <c r="C248" s="145">
        <v>0</v>
      </c>
      <c r="D248" s="145">
        <v>0</v>
      </c>
      <c r="E248" s="145">
        <v>0</v>
      </c>
      <c r="F248" s="145">
        <v>0</v>
      </c>
      <c r="G248" s="145" t="s">
        <v>3</v>
      </c>
      <c r="H248" s="145">
        <v>0</v>
      </c>
      <c r="I248" s="145">
        <v>0</v>
      </c>
      <c r="J248" s="145">
        <v>0</v>
      </c>
      <c r="K248" s="145">
        <v>0</v>
      </c>
      <c r="L248" s="145">
        <v>0</v>
      </c>
      <c r="M248" s="145" t="s">
        <v>29</v>
      </c>
      <c r="N248" s="145">
        <v>4</v>
      </c>
      <c r="O248" s="145" t="s">
        <v>50</v>
      </c>
      <c r="P248" s="145" t="s">
        <v>192</v>
      </c>
      <c r="Q248" s="145" t="s">
        <v>190</v>
      </c>
      <c r="R248" s="145" t="s">
        <v>55</v>
      </c>
      <c r="S248" s="145" t="s">
        <v>322</v>
      </c>
    </row>
    <row r="249" spans="1:19" ht="15" x14ac:dyDescent="0.25">
      <c r="A249" s="145">
        <v>3773</v>
      </c>
      <c r="B249" s="145">
        <v>49</v>
      </c>
      <c r="C249" s="145">
        <v>0</v>
      </c>
      <c r="D249" s="145">
        <v>0</v>
      </c>
      <c r="E249" s="145">
        <v>0</v>
      </c>
      <c r="F249" s="145">
        <v>0</v>
      </c>
      <c r="G249" s="145" t="s">
        <v>3</v>
      </c>
      <c r="H249" s="145">
        <v>0</v>
      </c>
      <c r="I249" s="145">
        <v>0</v>
      </c>
      <c r="J249" s="145">
        <v>0</v>
      </c>
      <c r="K249" s="145">
        <v>0</v>
      </c>
      <c r="L249" s="145">
        <v>0</v>
      </c>
      <c r="M249" s="145" t="s">
        <v>29</v>
      </c>
      <c r="N249" s="145">
        <v>2</v>
      </c>
      <c r="O249" s="145" t="s">
        <v>52</v>
      </c>
      <c r="P249" s="145" t="s">
        <v>192</v>
      </c>
      <c r="Q249" s="145" t="s">
        <v>190</v>
      </c>
      <c r="R249" s="145" t="s">
        <v>55</v>
      </c>
      <c r="S249" s="145" t="s">
        <v>323</v>
      </c>
    </row>
    <row r="250" spans="1:19" ht="15" x14ac:dyDescent="0.25">
      <c r="A250" s="145">
        <v>2619</v>
      </c>
      <c r="B250" s="145">
        <v>49</v>
      </c>
      <c r="C250" s="145">
        <v>0</v>
      </c>
      <c r="D250" s="145">
        <v>0</v>
      </c>
      <c r="E250" s="145">
        <v>0</v>
      </c>
      <c r="F250" s="145">
        <v>0</v>
      </c>
      <c r="G250" s="145" t="s">
        <v>77</v>
      </c>
      <c r="H250" s="145">
        <v>0</v>
      </c>
      <c r="I250" s="145">
        <v>0</v>
      </c>
      <c r="J250" s="145">
        <v>0</v>
      </c>
      <c r="K250" s="145">
        <v>0</v>
      </c>
      <c r="L250" s="145">
        <v>0</v>
      </c>
      <c r="M250" s="145" t="s">
        <v>30</v>
      </c>
      <c r="N250" s="145">
        <v>3</v>
      </c>
      <c r="O250" s="145" t="s">
        <v>52</v>
      </c>
      <c r="P250" s="145" t="s">
        <v>203</v>
      </c>
      <c r="Q250" s="145" t="s">
        <v>190</v>
      </c>
      <c r="R250" s="145" t="s">
        <v>54</v>
      </c>
      <c r="S250" s="145" t="s">
        <v>324</v>
      </c>
    </row>
    <row r="251" spans="1:19" ht="15" x14ac:dyDescent="0.25">
      <c r="A251" s="145">
        <v>494</v>
      </c>
      <c r="B251" s="145">
        <v>49</v>
      </c>
      <c r="C251" s="145">
        <v>30</v>
      </c>
      <c r="D251" s="145">
        <v>1</v>
      </c>
      <c r="E251" s="145">
        <v>0</v>
      </c>
      <c r="F251" s="145">
        <v>0</v>
      </c>
      <c r="G251" s="145" t="s">
        <v>78</v>
      </c>
      <c r="H251" s="145">
        <v>3</v>
      </c>
      <c r="I251" s="145">
        <v>1</v>
      </c>
      <c r="J251" s="145">
        <v>3</v>
      </c>
      <c r="K251" s="145">
        <v>0</v>
      </c>
      <c r="L251" s="145">
        <v>0</v>
      </c>
      <c r="M251" s="145" t="s">
        <v>30</v>
      </c>
      <c r="N251" s="145">
        <v>4</v>
      </c>
      <c r="O251" s="145" t="s">
        <v>51</v>
      </c>
      <c r="P251" s="145" t="s">
        <v>189</v>
      </c>
      <c r="Q251" s="145" t="s">
        <v>190</v>
      </c>
      <c r="R251" s="145" t="s">
        <v>55</v>
      </c>
      <c r="S251" s="145" t="s">
        <v>325</v>
      </c>
    </row>
    <row r="252" spans="1:19" ht="15" x14ac:dyDescent="0.25">
      <c r="A252" s="145">
        <v>3535</v>
      </c>
      <c r="B252" s="145">
        <v>49</v>
      </c>
      <c r="C252" s="145">
        <v>8</v>
      </c>
      <c r="D252" s="145">
        <v>0</v>
      </c>
      <c r="E252" s="145">
        <v>1</v>
      </c>
      <c r="F252" s="145">
        <v>0</v>
      </c>
      <c r="G252" s="145" t="s">
        <v>77</v>
      </c>
      <c r="H252" s="145">
        <v>1</v>
      </c>
      <c r="I252" s="145">
        <v>0</v>
      </c>
      <c r="J252" s="145">
        <v>0</v>
      </c>
      <c r="K252" s="145">
        <v>1</v>
      </c>
      <c r="L252" s="145">
        <v>0</v>
      </c>
      <c r="M252" s="145" t="s">
        <v>30</v>
      </c>
      <c r="N252" s="145">
        <v>3</v>
      </c>
      <c r="O252" s="145" t="s">
        <v>52</v>
      </c>
      <c r="P252" s="145" t="s">
        <v>189</v>
      </c>
      <c r="Q252" s="145" t="s">
        <v>190</v>
      </c>
      <c r="R252" s="145" t="s">
        <v>55</v>
      </c>
      <c r="S252" s="145" t="s">
        <v>325</v>
      </c>
    </row>
    <row r="253" spans="1:19" ht="15" x14ac:dyDescent="0.25">
      <c r="A253" s="145">
        <v>68</v>
      </c>
      <c r="B253" s="145">
        <v>50</v>
      </c>
      <c r="C253" s="145">
        <v>20</v>
      </c>
      <c r="D253" s="145">
        <v>0</v>
      </c>
      <c r="E253" s="145">
        <v>0</v>
      </c>
      <c r="F253" s="145">
        <v>0</v>
      </c>
      <c r="G253" s="145" t="s">
        <v>77</v>
      </c>
      <c r="H253" s="145">
        <v>4</v>
      </c>
      <c r="I253" s="145">
        <v>1</v>
      </c>
      <c r="J253" s="145">
        <v>3</v>
      </c>
      <c r="K253" s="145">
        <v>1</v>
      </c>
      <c r="L253" s="145">
        <v>0</v>
      </c>
      <c r="M253" s="145" t="s">
        <v>29</v>
      </c>
      <c r="N253" s="145">
        <v>4</v>
      </c>
      <c r="O253" s="145" t="s">
        <v>52</v>
      </c>
      <c r="P253" s="145" t="s">
        <v>192</v>
      </c>
      <c r="Q253" s="145" t="s">
        <v>190</v>
      </c>
      <c r="R253" s="145" t="s">
        <v>54</v>
      </c>
      <c r="S253" s="145" t="s">
        <v>326</v>
      </c>
    </row>
    <row r="254" spans="1:19" ht="15" x14ac:dyDescent="0.25">
      <c r="A254" s="145">
        <v>1322</v>
      </c>
      <c r="B254" s="145">
        <v>50</v>
      </c>
      <c r="C254" s="145">
        <v>6</v>
      </c>
      <c r="D254" s="145">
        <v>0</v>
      </c>
      <c r="E254" s="145">
        <v>1</v>
      </c>
      <c r="F254" s="145">
        <v>0</v>
      </c>
      <c r="G254" s="145" t="s">
        <v>78</v>
      </c>
      <c r="H254" s="145">
        <v>1</v>
      </c>
      <c r="I254" s="145">
        <v>0</v>
      </c>
      <c r="J254" s="145">
        <v>0</v>
      </c>
      <c r="K254" s="145">
        <v>1</v>
      </c>
      <c r="L254" s="145">
        <v>0</v>
      </c>
      <c r="M254" s="145" t="s">
        <v>29</v>
      </c>
      <c r="N254" s="145">
        <v>3</v>
      </c>
      <c r="O254" s="145" t="s">
        <v>51</v>
      </c>
      <c r="P254" s="145" t="s">
        <v>189</v>
      </c>
      <c r="Q254" s="145" t="s">
        <v>190</v>
      </c>
      <c r="R254" s="145" t="s">
        <v>54</v>
      </c>
      <c r="S254" s="145" t="s">
        <v>327</v>
      </c>
    </row>
    <row r="255" spans="1:19" ht="15" x14ac:dyDescent="0.25">
      <c r="A255" s="145">
        <v>1504</v>
      </c>
      <c r="B255" s="145">
        <v>50</v>
      </c>
      <c r="C255" s="145">
        <v>1</v>
      </c>
      <c r="D255" s="145">
        <v>0</v>
      </c>
      <c r="E255" s="145">
        <v>0</v>
      </c>
      <c r="F255" s="145">
        <v>0</v>
      </c>
      <c r="G255" s="145" t="s">
        <v>77</v>
      </c>
      <c r="H255" s="145">
        <v>1</v>
      </c>
      <c r="I255" s="145">
        <v>0</v>
      </c>
      <c r="J255" s="145">
        <v>0</v>
      </c>
      <c r="K255" s="145">
        <v>0</v>
      </c>
      <c r="L255" s="145">
        <v>1</v>
      </c>
      <c r="M255" s="145" t="s">
        <v>30</v>
      </c>
      <c r="N255" s="145">
        <v>3</v>
      </c>
      <c r="O255" s="145" t="s">
        <v>51</v>
      </c>
      <c r="P255" s="145" t="s">
        <v>189</v>
      </c>
      <c r="Q255" s="145" t="s">
        <v>204</v>
      </c>
      <c r="R255" s="145" t="s">
        <v>54</v>
      </c>
      <c r="S255" s="145" t="s">
        <v>328</v>
      </c>
    </row>
    <row r="256" spans="1:19" ht="15" x14ac:dyDescent="0.25">
      <c r="A256" s="145">
        <v>3655</v>
      </c>
      <c r="B256" s="145">
        <v>50</v>
      </c>
      <c r="C256" s="145">
        <v>0</v>
      </c>
      <c r="D256" s="145">
        <v>0</v>
      </c>
      <c r="E256" s="145">
        <v>0</v>
      </c>
      <c r="F256" s="145">
        <v>0</v>
      </c>
      <c r="G256" s="145" t="s">
        <v>3</v>
      </c>
      <c r="H256" s="145">
        <v>0</v>
      </c>
      <c r="I256" s="145">
        <v>0</v>
      </c>
      <c r="J256" s="145">
        <v>0</v>
      </c>
      <c r="K256" s="145">
        <v>0</v>
      </c>
      <c r="L256" s="145">
        <v>0</v>
      </c>
      <c r="M256" s="145" t="s">
        <v>29</v>
      </c>
      <c r="N256" s="145">
        <v>4</v>
      </c>
      <c r="O256" s="145" t="s">
        <v>52</v>
      </c>
      <c r="P256" s="145" t="s">
        <v>206</v>
      </c>
      <c r="Q256" s="145" t="s">
        <v>204</v>
      </c>
      <c r="R256" s="145" t="s">
        <v>55</v>
      </c>
      <c r="S256" s="145" t="s">
        <v>326</v>
      </c>
    </row>
    <row r="257" spans="1:19" ht="15" x14ac:dyDescent="0.25">
      <c r="A257" s="145">
        <v>1502</v>
      </c>
      <c r="B257" s="145">
        <v>50</v>
      </c>
      <c r="C257" s="145">
        <v>0</v>
      </c>
      <c r="D257" s="145">
        <v>0</v>
      </c>
      <c r="E257" s="145">
        <v>0</v>
      </c>
      <c r="F257" s="145">
        <v>0</v>
      </c>
      <c r="G257" s="145" t="s">
        <v>78</v>
      </c>
      <c r="H257" s="145">
        <v>0</v>
      </c>
      <c r="I257" s="145">
        <v>0</v>
      </c>
      <c r="J257" s="145">
        <v>0</v>
      </c>
      <c r="K257" s="145">
        <v>0</v>
      </c>
      <c r="L257" s="145">
        <v>0</v>
      </c>
      <c r="M257" s="145" t="s">
        <v>29</v>
      </c>
      <c r="N257" s="145">
        <v>3</v>
      </c>
      <c r="O257" s="145" t="s">
        <v>50</v>
      </c>
      <c r="P257" s="145" t="s">
        <v>192</v>
      </c>
      <c r="Q257" s="145" t="s">
        <v>204</v>
      </c>
      <c r="R257" s="145" t="s">
        <v>55</v>
      </c>
      <c r="S257" s="145" t="s">
        <v>326</v>
      </c>
    </row>
    <row r="258" spans="1:19" ht="15" x14ac:dyDescent="0.25">
      <c r="A258" s="145">
        <v>830</v>
      </c>
      <c r="B258" s="145">
        <v>51</v>
      </c>
      <c r="C258" s="145">
        <v>18</v>
      </c>
      <c r="D258" s="145">
        <v>0</v>
      </c>
      <c r="E258" s="145">
        <v>0</v>
      </c>
      <c r="F258" s="145">
        <v>0</v>
      </c>
      <c r="G258" s="145" t="s">
        <v>77</v>
      </c>
      <c r="H258" s="145">
        <v>6</v>
      </c>
      <c r="I258" s="145">
        <v>0</v>
      </c>
      <c r="J258" s="145">
        <v>6</v>
      </c>
      <c r="K258" s="145">
        <v>0</v>
      </c>
      <c r="L258" s="145">
        <v>0</v>
      </c>
      <c r="M258" s="145" t="s">
        <v>29</v>
      </c>
      <c r="N258" s="145">
        <v>3</v>
      </c>
      <c r="O258" s="145" t="s">
        <v>52</v>
      </c>
      <c r="P258" s="145" t="s">
        <v>203</v>
      </c>
      <c r="Q258" s="145" t="s">
        <v>190</v>
      </c>
      <c r="R258" s="145" t="s">
        <v>55</v>
      </c>
      <c r="S258" s="145" t="s">
        <v>329</v>
      </c>
    </row>
    <row r="259" spans="1:19" ht="15" x14ac:dyDescent="0.25">
      <c r="A259" s="145">
        <v>3638</v>
      </c>
      <c r="B259" s="145">
        <v>51</v>
      </c>
      <c r="C259" s="145">
        <v>0</v>
      </c>
      <c r="D259" s="145">
        <v>0</v>
      </c>
      <c r="E259" s="145">
        <v>0</v>
      </c>
      <c r="F259" s="145">
        <v>0</v>
      </c>
      <c r="G259" s="145" t="s">
        <v>3</v>
      </c>
      <c r="H259" s="145">
        <v>0</v>
      </c>
      <c r="I259" s="145">
        <v>0</v>
      </c>
      <c r="J259" s="145">
        <v>0</v>
      </c>
      <c r="K259" s="145">
        <v>0</v>
      </c>
      <c r="L259" s="145">
        <v>0</v>
      </c>
      <c r="M259" s="145" t="s">
        <v>29</v>
      </c>
      <c r="N259" s="145">
        <v>2</v>
      </c>
      <c r="O259" s="145" t="s">
        <v>50</v>
      </c>
      <c r="P259" s="145" t="s">
        <v>192</v>
      </c>
      <c r="Q259" s="145" t="s">
        <v>190</v>
      </c>
      <c r="R259" s="145" t="s">
        <v>54</v>
      </c>
      <c r="S259" s="145" t="s">
        <v>329</v>
      </c>
    </row>
    <row r="260" spans="1:19" ht="15" x14ac:dyDescent="0.25">
      <c r="A260" s="145">
        <v>573</v>
      </c>
      <c r="B260" s="145">
        <v>51</v>
      </c>
      <c r="C260" s="145">
        <v>45</v>
      </c>
      <c r="D260" s="145">
        <v>1</v>
      </c>
      <c r="E260" s="145">
        <v>0</v>
      </c>
      <c r="F260" s="145">
        <v>0</v>
      </c>
      <c r="G260" s="145" t="s">
        <v>78</v>
      </c>
      <c r="H260" s="145">
        <v>2</v>
      </c>
      <c r="I260" s="145">
        <v>0</v>
      </c>
      <c r="J260" s="145">
        <v>2</v>
      </c>
      <c r="K260" s="145">
        <v>0</v>
      </c>
      <c r="L260" s="145">
        <v>0</v>
      </c>
      <c r="M260" s="145" t="s">
        <v>25</v>
      </c>
      <c r="N260" s="145">
        <v>4</v>
      </c>
      <c r="O260" s="145" t="s">
        <v>52</v>
      </c>
      <c r="P260" s="145" t="s">
        <v>189</v>
      </c>
      <c r="Q260" s="145" t="s">
        <v>190</v>
      </c>
      <c r="R260" s="145" t="s">
        <v>55</v>
      </c>
      <c r="S260" s="145" t="s">
        <v>329</v>
      </c>
    </row>
    <row r="261" spans="1:19" ht="15" x14ac:dyDescent="0.25">
      <c r="A261" s="145">
        <v>3415</v>
      </c>
      <c r="B261" s="145">
        <v>51</v>
      </c>
      <c r="C261" s="145">
        <v>0</v>
      </c>
      <c r="D261" s="145">
        <v>0</v>
      </c>
      <c r="E261" s="145">
        <v>0</v>
      </c>
      <c r="F261" s="145">
        <v>0</v>
      </c>
      <c r="G261" s="145" t="s">
        <v>77</v>
      </c>
      <c r="H261" s="145">
        <v>0</v>
      </c>
      <c r="I261" s="145">
        <v>0</v>
      </c>
      <c r="J261" s="145">
        <v>0</v>
      </c>
      <c r="K261" s="145">
        <v>0</v>
      </c>
      <c r="L261" s="145">
        <v>0</v>
      </c>
      <c r="M261" s="145" t="s">
        <v>29</v>
      </c>
      <c r="N261" s="145">
        <v>2</v>
      </c>
      <c r="O261" s="145" t="s">
        <v>50</v>
      </c>
      <c r="P261" s="145" t="s">
        <v>192</v>
      </c>
      <c r="Q261" s="145" t="s">
        <v>190</v>
      </c>
      <c r="R261" s="145" t="s">
        <v>55</v>
      </c>
      <c r="S261" s="145" t="s">
        <v>330</v>
      </c>
    </row>
    <row r="262" spans="1:19" ht="15" x14ac:dyDescent="0.25">
      <c r="A262" s="145">
        <v>548</v>
      </c>
      <c r="B262" s="145">
        <v>53</v>
      </c>
      <c r="C262" s="145">
        <v>2</v>
      </c>
      <c r="D262" s="145">
        <v>0</v>
      </c>
      <c r="E262" s="145">
        <v>0</v>
      </c>
      <c r="F262" s="145">
        <v>0</v>
      </c>
      <c r="G262" s="145" t="s">
        <v>3</v>
      </c>
      <c r="H262" s="145">
        <v>1</v>
      </c>
      <c r="I262" s="145">
        <v>0</v>
      </c>
      <c r="J262" s="145">
        <v>0</v>
      </c>
      <c r="K262" s="145">
        <v>1</v>
      </c>
      <c r="L262" s="145">
        <v>0</v>
      </c>
      <c r="M262" s="145" t="s">
        <v>29</v>
      </c>
      <c r="N262" s="145">
        <v>3</v>
      </c>
      <c r="O262" s="145" t="s">
        <v>52</v>
      </c>
      <c r="P262" s="145" t="s">
        <v>203</v>
      </c>
      <c r="Q262" s="145" t="s">
        <v>204</v>
      </c>
      <c r="R262" s="145" t="s">
        <v>55</v>
      </c>
      <c r="S262" s="145" t="s">
        <v>331</v>
      </c>
    </row>
    <row r="263" spans="1:19" ht="15" x14ac:dyDescent="0.25">
      <c r="A263" s="145">
        <v>2337</v>
      </c>
      <c r="B263" s="145">
        <v>53</v>
      </c>
      <c r="C263" s="145">
        <v>30</v>
      </c>
      <c r="D263" s="145">
        <v>1</v>
      </c>
      <c r="E263" s="145">
        <v>0</v>
      </c>
      <c r="F263" s="145">
        <v>0</v>
      </c>
      <c r="G263" s="145" t="s">
        <v>78</v>
      </c>
      <c r="H263" s="145">
        <v>3</v>
      </c>
      <c r="I263" s="145">
        <v>1</v>
      </c>
      <c r="J263" s="145">
        <v>3</v>
      </c>
      <c r="K263" s="145">
        <v>0</v>
      </c>
      <c r="L263" s="145">
        <v>0</v>
      </c>
      <c r="M263" s="145" t="s">
        <v>29</v>
      </c>
      <c r="N263" s="145">
        <v>3</v>
      </c>
      <c r="O263" s="145" t="s">
        <v>52</v>
      </c>
      <c r="P263" s="145" t="s">
        <v>203</v>
      </c>
      <c r="Q263" s="145" t="s">
        <v>204</v>
      </c>
      <c r="R263" s="145" t="s">
        <v>55</v>
      </c>
      <c r="S263" s="145" t="s">
        <v>331</v>
      </c>
    </row>
    <row r="264" spans="1:19" ht="15" x14ac:dyDescent="0.25">
      <c r="A264" s="145">
        <v>2627</v>
      </c>
      <c r="B264" s="145">
        <v>53</v>
      </c>
      <c r="C264" s="145">
        <v>0</v>
      </c>
      <c r="D264" s="145">
        <v>0</v>
      </c>
      <c r="E264" s="145">
        <v>0</v>
      </c>
      <c r="F264" s="145">
        <v>0</v>
      </c>
      <c r="G264" s="145" t="s">
        <v>78</v>
      </c>
      <c r="H264" s="145">
        <v>0</v>
      </c>
      <c r="I264" s="145">
        <v>0</v>
      </c>
      <c r="J264" s="145">
        <v>0</v>
      </c>
      <c r="K264" s="145">
        <v>0</v>
      </c>
      <c r="L264" s="145">
        <v>0</v>
      </c>
      <c r="M264" s="145" t="s">
        <v>31</v>
      </c>
      <c r="N264" s="145">
        <v>3</v>
      </c>
      <c r="O264" s="145" t="s">
        <v>50</v>
      </c>
      <c r="P264" s="145" t="s">
        <v>192</v>
      </c>
      <c r="Q264" s="145" t="s">
        <v>190</v>
      </c>
      <c r="R264" s="145" t="s">
        <v>55</v>
      </c>
      <c r="S264" s="145" t="s">
        <v>332</v>
      </c>
    </row>
    <row r="265" spans="1:19" ht="15" x14ac:dyDescent="0.25">
      <c r="A265" s="145">
        <v>862</v>
      </c>
      <c r="B265" s="145">
        <v>53</v>
      </c>
      <c r="C265" s="145">
        <v>0</v>
      </c>
      <c r="D265" s="145">
        <v>0</v>
      </c>
      <c r="E265" s="145">
        <v>0</v>
      </c>
      <c r="F265" s="145">
        <v>0</v>
      </c>
      <c r="G265" s="145" t="s">
        <v>3</v>
      </c>
      <c r="H265" s="145">
        <v>0</v>
      </c>
      <c r="I265" s="145">
        <v>0</v>
      </c>
      <c r="J265" s="145">
        <v>0</v>
      </c>
      <c r="K265" s="145">
        <v>0</v>
      </c>
      <c r="L265" s="145">
        <v>0</v>
      </c>
      <c r="M265" s="145" t="s">
        <v>29</v>
      </c>
      <c r="N265" s="145">
        <v>3</v>
      </c>
      <c r="O265" s="145" t="s">
        <v>52</v>
      </c>
      <c r="P265" s="145" t="s">
        <v>192</v>
      </c>
      <c r="Q265" s="145" t="s">
        <v>190</v>
      </c>
      <c r="R265" s="145" t="s">
        <v>55</v>
      </c>
      <c r="S265" s="145" t="s">
        <v>333</v>
      </c>
    </row>
    <row r="266" spans="1:19" ht="15" x14ac:dyDescent="0.25">
      <c r="A266" s="145">
        <v>3547</v>
      </c>
      <c r="B266" s="145">
        <v>54</v>
      </c>
      <c r="C266" s="145">
        <v>16</v>
      </c>
      <c r="D266" s="145">
        <v>1</v>
      </c>
      <c r="E266" s="145">
        <v>0</v>
      </c>
      <c r="F266" s="145">
        <v>0</v>
      </c>
      <c r="G266" s="145" t="s">
        <v>78</v>
      </c>
      <c r="H266" s="145">
        <v>3</v>
      </c>
      <c r="I266" s="145">
        <v>0</v>
      </c>
      <c r="J266" s="145">
        <v>2</v>
      </c>
      <c r="K266" s="145">
        <v>0</v>
      </c>
      <c r="L266" s="145">
        <v>1</v>
      </c>
      <c r="M266" s="145" t="s">
        <v>30</v>
      </c>
      <c r="N266" s="145">
        <v>3</v>
      </c>
      <c r="O266" s="145" t="s">
        <v>51</v>
      </c>
      <c r="P266" s="145" t="s">
        <v>203</v>
      </c>
      <c r="Q266" s="145" t="s">
        <v>204</v>
      </c>
      <c r="R266" s="145" t="s">
        <v>55</v>
      </c>
      <c r="S266" s="145" t="s">
        <v>334</v>
      </c>
    </row>
    <row r="267" spans="1:19" ht="15" x14ac:dyDescent="0.25">
      <c r="A267" s="145">
        <v>3638</v>
      </c>
      <c r="B267" s="145">
        <v>54</v>
      </c>
      <c r="C267" s="145">
        <v>4</v>
      </c>
      <c r="D267" s="145">
        <v>0</v>
      </c>
      <c r="E267" s="145">
        <v>1</v>
      </c>
      <c r="F267" s="145">
        <v>0</v>
      </c>
      <c r="G267" s="145" t="s">
        <v>3</v>
      </c>
      <c r="H267" s="145">
        <v>0</v>
      </c>
      <c r="I267" s="145">
        <v>0</v>
      </c>
      <c r="J267" s="145">
        <v>0</v>
      </c>
      <c r="K267" s="145">
        <v>0</v>
      </c>
      <c r="L267" s="145">
        <v>0</v>
      </c>
      <c r="M267" s="145" t="s">
        <v>29</v>
      </c>
      <c r="N267" s="145">
        <v>5</v>
      </c>
      <c r="O267" s="145" t="s">
        <v>50</v>
      </c>
      <c r="P267" s="145" t="s">
        <v>192</v>
      </c>
      <c r="Q267" s="145" t="s">
        <v>190</v>
      </c>
      <c r="R267" s="145" t="s">
        <v>54</v>
      </c>
      <c r="S267" s="145" t="s">
        <v>335</v>
      </c>
    </row>
    <row r="268" spans="1:19" ht="15" x14ac:dyDescent="0.25">
      <c r="A268" s="145">
        <v>240</v>
      </c>
      <c r="B268" s="145">
        <v>54</v>
      </c>
      <c r="C268" s="145">
        <v>1</v>
      </c>
      <c r="D268" s="145">
        <v>0</v>
      </c>
      <c r="E268" s="145">
        <v>0</v>
      </c>
      <c r="F268" s="145">
        <v>0</v>
      </c>
      <c r="G268" s="145" t="s">
        <v>3</v>
      </c>
      <c r="H268" s="145">
        <v>1</v>
      </c>
      <c r="I268" s="145">
        <v>0</v>
      </c>
      <c r="J268" s="145">
        <v>0</v>
      </c>
      <c r="K268" s="145">
        <v>0</v>
      </c>
      <c r="L268" s="145">
        <v>1</v>
      </c>
      <c r="M268" s="145" t="s">
        <v>29</v>
      </c>
      <c r="N268" s="145">
        <v>5</v>
      </c>
      <c r="O268" s="145" t="s">
        <v>50</v>
      </c>
      <c r="P268" s="145" t="s">
        <v>189</v>
      </c>
      <c r="Q268" s="145" t="s">
        <v>190</v>
      </c>
      <c r="R268" s="145" t="s">
        <v>54</v>
      </c>
      <c r="S268" s="145" t="s">
        <v>335</v>
      </c>
    </row>
    <row r="269" spans="1:19" ht="15" x14ac:dyDescent="0.25">
      <c r="A269" s="145">
        <v>3641</v>
      </c>
      <c r="B269" s="145">
        <v>54</v>
      </c>
      <c r="C269" s="145">
        <v>0</v>
      </c>
      <c r="D269" s="145">
        <v>0</v>
      </c>
      <c r="E269" s="145">
        <v>0</v>
      </c>
      <c r="F269" s="145">
        <v>0</v>
      </c>
      <c r="G269" s="145" t="s">
        <v>77</v>
      </c>
      <c r="H269" s="145">
        <v>0</v>
      </c>
      <c r="I269" s="145">
        <v>0</v>
      </c>
      <c r="J269" s="145">
        <v>0</v>
      </c>
      <c r="K269" s="145">
        <v>0</v>
      </c>
      <c r="L269" s="145">
        <v>0</v>
      </c>
      <c r="M269" s="145" t="s">
        <v>30</v>
      </c>
      <c r="N269" s="145">
        <v>4</v>
      </c>
      <c r="O269" s="145" t="s">
        <v>52</v>
      </c>
      <c r="P269" s="145" t="s">
        <v>192</v>
      </c>
      <c r="Q269" s="145" t="s">
        <v>190</v>
      </c>
      <c r="R269" s="145" t="s">
        <v>55</v>
      </c>
      <c r="S269" s="145" t="s">
        <v>335</v>
      </c>
    </row>
    <row r="270" spans="1:19" ht="15" x14ac:dyDescent="0.25">
      <c r="A270" s="145">
        <v>2619</v>
      </c>
      <c r="B270" s="145">
        <v>54</v>
      </c>
      <c r="C270" s="145">
        <v>42</v>
      </c>
      <c r="D270" s="145">
        <v>1</v>
      </c>
      <c r="E270" s="145">
        <v>0</v>
      </c>
      <c r="F270" s="145">
        <v>0</v>
      </c>
      <c r="G270" s="145" t="s">
        <v>77</v>
      </c>
      <c r="H270" s="145">
        <v>1</v>
      </c>
      <c r="I270" s="145">
        <v>0</v>
      </c>
      <c r="J270" s="145">
        <v>1</v>
      </c>
      <c r="K270" s="145">
        <v>0</v>
      </c>
      <c r="L270" s="145">
        <v>0</v>
      </c>
      <c r="M270" s="145" t="s">
        <v>25</v>
      </c>
      <c r="N270" s="145">
        <v>2</v>
      </c>
      <c r="O270" s="145" t="s">
        <v>52</v>
      </c>
      <c r="P270" s="145" t="s">
        <v>189</v>
      </c>
      <c r="Q270" s="145" t="s">
        <v>190</v>
      </c>
      <c r="R270" s="145" t="s">
        <v>54</v>
      </c>
      <c r="S270" s="145" t="s">
        <v>335</v>
      </c>
    </row>
    <row r="271" spans="1:19" ht="15" x14ac:dyDescent="0.25">
      <c r="A271" s="145">
        <v>3641</v>
      </c>
      <c r="B271" s="145">
        <v>54</v>
      </c>
      <c r="C271" s="145">
        <v>0</v>
      </c>
      <c r="D271" s="145">
        <v>0</v>
      </c>
      <c r="E271" s="145">
        <v>0</v>
      </c>
      <c r="F271" s="145">
        <v>0</v>
      </c>
      <c r="G271" s="145" t="s">
        <v>78</v>
      </c>
      <c r="H271" s="145">
        <v>0</v>
      </c>
      <c r="I271" s="145">
        <v>0</v>
      </c>
      <c r="J271" s="145">
        <v>0</v>
      </c>
      <c r="K271" s="145">
        <v>0</v>
      </c>
      <c r="L271" s="145">
        <v>0</v>
      </c>
      <c r="M271" s="145" t="s">
        <v>31</v>
      </c>
      <c r="N271" s="145">
        <v>4</v>
      </c>
      <c r="O271" s="145" t="s">
        <v>50</v>
      </c>
      <c r="P271" s="145" t="s">
        <v>192</v>
      </c>
      <c r="Q271" s="145" t="s">
        <v>190</v>
      </c>
      <c r="R271" s="145" t="s">
        <v>54</v>
      </c>
      <c r="S271" s="145" t="s">
        <v>336</v>
      </c>
    </row>
    <row r="272" spans="1:19" ht="15" x14ac:dyDescent="0.25">
      <c r="A272" s="145">
        <v>2075</v>
      </c>
      <c r="B272" s="145">
        <v>55</v>
      </c>
      <c r="C272" s="145">
        <v>18</v>
      </c>
      <c r="D272" s="145">
        <v>0</v>
      </c>
      <c r="E272" s="145">
        <v>0</v>
      </c>
      <c r="F272" s="145">
        <v>0</v>
      </c>
      <c r="G272" s="145" t="s">
        <v>77</v>
      </c>
      <c r="H272" s="145">
        <v>3</v>
      </c>
      <c r="I272" s="145">
        <v>1</v>
      </c>
      <c r="J272" s="145">
        <v>3</v>
      </c>
      <c r="K272" s="145">
        <v>0</v>
      </c>
      <c r="L272" s="145">
        <v>0</v>
      </c>
      <c r="M272" s="145" t="s">
        <v>29</v>
      </c>
      <c r="N272" s="145">
        <v>2</v>
      </c>
      <c r="O272" s="145" t="s">
        <v>51</v>
      </c>
      <c r="P272" s="145" t="s">
        <v>189</v>
      </c>
      <c r="Q272" s="145" t="s">
        <v>190</v>
      </c>
      <c r="R272" s="145" t="s">
        <v>55</v>
      </c>
      <c r="S272" s="145" t="s">
        <v>337</v>
      </c>
    </row>
    <row r="273" spans="1:19" ht="15" x14ac:dyDescent="0.25">
      <c r="A273" s="145">
        <v>1684</v>
      </c>
      <c r="B273" s="145">
        <v>55</v>
      </c>
      <c r="C273" s="145">
        <v>3</v>
      </c>
      <c r="D273" s="145">
        <v>0</v>
      </c>
      <c r="E273" s="145">
        <v>0</v>
      </c>
      <c r="F273" s="145">
        <v>0</v>
      </c>
      <c r="G273" s="145" t="s">
        <v>3</v>
      </c>
      <c r="H273" s="145">
        <v>1</v>
      </c>
      <c r="I273" s="145">
        <v>0</v>
      </c>
      <c r="J273" s="145">
        <v>1</v>
      </c>
      <c r="K273" s="145">
        <v>0</v>
      </c>
      <c r="L273" s="145">
        <v>0</v>
      </c>
      <c r="M273" s="145" t="s">
        <v>29</v>
      </c>
      <c r="N273" s="145">
        <v>4</v>
      </c>
      <c r="O273" s="145" t="s">
        <v>52</v>
      </c>
      <c r="P273" s="145" t="s">
        <v>189</v>
      </c>
      <c r="Q273" s="145" t="s">
        <v>190</v>
      </c>
      <c r="R273" s="145" t="s">
        <v>55</v>
      </c>
      <c r="S273" s="145" t="s">
        <v>338</v>
      </c>
    </row>
    <row r="274" spans="1:19" ht="15" x14ac:dyDescent="0.25">
      <c r="A274" s="145">
        <v>3322</v>
      </c>
      <c r="B274" s="145">
        <v>55</v>
      </c>
      <c r="C274" s="145">
        <v>45</v>
      </c>
      <c r="D274" s="145">
        <v>1</v>
      </c>
      <c r="E274" s="145">
        <v>0</v>
      </c>
      <c r="F274" s="145">
        <v>0</v>
      </c>
      <c r="G274" s="145" t="s">
        <v>78</v>
      </c>
      <c r="H274" s="145">
        <v>2</v>
      </c>
      <c r="I274" s="145">
        <v>0</v>
      </c>
      <c r="J274" s="145">
        <v>2</v>
      </c>
      <c r="K274" s="145">
        <v>0</v>
      </c>
      <c r="L274" s="145">
        <v>0</v>
      </c>
      <c r="M274" s="145" t="s">
        <v>25</v>
      </c>
      <c r="N274" s="145">
        <v>4</v>
      </c>
      <c r="O274" s="145" t="s">
        <v>51</v>
      </c>
      <c r="P274" s="145" t="s">
        <v>189</v>
      </c>
      <c r="Q274" s="145" t="s">
        <v>190</v>
      </c>
      <c r="R274" s="145" t="s">
        <v>55</v>
      </c>
      <c r="S274" s="145" t="s">
        <v>337</v>
      </c>
    </row>
    <row r="275" spans="1:19" ht="15" x14ac:dyDescent="0.25">
      <c r="A275" s="145">
        <v>1504</v>
      </c>
      <c r="B275" s="145">
        <v>55</v>
      </c>
      <c r="C275" s="145">
        <v>0</v>
      </c>
      <c r="D275" s="145">
        <v>0</v>
      </c>
      <c r="E275" s="145">
        <v>0</v>
      </c>
      <c r="F275" s="145">
        <v>0</v>
      </c>
      <c r="G275" s="145" t="s">
        <v>3</v>
      </c>
      <c r="H275" s="145">
        <v>0</v>
      </c>
      <c r="I275" s="145">
        <v>0</v>
      </c>
      <c r="J275" s="145">
        <v>0</v>
      </c>
      <c r="K275" s="145">
        <v>0</v>
      </c>
      <c r="L275" s="145">
        <v>0</v>
      </c>
      <c r="M275" s="145" t="s">
        <v>29</v>
      </c>
      <c r="N275" s="145">
        <v>3</v>
      </c>
      <c r="O275" s="145" t="s">
        <v>50</v>
      </c>
      <c r="P275" s="145" t="s">
        <v>189</v>
      </c>
      <c r="Q275" s="145" t="s">
        <v>190</v>
      </c>
      <c r="R275" s="145" t="s">
        <v>55</v>
      </c>
      <c r="S275" s="145" t="s">
        <v>338</v>
      </c>
    </row>
    <row r="276" spans="1:19" ht="15" x14ac:dyDescent="0.25">
      <c r="A276" s="145">
        <v>70</v>
      </c>
      <c r="B276" s="145">
        <v>55</v>
      </c>
      <c r="C276" s="145">
        <v>6</v>
      </c>
      <c r="D276" s="145">
        <v>1</v>
      </c>
      <c r="E276" s="145">
        <v>0</v>
      </c>
      <c r="F276" s="145">
        <v>0</v>
      </c>
      <c r="G276" s="145" t="s">
        <v>78</v>
      </c>
      <c r="H276" s="145">
        <v>0</v>
      </c>
      <c r="I276" s="145">
        <v>0</v>
      </c>
      <c r="J276" s="145">
        <v>0</v>
      </c>
      <c r="K276" s="145">
        <v>0</v>
      </c>
      <c r="L276" s="145">
        <v>0</v>
      </c>
      <c r="M276" s="145" t="s">
        <v>29</v>
      </c>
      <c r="N276" s="145">
        <v>3</v>
      </c>
      <c r="O276" s="145" t="s">
        <v>52</v>
      </c>
      <c r="P276" s="145" t="s">
        <v>192</v>
      </c>
      <c r="Q276" s="145" t="s">
        <v>190</v>
      </c>
      <c r="R276" s="145" t="s">
        <v>55</v>
      </c>
      <c r="S276" s="145" t="s">
        <v>338</v>
      </c>
    </row>
    <row r="277" spans="1:19" ht="15" x14ac:dyDescent="0.25">
      <c r="A277" s="145">
        <v>70</v>
      </c>
      <c r="B277" s="145">
        <v>55</v>
      </c>
      <c r="C277" s="145">
        <v>6</v>
      </c>
      <c r="D277" s="145">
        <v>1</v>
      </c>
      <c r="E277" s="145">
        <v>0</v>
      </c>
      <c r="F277" s="145">
        <v>0</v>
      </c>
      <c r="G277" s="145" t="s">
        <v>77</v>
      </c>
      <c r="H277" s="145">
        <v>0</v>
      </c>
      <c r="I277" s="145">
        <v>0</v>
      </c>
      <c r="J277" s="145">
        <v>0</v>
      </c>
      <c r="K277" s="145">
        <v>0</v>
      </c>
      <c r="L277" s="145">
        <v>0</v>
      </c>
      <c r="M277" s="145" t="s">
        <v>29</v>
      </c>
      <c r="N277" s="145">
        <v>3</v>
      </c>
      <c r="O277" s="145" t="s">
        <v>52</v>
      </c>
      <c r="P277" s="145" t="s">
        <v>192</v>
      </c>
      <c r="Q277" s="145" t="s">
        <v>192</v>
      </c>
      <c r="R277" s="145" t="s">
        <v>55</v>
      </c>
      <c r="S277" s="145" t="s">
        <v>339</v>
      </c>
    </row>
    <row r="278" spans="1:19" ht="15" x14ac:dyDescent="0.25">
      <c r="A278" s="145">
        <v>2337</v>
      </c>
      <c r="B278" s="145">
        <v>56</v>
      </c>
      <c r="C278" s="145">
        <v>62</v>
      </c>
      <c r="D278" s="145">
        <v>1</v>
      </c>
      <c r="E278" s="145">
        <v>0</v>
      </c>
      <c r="F278" s="145">
        <v>0</v>
      </c>
      <c r="G278" s="145" t="s">
        <v>78</v>
      </c>
      <c r="H278" s="145">
        <v>4</v>
      </c>
      <c r="I278" s="145">
        <v>1</v>
      </c>
      <c r="J278" s="145">
        <v>3</v>
      </c>
      <c r="K278" s="145">
        <v>1</v>
      </c>
      <c r="L278" s="145">
        <v>0</v>
      </c>
      <c r="M278" s="145" t="s">
        <v>25</v>
      </c>
      <c r="N278" s="145">
        <v>4</v>
      </c>
      <c r="O278" s="145" t="s">
        <v>51</v>
      </c>
      <c r="P278" s="145" t="s">
        <v>189</v>
      </c>
      <c r="Q278" s="145" t="s">
        <v>190</v>
      </c>
      <c r="R278" s="145" t="s">
        <v>55</v>
      </c>
      <c r="S278" s="145" t="s">
        <v>340</v>
      </c>
    </row>
    <row r="279" spans="1:19" ht="15" x14ac:dyDescent="0.25">
      <c r="A279" s="145">
        <v>3536</v>
      </c>
      <c r="B279" s="145">
        <v>56</v>
      </c>
      <c r="C279" s="145">
        <v>22</v>
      </c>
      <c r="D279" s="145">
        <v>0</v>
      </c>
      <c r="E279" s="145">
        <v>0</v>
      </c>
      <c r="F279" s="145">
        <v>1</v>
      </c>
      <c r="G279" s="145" t="s">
        <v>78</v>
      </c>
      <c r="H279" s="145">
        <v>0</v>
      </c>
      <c r="I279" s="145">
        <v>0</v>
      </c>
      <c r="J279" s="145">
        <v>0</v>
      </c>
      <c r="K279" s="145">
        <v>0</v>
      </c>
      <c r="L279" s="145">
        <v>0</v>
      </c>
      <c r="M279" s="145" t="s">
        <v>26</v>
      </c>
      <c r="N279" s="145">
        <v>3</v>
      </c>
      <c r="O279" s="145" t="s">
        <v>50</v>
      </c>
      <c r="P279" s="145" t="s">
        <v>192</v>
      </c>
      <c r="Q279" s="145" t="s">
        <v>190</v>
      </c>
      <c r="R279" s="145" t="s">
        <v>55</v>
      </c>
      <c r="S279" s="145" t="s">
        <v>341</v>
      </c>
    </row>
    <row r="280" spans="1:19" ht="15" x14ac:dyDescent="0.25">
      <c r="A280" s="145">
        <v>1322</v>
      </c>
      <c r="B280" s="145">
        <v>56</v>
      </c>
      <c r="C280" s="145">
        <v>8</v>
      </c>
      <c r="D280" s="145">
        <v>0</v>
      </c>
      <c r="E280" s="145">
        <v>1</v>
      </c>
      <c r="F280" s="145">
        <v>0</v>
      </c>
      <c r="G280" s="145" t="s">
        <v>77</v>
      </c>
      <c r="H280" s="145">
        <v>2</v>
      </c>
      <c r="I280" s="145">
        <v>0</v>
      </c>
      <c r="J280" s="145">
        <v>0</v>
      </c>
      <c r="K280" s="145">
        <v>2</v>
      </c>
      <c r="L280" s="145">
        <v>0</v>
      </c>
      <c r="M280" s="145" t="s">
        <v>30</v>
      </c>
      <c r="N280" s="145">
        <v>3</v>
      </c>
      <c r="O280" s="145" t="s">
        <v>51</v>
      </c>
      <c r="P280" s="145" t="s">
        <v>189</v>
      </c>
      <c r="Q280" s="145" t="s">
        <v>190</v>
      </c>
      <c r="R280" s="145" t="s">
        <v>55</v>
      </c>
      <c r="S280" s="145" t="s">
        <v>341</v>
      </c>
    </row>
    <row r="281" spans="1:19" ht="15" x14ac:dyDescent="0.25">
      <c r="A281" s="145">
        <v>548</v>
      </c>
      <c r="B281" s="145">
        <v>56</v>
      </c>
      <c r="C281" s="145">
        <v>22</v>
      </c>
      <c r="D281" s="145">
        <v>0</v>
      </c>
      <c r="E281" s="145">
        <v>0</v>
      </c>
      <c r="F281" s="145">
        <v>0</v>
      </c>
      <c r="G281" s="145" t="s">
        <v>3</v>
      </c>
      <c r="H281" s="145">
        <v>5</v>
      </c>
      <c r="I281" s="145">
        <v>1</v>
      </c>
      <c r="J281" s="145">
        <v>3</v>
      </c>
      <c r="K281" s="145">
        <v>2</v>
      </c>
      <c r="L281" s="145">
        <v>0</v>
      </c>
      <c r="M281" s="145" t="s">
        <v>29</v>
      </c>
      <c r="N281" s="145">
        <v>4</v>
      </c>
      <c r="O281" s="145" t="s">
        <v>51</v>
      </c>
      <c r="P281" s="145" t="s">
        <v>189</v>
      </c>
      <c r="Q281" s="145" t="s">
        <v>190</v>
      </c>
      <c r="R281" s="145" t="s">
        <v>55</v>
      </c>
      <c r="S281" s="145" t="s">
        <v>341</v>
      </c>
    </row>
    <row r="282" spans="1:19" x14ac:dyDescent="0.2">
      <c r="A282">
        <v>573</v>
      </c>
      <c r="B282">
        <v>58</v>
      </c>
      <c r="C282">
        <v>39</v>
      </c>
      <c r="D282">
        <v>0</v>
      </c>
      <c r="E282">
        <v>0</v>
      </c>
      <c r="F282">
        <v>0</v>
      </c>
      <c r="G282" t="s">
        <v>77</v>
      </c>
      <c r="H282">
        <v>5</v>
      </c>
      <c r="I282">
        <v>1</v>
      </c>
      <c r="J282">
        <v>5</v>
      </c>
      <c r="K282">
        <v>0</v>
      </c>
      <c r="L282">
        <v>0</v>
      </c>
      <c r="M282" t="s">
        <v>27</v>
      </c>
      <c r="N282">
        <v>4</v>
      </c>
      <c r="O282" t="s">
        <v>51</v>
      </c>
      <c r="P282" t="s">
        <v>189</v>
      </c>
      <c r="Q282" t="s">
        <v>190</v>
      </c>
      <c r="R282" t="s">
        <v>55</v>
      </c>
      <c r="S282" t="s">
        <v>342</v>
      </c>
    </row>
    <row r="283" spans="1:19" x14ac:dyDescent="0.2">
      <c r="A283">
        <v>2145</v>
      </c>
      <c r="B283">
        <v>58</v>
      </c>
      <c r="C283">
        <v>26</v>
      </c>
      <c r="D283">
        <v>0</v>
      </c>
      <c r="E283">
        <v>0</v>
      </c>
      <c r="F283">
        <v>0</v>
      </c>
      <c r="G283" t="s">
        <v>77</v>
      </c>
      <c r="H283">
        <v>2</v>
      </c>
      <c r="I283">
        <v>0</v>
      </c>
      <c r="J283">
        <v>2</v>
      </c>
      <c r="K283">
        <v>0</v>
      </c>
      <c r="L283">
        <v>0</v>
      </c>
      <c r="M283" t="s">
        <v>26</v>
      </c>
      <c r="N283">
        <v>2</v>
      </c>
      <c r="O283" t="s">
        <v>51</v>
      </c>
      <c r="P283" t="s">
        <v>189</v>
      </c>
      <c r="Q283" t="s">
        <v>190</v>
      </c>
      <c r="R283" t="s">
        <v>55</v>
      </c>
      <c r="S283" t="s">
        <v>343</v>
      </c>
    </row>
    <row r="284" spans="1:19" x14ac:dyDescent="0.2">
      <c r="A284">
        <v>3707</v>
      </c>
      <c r="B284">
        <v>58</v>
      </c>
      <c r="C284">
        <v>3</v>
      </c>
      <c r="D284">
        <v>0</v>
      </c>
      <c r="E284">
        <v>0</v>
      </c>
      <c r="F284">
        <v>0</v>
      </c>
      <c r="G284" t="s">
        <v>3</v>
      </c>
      <c r="H284">
        <v>1</v>
      </c>
      <c r="I284">
        <v>0</v>
      </c>
      <c r="J284">
        <v>1</v>
      </c>
      <c r="K284">
        <v>0</v>
      </c>
      <c r="L284">
        <v>0</v>
      </c>
      <c r="M284" t="s">
        <v>29</v>
      </c>
      <c r="N284">
        <v>2</v>
      </c>
      <c r="O284" t="s">
        <v>52</v>
      </c>
      <c r="P284" t="s">
        <v>206</v>
      </c>
      <c r="Q284" t="s">
        <v>204</v>
      </c>
      <c r="R284" t="s">
        <v>55</v>
      </c>
      <c r="S284" t="s">
        <v>344</v>
      </c>
    </row>
    <row r="285" spans="1:19" x14ac:dyDescent="0.2">
      <c r="A285">
        <v>3098</v>
      </c>
      <c r="B285">
        <v>58</v>
      </c>
      <c r="C285">
        <v>52</v>
      </c>
      <c r="D285">
        <v>1</v>
      </c>
      <c r="E285">
        <v>0</v>
      </c>
      <c r="F285">
        <v>0</v>
      </c>
      <c r="G285" t="s">
        <v>78</v>
      </c>
      <c r="H285">
        <v>4</v>
      </c>
      <c r="I285">
        <v>1</v>
      </c>
      <c r="J285">
        <v>3</v>
      </c>
      <c r="K285">
        <v>1</v>
      </c>
      <c r="L285">
        <v>0</v>
      </c>
      <c r="M285" t="s">
        <v>26</v>
      </c>
      <c r="N285">
        <v>4</v>
      </c>
      <c r="O285" t="s">
        <v>51</v>
      </c>
      <c r="P285" t="s">
        <v>189</v>
      </c>
      <c r="Q285" t="s">
        <v>190</v>
      </c>
      <c r="R285" t="s">
        <v>55</v>
      </c>
      <c r="S285" t="s">
        <v>342</v>
      </c>
    </row>
    <row r="286" spans="1:19" x14ac:dyDescent="0.2">
      <c r="A286">
        <v>247</v>
      </c>
      <c r="B286">
        <v>58</v>
      </c>
      <c r="C286">
        <v>3</v>
      </c>
      <c r="D286">
        <v>0</v>
      </c>
      <c r="E286">
        <v>0</v>
      </c>
      <c r="F286">
        <v>0</v>
      </c>
      <c r="G286" t="s">
        <v>3</v>
      </c>
      <c r="H286">
        <v>1</v>
      </c>
      <c r="I286">
        <v>0</v>
      </c>
      <c r="J286">
        <v>1</v>
      </c>
      <c r="K286">
        <v>0</v>
      </c>
      <c r="L286">
        <v>0</v>
      </c>
      <c r="M286" t="s">
        <v>29</v>
      </c>
      <c r="N286">
        <v>3</v>
      </c>
      <c r="O286" t="s">
        <v>51</v>
      </c>
      <c r="P286" t="s">
        <v>203</v>
      </c>
      <c r="Q286" t="s">
        <v>204</v>
      </c>
      <c r="R286" t="s">
        <v>55</v>
      </c>
      <c r="S286" t="s">
        <v>342</v>
      </c>
    </row>
    <row r="287" spans="1:19" x14ac:dyDescent="0.2">
      <c r="A287">
        <v>3098</v>
      </c>
      <c r="B287">
        <v>58</v>
      </c>
      <c r="C287">
        <v>50</v>
      </c>
      <c r="D287">
        <v>1</v>
      </c>
      <c r="E287">
        <v>0</v>
      </c>
      <c r="F287">
        <v>0</v>
      </c>
      <c r="G287" t="s">
        <v>78</v>
      </c>
      <c r="H287">
        <v>3</v>
      </c>
      <c r="I287">
        <v>1</v>
      </c>
      <c r="J287">
        <v>3</v>
      </c>
      <c r="K287">
        <v>0</v>
      </c>
      <c r="L287">
        <v>0</v>
      </c>
      <c r="M287" t="s">
        <v>26</v>
      </c>
      <c r="N287">
        <v>4</v>
      </c>
      <c r="O287" t="s">
        <v>52</v>
      </c>
      <c r="P287" t="s">
        <v>189</v>
      </c>
      <c r="Q287" t="s">
        <v>190</v>
      </c>
      <c r="R287" t="s">
        <v>55</v>
      </c>
      <c r="S287" t="s">
        <v>345</v>
      </c>
    </row>
    <row r="288" spans="1:19" x14ac:dyDescent="0.2">
      <c r="A288">
        <v>3655</v>
      </c>
      <c r="B288">
        <v>59</v>
      </c>
      <c r="C288">
        <v>0</v>
      </c>
      <c r="D288">
        <v>0</v>
      </c>
      <c r="E288">
        <v>0</v>
      </c>
      <c r="F288">
        <v>0</v>
      </c>
      <c r="G288" t="s">
        <v>3</v>
      </c>
      <c r="H288">
        <v>0</v>
      </c>
      <c r="I288">
        <v>0</v>
      </c>
      <c r="J288">
        <v>0</v>
      </c>
      <c r="K288">
        <v>0</v>
      </c>
      <c r="L288">
        <v>0</v>
      </c>
      <c r="M288" t="s">
        <v>29</v>
      </c>
      <c r="N288">
        <v>4</v>
      </c>
      <c r="O288" t="s">
        <v>50</v>
      </c>
      <c r="P288" t="s">
        <v>206</v>
      </c>
      <c r="Q288" t="s">
        <v>206</v>
      </c>
      <c r="R288" t="s">
        <v>54</v>
      </c>
      <c r="S288" t="s">
        <v>346</v>
      </c>
    </row>
    <row r="289" spans="1:19" x14ac:dyDescent="0.2">
      <c r="A289">
        <v>66</v>
      </c>
      <c r="B289">
        <v>59</v>
      </c>
      <c r="C289">
        <v>6</v>
      </c>
      <c r="D289">
        <v>0</v>
      </c>
      <c r="E289">
        <v>0</v>
      </c>
      <c r="F289">
        <v>0</v>
      </c>
      <c r="G289" t="s">
        <v>3</v>
      </c>
      <c r="H289">
        <v>2</v>
      </c>
      <c r="I289">
        <v>0</v>
      </c>
      <c r="J289">
        <v>2</v>
      </c>
      <c r="K289">
        <v>0</v>
      </c>
      <c r="L289">
        <v>0</v>
      </c>
      <c r="M289" t="s">
        <v>29</v>
      </c>
      <c r="N289">
        <v>2</v>
      </c>
      <c r="O289" t="s">
        <v>52</v>
      </c>
      <c r="P289" t="s">
        <v>189</v>
      </c>
      <c r="Q289" t="s">
        <v>190</v>
      </c>
      <c r="R289" t="s">
        <v>55</v>
      </c>
      <c r="S289" t="s">
        <v>346</v>
      </c>
    </row>
    <row r="290" spans="1:19" x14ac:dyDescent="0.2">
      <c r="A290">
        <v>3641</v>
      </c>
      <c r="B290">
        <v>59</v>
      </c>
      <c r="C290">
        <v>0</v>
      </c>
      <c r="D290">
        <v>0</v>
      </c>
      <c r="E290">
        <v>0</v>
      </c>
      <c r="F290">
        <v>0</v>
      </c>
      <c r="G290" t="s">
        <v>77</v>
      </c>
      <c r="H290">
        <v>0</v>
      </c>
      <c r="I290">
        <v>0</v>
      </c>
      <c r="J290">
        <v>0</v>
      </c>
      <c r="K290">
        <v>0</v>
      </c>
      <c r="L290">
        <v>0</v>
      </c>
      <c r="M290" t="s">
        <v>29</v>
      </c>
      <c r="N290">
        <v>4</v>
      </c>
      <c r="O290" t="s">
        <v>50</v>
      </c>
      <c r="P290" t="s">
        <v>192</v>
      </c>
      <c r="Q290" t="s">
        <v>190</v>
      </c>
      <c r="R290" t="s">
        <v>55</v>
      </c>
      <c r="S290" t="s">
        <v>347</v>
      </c>
    </row>
    <row r="291" spans="1:19" x14ac:dyDescent="0.2">
      <c r="A291">
        <v>3641</v>
      </c>
      <c r="B291">
        <v>59</v>
      </c>
      <c r="C291">
        <v>0</v>
      </c>
      <c r="D291">
        <v>0</v>
      </c>
      <c r="E291">
        <v>0</v>
      </c>
      <c r="F291">
        <v>0</v>
      </c>
      <c r="G291" t="s">
        <v>78</v>
      </c>
      <c r="H291">
        <v>0</v>
      </c>
      <c r="I291">
        <v>0</v>
      </c>
      <c r="J291">
        <v>0</v>
      </c>
      <c r="K291">
        <v>0</v>
      </c>
      <c r="L291">
        <v>0</v>
      </c>
      <c r="M291" t="s">
        <v>29</v>
      </c>
      <c r="N291">
        <v>3</v>
      </c>
      <c r="O291" t="s">
        <v>52</v>
      </c>
      <c r="P291" t="s">
        <v>192</v>
      </c>
      <c r="Q291" t="s">
        <v>204</v>
      </c>
      <c r="R291" t="s">
        <v>55</v>
      </c>
      <c r="S291" t="s">
        <v>347</v>
      </c>
    </row>
    <row r="292" spans="1:19" x14ac:dyDescent="0.2">
      <c r="A292">
        <v>240</v>
      </c>
      <c r="B292">
        <v>59</v>
      </c>
      <c r="C292">
        <v>0</v>
      </c>
      <c r="D292">
        <v>0</v>
      </c>
      <c r="E292">
        <v>0</v>
      </c>
      <c r="F292">
        <v>0</v>
      </c>
      <c r="G292" t="s">
        <v>77</v>
      </c>
      <c r="H292">
        <v>0</v>
      </c>
      <c r="I292">
        <v>0</v>
      </c>
      <c r="J292">
        <v>0</v>
      </c>
      <c r="K292">
        <v>0</v>
      </c>
      <c r="L292">
        <v>0</v>
      </c>
      <c r="M292" t="s">
        <v>30</v>
      </c>
      <c r="N292">
        <v>1</v>
      </c>
      <c r="O292" t="s">
        <v>52</v>
      </c>
      <c r="P292" t="s">
        <v>189</v>
      </c>
      <c r="Q292" t="s">
        <v>190</v>
      </c>
      <c r="R292" t="s">
        <v>54</v>
      </c>
      <c r="S292" t="s">
        <v>348</v>
      </c>
    </row>
    <row r="293" spans="1:19" x14ac:dyDescent="0.2">
      <c r="A293">
        <v>830</v>
      </c>
      <c r="B293">
        <v>59</v>
      </c>
      <c r="C293">
        <v>6</v>
      </c>
      <c r="D293">
        <v>0</v>
      </c>
      <c r="E293">
        <v>0</v>
      </c>
      <c r="F293">
        <v>0</v>
      </c>
      <c r="G293" t="s">
        <v>78</v>
      </c>
      <c r="H293">
        <v>2</v>
      </c>
      <c r="I293">
        <v>0</v>
      </c>
      <c r="J293">
        <v>2</v>
      </c>
      <c r="K293">
        <v>0</v>
      </c>
      <c r="L293">
        <v>0</v>
      </c>
      <c r="M293" t="s">
        <v>30</v>
      </c>
      <c r="N293">
        <v>5</v>
      </c>
      <c r="O293" t="s">
        <v>51</v>
      </c>
      <c r="P293" t="s">
        <v>189</v>
      </c>
      <c r="Q293" t="s">
        <v>190</v>
      </c>
      <c r="R293" t="s">
        <v>54</v>
      </c>
      <c r="S293" t="s">
        <v>346</v>
      </c>
    </row>
    <row r="294" spans="1:19" x14ac:dyDescent="0.2">
      <c r="A294" s="6"/>
      <c r="B294" s="6"/>
      <c r="C294" s="6"/>
      <c r="D294" s="6"/>
      <c r="E294" s="6"/>
      <c r="F294" s="6"/>
      <c r="G294" s="6"/>
      <c r="H294" s="6"/>
      <c r="I294" s="6"/>
      <c r="J294" s="6"/>
      <c r="K294" s="6"/>
      <c r="L294" s="6"/>
      <c r="M294" s="18"/>
      <c r="N294" s="18"/>
      <c r="O294" s="20"/>
      <c r="P294" s="6"/>
      <c r="Q294" s="20"/>
      <c r="R294" s="6"/>
      <c r="S294" s="21"/>
    </row>
    <row r="295" spans="1:19" x14ac:dyDescent="0.2">
      <c r="A295" s="6"/>
      <c r="B295" s="6"/>
      <c r="C295" s="6"/>
      <c r="D295" s="6"/>
      <c r="E295" s="6"/>
      <c r="F295" s="6"/>
      <c r="G295" s="6"/>
      <c r="H295" s="6"/>
      <c r="I295" s="6"/>
      <c r="J295" s="6"/>
      <c r="K295" s="6"/>
      <c r="L295" s="6"/>
      <c r="M295" s="18"/>
      <c r="N295" s="18"/>
      <c r="O295" s="20"/>
      <c r="P295" s="6"/>
      <c r="Q295" s="20"/>
      <c r="R295" s="6"/>
      <c r="S295" s="21"/>
    </row>
    <row r="296" spans="1:19" x14ac:dyDescent="0.2">
      <c r="A296" s="6"/>
      <c r="B296" s="6"/>
      <c r="C296" s="6"/>
      <c r="D296" s="6"/>
      <c r="E296" s="6"/>
      <c r="F296" s="6"/>
      <c r="G296" s="6"/>
      <c r="H296" s="6"/>
      <c r="I296" s="6"/>
      <c r="J296" s="6"/>
      <c r="K296" s="6"/>
      <c r="L296" s="6"/>
      <c r="M296" s="18"/>
      <c r="N296" s="18"/>
      <c r="O296" s="20"/>
      <c r="P296" s="6"/>
      <c r="Q296" s="20"/>
      <c r="R296" s="6"/>
      <c r="S296" s="21"/>
    </row>
    <row r="297" spans="1:19" x14ac:dyDescent="0.2">
      <c r="A297" s="6"/>
      <c r="B297" s="6"/>
      <c r="C297" s="6"/>
      <c r="D297" s="6"/>
      <c r="E297" s="6"/>
      <c r="F297" s="6"/>
      <c r="G297" s="6"/>
      <c r="H297" s="6"/>
      <c r="I297" s="6"/>
      <c r="J297" s="6"/>
      <c r="K297" s="6"/>
      <c r="L297" s="6"/>
      <c r="M297" s="18"/>
      <c r="N297" s="18"/>
      <c r="O297" s="20"/>
      <c r="P297" s="6"/>
      <c r="Q297" s="20"/>
      <c r="R297" s="6"/>
      <c r="S297" s="21"/>
    </row>
    <row r="298" spans="1:19" x14ac:dyDescent="0.2">
      <c r="A298" s="6"/>
      <c r="B298" s="6"/>
      <c r="C298" s="6"/>
      <c r="D298" s="6"/>
      <c r="E298" s="6"/>
      <c r="F298" s="6"/>
      <c r="G298" s="6"/>
      <c r="H298" s="6"/>
      <c r="I298" s="6"/>
      <c r="J298" s="6"/>
      <c r="K298" s="6"/>
      <c r="L298" s="6"/>
      <c r="M298" s="18"/>
      <c r="N298" s="18"/>
      <c r="O298" s="20"/>
      <c r="P298" s="6"/>
      <c r="Q298" s="20"/>
      <c r="R298" s="6"/>
      <c r="S298" s="21"/>
    </row>
    <row r="299" spans="1:19" x14ac:dyDescent="0.2">
      <c r="A299" s="6"/>
      <c r="B299" s="6"/>
      <c r="C299" s="6"/>
      <c r="D299" s="6"/>
      <c r="E299" s="6"/>
      <c r="F299" s="6"/>
      <c r="G299" s="6"/>
      <c r="H299" s="6"/>
      <c r="I299" s="6"/>
      <c r="J299" s="6"/>
      <c r="K299" s="6"/>
      <c r="L299" s="6"/>
      <c r="M299" s="18"/>
      <c r="N299" s="18"/>
      <c r="O299" s="20"/>
      <c r="P299" s="6"/>
      <c r="Q299" s="20"/>
      <c r="R299" s="6"/>
      <c r="S299" s="21"/>
    </row>
    <row r="300" spans="1:19" x14ac:dyDescent="0.2">
      <c r="A300" s="6"/>
      <c r="B300" s="6"/>
      <c r="C300" s="6"/>
      <c r="D300" s="6"/>
      <c r="E300" s="6"/>
      <c r="F300" s="6"/>
      <c r="G300" s="6"/>
      <c r="H300" s="6"/>
      <c r="I300" s="6"/>
      <c r="J300" s="6"/>
      <c r="K300" s="6"/>
      <c r="L300" s="6"/>
      <c r="M300" s="18"/>
      <c r="N300" s="18"/>
      <c r="O300" s="20"/>
      <c r="P300" s="6"/>
      <c r="Q300" s="20"/>
      <c r="R300" s="6"/>
      <c r="S300" s="21"/>
    </row>
    <row r="301" spans="1:19" x14ac:dyDescent="0.2">
      <c r="A301" s="6"/>
      <c r="B301" s="6"/>
      <c r="C301" s="6"/>
      <c r="D301" s="6"/>
      <c r="E301" s="6"/>
      <c r="F301" s="6"/>
      <c r="G301" s="6"/>
      <c r="H301" s="6"/>
      <c r="I301" s="6"/>
      <c r="J301" s="6"/>
      <c r="K301" s="6"/>
      <c r="L301" s="6"/>
      <c r="M301" s="18"/>
      <c r="N301" s="18"/>
      <c r="O301" s="20"/>
      <c r="P301" s="6"/>
      <c r="Q301" s="20"/>
      <c r="R301" s="6"/>
      <c r="S301" s="21"/>
    </row>
    <row r="302" spans="1:19" x14ac:dyDescent="0.2">
      <c r="A302" s="6"/>
      <c r="B302" s="6"/>
      <c r="C302" s="6"/>
      <c r="D302" s="6"/>
      <c r="E302" s="6"/>
      <c r="F302" s="6"/>
      <c r="G302" s="6"/>
      <c r="H302" s="6"/>
      <c r="I302" s="6"/>
      <c r="J302" s="6"/>
      <c r="K302" s="6"/>
      <c r="L302" s="6"/>
      <c r="M302" s="18"/>
      <c r="N302" s="18"/>
      <c r="O302" s="20"/>
      <c r="P302" s="6"/>
      <c r="Q302" s="20"/>
      <c r="R302" s="6"/>
      <c r="S302" s="21"/>
    </row>
    <row r="303" spans="1:19" x14ac:dyDescent="0.2">
      <c r="A303" s="6"/>
      <c r="B303" s="6"/>
      <c r="C303" s="6"/>
      <c r="D303" s="6"/>
      <c r="E303" s="6"/>
      <c r="F303" s="6"/>
      <c r="G303" s="6"/>
      <c r="H303" s="6"/>
      <c r="I303" s="6"/>
      <c r="J303" s="6"/>
      <c r="K303" s="6"/>
      <c r="L303" s="6"/>
      <c r="M303" s="18"/>
      <c r="N303" s="18"/>
      <c r="O303" s="20"/>
      <c r="P303" s="6"/>
      <c r="Q303" s="20"/>
      <c r="R303" s="6"/>
      <c r="S303" s="21"/>
    </row>
    <row r="304" spans="1:19" x14ac:dyDescent="0.2">
      <c r="A304" s="6"/>
      <c r="B304" s="6"/>
      <c r="C304" s="6"/>
      <c r="D304" s="6"/>
      <c r="E304" s="6"/>
      <c r="F304" s="6"/>
      <c r="G304" s="6"/>
      <c r="H304" s="6"/>
      <c r="I304" s="6"/>
      <c r="J304" s="6"/>
      <c r="K304" s="6"/>
      <c r="L304" s="6"/>
      <c r="M304" s="18"/>
      <c r="N304" s="18"/>
      <c r="O304" s="20"/>
      <c r="P304" s="6"/>
      <c r="Q304" s="20"/>
      <c r="R304" s="6"/>
      <c r="S304" s="21"/>
    </row>
    <row r="305" spans="1:19" x14ac:dyDescent="0.2">
      <c r="A305" s="6"/>
      <c r="B305" s="6"/>
      <c r="C305" s="6"/>
      <c r="D305" s="6"/>
      <c r="E305" s="6"/>
      <c r="F305" s="6"/>
      <c r="G305" s="6"/>
      <c r="H305" s="6"/>
      <c r="I305" s="6"/>
      <c r="J305" s="6"/>
      <c r="K305" s="6"/>
      <c r="L305" s="6"/>
      <c r="M305" s="18"/>
      <c r="N305" s="18"/>
      <c r="O305" s="20"/>
      <c r="P305" s="6"/>
      <c r="Q305" s="20"/>
      <c r="R305" s="6"/>
      <c r="S305" s="21"/>
    </row>
    <row r="306" spans="1:19" x14ac:dyDescent="0.2">
      <c r="A306" s="6"/>
      <c r="B306" s="6"/>
      <c r="C306" s="6"/>
      <c r="D306" s="6"/>
      <c r="E306" s="6"/>
      <c r="F306" s="6"/>
      <c r="G306" s="6"/>
      <c r="H306" s="6"/>
      <c r="I306" s="6"/>
      <c r="J306" s="6"/>
      <c r="K306" s="6"/>
      <c r="L306" s="6"/>
      <c r="M306" s="18"/>
      <c r="N306" s="18"/>
      <c r="O306" s="20"/>
      <c r="P306" s="6"/>
      <c r="Q306" s="20"/>
      <c r="R306" s="6"/>
      <c r="S306" s="21"/>
    </row>
    <row r="307" spans="1:19" x14ac:dyDescent="0.2">
      <c r="A307" s="6"/>
      <c r="B307" s="6"/>
      <c r="C307" s="6"/>
      <c r="D307" s="6"/>
      <c r="E307" s="6"/>
      <c r="F307" s="6"/>
      <c r="G307" s="6"/>
      <c r="H307" s="6"/>
      <c r="I307" s="6"/>
      <c r="J307" s="6"/>
      <c r="K307" s="6"/>
      <c r="L307" s="6"/>
      <c r="M307" s="18"/>
      <c r="N307" s="18"/>
      <c r="O307" s="20"/>
      <c r="P307" s="6"/>
      <c r="Q307" s="20"/>
      <c r="R307" s="6"/>
      <c r="S307" s="21"/>
    </row>
    <row r="308" spans="1:19" x14ac:dyDescent="0.2">
      <c r="A308" s="6"/>
      <c r="B308" s="6"/>
      <c r="C308" s="6"/>
      <c r="D308" s="6"/>
      <c r="E308" s="6"/>
      <c r="F308" s="6"/>
      <c r="G308" s="6"/>
      <c r="H308" s="6"/>
      <c r="I308" s="6"/>
      <c r="J308" s="6"/>
      <c r="K308" s="6"/>
      <c r="L308" s="6"/>
      <c r="M308" s="18"/>
      <c r="N308" s="18"/>
      <c r="O308" s="20"/>
      <c r="P308" s="6"/>
      <c r="Q308" s="20"/>
      <c r="R308" s="6"/>
      <c r="S308" s="21"/>
    </row>
    <row r="309" spans="1:19" x14ac:dyDescent="0.2">
      <c r="A309" s="6"/>
      <c r="B309" s="6"/>
      <c r="C309" s="6"/>
      <c r="D309" s="6"/>
      <c r="E309" s="6"/>
      <c r="F309" s="6"/>
      <c r="G309" s="6"/>
      <c r="H309" s="6"/>
      <c r="I309" s="6"/>
      <c r="J309" s="6"/>
      <c r="K309" s="6"/>
      <c r="L309" s="6"/>
      <c r="M309" s="18"/>
      <c r="N309" s="18"/>
      <c r="O309" s="20"/>
      <c r="P309" s="6"/>
      <c r="Q309" s="20"/>
      <c r="R309" s="6"/>
      <c r="S309" s="21"/>
    </row>
    <row r="310" spans="1:19" x14ac:dyDescent="0.2">
      <c r="A310" s="6"/>
      <c r="B310" s="6"/>
      <c r="C310" s="6"/>
      <c r="D310" s="6"/>
      <c r="E310" s="6"/>
      <c r="F310" s="6"/>
      <c r="G310" s="6"/>
      <c r="H310" s="6"/>
      <c r="I310" s="6"/>
      <c r="J310" s="6"/>
      <c r="K310" s="6"/>
      <c r="L310" s="6"/>
      <c r="M310" s="18"/>
      <c r="N310" s="18"/>
      <c r="O310" s="20"/>
      <c r="P310" s="6"/>
      <c r="Q310" s="20"/>
      <c r="R310" s="6"/>
      <c r="S310" s="21"/>
    </row>
    <row r="311" spans="1:19" x14ac:dyDescent="0.2">
      <c r="A311" s="6"/>
      <c r="B311" s="6"/>
      <c r="C311" s="6"/>
      <c r="D311" s="6"/>
      <c r="E311" s="6"/>
      <c r="F311" s="6"/>
      <c r="G311" s="6"/>
      <c r="H311" s="6"/>
      <c r="I311" s="6"/>
      <c r="J311" s="6"/>
      <c r="K311" s="6"/>
      <c r="L311" s="6"/>
      <c r="M311" s="18"/>
      <c r="N311" s="18"/>
      <c r="O311" s="20"/>
      <c r="P311" s="6"/>
      <c r="Q311" s="20"/>
      <c r="R311" s="6"/>
      <c r="S311" s="21"/>
    </row>
    <row r="312" spans="1:19" x14ac:dyDescent="0.2">
      <c r="A312" s="6"/>
      <c r="B312" s="6"/>
      <c r="C312" s="6"/>
      <c r="D312" s="6"/>
      <c r="E312" s="6"/>
      <c r="F312" s="6"/>
      <c r="G312" s="6"/>
      <c r="H312" s="6"/>
      <c r="I312" s="6"/>
      <c r="J312" s="6"/>
      <c r="K312" s="6"/>
      <c r="L312" s="6"/>
      <c r="M312" s="18"/>
      <c r="N312" s="18"/>
      <c r="O312" s="20"/>
      <c r="P312" s="6"/>
      <c r="Q312" s="20"/>
      <c r="R312" s="6"/>
      <c r="S312" s="21"/>
    </row>
    <row r="313" spans="1:19" x14ac:dyDescent="0.2">
      <c r="A313" s="18"/>
      <c r="B313" s="4"/>
      <c r="C313" s="4"/>
      <c r="D313" s="4"/>
      <c r="E313" s="4"/>
      <c r="F313" s="4"/>
      <c r="G313" s="4"/>
      <c r="H313" s="4"/>
      <c r="I313" s="4"/>
      <c r="J313" s="4"/>
      <c r="K313" s="4"/>
      <c r="L313" s="4"/>
      <c r="M313" s="4"/>
      <c r="N313" s="4"/>
    </row>
    <row r="314" spans="1:19" x14ac:dyDescent="0.2">
      <c r="A314" s="6"/>
      <c r="B314" s="6"/>
      <c r="C314" s="6"/>
      <c r="D314" s="6"/>
      <c r="E314" s="6"/>
      <c r="F314" s="6"/>
      <c r="G314" s="6"/>
      <c r="H314" s="6"/>
      <c r="I314" s="6"/>
      <c r="J314" s="6"/>
      <c r="K314" s="6"/>
      <c r="L314" s="6"/>
      <c r="M314" s="18"/>
      <c r="N314" s="18"/>
      <c r="O314" s="20"/>
      <c r="P314" s="6"/>
      <c r="Q314" s="20"/>
      <c r="R314" s="6"/>
      <c r="S314" s="21"/>
    </row>
    <row r="315" spans="1:19" x14ac:dyDescent="0.2">
      <c r="A315" s="6"/>
      <c r="B315" s="6"/>
      <c r="C315" s="6"/>
      <c r="D315" s="6"/>
      <c r="E315" s="6"/>
      <c r="F315" s="6"/>
      <c r="G315" s="6"/>
      <c r="H315" s="6"/>
      <c r="I315" s="6"/>
      <c r="J315" s="6"/>
      <c r="K315" s="6"/>
      <c r="L315" s="6"/>
      <c r="M315" s="18"/>
      <c r="N315" s="18"/>
      <c r="O315" s="20"/>
      <c r="P315" s="6"/>
      <c r="Q315" s="20"/>
      <c r="R315" s="6"/>
      <c r="S315" s="21"/>
    </row>
    <row r="316" spans="1:19" x14ac:dyDescent="0.2">
      <c r="A316" s="6"/>
      <c r="B316" s="6"/>
      <c r="C316" s="6"/>
      <c r="D316" s="6"/>
      <c r="E316" s="6"/>
      <c r="F316" s="6"/>
      <c r="G316" s="6"/>
      <c r="H316" s="6"/>
      <c r="I316" s="6"/>
      <c r="J316" s="6"/>
      <c r="K316" s="6"/>
      <c r="L316" s="6"/>
      <c r="M316" s="18"/>
      <c r="N316" s="18"/>
      <c r="O316" s="20"/>
      <c r="P316" s="6"/>
      <c r="Q316" s="20"/>
      <c r="R316" s="6"/>
      <c r="S316" s="21"/>
    </row>
    <row r="317" spans="1:19" x14ac:dyDescent="0.2">
      <c r="A317" s="6"/>
      <c r="B317" s="6"/>
      <c r="C317" s="6"/>
      <c r="D317" s="6"/>
      <c r="E317" s="6"/>
      <c r="F317" s="6"/>
      <c r="G317" s="6"/>
      <c r="H317" s="6"/>
      <c r="I317" s="6"/>
      <c r="J317" s="6"/>
      <c r="K317" s="6"/>
      <c r="L317" s="6"/>
      <c r="M317" s="18"/>
      <c r="N317" s="18"/>
      <c r="O317" s="20"/>
      <c r="P317" s="6"/>
      <c r="Q317" s="20"/>
      <c r="R317" s="6"/>
      <c r="S317" s="21"/>
    </row>
    <row r="318" spans="1:19" x14ac:dyDescent="0.2">
      <c r="A318" s="6"/>
      <c r="B318" s="6"/>
      <c r="C318" s="6"/>
      <c r="D318" s="6"/>
      <c r="E318" s="6"/>
      <c r="F318" s="6"/>
      <c r="G318" s="6"/>
      <c r="H318" s="6"/>
      <c r="I318" s="6"/>
      <c r="J318" s="6"/>
      <c r="K318" s="6"/>
      <c r="L318" s="6"/>
      <c r="M318" s="18"/>
      <c r="N318" s="18"/>
      <c r="O318" s="20"/>
      <c r="P318" s="6"/>
      <c r="Q318" s="20"/>
      <c r="R318" s="6"/>
      <c r="S318" s="21"/>
    </row>
    <row r="319" spans="1:19" x14ac:dyDescent="0.2">
      <c r="A319" s="6"/>
      <c r="B319" s="6"/>
      <c r="C319" s="6"/>
      <c r="D319" s="6"/>
      <c r="E319" s="6"/>
      <c r="F319" s="6"/>
      <c r="G319" s="6"/>
      <c r="H319" s="6"/>
      <c r="I319" s="6"/>
      <c r="J319" s="6"/>
      <c r="K319" s="6"/>
      <c r="L319" s="6"/>
      <c r="M319" s="18"/>
      <c r="N319" s="18"/>
      <c r="O319" s="20"/>
      <c r="P319" s="6"/>
      <c r="Q319" s="20"/>
      <c r="R319" s="6"/>
      <c r="S319" s="21"/>
    </row>
    <row r="320" spans="1:19" x14ac:dyDescent="0.2">
      <c r="A320" s="6"/>
      <c r="B320" s="6"/>
      <c r="C320" s="6"/>
      <c r="D320" s="6"/>
      <c r="E320" s="6"/>
      <c r="F320" s="6"/>
      <c r="G320" s="6"/>
      <c r="H320" s="6"/>
      <c r="I320" s="6"/>
      <c r="J320" s="6"/>
      <c r="K320" s="6"/>
      <c r="L320" s="6"/>
      <c r="M320" s="18"/>
      <c r="N320" s="18"/>
      <c r="O320" s="20"/>
      <c r="P320" s="6"/>
      <c r="Q320" s="20"/>
      <c r="R320" s="6"/>
      <c r="S320" s="21"/>
    </row>
    <row r="321" spans="1:19" x14ac:dyDescent="0.2">
      <c r="A321" s="6"/>
      <c r="B321" s="6"/>
      <c r="C321" s="6"/>
      <c r="D321" s="6"/>
      <c r="E321" s="6"/>
      <c r="F321" s="6"/>
      <c r="G321" s="18"/>
      <c r="H321" s="18"/>
      <c r="I321" s="6"/>
      <c r="J321" s="6"/>
      <c r="K321" s="6"/>
      <c r="L321" s="6"/>
      <c r="M321" s="18"/>
      <c r="N321" s="18"/>
      <c r="O321" s="20"/>
      <c r="P321" s="6"/>
      <c r="Q321" s="20"/>
      <c r="R321" s="6"/>
      <c r="S321" s="21"/>
    </row>
    <row r="322" spans="1:19" x14ac:dyDescent="0.2">
      <c r="A322" s="6"/>
      <c r="B322" s="6"/>
      <c r="C322" s="6"/>
      <c r="D322" s="6"/>
      <c r="E322" s="6"/>
      <c r="F322" s="18"/>
      <c r="G322" s="6"/>
      <c r="H322" s="6"/>
      <c r="I322" s="6"/>
      <c r="J322" s="6"/>
      <c r="K322" s="6"/>
      <c r="L322" s="6"/>
      <c r="M322" s="18"/>
      <c r="N322" s="18"/>
      <c r="O322" s="20"/>
      <c r="P322" s="6"/>
      <c r="Q322" s="20"/>
      <c r="R322" s="6"/>
      <c r="S322" s="21"/>
    </row>
    <row r="323" spans="1:19" x14ac:dyDescent="0.2">
      <c r="A323" s="6"/>
      <c r="B323" s="6"/>
      <c r="C323" s="6"/>
      <c r="D323" s="6"/>
      <c r="E323" s="6"/>
      <c r="F323" s="6"/>
      <c r="G323" s="6"/>
      <c r="H323" s="6"/>
      <c r="I323" s="6"/>
      <c r="J323" s="6"/>
      <c r="K323" s="6"/>
      <c r="L323" s="6"/>
      <c r="M323" s="18"/>
      <c r="N323" s="18"/>
      <c r="O323" s="20"/>
      <c r="P323" s="6"/>
      <c r="Q323" s="20"/>
      <c r="R323" s="6"/>
      <c r="S323" s="21"/>
    </row>
    <row r="324" spans="1:19" x14ac:dyDescent="0.2">
      <c r="A324" s="6"/>
      <c r="B324" s="6"/>
      <c r="C324" s="6"/>
      <c r="D324" s="6"/>
      <c r="E324" s="6"/>
      <c r="F324" s="6"/>
      <c r="G324" s="6"/>
      <c r="H324" s="6"/>
      <c r="I324" s="6"/>
      <c r="J324" s="6"/>
      <c r="K324" s="6"/>
      <c r="L324" s="6"/>
      <c r="M324" s="18"/>
      <c r="N324" s="18"/>
      <c r="O324" s="20"/>
      <c r="P324" s="6"/>
      <c r="Q324" s="20"/>
      <c r="R324" s="6"/>
      <c r="S324" s="21"/>
    </row>
    <row r="325" spans="1:19" x14ac:dyDescent="0.2">
      <c r="A325" s="6"/>
      <c r="B325" s="6"/>
      <c r="C325" s="6"/>
      <c r="D325" s="18"/>
      <c r="E325" s="6"/>
      <c r="F325" s="6"/>
      <c r="G325" s="6"/>
      <c r="H325" s="6"/>
      <c r="I325" s="6"/>
      <c r="J325" s="6"/>
      <c r="K325" s="6"/>
      <c r="L325" s="6"/>
      <c r="M325" s="18"/>
      <c r="N325" s="18"/>
      <c r="O325" s="20"/>
      <c r="P325" s="6"/>
      <c r="Q325" s="20"/>
      <c r="R325" s="6"/>
      <c r="S325" s="21"/>
    </row>
    <row r="326" spans="1:19" x14ac:dyDescent="0.2">
      <c r="A326" s="6"/>
      <c r="B326" s="18"/>
      <c r="C326" s="6"/>
      <c r="D326" s="6"/>
      <c r="E326" s="6"/>
      <c r="F326" s="6"/>
      <c r="G326" s="6"/>
      <c r="H326" s="6"/>
      <c r="I326" s="6"/>
      <c r="J326" s="6"/>
      <c r="K326" s="6"/>
      <c r="L326" s="6"/>
      <c r="M326" s="18"/>
      <c r="N326" s="18"/>
      <c r="O326" s="20"/>
      <c r="P326" s="6"/>
      <c r="Q326" s="20"/>
      <c r="R326" s="6"/>
      <c r="S326" s="21"/>
    </row>
    <row r="327" spans="1:19" x14ac:dyDescent="0.2">
      <c r="A327" s="6"/>
      <c r="B327" s="6"/>
      <c r="C327" s="6"/>
      <c r="D327" s="6"/>
      <c r="E327" s="6"/>
      <c r="F327" s="6"/>
      <c r="G327" s="6"/>
      <c r="H327" s="6"/>
      <c r="I327" s="6"/>
      <c r="J327" s="6"/>
      <c r="K327" s="6"/>
      <c r="L327" s="6"/>
      <c r="M327" s="18"/>
      <c r="N327" s="18"/>
      <c r="O327" s="20"/>
      <c r="P327" s="6"/>
      <c r="Q327" s="20"/>
      <c r="R327" s="6"/>
      <c r="S327" s="21"/>
    </row>
    <row r="328" spans="1:19" x14ac:dyDescent="0.2">
      <c r="A328" s="6"/>
      <c r="B328" s="6"/>
      <c r="C328" s="6"/>
      <c r="D328" s="6"/>
      <c r="E328" s="6"/>
      <c r="F328" s="6"/>
      <c r="G328" s="6"/>
      <c r="H328" s="6"/>
      <c r="I328" s="6"/>
      <c r="J328" s="6"/>
      <c r="K328" s="6"/>
      <c r="L328" s="6"/>
      <c r="M328" s="18"/>
      <c r="N328" s="18"/>
      <c r="O328" s="20"/>
      <c r="P328" s="6"/>
      <c r="Q328" s="20"/>
      <c r="R328" s="6"/>
      <c r="S328" s="21"/>
    </row>
    <row r="329" spans="1:19" x14ac:dyDescent="0.2">
      <c r="A329" s="6"/>
      <c r="B329" s="6"/>
      <c r="C329" s="6"/>
      <c r="D329" s="6"/>
      <c r="E329" s="6"/>
      <c r="F329" s="6"/>
      <c r="G329" s="6"/>
      <c r="H329" s="6"/>
      <c r="I329" s="6"/>
      <c r="J329" s="6"/>
      <c r="K329" s="6"/>
      <c r="L329" s="6"/>
      <c r="M329" s="18"/>
      <c r="N329" s="18"/>
      <c r="O329" s="20"/>
      <c r="P329" s="6"/>
      <c r="Q329" s="20"/>
      <c r="R329" s="6"/>
      <c r="S329" s="21"/>
    </row>
    <row r="330" spans="1:19" x14ac:dyDescent="0.2">
      <c r="A330" s="6"/>
      <c r="B330" s="6"/>
      <c r="C330" s="6"/>
      <c r="D330" s="6"/>
      <c r="E330" s="6"/>
      <c r="F330" s="6"/>
      <c r="G330" s="6"/>
      <c r="H330" s="6"/>
      <c r="I330" s="6"/>
      <c r="J330" s="6"/>
      <c r="K330" s="6"/>
      <c r="L330" s="6"/>
      <c r="M330" s="18"/>
      <c r="N330" s="18"/>
      <c r="O330" s="20"/>
      <c r="P330" s="6"/>
      <c r="Q330" s="20"/>
      <c r="R330" s="6"/>
      <c r="S330" s="21"/>
    </row>
    <row r="331" spans="1:19" x14ac:dyDescent="0.2">
      <c r="A331" s="6"/>
      <c r="B331" s="6"/>
      <c r="C331" s="6"/>
      <c r="D331" s="6"/>
      <c r="E331" s="6"/>
      <c r="F331" s="6"/>
      <c r="G331" s="6"/>
      <c r="H331" s="6"/>
      <c r="I331" s="6"/>
      <c r="J331" s="6"/>
      <c r="K331" s="6"/>
      <c r="L331" s="6"/>
      <c r="M331" s="18"/>
      <c r="N331" s="18"/>
      <c r="O331" s="20"/>
      <c r="P331" s="6"/>
      <c r="Q331" s="20"/>
      <c r="R331" s="6"/>
      <c r="S331" s="21"/>
    </row>
    <row r="332" spans="1:19" x14ac:dyDescent="0.2">
      <c r="A332" s="6"/>
      <c r="B332" s="6"/>
      <c r="C332" s="6"/>
      <c r="D332" s="6"/>
      <c r="E332" s="6"/>
      <c r="F332" s="6"/>
      <c r="G332" s="6"/>
      <c r="H332" s="6"/>
      <c r="I332" s="6"/>
      <c r="J332" s="6"/>
      <c r="K332" s="6"/>
      <c r="L332" s="6"/>
      <c r="M332" s="18"/>
      <c r="N332" s="18"/>
      <c r="O332" s="20"/>
      <c r="P332" s="6"/>
      <c r="Q332" s="20"/>
      <c r="R332" s="6"/>
      <c r="S332" s="21"/>
    </row>
    <row r="333" spans="1:19" x14ac:dyDescent="0.2">
      <c r="A333" s="6"/>
      <c r="B333" s="6"/>
      <c r="C333" s="6"/>
      <c r="D333" s="6"/>
      <c r="E333" s="6"/>
      <c r="F333" s="6"/>
      <c r="G333" s="6"/>
      <c r="H333" s="6"/>
      <c r="I333" s="6"/>
      <c r="J333" s="6"/>
      <c r="K333" s="6"/>
      <c r="L333" s="6"/>
      <c r="M333" s="18"/>
      <c r="N333" s="18"/>
      <c r="O333" s="20"/>
      <c r="P333" s="6"/>
      <c r="Q333" s="20"/>
      <c r="R333" s="6"/>
      <c r="S333" s="21"/>
    </row>
    <row r="334" spans="1:19" x14ac:dyDescent="0.2">
      <c r="A334" s="6"/>
      <c r="B334" s="6"/>
      <c r="C334" s="6"/>
      <c r="D334" s="6"/>
      <c r="E334" s="6"/>
      <c r="F334" s="6"/>
      <c r="G334" s="6"/>
      <c r="H334" s="6"/>
      <c r="I334" s="6"/>
      <c r="J334" s="6"/>
      <c r="K334" s="6"/>
      <c r="L334" s="6"/>
      <c r="M334" s="18"/>
      <c r="N334" s="18"/>
      <c r="O334" s="20"/>
      <c r="P334" s="6"/>
      <c r="Q334" s="20"/>
      <c r="R334" s="6"/>
      <c r="S334" s="21"/>
    </row>
    <row r="335" spans="1:19" x14ac:dyDescent="0.2">
      <c r="A335" s="6"/>
      <c r="B335" s="6"/>
      <c r="C335" s="6"/>
      <c r="D335" s="6"/>
      <c r="E335" s="6"/>
      <c r="F335" s="6"/>
      <c r="G335" s="6"/>
      <c r="H335" s="6"/>
      <c r="I335" s="6"/>
      <c r="J335" s="6"/>
      <c r="K335" s="6"/>
      <c r="L335" s="6"/>
      <c r="M335" s="18"/>
      <c r="N335" s="18"/>
      <c r="O335" s="20"/>
      <c r="P335" s="6"/>
      <c r="Q335" s="20"/>
      <c r="R335" s="6"/>
      <c r="S335" s="21"/>
    </row>
    <row r="336" spans="1:19" x14ac:dyDescent="0.2">
      <c r="A336" s="6"/>
      <c r="B336" s="6"/>
      <c r="C336" s="6"/>
      <c r="D336" s="6"/>
      <c r="E336" s="6"/>
      <c r="F336" s="6"/>
      <c r="G336" s="6"/>
      <c r="H336" s="6"/>
      <c r="I336" s="6"/>
      <c r="J336" s="6"/>
      <c r="K336" s="6"/>
      <c r="L336" s="6"/>
      <c r="M336" s="18"/>
      <c r="N336" s="18"/>
      <c r="O336" s="20"/>
      <c r="P336" s="6"/>
      <c r="Q336" s="20"/>
      <c r="R336" s="6"/>
      <c r="S336" s="21"/>
    </row>
    <row r="337" spans="1:19" x14ac:dyDescent="0.2">
      <c r="A337" s="6"/>
      <c r="B337" s="6"/>
      <c r="C337" s="6"/>
      <c r="D337" s="6"/>
      <c r="E337" s="6"/>
      <c r="F337" s="6"/>
      <c r="G337" s="6"/>
      <c r="H337" s="6"/>
      <c r="I337" s="6"/>
      <c r="J337" s="6"/>
      <c r="K337" s="6"/>
      <c r="L337" s="6"/>
      <c r="M337" s="18"/>
      <c r="N337" s="18"/>
      <c r="O337" s="20"/>
      <c r="P337" s="6"/>
      <c r="Q337" s="20"/>
      <c r="R337" s="6"/>
      <c r="S337" s="21"/>
    </row>
    <row r="338" spans="1:19" x14ac:dyDescent="0.2">
      <c r="A338" s="6"/>
      <c r="B338" s="6"/>
      <c r="C338" s="6"/>
      <c r="D338" s="6"/>
      <c r="E338" s="6"/>
      <c r="F338" s="6"/>
      <c r="G338" s="6"/>
      <c r="H338" s="6"/>
      <c r="I338" s="6"/>
      <c r="J338" s="6"/>
      <c r="K338" s="6"/>
      <c r="L338" s="6"/>
      <c r="M338" s="18"/>
      <c r="N338" s="18"/>
      <c r="O338" s="20"/>
      <c r="P338" s="6"/>
      <c r="Q338" s="20"/>
      <c r="R338" s="6"/>
      <c r="S338" s="6"/>
    </row>
    <row r="339" spans="1:19" x14ac:dyDescent="0.2">
      <c r="A339" s="6"/>
      <c r="B339" s="6"/>
      <c r="C339" s="6"/>
      <c r="D339" s="6"/>
      <c r="E339" s="6"/>
      <c r="F339" s="6"/>
      <c r="G339" s="6"/>
      <c r="H339" s="6"/>
      <c r="I339" s="6"/>
      <c r="J339" s="6"/>
      <c r="K339" s="6"/>
      <c r="L339" s="6"/>
      <c r="M339" s="18"/>
      <c r="N339" s="18"/>
      <c r="O339" s="20"/>
      <c r="P339" s="6"/>
      <c r="Q339" s="20"/>
      <c r="R339" s="6"/>
      <c r="S339" s="6"/>
    </row>
    <row r="340" spans="1:19" x14ac:dyDescent="0.2">
      <c r="A340" s="6"/>
      <c r="B340" s="6"/>
      <c r="C340" s="6"/>
      <c r="D340" s="6"/>
      <c r="E340" s="6"/>
      <c r="F340" s="6"/>
      <c r="G340" s="6"/>
      <c r="H340" s="6"/>
      <c r="I340" s="6"/>
      <c r="J340" s="6"/>
      <c r="K340" s="6"/>
      <c r="L340" s="6"/>
      <c r="M340" s="18"/>
      <c r="N340" s="18"/>
      <c r="O340" s="20"/>
      <c r="P340" s="6"/>
      <c r="Q340" s="20"/>
      <c r="R340" s="6"/>
      <c r="S340" s="6"/>
    </row>
    <row r="341" spans="1:19" x14ac:dyDescent="0.2">
      <c r="A341" s="6"/>
      <c r="B341" s="6"/>
      <c r="C341" s="6"/>
      <c r="D341" s="6"/>
      <c r="E341" s="6"/>
      <c r="F341" s="6"/>
      <c r="G341" s="6"/>
      <c r="H341" s="6"/>
      <c r="I341" s="6"/>
      <c r="J341" s="6"/>
      <c r="K341" s="6"/>
      <c r="L341" s="6"/>
      <c r="M341" s="18"/>
      <c r="N341" s="18"/>
      <c r="O341" s="20"/>
      <c r="P341" s="6"/>
      <c r="Q341" s="20"/>
      <c r="R341" s="6"/>
      <c r="S341" s="6"/>
    </row>
    <row r="342" spans="1:19" x14ac:dyDescent="0.2">
      <c r="A342" s="6"/>
      <c r="B342" s="6"/>
      <c r="C342" s="6"/>
      <c r="D342" s="6"/>
      <c r="E342" s="6"/>
      <c r="F342" s="6"/>
      <c r="G342" s="6"/>
      <c r="H342" s="6"/>
      <c r="I342" s="6"/>
      <c r="J342" s="6"/>
      <c r="K342" s="6"/>
      <c r="L342" s="6"/>
      <c r="M342" s="18"/>
      <c r="N342" s="18"/>
      <c r="O342" s="20"/>
      <c r="P342" s="6"/>
      <c r="Q342" s="20"/>
      <c r="R342" s="6"/>
      <c r="S342" s="6"/>
    </row>
    <row r="343" spans="1:19" x14ac:dyDescent="0.2">
      <c r="A343" s="6"/>
      <c r="B343" s="6"/>
      <c r="C343" s="6"/>
      <c r="D343" s="6"/>
      <c r="E343" s="6"/>
      <c r="F343" s="6"/>
      <c r="G343" s="6"/>
      <c r="H343" s="6"/>
      <c r="I343" s="6"/>
      <c r="J343" s="6"/>
      <c r="K343" s="6"/>
      <c r="L343" s="6"/>
      <c r="M343" s="18"/>
      <c r="N343" s="18"/>
      <c r="O343" s="20"/>
      <c r="P343" s="6"/>
      <c r="Q343" s="20"/>
      <c r="R343" s="6"/>
      <c r="S343" s="6"/>
    </row>
    <row r="344" spans="1:19" x14ac:dyDescent="0.2">
      <c r="A344" s="6"/>
      <c r="B344" s="6"/>
      <c r="C344" s="6"/>
      <c r="D344" s="6"/>
      <c r="E344" s="6"/>
      <c r="F344" s="6"/>
      <c r="G344" s="6"/>
      <c r="H344" s="6"/>
      <c r="I344" s="6"/>
      <c r="J344" s="6"/>
      <c r="K344" s="6"/>
      <c r="L344" s="6"/>
      <c r="M344" s="18"/>
      <c r="N344" s="18"/>
      <c r="O344" s="20"/>
      <c r="P344" s="6"/>
      <c r="Q344" s="20"/>
      <c r="R344" s="6"/>
      <c r="S344" s="6"/>
    </row>
    <row r="345" spans="1:19" x14ac:dyDescent="0.2">
      <c r="A345" s="6"/>
      <c r="B345" s="6"/>
      <c r="C345" s="6"/>
      <c r="D345" s="6"/>
      <c r="E345" s="6"/>
      <c r="F345" s="6"/>
      <c r="G345" s="6"/>
      <c r="H345" s="6"/>
      <c r="I345" s="6"/>
      <c r="J345" s="6"/>
      <c r="K345" s="6"/>
      <c r="L345" s="6"/>
      <c r="M345" s="18"/>
      <c r="N345" s="18"/>
      <c r="O345" s="20"/>
      <c r="P345" s="6"/>
      <c r="Q345" s="20"/>
      <c r="R345" s="6"/>
      <c r="S345" s="6"/>
    </row>
    <row r="346" spans="1:19" x14ac:dyDescent="0.2">
      <c r="A346" s="6"/>
      <c r="B346" s="6"/>
      <c r="C346" s="6"/>
      <c r="D346" s="6"/>
      <c r="E346" s="6"/>
      <c r="F346" s="6"/>
      <c r="G346" s="6"/>
      <c r="H346" s="6"/>
      <c r="I346" s="6"/>
      <c r="J346" s="6"/>
      <c r="K346" s="6"/>
      <c r="L346" s="6"/>
      <c r="M346" s="18"/>
      <c r="N346" s="18"/>
      <c r="O346" s="20"/>
      <c r="P346" s="6"/>
      <c r="Q346" s="20"/>
      <c r="R346" s="6"/>
      <c r="S346" s="6"/>
    </row>
    <row r="347" spans="1:19" x14ac:dyDescent="0.2">
      <c r="A347" s="6"/>
      <c r="B347" s="6"/>
      <c r="C347" s="6"/>
      <c r="D347" s="6"/>
      <c r="E347" s="6"/>
      <c r="F347" s="6"/>
      <c r="G347" s="6"/>
      <c r="H347" s="6"/>
      <c r="I347" s="6"/>
      <c r="J347" s="6"/>
      <c r="K347" s="6"/>
      <c r="L347" s="6"/>
      <c r="M347" s="18"/>
      <c r="N347" s="18"/>
      <c r="O347" s="20"/>
      <c r="P347" s="6"/>
      <c r="Q347" s="20"/>
      <c r="R347" s="6"/>
      <c r="S347" s="6"/>
    </row>
    <row r="349" spans="1:19" x14ac:dyDescent="0.2">
      <c r="A349" s="6"/>
      <c r="B349" s="6"/>
      <c r="C349" s="6"/>
      <c r="D349" s="6"/>
      <c r="E349" s="6"/>
      <c r="F349" s="6"/>
      <c r="G349" s="6"/>
      <c r="H349" s="6"/>
      <c r="I349" s="6"/>
      <c r="J349" s="6"/>
      <c r="K349" s="6"/>
      <c r="L349" s="6"/>
      <c r="M349" s="18"/>
      <c r="N349" s="18"/>
      <c r="O349" s="20"/>
      <c r="P349" s="6"/>
      <c r="Q349" s="20"/>
      <c r="R349" s="6"/>
      <c r="S349" s="6"/>
    </row>
    <row r="350" spans="1:19" x14ac:dyDescent="0.2">
      <c r="A350" s="6"/>
      <c r="B350" s="6"/>
      <c r="C350" s="6"/>
      <c r="D350" s="6"/>
      <c r="E350" s="6"/>
      <c r="F350" s="6"/>
      <c r="G350" s="6"/>
      <c r="H350" s="6"/>
      <c r="I350" s="6"/>
      <c r="J350" s="6"/>
      <c r="K350" s="6"/>
      <c r="L350" s="6"/>
      <c r="M350" s="18"/>
      <c r="N350" s="18"/>
      <c r="O350" s="20"/>
      <c r="P350" s="6"/>
      <c r="Q350" s="20"/>
      <c r="R350" s="6"/>
      <c r="S350" s="6"/>
    </row>
    <row r="351" spans="1:19" x14ac:dyDescent="0.2">
      <c r="A351" s="6"/>
      <c r="B351" s="6"/>
      <c r="C351" s="6"/>
      <c r="D351" s="6"/>
      <c r="E351" s="6"/>
      <c r="F351" s="6"/>
      <c r="G351" s="6"/>
      <c r="H351" s="6"/>
      <c r="I351" s="6"/>
      <c r="J351" s="6"/>
      <c r="K351" s="6"/>
      <c r="L351" s="6"/>
      <c r="M351" s="18"/>
      <c r="N351" s="18"/>
      <c r="O351" s="20"/>
      <c r="P351" s="6"/>
      <c r="Q351" s="20"/>
      <c r="R351" s="6"/>
      <c r="S351" s="6"/>
    </row>
    <row r="352" spans="1:19" x14ac:dyDescent="0.2">
      <c r="A352" s="6"/>
      <c r="B352" s="6"/>
      <c r="C352" s="6"/>
      <c r="D352" s="6"/>
      <c r="E352" s="6"/>
      <c r="F352" s="6"/>
      <c r="G352" s="6"/>
      <c r="H352" s="6"/>
      <c r="I352" s="6"/>
      <c r="J352" s="6"/>
      <c r="K352" s="6"/>
      <c r="L352" s="6"/>
      <c r="M352" s="18"/>
      <c r="N352" s="18"/>
      <c r="O352" s="20"/>
      <c r="P352" s="6"/>
      <c r="Q352" s="20"/>
      <c r="R352" s="6"/>
      <c r="S352" s="6"/>
    </row>
    <row r="353" spans="1:19" x14ac:dyDescent="0.2">
      <c r="A353" s="6"/>
      <c r="B353" s="6"/>
      <c r="C353" s="6"/>
      <c r="D353" s="6"/>
      <c r="E353" s="6"/>
      <c r="F353" s="6"/>
      <c r="G353" s="6"/>
      <c r="H353" s="6"/>
      <c r="I353" s="6"/>
      <c r="J353" s="6"/>
      <c r="K353" s="6"/>
      <c r="L353" s="6"/>
      <c r="M353" s="18"/>
      <c r="N353" s="18"/>
      <c r="O353" s="20"/>
      <c r="P353" s="6"/>
      <c r="Q353" s="20"/>
      <c r="R353" s="6"/>
      <c r="S353" s="6"/>
    </row>
    <row r="354" spans="1:19" x14ac:dyDescent="0.2">
      <c r="A354" s="6"/>
      <c r="B354" s="6"/>
      <c r="C354" s="6"/>
      <c r="D354" s="6"/>
      <c r="E354" s="6"/>
      <c r="F354" s="6"/>
      <c r="G354" s="6"/>
      <c r="H354" s="6"/>
      <c r="I354" s="6"/>
      <c r="J354" s="6"/>
      <c r="K354" s="6"/>
      <c r="L354" s="6"/>
      <c r="M354" s="18"/>
      <c r="N354" s="18"/>
      <c r="O354" s="20"/>
      <c r="P354" s="6"/>
      <c r="Q354" s="20"/>
      <c r="R354" s="6"/>
      <c r="S354" s="6"/>
    </row>
    <row r="355" spans="1:19" x14ac:dyDescent="0.2">
      <c r="A355" s="6"/>
      <c r="B355" s="6"/>
      <c r="C355" s="6"/>
      <c r="D355" s="6"/>
      <c r="E355" s="6"/>
      <c r="F355" s="6"/>
      <c r="G355" s="6"/>
      <c r="H355" s="6"/>
      <c r="I355" s="6"/>
      <c r="J355" s="6"/>
      <c r="K355" s="6"/>
      <c r="L355" s="6"/>
      <c r="M355" s="18"/>
      <c r="N355" s="18"/>
      <c r="O355" s="20"/>
      <c r="P355" s="6"/>
      <c r="Q355" s="20"/>
      <c r="R355" s="6"/>
      <c r="S355" s="6"/>
    </row>
    <row r="356" spans="1:19" x14ac:dyDescent="0.2">
      <c r="A356" s="6"/>
      <c r="B356" s="6"/>
      <c r="C356" s="6"/>
      <c r="D356" s="6"/>
      <c r="E356" s="6"/>
      <c r="F356" s="6"/>
      <c r="G356" s="6"/>
      <c r="H356" s="6"/>
      <c r="I356" s="6"/>
      <c r="J356" s="6"/>
      <c r="K356" s="6"/>
      <c r="L356" s="6"/>
      <c r="M356" s="18"/>
      <c r="N356" s="18"/>
      <c r="O356" s="20"/>
      <c r="P356" s="6"/>
      <c r="Q356" s="20"/>
      <c r="R356" s="6"/>
      <c r="S356" s="6"/>
    </row>
    <row r="357" spans="1:19" x14ac:dyDescent="0.2">
      <c r="A357" s="6"/>
      <c r="B357" s="6"/>
      <c r="C357" s="6"/>
      <c r="D357" s="6"/>
      <c r="E357" s="6"/>
      <c r="F357" s="6"/>
      <c r="G357" s="6"/>
      <c r="H357" s="6"/>
      <c r="I357" s="6"/>
      <c r="J357" s="6"/>
      <c r="K357" s="6"/>
      <c r="L357" s="6"/>
      <c r="M357" s="18"/>
      <c r="N357" s="18"/>
      <c r="O357" s="20"/>
      <c r="P357" s="6"/>
      <c r="Q357" s="20"/>
      <c r="R357" s="6"/>
      <c r="S357" s="6"/>
    </row>
    <row r="358" spans="1:19" x14ac:dyDescent="0.2">
      <c r="A358" s="6"/>
      <c r="B358" s="6"/>
      <c r="C358" s="6"/>
      <c r="D358" s="6"/>
      <c r="E358" s="6"/>
      <c r="F358" s="6"/>
      <c r="G358" s="6"/>
      <c r="H358" s="6"/>
      <c r="I358" s="6"/>
      <c r="J358" s="6"/>
      <c r="K358" s="6"/>
      <c r="L358" s="6"/>
      <c r="M358" s="18"/>
      <c r="N358" s="18"/>
      <c r="O358" s="20"/>
      <c r="P358" s="6"/>
      <c r="Q358" s="20"/>
      <c r="R358" s="6"/>
      <c r="S358" s="6"/>
    </row>
    <row r="359" spans="1:19" x14ac:dyDescent="0.2">
      <c r="A359" s="6"/>
      <c r="B359" s="6"/>
      <c r="C359" s="6"/>
      <c r="D359" s="6"/>
      <c r="E359" s="6"/>
      <c r="F359" s="6"/>
      <c r="G359" s="6"/>
      <c r="H359" s="6"/>
      <c r="I359" s="6"/>
      <c r="J359" s="6"/>
      <c r="K359" s="6"/>
      <c r="L359" s="6"/>
      <c r="M359" s="18"/>
      <c r="N359" s="18"/>
      <c r="O359" s="20"/>
      <c r="P359" s="6"/>
      <c r="Q359" s="20"/>
      <c r="R359" s="6"/>
      <c r="S359" s="6"/>
    </row>
    <row r="360" spans="1:19" x14ac:dyDescent="0.2">
      <c r="A360" s="6"/>
      <c r="B360" s="6"/>
      <c r="C360" s="6"/>
      <c r="D360" s="6"/>
      <c r="E360" s="6"/>
      <c r="F360" s="6"/>
      <c r="G360" s="6"/>
      <c r="H360" s="6"/>
      <c r="I360" s="6"/>
      <c r="J360" s="6"/>
      <c r="K360" s="6"/>
      <c r="L360" s="6"/>
      <c r="M360" s="18"/>
      <c r="N360" s="18"/>
      <c r="O360" s="20"/>
      <c r="P360" s="6"/>
      <c r="Q360" s="20"/>
      <c r="R360" s="6"/>
      <c r="S360" s="6"/>
    </row>
    <row r="361" spans="1:19" x14ac:dyDescent="0.2">
      <c r="A361" s="6"/>
      <c r="B361" s="6"/>
      <c r="C361" s="6"/>
      <c r="D361" s="6"/>
      <c r="E361" s="6"/>
      <c r="F361" s="6"/>
      <c r="G361" s="6"/>
      <c r="H361" s="6"/>
      <c r="I361" s="6"/>
      <c r="J361" s="6"/>
      <c r="K361" s="6"/>
      <c r="L361" s="6"/>
      <c r="M361" s="18"/>
      <c r="N361" s="18"/>
      <c r="O361" s="20"/>
      <c r="P361" s="6"/>
      <c r="Q361" s="20"/>
      <c r="R361" s="6"/>
      <c r="S361" s="6"/>
    </row>
    <row r="362" spans="1:19" x14ac:dyDescent="0.2">
      <c r="A362" s="6"/>
      <c r="B362" s="6"/>
      <c r="C362" s="6"/>
      <c r="D362" s="6"/>
      <c r="E362" s="6"/>
      <c r="F362" s="6"/>
      <c r="G362" s="6"/>
      <c r="H362" s="6"/>
      <c r="I362" s="6"/>
      <c r="J362" s="6"/>
      <c r="K362" s="6"/>
      <c r="L362" s="6"/>
      <c r="M362" s="18"/>
      <c r="N362" s="18"/>
      <c r="O362" s="20"/>
      <c r="P362" s="6"/>
      <c r="Q362" s="20"/>
      <c r="R362" s="6"/>
      <c r="S362" s="6"/>
    </row>
    <row r="363" spans="1:19" x14ac:dyDescent="0.2">
      <c r="A363" s="6"/>
      <c r="B363" s="6"/>
      <c r="C363" s="6"/>
      <c r="D363" s="6"/>
      <c r="E363" s="6"/>
      <c r="F363" s="6"/>
      <c r="G363" s="6"/>
      <c r="H363" s="6"/>
      <c r="I363" s="6"/>
      <c r="J363" s="6"/>
      <c r="K363" s="6"/>
      <c r="L363" s="6"/>
      <c r="M363" s="18"/>
      <c r="N363" s="18"/>
      <c r="O363" s="20"/>
      <c r="P363" s="6"/>
      <c r="Q363" s="20"/>
      <c r="R363" s="6"/>
      <c r="S363" s="6"/>
    </row>
    <row r="364" spans="1:19" x14ac:dyDescent="0.2">
      <c r="A364" s="6"/>
      <c r="B364" s="6"/>
      <c r="C364" s="6"/>
      <c r="D364" s="6"/>
      <c r="E364" s="6"/>
      <c r="F364" s="6"/>
      <c r="G364" s="6"/>
      <c r="H364" s="6"/>
      <c r="I364" s="6"/>
      <c r="J364" s="6"/>
      <c r="K364" s="6"/>
      <c r="L364" s="6"/>
      <c r="M364" s="18"/>
      <c r="N364" s="18"/>
      <c r="O364" s="20"/>
      <c r="P364" s="6"/>
      <c r="Q364" s="20"/>
      <c r="R364" s="6"/>
      <c r="S364" s="6"/>
    </row>
    <row r="365" spans="1:19" x14ac:dyDescent="0.2">
      <c r="A365" s="6"/>
      <c r="B365" s="6"/>
      <c r="C365" s="6"/>
      <c r="D365" s="6"/>
      <c r="E365" s="6"/>
      <c r="F365" s="6"/>
      <c r="G365" s="6"/>
      <c r="H365" s="6"/>
      <c r="I365" s="6"/>
      <c r="J365" s="6"/>
      <c r="K365" s="6"/>
      <c r="L365" s="6"/>
      <c r="M365" s="18"/>
      <c r="N365" s="18"/>
      <c r="O365" s="20"/>
      <c r="P365" s="6"/>
      <c r="Q365" s="20"/>
      <c r="R365" s="6"/>
    </row>
    <row r="367" spans="1:19" x14ac:dyDescent="0.2">
      <c r="A367" s="6"/>
      <c r="B367" s="6"/>
      <c r="C367" s="6"/>
      <c r="D367" s="6"/>
      <c r="E367" s="6"/>
      <c r="F367" s="6"/>
      <c r="G367" s="6"/>
      <c r="H367" s="6"/>
      <c r="I367" s="6"/>
      <c r="J367" s="6"/>
      <c r="K367" s="6"/>
      <c r="L367" s="6"/>
      <c r="M367" s="18"/>
      <c r="N367" s="18"/>
      <c r="O367" s="20"/>
      <c r="P367" s="6"/>
      <c r="Q367" s="20"/>
      <c r="R367" s="6"/>
    </row>
    <row r="368" spans="1:19" x14ac:dyDescent="0.2">
      <c r="A368" s="6"/>
      <c r="B368" s="6"/>
      <c r="C368" s="6"/>
      <c r="D368" s="6"/>
      <c r="E368" s="6"/>
      <c r="F368" s="6"/>
      <c r="G368" s="6"/>
      <c r="H368" s="6"/>
      <c r="I368" s="6"/>
      <c r="J368" s="6"/>
      <c r="K368" s="6"/>
      <c r="L368" s="6"/>
      <c r="M368" s="18"/>
      <c r="N368" s="18"/>
      <c r="O368" s="20"/>
      <c r="P368" s="6"/>
      <c r="Q368" s="20"/>
      <c r="R368" s="6"/>
    </row>
    <row r="369" spans="1:18" x14ac:dyDescent="0.2">
      <c r="A369" s="6"/>
      <c r="B369" s="6"/>
      <c r="C369" s="6"/>
      <c r="D369" s="6"/>
      <c r="E369" s="6"/>
      <c r="F369" s="6"/>
      <c r="G369" s="6"/>
      <c r="H369" s="6"/>
      <c r="I369" s="6"/>
      <c r="J369" s="6"/>
      <c r="K369" s="6"/>
      <c r="L369" s="6"/>
      <c r="M369" s="18"/>
      <c r="N369" s="18"/>
      <c r="O369" s="20"/>
      <c r="P369" s="6"/>
      <c r="Q369" s="20"/>
      <c r="R369" s="6"/>
    </row>
    <row r="370" spans="1:18" x14ac:dyDescent="0.2">
      <c r="A370" s="6"/>
      <c r="B370" s="6"/>
      <c r="C370" s="6"/>
      <c r="D370" s="6"/>
      <c r="E370" s="6"/>
      <c r="F370" s="6"/>
      <c r="G370" s="6"/>
      <c r="H370" s="6"/>
      <c r="I370" s="6"/>
      <c r="J370" s="6"/>
      <c r="K370" s="6"/>
      <c r="L370" s="6"/>
      <c r="M370" s="18"/>
      <c r="N370" s="18"/>
      <c r="O370" s="20"/>
      <c r="P370" s="6"/>
      <c r="Q370" s="20"/>
      <c r="R370" s="6"/>
    </row>
    <row r="371" spans="1:18" x14ac:dyDescent="0.2">
      <c r="A371" s="6"/>
      <c r="B371" s="6"/>
      <c r="C371" s="6"/>
      <c r="D371" s="6"/>
      <c r="E371" s="6"/>
      <c r="F371" s="6"/>
      <c r="G371" s="6"/>
      <c r="H371" s="6"/>
      <c r="I371" s="6"/>
      <c r="J371" s="6"/>
      <c r="K371" s="6"/>
      <c r="L371" s="6"/>
      <c r="M371" s="18"/>
      <c r="N371" s="18"/>
      <c r="O371" s="20"/>
      <c r="P371" s="6"/>
      <c r="Q371" s="20"/>
      <c r="R371" s="6"/>
    </row>
    <row r="372" spans="1:18" x14ac:dyDescent="0.2">
      <c r="A372" s="6"/>
      <c r="B372" s="6"/>
      <c r="C372" s="6"/>
      <c r="D372" s="6"/>
      <c r="E372" s="6"/>
      <c r="F372" s="6"/>
      <c r="G372" s="6"/>
      <c r="H372" s="6"/>
      <c r="I372" s="6"/>
      <c r="J372" s="6"/>
      <c r="K372" s="6"/>
      <c r="L372" s="6"/>
      <c r="M372" s="18"/>
      <c r="N372" s="18"/>
      <c r="O372" s="20"/>
      <c r="P372" s="6"/>
      <c r="Q372" s="20"/>
      <c r="R372" s="6"/>
    </row>
    <row r="373" spans="1:18" x14ac:dyDescent="0.2">
      <c r="A373" s="6"/>
      <c r="B373" s="6"/>
      <c r="C373" s="6"/>
      <c r="D373" s="6"/>
      <c r="E373" s="6"/>
      <c r="F373" s="6"/>
      <c r="G373" s="6"/>
      <c r="H373" s="6"/>
      <c r="I373" s="6"/>
      <c r="J373" s="6"/>
      <c r="K373" s="6"/>
      <c r="L373" s="6"/>
      <c r="M373" s="18"/>
      <c r="N373" s="18"/>
      <c r="O373" s="20"/>
      <c r="P373" s="6"/>
      <c r="Q373" s="20"/>
      <c r="R373" s="6"/>
    </row>
    <row r="374" spans="1:18" x14ac:dyDescent="0.2">
      <c r="A374" s="6"/>
      <c r="B374" s="6"/>
      <c r="C374" s="6"/>
      <c r="D374" s="6"/>
      <c r="E374" s="6"/>
      <c r="F374" s="6"/>
      <c r="G374" s="6"/>
      <c r="H374" s="6"/>
      <c r="I374" s="6"/>
      <c r="J374" s="6"/>
      <c r="K374" s="6"/>
      <c r="L374" s="6"/>
      <c r="M374" s="18"/>
      <c r="N374" s="18"/>
      <c r="O374" s="20"/>
      <c r="P374" s="6"/>
      <c r="Q374" s="20"/>
      <c r="R374" s="6"/>
    </row>
    <row r="375" spans="1:18" x14ac:dyDescent="0.2">
      <c r="A375" s="6"/>
      <c r="B375" s="6"/>
      <c r="C375" s="6"/>
      <c r="D375" s="6"/>
      <c r="E375" s="6"/>
      <c r="F375" s="6"/>
      <c r="G375" s="6"/>
      <c r="H375" s="6"/>
      <c r="I375" s="6"/>
      <c r="J375" s="6"/>
      <c r="K375" s="6"/>
      <c r="L375" s="6"/>
      <c r="M375" s="18"/>
      <c r="N375" s="18"/>
      <c r="O375" s="20"/>
      <c r="P375" s="6"/>
      <c r="Q375" s="20"/>
      <c r="R375" s="6"/>
    </row>
    <row r="376" spans="1:18" x14ac:dyDescent="0.2">
      <c r="A376" s="6"/>
      <c r="B376" s="6"/>
      <c r="C376" s="6"/>
      <c r="D376" s="6"/>
      <c r="E376" s="6"/>
      <c r="F376" s="6"/>
      <c r="G376" s="6"/>
      <c r="H376" s="6"/>
      <c r="I376" s="6"/>
      <c r="J376" s="6"/>
      <c r="K376" s="6"/>
      <c r="L376" s="6"/>
      <c r="M376" s="18"/>
      <c r="N376" s="18"/>
      <c r="O376" s="20"/>
      <c r="P376" s="6"/>
      <c r="Q376" s="20"/>
      <c r="R376" s="6"/>
    </row>
    <row r="377" spans="1:18" x14ac:dyDescent="0.2">
      <c r="A377" s="6"/>
      <c r="B377" s="6"/>
      <c r="C377" s="6"/>
      <c r="D377" s="6"/>
      <c r="E377" s="6"/>
      <c r="F377" s="6"/>
      <c r="G377" s="6"/>
      <c r="H377" s="6"/>
      <c r="I377" s="6"/>
      <c r="J377" s="6"/>
      <c r="K377" s="6"/>
      <c r="L377" s="6"/>
      <c r="M377" s="18"/>
      <c r="N377" s="18"/>
      <c r="O377" s="20"/>
      <c r="P377" s="6"/>
      <c r="Q377" s="20"/>
      <c r="R377" s="6"/>
    </row>
    <row r="378" spans="1:18" x14ac:dyDescent="0.2">
      <c r="A378" s="6"/>
      <c r="B378" s="6"/>
      <c r="C378" s="6"/>
      <c r="D378" s="6"/>
      <c r="E378" s="6"/>
      <c r="F378" s="6"/>
      <c r="G378" s="6"/>
      <c r="H378" s="6"/>
      <c r="I378" s="6"/>
      <c r="J378" s="6"/>
      <c r="K378" s="6"/>
      <c r="L378" s="6"/>
      <c r="M378" s="18"/>
      <c r="N378" s="18"/>
      <c r="O378" s="20"/>
      <c r="P378" s="6"/>
      <c r="Q378" s="20"/>
      <c r="R378" s="6"/>
    </row>
    <row r="379" spans="1:18" ht="36.75" customHeight="1" x14ac:dyDescent="0.2">
      <c r="A379" s="6"/>
      <c r="B379" s="6"/>
      <c r="C379" s="6"/>
      <c r="D379" s="6"/>
      <c r="E379" s="6"/>
      <c r="F379" s="6"/>
      <c r="G379" s="6"/>
      <c r="H379" s="6"/>
      <c r="I379" s="6"/>
      <c r="J379" s="6"/>
      <c r="K379" s="6"/>
      <c r="L379" s="6"/>
      <c r="M379" s="18"/>
      <c r="N379" s="18"/>
      <c r="O379" s="20"/>
      <c r="P379" s="6"/>
      <c r="Q379" s="20"/>
      <c r="R379" s="6"/>
    </row>
    <row r="380" spans="1:18" x14ac:dyDescent="0.2">
      <c r="A380" s="6"/>
      <c r="B380" s="6"/>
      <c r="C380" s="6"/>
      <c r="D380" s="6"/>
      <c r="E380" s="6"/>
      <c r="F380" s="6"/>
      <c r="G380" s="6"/>
      <c r="H380" s="6"/>
      <c r="I380" s="6"/>
      <c r="J380" s="6"/>
      <c r="K380" s="6"/>
      <c r="L380" s="6"/>
      <c r="M380" s="18"/>
      <c r="N380" s="18"/>
      <c r="O380" s="20"/>
      <c r="P380" s="6"/>
      <c r="Q380" s="20"/>
      <c r="R380" s="6"/>
    </row>
    <row r="381" spans="1:18" x14ac:dyDescent="0.2">
      <c r="A381" s="6"/>
      <c r="B381" s="6"/>
      <c r="C381" s="6"/>
      <c r="D381" s="6"/>
      <c r="E381" s="6"/>
      <c r="F381" s="6"/>
      <c r="G381" s="6"/>
      <c r="H381" s="6"/>
      <c r="I381" s="6"/>
      <c r="J381" s="6"/>
      <c r="K381" s="6"/>
      <c r="L381" s="6"/>
      <c r="M381" s="18"/>
      <c r="N381" s="18"/>
      <c r="O381" s="20"/>
      <c r="P381" s="6"/>
      <c r="Q381" s="20"/>
      <c r="R381" s="6"/>
    </row>
    <row r="382" spans="1:18" x14ac:dyDescent="0.2">
      <c r="A382" s="6"/>
      <c r="B382" s="6"/>
      <c r="C382" s="6"/>
      <c r="D382" s="6"/>
      <c r="E382" s="6"/>
      <c r="F382" s="6"/>
      <c r="G382" s="6"/>
      <c r="H382" s="6"/>
      <c r="I382" s="6"/>
      <c r="J382" s="6"/>
      <c r="K382" s="6"/>
      <c r="L382" s="6"/>
      <c r="M382" s="18"/>
      <c r="N382" s="18"/>
      <c r="O382" s="20"/>
      <c r="P382" s="6"/>
      <c r="Q382" s="20"/>
      <c r="R382" s="6"/>
    </row>
    <row r="383" spans="1:18" x14ac:dyDescent="0.2">
      <c r="A383" s="6"/>
      <c r="B383" s="6"/>
      <c r="C383" s="6"/>
      <c r="D383" s="6"/>
      <c r="E383" s="6"/>
      <c r="F383" s="6"/>
      <c r="G383" s="6"/>
      <c r="H383" s="6"/>
      <c r="I383" s="6"/>
      <c r="J383" s="6"/>
      <c r="K383" s="6"/>
      <c r="L383" s="6"/>
      <c r="M383" s="18"/>
      <c r="N383" s="18"/>
      <c r="O383" s="20"/>
      <c r="P383" s="6"/>
      <c r="Q383" s="20"/>
      <c r="R383" s="6"/>
    </row>
    <row r="384" spans="1:18" x14ac:dyDescent="0.2">
      <c r="A384" s="6"/>
      <c r="B384" s="6"/>
      <c r="C384" s="6"/>
      <c r="D384" s="6"/>
      <c r="E384" s="6"/>
      <c r="F384" s="6"/>
      <c r="G384" s="6"/>
      <c r="H384" s="6"/>
      <c r="I384" s="6"/>
      <c r="J384" s="6"/>
      <c r="K384" s="6"/>
      <c r="L384" s="6"/>
      <c r="M384" s="18"/>
      <c r="N384" s="18"/>
      <c r="O384" s="20"/>
      <c r="P384" s="6"/>
      <c r="Q384" s="20"/>
      <c r="R384" s="6"/>
    </row>
    <row r="385" spans="1:18" x14ac:dyDescent="0.2">
      <c r="A385" s="6"/>
      <c r="B385" s="6"/>
      <c r="C385" s="6"/>
      <c r="D385" s="6"/>
      <c r="E385" s="6"/>
      <c r="F385" s="6"/>
      <c r="G385" s="6"/>
      <c r="H385" s="6"/>
      <c r="I385" s="6"/>
      <c r="J385" s="6"/>
      <c r="K385" s="6"/>
      <c r="L385" s="6"/>
      <c r="M385" s="18"/>
      <c r="N385" s="18"/>
      <c r="O385" s="20"/>
      <c r="P385" s="6"/>
      <c r="Q385" s="20"/>
      <c r="R385" s="6"/>
    </row>
    <row r="386" spans="1:18" x14ac:dyDescent="0.2">
      <c r="A386" s="6"/>
      <c r="B386" s="6"/>
      <c r="C386" s="6"/>
      <c r="D386" s="6"/>
      <c r="E386" s="6"/>
      <c r="F386" s="6"/>
      <c r="G386" s="6"/>
      <c r="H386" s="6"/>
      <c r="I386" s="6"/>
      <c r="J386" s="6"/>
      <c r="K386" s="6"/>
      <c r="L386" s="6"/>
      <c r="M386" s="18"/>
      <c r="N386" s="18"/>
      <c r="O386" s="20"/>
      <c r="P386" s="6"/>
      <c r="Q386" s="20"/>
      <c r="R386" s="6"/>
    </row>
    <row r="387" spans="1:18" x14ac:dyDescent="0.2">
      <c r="A387" s="6"/>
      <c r="B387" s="6"/>
      <c r="C387" s="6"/>
      <c r="D387" s="6"/>
      <c r="E387" s="6"/>
      <c r="F387" s="6"/>
      <c r="G387" s="6"/>
      <c r="H387" s="6"/>
      <c r="I387" s="6"/>
      <c r="J387" s="6"/>
      <c r="K387" s="6"/>
      <c r="L387" s="6"/>
      <c r="M387" s="18"/>
      <c r="N387" s="18"/>
      <c r="O387" s="20"/>
      <c r="P387" s="6"/>
      <c r="Q387" s="20"/>
      <c r="R387" s="6"/>
    </row>
    <row r="388" spans="1:18" x14ac:dyDescent="0.2">
      <c r="A388" s="6"/>
      <c r="B388" s="6"/>
      <c r="C388" s="6"/>
      <c r="D388" s="6"/>
      <c r="E388" s="6"/>
      <c r="F388" s="6"/>
      <c r="G388" s="6"/>
      <c r="H388" s="6"/>
      <c r="I388" s="6"/>
      <c r="J388" s="6"/>
      <c r="K388" s="6"/>
      <c r="L388" s="6"/>
      <c r="M388" s="18"/>
      <c r="N388" s="18"/>
      <c r="O388" s="20"/>
      <c r="P388" s="6"/>
      <c r="Q388" s="20"/>
      <c r="R388" s="6"/>
    </row>
    <row r="389" spans="1:18" x14ac:dyDescent="0.2">
      <c r="A389" s="6"/>
      <c r="B389" s="6"/>
      <c r="C389" s="6"/>
      <c r="D389" s="6"/>
      <c r="E389" s="6"/>
      <c r="F389" s="6"/>
      <c r="G389" s="6"/>
      <c r="H389" s="6"/>
      <c r="I389" s="6"/>
      <c r="J389" s="6"/>
      <c r="K389" s="6"/>
      <c r="L389" s="6"/>
      <c r="M389" s="18"/>
      <c r="N389" s="18"/>
      <c r="O389" s="20"/>
      <c r="P389" s="6"/>
      <c r="Q389" s="20"/>
      <c r="R389" s="6"/>
    </row>
    <row r="390" spans="1:18" x14ac:dyDescent="0.2">
      <c r="A390" s="6"/>
      <c r="B390" s="6"/>
      <c r="C390" s="6"/>
      <c r="D390" s="6"/>
      <c r="E390" s="6"/>
      <c r="F390" s="6"/>
      <c r="G390" s="6"/>
      <c r="H390" s="6"/>
      <c r="I390" s="6"/>
      <c r="J390" s="6"/>
      <c r="K390" s="6"/>
      <c r="L390" s="6"/>
      <c r="M390" s="18"/>
      <c r="N390" s="18"/>
      <c r="O390" s="20"/>
      <c r="P390" s="6"/>
      <c r="Q390" s="20"/>
      <c r="R390" s="6"/>
    </row>
    <row r="391" spans="1:18" x14ac:dyDescent="0.2">
      <c r="A391" s="6"/>
      <c r="B391" s="6"/>
      <c r="C391" s="6"/>
      <c r="D391" s="6"/>
      <c r="E391" s="6"/>
      <c r="F391" s="6"/>
      <c r="G391" s="6"/>
      <c r="H391" s="6"/>
      <c r="I391" s="6"/>
      <c r="J391" s="6"/>
      <c r="K391" s="6"/>
      <c r="L391" s="6"/>
      <c r="M391" s="18"/>
      <c r="N391" s="18"/>
      <c r="O391" s="20"/>
      <c r="P391" s="6"/>
      <c r="Q391" s="20"/>
      <c r="R391" s="6"/>
    </row>
    <row r="392" spans="1:18" x14ac:dyDescent="0.2">
      <c r="A392" s="6"/>
      <c r="B392" s="6"/>
      <c r="C392" s="6"/>
      <c r="D392" s="6"/>
      <c r="E392" s="6"/>
      <c r="F392" s="6"/>
      <c r="G392" s="6"/>
      <c r="H392" s="6"/>
      <c r="I392" s="6"/>
      <c r="J392" s="6"/>
      <c r="K392" s="6"/>
      <c r="L392" s="6"/>
      <c r="M392" s="18"/>
      <c r="N392" s="18"/>
      <c r="O392" s="20"/>
      <c r="P392" s="6"/>
      <c r="Q392" s="20"/>
      <c r="R392" s="6"/>
    </row>
    <row r="393" spans="1:18" x14ac:dyDescent="0.2">
      <c r="A393" s="6"/>
      <c r="B393" s="6"/>
      <c r="C393" s="6"/>
      <c r="D393" s="6"/>
      <c r="E393" s="6"/>
      <c r="F393" s="6"/>
      <c r="G393" s="6"/>
      <c r="H393" s="6"/>
      <c r="I393" s="6"/>
      <c r="J393" s="6"/>
      <c r="K393" s="6"/>
      <c r="L393" s="6"/>
      <c r="M393" s="18"/>
      <c r="N393" s="18"/>
      <c r="O393" s="20"/>
      <c r="P393" s="6"/>
      <c r="Q393" s="20"/>
      <c r="R393" s="6"/>
    </row>
  </sheetData>
  <sheetProtection password="917C" sheet="1" objects="1" scenarios="1" sort="0" autoFilter="0"/>
  <sortState ref="T3:T393">
    <sortCondition ref="T3"/>
  </sortState>
  <mergeCells count="12">
    <mergeCell ref="R2:R3"/>
    <mergeCell ref="S2:S3"/>
    <mergeCell ref="A1:S1"/>
    <mergeCell ref="B2:B3"/>
    <mergeCell ref="C2:C3"/>
    <mergeCell ref="D2:G2"/>
    <mergeCell ref="H2:L2"/>
    <mergeCell ref="M2:M3"/>
    <mergeCell ref="N2:N3"/>
    <mergeCell ref="O2:O3"/>
    <mergeCell ref="P2:P3"/>
    <mergeCell ref="Q2:Q3"/>
  </mergeCells>
  <phoneticPr fontId="5" type="noConversion"/>
  <pageMargins left="0.75" right="0.75" top="1" bottom="1" header="0.5" footer="0.5"/>
  <pageSetup orientation="portrait" r:id="rId1"/>
  <headerFooter alignWithMargins="0"/>
  <customProperties>
    <customPr name="DVSECTION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2050" r:id="rId5" name="Button 2">
              <controlPr defaultSize="0" print="0" autoFill="0" autoPict="0" macro="[0]!test2">
                <anchor moveWithCells="1" sizeWithCells="1">
                  <from>
                    <xdr:col>15</xdr:col>
                    <xdr:colOff>809625</xdr:colOff>
                    <xdr:row>345</xdr:row>
                    <xdr:rowOff>114300</xdr:rowOff>
                  </from>
                  <to>
                    <xdr:col>16</xdr:col>
                    <xdr:colOff>914400</xdr:colOff>
                    <xdr:row>348</xdr:row>
                    <xdr:rowOff>133350</xdr:rowOff>
                  </to>
                </anchor>
              </controlPr>
            </control>
          </mc:Choice>
        </mc:AlternateContent>
        <mc:AlternateContent xmlns:mc="http://schemas.openxmlformats.org/markup-compatibility/2006">
          <mc:Choice Requires="x14">
            <control shapeId="2051" r:id="rId6" name="Button 3">
              <controlPr defaultSize="0" print="0" autoFill="0" autoPict="0" macro="[0]!test">
                <anchor moveWithCells="1" sizeWithCells="1">
                  <from>
                    <xdr:col>6</xdr:col>
                    <xdr:colOff>485775</xdr:colOff>
                    <xdr:row>232</xdr:row>
                    <xdr:rowOff>38100</xdr:rowOff>
                  </from>
                  <to>
                    <xdr:col>8</xdr:col>
                    <xdr:colOff>581025</xdr:colOff>
                    <xdr:row>233</xdr:row>
                    <xdr:rowOff>38100</xdr:rowOff>
                  </to>
                </anchor>
              </controlPr>
            </control>
          </mc:Choice>
        </mc:AlternateContent>
        <mc:AlternateContent xmlns:mc="http://schemas.openxmlformats.org/markup-compatibility/2006">
          <mc:Choice Requires="x14">
            <control shapeId="2052" r:id="rId7" name="Button 4">
              <controlPr defaultSize="0" print="0" autoFill="0" autoPict="0" macro="[0]!Sheet4.ClearData">
                <anchor moveWithCells="1" sizeWithCells="1">
                  <from>
                    <xdr:col>24</xdr:col>
                    <xdr:colOff>209550</xdr:colOff>
                    <xdr:row>0</xdr:row>
                    <xdr:rowOff>66675</xdr:rowOff>
                  </from>
                  <to>
                    <xdr:col>26</xdr:col>
                    <xdr:colOff>228600</xdr:colOff>
                    <xdr:row>2</xdr:row>
                    <xdr:rowOff>133350</xdr:rowOff>
                  </to>
                </anchor>
              </controlPr>
            </control>
          </mc:Choice>
        </mc:AlternateContent>
        <mc:AlternateContent xmlns:mc="http://schemas.openxmlformats.org/markup-compatibility/2006">
          <mc:Choice Requires="x14">
            <control shapeId="2053" r:id="rId8" name="Button 5">
              <controlPr defaultSize="0" print="0" autoFill="0" autoPict="0" macro="[0]!Sheet4.ClearDataEntry">
                <anchor moveWithCells="1" sizeWithCells="1">
                  <from>
                    <xdr:col>26</xdr:col>
                    <xdr:colOff>323850</xdr:colOff>
                    <xdr:row>0</xdr:row>
                    <xdr:rowOff>76200</xdr:rowOff>
                  </from>
                  <to>
                    <xdr:col>28</xdr:col>
                    <xdr:colOff>257175</xdr:colOff>
                    <xdr:row>2</xdr:row>
                    <xdr:rowOff>133350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IV96"/>
  <sheetViews>
    <sheetView workbookViewId="0">
      <selection activeCell="IA96" sqref="IA96"/>
    </sheetView>
  </sheetViews>
  <sheetFormatPr defaultRowHeight="12.75" x14ac:dyDescent="0.2"/>
  <sheetData>
    <row r="2" spans="1:256" x14ac:dyDescent="0.2">
      <c r="A2">
        <f>IF(Instructions!1:1,"AAAAAA/1/wA=",0)</f>
        <v>0</v>
      </c>
      <c r="B2" t="e">
        <f>AND(Instructions!A1,"AAAAAA/1/wE=")</f>
        <v>#VALUE!</v>
      </c>
      <c r="C2" t="e">
        <f>AND(Instructions!B1,"AAAAAA/1/wI=")</f>
        <v>#VALUE!</v>
      </c>
      <c r="D2" t="e">
        <f>AND(Instructions!C1,"AAAAAA/1/wM=")</f>
        <v>#VALUE!</v>
      </c>
      <c r="E2" t="e">
        <f>AND(Instructions!D1,"AAAAAA/1/wQ=")</f>
        <v>#VALUE!</v>
      </c>
      <c r="F2" t="e">
        <f>AND(Instructions!E1,"AAAAAA/1/wU=")</f>
        <v>#VALUE!</v>
      </c>
      <c r="G2" t="e">
        <f>AND(Instructions!F1,"AAAAAA/1/wY=")</f>
        <v>#VALUE!</v>
      </c>
      <c r="H2" t="e">
        <f>AND(Instructions!G1,"AAAAAA/1/wc=")</f>
        <v>#VALUE!</v>
      </c>
      <c r="I2" t="e">
        <f>AND(Instructions!H1,"AAAAAA/1/wg=")</f>
        <v>#VALUE!</v>
      </c>
      <c r="J2" t="e">
        <f>AND(Instructions!I1,"AAAAAA/1/wk=")</f>
        <v>#VALUE!</v>
      </c>
      <c r="K2" t="e">
        <f>AND(Instructions!J1,"AAAAAA/1/wo=")</f>
        <v>#VALUE!</v>
      </c>
      <c r="L2" t="e">
        <f>AND(Instructions!K1,"AAAAAA/1/ws=")</f>
        <v>#VALUE!</v>
      </c>
      <c r="M2" t="e">
        <f>AND(Instructions!L1,"AAAAAA/1/ww=")</f>
        <v>#VALUE!</v>
      </c>
      <c r="N2" t="e">
        <f>AND(Instructions!M1,"AAAAAA/1/w0=")</f>
        <v>#VALUE!</v>
      </c>
      <c r="O2" t="e">
        <f>AND(Instructions!N1,"AAAAAA/1/w4=")</f>
        <v>#VALUE!</v>
      </c>
      <c r="P2">
        <f>IF(Instructions!2:2,"AAAAAA/1/w8=",0)</f>
        <v>0</v>
      </c>
      <c r="Q2" t="e">
        <f>AND(Instructions!A2,"AAAAAA/1/xA=")</f>
        <v>#VALUE!</v>
      </c>
      <c r="R2" t="e">
        <f>AND(Instructions!B2,"AAAAAA/1/xE=")</f>
        <v>#VALUE!</v>
      </c>
      <c r="S2" t="e">
        <f>AND(Instructions!C2,"AAAAAA/1/xI=")</f>
        <v>#VALUE!</v>
      </c>
      <c r="T2" t="e">
        <f>AND(Instructions!D2,"AAAAAA/1/xM=")</f>
        <v>#VALUE!</v>
      </c>
      <c r="U2" t="e">
        <f>AND(Instructions!E2,"AAAAAA/1/xQ=")</f>
        <v>#VALUE!</v>
      </c>
      <c r="V2" t="e">
        <f>AND(Instructions!F2,"AAAAAA/1/xU=")</f>
        <v>#VALUE!</v>
      </c>
      <c r="W2" t="e">
        <f>AND(Instructions!G2,"AAAAAA/1/xY=")</f>
        <v>#VALUE!</v>
      </c>
      <c r="X2" t="e">
        <f>AND(Instructions!H2,"AAAAAA/1/xc=")</f>
        <v>#VALUE!</v>
      </c>
      <c r="Y2" t="e">
        <f>AND(Instructions!I2,"AAAAAA/1/xg=")</f>
        <v>#VALUE!</v>
      </c>
      <c r="Z2" t="e">
        <f>AND(Instructions!J2,"AAAAAA/1/xk=")</f>
        <v>#VALUE!</v>
      </c>
      <c r="AA2" t="e">
        <f>AND(Instructions!K2,"AAAAAA/1/xo=")</f>
        <v>#VALUE!</v>
      </c>
      <c r="AB2" t="e">
        <f>AND(Instructions!L2,"AAAAAA/1/xs=")</f>
        <v>#VALUE!</v>
      </c>
      <c r="AC2" t="e">
        <f>AND(Instructions!M2,"AAAAAA/1/xw=")</f>
        <v>#VALUE!</v>
      </c>
      <c r="AD2" t="e">
        <f>AND(Instructions!N2,"AAAAAA/1/x0=")</f>
        <v>#VALUE!</v>
      </c>
      <c r="AE2">
        <f>IF(Instructions!3:3,"AAAAAA/1/x4=",0)</f>
        <v>0</v>
      </c>
      <c r="AF2" t="e">
        <f>AND(Instructions!A3,"AAAAAA/1/x8=")</f>
        <v>#VALUE!</v>
      </c>
      <c r="AG2" t="e">
        <f>AND(Instructions!B3,"AAAAAA/1/yA=")</f>
        <v>#VALUE!</v>
      </c>
      <c r="AH2" t="e">
        <f>AND(Instructions!C3,"AAAAAA/1/yE=")</f>
        <v>#VALUE!</v>
      </c>
      <c r="AI2" t="e">
        <f>AND(Instructions!D3,"AAAAAA/1/yI=")</f>
        <v>#VALUE!</v>
      </c>
      <c r="AJ2" t="e">
        <f>AND(Instructions!E3,"AAAAAA/1/yM=")</f>
        <v>#VALUE!</v>
      </c>
      <c r="AK2" t="e">
        <f>AND(Instructions!F3,"AAAAAA/1/yQ=")</f>
        <v>#VALUE!</v>
      </c>
      <c r="AL2" t="e">
        <f>AND(Instructions!G3,"AAAAAA/1/yU=")</f>
        <v>#VALUE!</v>
      </c>
      <c r="AM2" t="e">
        <f>AND(Instructions!H3,"AAAAAA/1/yY=")</f>
        <v>#VALUE!</v>
      </c>
      <c r="AN2" t="e">
        <f>AND(Instructions!I3,"AAAAAA/1/yc=")</f>
        <v>#VALUE!</v>
      </c>
      <c r="AO2" t="e">
        <f>AND(Instructions!J3,"AAAAAA/1/yg=")</f>
        <v>#VALUE!</v>
      </c>
      <c r="AP2" t="e">
        <f>AND(Instructions!K3,"AAAAAA/1/yk=")</f>
        <v>#VALUE!</v>
      </c>
      <c r="AQ2" t="e">
        <f>AND(Instructions!L3,"AAAAAA/1/yo=")</f>
        <v>#VALUE!</v>
      </c>
      <c r="AR2" t="e">
        <f>AND(Instructions!M3,"AAAAAA/1/ys=")</f>
        <v>#VALUE!</v>
      </c>
      <c r="AS2" t="e">
        <f>AND(Instructions!N3,"AAAAAA/1/yw=")</f>
        <v>#VALUE!</v>
      </c>
      <c r="AT2">
        <f>IF(Instructions!4:4,"AAAAAA/1/y0=",0)</f>
        <v>0</v>
      </c>
      <c r="AU2" t="e">
        <f>AND(Instructions!A4,"AAAAAA/1/y4=")</f>
        <v>#VALUE!</v>
      </c>
      <c r="AV2" t="e">
        <f>AND(Instructions!B4,"AAAAAA/1/y8=")</f>
        <v>#VALUE!</v>
      </c>
      <c r="AW2" t="e">
        <f>AND(Instructions!C4,"AAAAAA/1/zA=")</f>
        <v>#VALUE!</v>
      </c>
      <c r="AX2" t="e">
        <f>AND(Instructions!D4,"AAAAAA/1/zE=")</f>
        <v>#VALUE!</v>
      </c>
      <c r="AY2" t="e">
        <f>AND(Instructions!E4,"AAAAAA/1/zI=")</f>
        <v>#VALUE!</v>
      </c>
      <c r="AZ2" t="e">
        <f>AND(Instructions!F4,"AAAAAA/1/zM=")</f>
        <v>#VALUE!</v>
      </c>
      <c r="BA2" t="e">
        <f>AND(Instructions!G4,"AAAAAA/1/zQ=")</f>
        <v>#VALUE!</v>
      </c>
      <c r="BB2" t="e">
        <f>AND(Instructions!H4,"AAAAAA/1/zU=")</f>
        <v>#VALUE!</v>
      </c>
      <c r="BC2" t="e">
        <f>AND(Instructions!I4,"AAAAAA/1/zY=")</f>
        <v>#VALUE!</v>
      </c>
      <c r="BD2" t="e">
        <f>AND(Instructions!J4,"AAAAAA/1/zc=")</f>
        <v>#VALUE!</v>
      </c>
      <c r="BE2" t="e">
        <f>AND(Instructions!K4,"AAAAAA/1/zg=")</f>
        <v>#VALUE!</v>
      </c>
      <c r="BF2" t="e">
        <f>AND(Instructions!L4,"AAAAAA/1/zk=")</f>
        <v>#VALUE!</v>
      </c>
      <c r="BG2" t="e">
        <f>AND(Instructions!M4,"AAAAAA/1/zo=")</f>
        <v>#VALUE!</v>
      </c>
      <c r="BH2" t="e">
        <f>AND(Instructions!N4,"AAAAAA/1/zs=")</f>
        <v>#VALUE!</v>
      </c>
      <c r="BI2">
        <f>IF(Instructions!5:5,"AAAAAA/1/zw=",0)</f>
        <v>0</v>
      </c>
      <c r="BJ2" t="e">
        <f>AND(Instructions!A5,"AAAAAA/1/z0=")</f>
        <v>#VALUE!</v>
      </c>
      <c r="BK2" t="e">
        <f>AND(Instructions!B5,"AAAAAA/1/z4=")</f>
        <v>#VALUE!</v>
      </c>
      <c r="BL2" t="e">
        <f>AND(Instructions!C5,"AAAAAA/1/z8=")</f>
        <v>#VALUE!</v>
      </c>
      <c r="BM2" t="e">
        <f>AND(Instructions!D5,"AAAAAA/1/0A=")</f>
        <v>#VALUE!</v>
      </c>
      <c r="BN2" t="e">
        <f>AND(Instructions!E5,"AAAAAA/1/0E=")</f>
        <v>#VALUE!</v>
      </c>
      <c r="BO2" t="e">
        <f>AND(Instructions!F5,"AAAAAA/1/0I=")</f>
        <v>#VALUE!</v>
      </c>
      <c r="BP2" t="e">
        <f>AND(Instructions!G5,"AAAAAA/1/0M=")</f>
        <v>#VALUE!</v>
      </c>
      <c r="BQ2" t="e">
        <f>AND(Instructions!H5,"AAAAAA/1/0Q=")</f>
        <v>#VALUE!</v>
      </c>
      <c r="BR2" t="e">
        <f>AND(Instructions!I5,"AAAAAA/1/0U=")</f>
        <v>#VALUE!</v>
      </c>
      <c r="BS2" t="e">
        <f>AND(Instructions!J5,"AAAAAA/1/0Y=")</f>
        <v>#VALUE!</v>
      </c>
      <c r="BT2" t="e">
        <f>AND(Instructions!K5,"AAAAAA/1/0c=")</f>
        <v>#VALUE!</v>
      </c>
      <c r="BU2" t="e">
        <f>AND(Instructions!L5,"AAAAAA/1/0g=")</f>
        <v>#VALUE!</v>
      </c>
      <c r="BV2" t="e">
        <f>AND(Instructions!M5,"AAAAAA/1/0k=")</f>
        <v>#VALUE!</v>
      </c>
      <c r="BW2" t="e">
        <f>AND(Instructions!N5,"AAAAAA/1/0o=")</f>
        <v>#VALUE!</v>
      </c>
      <c r="BX2">
        <f>IF(Instructions!6:6,"AAAAAA/1/0s=",0)</f>
        <v>0</v>
      </c>
      <c r="BY2" t="e">
        <f>AND(Instructions!A6,"AAAAAA/1/0w=")</f>
        <v>#VALUE!</v>
      </c>
      <c r="BZ2" t="e">
        <f>AND(Instructions!B6,"AAAAAA/1/00=")</f>
        <v>#VALUE!</v>
      </c>
      <c r="CA2" t="e">
        <f>AND(Instructions!C6,"AAAAAA/1/04=")</f>
        <v>#VALUE!</v>
      </c>
      <c r="CB2" t="e">
        <f>AND(Instructions!D6,"AAAAAA/1/08=")</f>
        <v>#VALUE!</v>
      </c>
      <c r="CC2" t="e">
        <f>AND(Instructions!E6,"AAAAAA/1/1A=")</f>
        <v>#VALUE!</v>
      </c>
      <c r="CD2" t="e">
        <f>AND(Instructions!F6,"AAAAAA/1/1E=")</f>
        <v>#VALUE!</v>
      </c>
      <c r="CE2" t="e">
        <f>AND(Instructions!G6,"AAAAAA/1/1I=")</f>
        <v>#VALUE!</v>
      </c>
      <c r="CF2" t="e">
        <f>AND(Instructions!H6,"AAAAAA/1/1M=")</f>
        <v>#VALUE!</v>
      </c>
      <c r="CG2" t="e">
        <f>AND(Instructions!I6,"AAAAAA/1/1Q=")</f>
        <v>#VALUE!</v>
      </c>
      <c r="CH2" t="e">
        <f>AND(Instructions!J6,"AAAAAA/1/1U=")</f>
        <v>#VALUE!</v>
      </c>
      <c r="CI2" t="e">
        <f>AND(Instructions!K6,"AAAAAA/1/1Y=")</f>
        <v>#VALUE!</v>
      </c>
      <c r="CJ2" t="e">
        <f>AND(Instructions!L6,"AAAAAA/1/1c=")</f>
        <v>#VALUE!</v>
      </c>
      <c r="CK2" t="e">
        <f>AND(Instructions!M6,"AAAAAA/1/1g=")</f>
        <v>#VALUE!</v>
      </c>
      <c r="CL2" t="e">
        <f>AND(Instructions!N6,"AAAAAA/1/1k=")</f>
        <v>#VALUE!</v>
      </c>
      <c r="CM2">
        <f>IF(Instructions!7:7,"AAAAAA/1/1o=",0)</f>
        <v>0</v>
      </c>
      <c r="CN2" t="e">
        <f>AND(Instructions!A7,"AAAAAA/1/1s=")</f>
        <v>#VALUE!</v>
      </c>
      <c r="CO2" t="e">
        <f>AND(Instructions!B7,"AAAAAA/1/1w=")</f>
        <v>#VALUE!</v>
      </c>
      <c r="CP2" t="e">
        <f>AND(Instructions!C7,"AAAAAA/1/10=")</f>
        <v>#VALUE!</v>
      </c>
      <c r="CQ2" t="e">
        <f>AND(Instructions!D7,"AAAAAA/1/14=")</f>
        <v>#VALUE!</v>
      </c>
      <c r="CR2" t="e">
        <f>AND(Instructions!E7,"AAAAAA/1/18=")</f>
        <v>#VALUE!</v>
      </c>
      <c r="CS2" t="e">
        <f>AND(Instructions!F7,"AAAAAA/1/2A=")</f>
        <v>#VALUE!</v>
      </c>
      <c r="CT2" t="e">
        <f>AND(Instructions!G7,"AAAAAA/1/2E=")</f>
        <v>#VALUE!</v>
      </c>
      <c r="CU2" t="e">
        <f>AND(Instructions!H7,"AAAAAA/1/2I=")</f>
        <v>#VALUE!</v>
      </c>
      <c r="CV2" t="e">
        <f>AND(Instructions!I7,"AAAAAA/1/2M=")</f>
        <v>#VALUE!</v>
      </c>
      <c r="CW2" t="e">
        <f>AND(Instructions!J7,"AAAAAA/1/2Q=")</f>
        <v>#VALUE!</v>
      </c>
      <c r="CX2" t="e">
        <f>AND(Instructions!K7,"AAAAAA/1/2U=")</f>
        <v>#VALUE!</v>
      </c>
      <c r="CY2" t="e">
        <f>AND(Instructions!L7,"AAAAAA/1/2Y=")</f>
        <v>#VALUE!</v>
      </c>
      <c r="CZ2" t="e">
        <f>AND(Instructions!M7,"AAAAAA/1/2c=")</f>
        <v>#VALUE!</v>
      </c>
      <c r="DA2" t="e">
        <f>AND(Instructions!N7,"AAAAAA/1/2g=")</f>
        <v>#VALUE!</v>
      </c>
      <c r="DB2">
        <f>IF(Instructions!8:8,"AAAAAA/1/2k=",0)</f>
        <v>0</v>
      </c>
      <c r="DC2" t="e">
        <f>AND(Instructions!A8,"AAAAAA/1/2o=")</f>
        <v>#VALUE!</v>
      </c>
      <c r="DD2" t="e">
        <f>AND(Instructions!B8,"AAAAAA/1/2s=")</f>
        <v>#VALUE!</v>
      </c>
      <c r="DE2" t="e">
        <f>AND(Instructions!C8,"AAAAAA/1/2w=")</f>
        <v>#VALUE!</v>
      </c>
      <c r="DF2" t="e">
        <f>AND(Instructions!D8,"AAAAAA/1/20=")</f>
        <v>#VALUE!</v>
      </c>
      <c r="DG2" t="e">
        <f>AND(Instructions!E8,"AAAAAA/1/24=")</f>
        <v>#VALUE!</v>
      </c>
      <c r="DH2" t="e">
        <f>AND(Instructions!F8,"AAAAAA/1/28=")</f>
        <v>#VALUE!</v>
      </c>
      <c r="DI2" t="e">
        <f>AND(Instructions!G8,"AAAAAA/1/3A=")</f>
        <v>#VALUE!</v>
      </c>
      <c r="DJ2" t="e">
        <f>AND(Instructions!H8,"AAAAAA/1/3E=")</f>
        <v>#VALUE!</v>
      </c>
      <c r="DK2" t="e">
        <f>AND(Instructions!I8,"AAAAAA/1/3I=")</f>
        <v>#VALUE!</v>
      </c>
      <c r="DL2" t="e">
        <f>AND(Instructions!J8,"AAAAAA/1/3M=")</f>
        <v>#VALUE!</v>
      </c>
      <c r="DM2" t="e">
        <f>AND(Instructions!K8,"AAAAAA/1/3Q=")</f>
        <v>#VALUE!</v>
      </c>
      <c r="DN2" t="e">
        <f>AND(Instructions!L8,"AAAAAA/1/3U=")</f>
        <v>#VALUE!</v>
      </c>
      <c r="DO2" t="e">
        <f>AND(Instructions!M8,"AAAAAA/1/3Y=")</f>
        <v>#VALUE!</v>
      </c>
      <c r="DP2" t="e">
        <f>AND(Instructions!N8,"AAAAAA/1/3c=")</f>
        <v>#VALUE!</v>
      </c>
      <c r="DQ2">
        <f>IF(Instructions!9:9,"AAAAAA/1/3g=",0)</f>
        <v>0</v>
      </c>
      <c r="DR2" t="e">
        <f>AND(Instructions!A9,"AAAAAA/1/3k=")</f>
        <v>#VALUE!</v>
      </c>
      <c r="DS2" t="e">
        <f>AND(Instructions!B9,"AAAAAA/1/3o=")</f>
        <v>#VALUE!</v>
      </c>
      <c r="DT2" t="e">
        <f>AND(Instructions!C9,"AAAAAA/1/3s=")</f>
        <v>#VALUE!</v>
      </c>
      <c r="DU2" t="e">
        <f>AND(Instructions!D9,"AAAAAA/1/3w=")</f>
        <v>#VALUE!</v>
      </c>
      <c r="DV2" t="e">
        <f>AND(Instructions!E9,"AAAAAA/1/30=")</f>
        <v>#VALUE!</v>
      </c>
      <c r="DW2" t="e">
        <f>AND(Instructions!F9,"AAAAAA/1/34=")</f>
        <v>#VALUE!</v>
      </c>
      <c r="DX2" t="e">
        <f>AND(Instructions!G9,"AAAAAA/1/38=")</f>
        <v>#VALUE!</v>
      </c>
      <c r="DY2" t="e">
        <f>AND(Instructions!H9,"AAAAAA/1/4A=")</f>
        <v>#VALUE!</v>
      </c>
      <c r="DZ2" t="e">
        <f>AND(Instructions!I9,"AAAAAA/1/4E=")</f>
        <v>#VALUE!</v>
      </c>
      <c r="EA2" t="e">
        <f>AND(Instructions!J9,"AAAAAA/1/4I=")</f>
        <v>#VALUE!</v>
      </c>
      <c r="EB2" t="e">
        <f>AND(Instructions!K9,"AAAAAA/1/4M=")</f>
        <v>#VALUE!</v>
      </c>
      <c r="EC2" t="e">
        <f>AND(Instructions!L9,"AAAAAA/1/4Q=")</f>
        <v>#VALUE!</v>
      </c>
      <c r="ED2" t="e">
        <f>AND(Instructions!M9,"AAAAAA/1/4U=")</f>
        <v>#VALUE!</v>
      </c>
      <c r="EE2" t="e">
        <f>AND(Instructions!N9,"AAAAAA/1/4Y=")</f>
        <v>#VALUE!</v>
      </c>
      <c r="EF2">
        <f>IF(Instructions!10:10,"AAAAAA/1/4c=",0)</f>
        <v>0</v>
      </c>
      <c r="EG2" t="e">
        <f>AND(Instructions!A10,"AAAAAA/1/4g=")</f>
        <v>#VALUE!</v>
      </c>
      <c r="EH2" t="e">
        <f>AND(Instructions!B10,"AAAAAA/1/4k=")</f>
        <v>#VALUE!</v>
      </c>
      <c r="EI2" t="e">
        <f>AND(Instructions!C10,"AAAAAA/1/4o=")</f>
        <v>#VALUE!</v>
      </c>
      <c r="EJ2" t="e">
        <f>AND(Instructions!D10,"AAAAAA/1/4s=")</f>
        <v>#VALUE!</v>
      </c>
      <c r="EK2" t="e">
        <f>AND(Instructions!E10,"AAAAAA/1/4w=")</f>
        <v>#VALUE!</v>
      </c>
      <c r="EL2" t="e">
        <f>AND(Instructions!F10,"AAAAAA/1/40=")</f>
        <v>#VALUE!</v>
      </c>
      <c r="EM2" t="e">
        <f>AND(Instructions!G10,"AAAAAA/1/44=")</f>
        <v>#VALUE!</v>
      </c>
      <c r="EN2" t="e">
        <f>AND(Instructions!H10,"AAAAAA/1/48=")</f>
        <v>#VALUE!</v>
      </c>
      <c r="EO2" t="e">
        <f>AND(Instructions!I10,"AAAAAA/1/5A=")</f>
        <v>#VALUE!</v>
      </c>
      <c r="EP2" t="e">
        <f>AND(Instructions!J10,"AAAAAA/1/5E=")</f>
        <v>#VALUE!</v>
      </c>
      <c r="EQ2" t="e">
        <f>AND(Instructions!K10,"AAAAAA/1/5I=")</f>
        <v>#VALUE!</v>
      </c>
      <c r="ER2" t="e">
        <f>AND(Instructions!L10,"AAAAAA/1/5M=")</f>
        <v>#VALUE!</v>
      </c>
      <c r="ES2" t="e">
        <f>AND(Instructions!M10,"AAAAAA/1/5Q=")</f>
        <v>#VALUE!</v>
      </c>
      <c r="ET2" t="e">
        <f>AND(Instructions!N10,"AAAAAA/1/5U=")</f>
        <v>#VALUE!</v>
      </c>
      <c r="EU2">
        <f>IF(Instructions!11:11,"AAAAAA/1/5Y=",0)</f>
        <v>0</v>
      </c>
      <c r="EV2" t="e">
        <f>AND(Instructions!A11,"AAAAAA/1/5c=")</f>
        <v>#VALUE!</v>
      </c>
      <c r="EW2" t="e">
        <f>AND(Instructions!B11,"AAAAAA/1/5g=")</f>
        <v>#VALUE!</v>
      </c>
      <c r="EX2" t="e">
        <f>AND(Instructions!C11,"AAAAAA/1/5k=")</f>
        <v>#VALUE!</v>
      </c>
      <c r="EY2" t="e">
        <f>AND(Instructions!D11,"AAAAAA/1/5o=")</f>
        <v>#VALUE!</v>
      </c>
      <c r="EZ2" t="e">
        <f>AND(Instructions!E11,"AAAAAA/1/5s=")</f>
        <v>#VALUE!</v>
      </c>
      <c r="FA2" t="e">
        <f>AND(Instructions!F11,"AAAAAA/1/5w=")</f>
        <v>#VALUE!</v>
      </c>
      <c r="FB2" t="e">
        <f>AND(Instructions!G11,"AAAAAA/1/50=")</f>
        <v>#VALUE!</v>
      </c>
      <c r="FC2" t="e">
        <f>AND(Instructions!H11,"AAAAAA/1/54=")</f>
        <v>#VALUE!</v>
      </c>
      <c r="FD2" t="e">
        <f>AND(Instructions!I11,"AAAAAA/1/58=")</f>
        <v>#VALUE!</v>
      </c>
      <c r="FE2" t="e">
        <f>AND(Instructions!J11,"AAAAAA/1/6A=")</f>
        <v>#VALUE!</v>
      </c>
      <c r="FF2" t="e">
        <f>AND(Instructions!K11,"AAAAAA/1/6E=")</f>
        <v>#VALUE!</v>
      </c>
      <c r="FG2" t="e">
        <f>AND(Instructions!L11,"AAAAAA/1/6I=")</f>
        <v>#VALUE!</v>
      </c>
      <c r="FH2" t="e">
        <f>AND(Instructions!M11,"AAAAAA/1/6M=")</f>
        <v>#VALUE!</v>
      </c>
      <c r="FI2" t="e">
        <f>AND(Instructions!N11,"AAAAAA/1/6Q=")</f>
        <v>#VALUE!</v>
      </c>
      <c r="FJ2">
        <f>IF(Instructions!12:12,"AAAAAA/1/6U=",0)</f>
        <v>0</v>
      </c>
      <c r="FK2" t="e">
        <f>AND(Instructions!A12,"AAAAAA/1/6Y=")</f>
        <v>#VALUE!</v>
      </c>
      <c r="FL2" t="e">
        <f>AND(Instructions!B12,"AAAAAA/1/6c=")</f>
        <v>#VALUE!</v>
      </c>
      <c r="FM2" t="e">
        <f>AND(Instructions!C12,"AAAAAA/1/6g=")</f>
        <v>#VALUE!</v>
      </c>
      <c r="FN2" t="e">
        <f>AND(Instructions!D12,"AAAAAA/1/6k=")</f>
        <v>#VALUE!</v>
      </c>
      <c r="FO2" t="e">
        <f>AND(Instructions!E12,"AAAAAA/1/6o=")</f>
        <v>#VALUE!</v>
      </c>
      <c r="FP2" t="e">
        <f>AND(Instructions!F12,"AAAAAA/1/6s=")</f>
        <v>#VALUE!</v>
      </c>
      <c r="FQ2" t="e">
        <f>AND(Instructions!G12,"AAAAAA/1/6w=")</f>
        <v>#VALUE!</v>
      </c>
      <c r="FR2" t="e">
        <f>AND(Instructions!H12,"AAAAAA/1/60=")</f>
        <v>#VALUE!</v>
      </c>
      <c r="FS2" t="e">
        <f>AND(Instructions!I12,"AAAAAA/1/64=")</f>
        <v>#VALUE!</v>
      </c>
      <c r="FT2" t="e">
        <f>AND(Instructions!J12,"AAAAAA/1/68=")</f>
        <v>#VALUE!</v>
      </c>
      <c r="FU2" t="e">
        <f>AND(Instructions!K12,"AAAAAA/1/7A=")</f>
        <v>#VALUE!</v>
      </c>
      <c r="FV2" t="e">
        <f>AND(Instructions!L12,"AAAAAA/1/7E=")</f>
        <v>#VALUE!</v>
      </c>
      <c r="FW2" t="e">
        <f>AND(Instructions!M12,"AAAAAA/1/7I=")</f>
        <v>#VALUE!</v>
      </c>
      <c r="FX2" t="e">
        <f>AND(Instructions!N12,"AAAAAA/1/7M=")</f>
        <v>#VALUE!</v>
      </c>
      <c r="FY2">
        <f>IF(Instructions!13:13,"AAAAAA/1/7Q=",0)</f>
        <v>0</v>
      </c>
      <c r="FZ2" t="e">
        <f>AND(Instructions!A13,"AAAAAA/1/7U=")</f>
        <v>#VALUE!</v>
      </c>
      <c r="GA2" t="e">
        <f>AND(Instructions!B13,"AAAAAA/1/7Y=")</f>
        <v>#VALUE!</v>
      </c>
      <c r="GB2" t="e">
        <f>AND(Instructions!C13,"AAAAAA/1/7c=")</f>
        <v>#VALUE!</v>
      </c>
      <c r="GC2" t="e">
        <f>AND(Instructions!D13,"AAAAAA/1/7g=")</f>
        <v>#VALUE!</v>
      </c>
      <c r="GD2" t="e">
        <f>AND(Instructions!E13,"AAAAAA/1/7k=")</f>
        <v>#VALUE!</v>
      </c>
      <c r="GE2" t="e">
        <f>AND(Instructions!F13,"AAAAAA/1/7o=")</f>
        <v>#VALUE!</v>
      </c>
      <c r="GF2" t="e">
        <f>AND(Instructions!G13,"AAAAAA/1/7s=")</f>
        <v>#VALUE!</v>
      </c>
      <c r="GG2" t="e">
        <f>AND(Instructions!H13,"AAAAAA/1/7w=")</f>
        <v>#VALUE!</v>
      </c>
      <c r="GH2" t="e">
        <f>AND(Instructions!I13,"AAAAAA/1/70=")</f>
        <v>#VALUE!</v>
      </c>
      <c r="GI2" t="e">
        <f>AND(Instructions!J13,"AAAAAA/1/74=")</f>
        <v>#VALUE!</v>
      </c>
      <c r="GJ2" t="e">
        <f>AND(Instructions!K13,"AAAAAA/1/78=")</f>
        <v>#VALUE!</v>
      </c>
      <c r="GK2" t="e">
        <f>AND(Instructions!L13,"AAAAAA/1/8A=")</f>
        <v>#VALUE!</v>
      </c>
      <c r="GL2" t="e">
        <f>AND(Instructions!M13,"AAAAAA/1/8E=")</f>
        <v>#VALUE!</v>
      </c>
      <c r="GM2" t="e">
        <f>AND(Instructions!N13,"AAAAAA/1/8I=")</f>
        <v>#VALUE!</v>
      </c>
      <c r="GN2">
        <f>IF(Instructions!14:14,"AAAAAA/1/8M=",0)</f>
        <v>0</v>
      </c>
      <c r="GO2" t="e">
        <f>AND(Instructions!A14,"AAAAAA/1/8Q=")</f>
        <v>#VALUE!</v>
      </c>
      <c r="GP2" t="e">
        <f>AND(Instructions!B14,"AAAAAA/1/8U=")</f>
        <v>#VALUE!</v>
      </c>
      <c r="GQ2" t="e">
        <f>AND(Instructions!C14,"AAAAAA/1/8Y=")</f>
        <v>#VALUE!</v>
      </c>
      <c r="GR2" t="e">
        <f>AND(Instructions!D14,"AAAAAA/1/8c=")</f>
        <v>#VALUE!</v>
      </c>
      <c r="GS2" t="e">
        <f>AND(Instructions!E14,"AAAAAA/1/8g=")</f>
        <v>#VALUE!</v>
      </c>
      <c r="GT2" t="e">
        <f>AND(Instructions!F14,"AAAAAA/1/8k=")</f>
        <v>#VALUE!</v>
      </c>
      <c r="GU2" t="e">
        <f>AND(Instructions!G14,"AAAAAA/1/8o=")</f>
        <v>#VALUE!</v>
      </c>
      <c r="GV2" t="e">
        <f>AND(Instructions!H14,"AAAAAA/1/8s=")</f>
        <v>#VALUE!</v>
      </c>
      <c r="GW2" t="e">
        <f>AND(Instructions!I14,"AAAAAA/1/8w=")</f>
        <v>#VALUE!</v>
      </c>
      <c r="GX2" t="e">
        <f>AND(Instructions!J14,"AAAAAA/1/80=")</f>
        <v>#VALUE!</v>
      </c>
      <c r="GY2" t="e">
        <f>AND(Instructions!K14,"AAAAAA/1/84=")</f>
        <v>#VALUE!</v>
      </c>
      <c r="GZ2" t="e">
        <f>AND(Instructions!L14,"AAAAAA/1/88=")</f>
        <v>#VALUE!</v>
      </c>
      <c r="HA2" t="e">
        <f>AND(Instructions!M14,"AAAAAA/1/9A=")</f>
        <v>#VALUE!</v>
      </c>
      <c r="HB2" t="e">
        <f>AND(Instructions!N14,"AAAAAA/1/9E=")</f>
        <v>#VALUE!</v>
      </c>
      <c r="HC2">
        <f>IF(Instructions!15:15,"AAAAAA/1/9I=",0)</f>
        <v>0</v>
      </c>
      <c r="HD2" t="e">
        <f>AND(Instructions!A15,"AAAAAA/1/9M=")</f>
        <v>#VALUE!</v>
      </c>
      <c r="HE2" t="e">
        <f>AND(Instructions!B15,"AAAAAA/1/9Q=")</f>
        <v>#VALUE!</v>
      </c>
      <c r="HF2" t="e">
        <f>AND(Instructions!C15,"AAAAAA/1/9U=")</f>
        <v>#VALUE!</v>
      </c>
      <c r="HG2" t="e">
        <f>AND(Instructions!D15,"AAAAAA/1/9Y=")</f>
        <v>#VALUE!</v>
      </c>
      <c r="HH2" t="e">
        <f>AND(Instructions!E15,"AAAAAA/1/9c=")</f>
        <v>#VALUE!</v>
      </c>
      <c r="HI2" t="e">
        <f>AND(Instructions!F15,"AAAAAA/1/9g=")</f>
        <v>#VALUE!</v>
      </c>
      <c r="HJ2" t="e">
        <f>AND(Instructions!G15,"AAAAAA/1/9k=")</f>
        <v>#VALUE!</v>
      </c>
      <c r="HK2" t="e">
        <f>AND(Instructions!H15,"AAAAAA/1/9o=")</f>
        <v>#VALUE!</v>
      </c>
      <c r="HL2" t="e">
        <f>AND(Instructions!I15,"AAAAAA/1/9s=")</f>
        <v>#VALUE!</v>
      </c>
      <c r="HM2" t="e">
        <f>AND(Instructions!J15,"AAAAAA/1/9w=")</f>
        <v>#VALUE!</v>
      </c>
      <c r="HN2" t="e">
        <f>AND(Instructions!K15,"AAAAAA/1/90=")</f>
        <v>#VALUE!</v>
      </c>
      <c r="HO2" t="e">
        <f>AND(Instructions!L15,"AAAAAA/1/94=")</f>
        <v>#VALUE!</v>
      </c>
      <c r="HP2" t="e">
        <f>AND(Instructions!M15,"AAAAAA/1/98=")</f>
        <v>#VALUE!</v>
      </c>
      <c r="HQ2" t="e">
        <f>AND(Instructions!N15,"AAAAAA/1/+A=")</f>
        <v>#VALUE!</v>
      </c>
      <c r="HR2">
        <f>IF(Instructions!16:16,"AAAAAA/1/+E=",0)</f>
        <v>0</v>
      </c>
      <c r="HS2" t="e">
        <f>AND(Instructions!A16,"AAAAAA/1/+I=")</f>
        <v>#VALUE!</v>
      </c>
      <c r="HT2" t="e">
        <f>AND(Instructions!B16,"AAAAAA/1/+M=")</f>
        <v>#VALUE!</v>
      </c>
      <c r="HU2" t="e">
        <f>AND(Instructions!C16,"AAAAAA/1/+Q=")</f>
        <v>#VALUE!</v>
      </c>
      <c r="HV2" t="e">
        <f>AND(Instructions!D16,"AAAAAA/1/+U=")</f>
        <v>#VALUE!</v>
      </c>
      <c r="HW2" t="e">
        <f>AND(Instructions!E16,"AAAAAA/1/+Y=")</f>
        <v>#VALUE!</v>
      </c>
      <c r="HX2" t="e">
        <f>AND(Instructions!F16,"AAAAAA/1/+c=")</f>
        <v>#VALUE!</v>
      </c>
      <c r="HY2" t="e">
        <f>AND(Instructions!G16,"AAAAAA/1/+g=")</f>
        <v>#VALUE!</v>
      </c>
      <c r="HZ2" t="e">
        <f>AND(Instructions!H16,"AAAAAA/1/+k=")</f>
        <v>#VALUE!</v>
      </c>
      <c r="IA2" t="e">
        <f>AND(Instructions!I16,"AAAAAA/1/+o=")</f>
        <v>#VALUE!</v>
      </c>
      <c r="IB2" t="e">
        <f>AND(Instructions!J16,"AAAAAA/1/+s=")</f>
        <v>#VALUE!</v>
      </c>
      <c r="IC2" t="e">
        <f>AND(Instructions!K16,"AAAAAA/1/+w=")</f>
        <v>#VALUE!</v>
      </c>
      <c r="ID2" t="e">
        <f>AND(Instructions!L16,"AAAAAA/1/+0=")</f>
        <v>#VALUE!</v>
      </c>
      <c r="IE2" t="e">
        <f>AND(Instructions!M16,"AAAAAA/1/+4=")</f>
        <v>#VALUE!</v>
      </c>
      <c r="IF2" t="e">
        <f>AND(Instructions!N16,"AAAAAA/1/+8=")</f>
        <v>#VALUE!</v>
      </c>
      <c r="IG2">
        <f>IF(Instructions!17:17,"AAAAAA/1//A=",0)</f>
        <v>0</v>
      </c>
      <c r="IH2" t="e">
        <f>AND(Instructions!A17,"AAAAAA/1//E=")</f>
        <v>#VALUE!</v>
      </c>
      <c r="II2" t="e">
        <f>AND(Instructions!B17,"AAAAAA/1//I=")</f>
        <v>#VALUE!</v>
      </c>
      <c r="IJ2" t="e">
        <f>AND(Instructions!C17,"AAAAAA/1//M=")</f>
        <v>#VALUE!</v>
      </c>
      <c r="IK2" t="e">
        <f>AND(Instructions!D17,"AAAAAA/1//Q=")</f>
        <v>#VALUE!</v>
      </c>
      <c r="IL2" t="e">
        <f>AND(Instructions!E17,"AAAAAA/1//U=")</f>
        <v>#VALUE!</v>
      </c>
      <c r="IM2" t="e">
        <f>AND(Instructions!F17,"AAAAAA/1//Y=")</f>
        <v>#VALUE!</v>
      </c>
      <c r="IN2" t="e">
        <f>AND(Instructions!G17,"AAAAAA/1//c=")</f>
        <v>#VALUE!</v>
      </c>
      <c r="IO2" t="e">
        <f>AND(Instructions!H17,"AAAAAA/1//g=")</f>
        <v>#VALUE!</v>
      </c>
      <c r="IP2" t="e">
        <f>AND(Instructions!I17,"AAAAAA/1//k=")</f>
        <v>#VALUE!</v>
      </c>
      <c r="IQ2" t="e">
        <f>AND(Instructions!J17,"AAAAAA/1//o=")</f>
        <v>#VALUE!</v>
      </c>
      <c r="IR2" t="e">
        <f>AND(Instructions!K17,"AAAAAA/1//s=")</f>
        <v>#VALUE!</v>
      </c>
      <c r="IS2" t="e">
        <f>AND(Instructions!L17,"AAAAAA/1//w=")</f>
        <v>#VALUE!</v>
      </c>
      <c r="IT2" t="e">
        <f>AND(Instructions!M17,"AAAAAA/1//0=")</f>
        <v>#VALUE!</v>
      </c>
      <c r="IU2" t="e">
        <f>AND(Instructions!N17,"AAAAAA/1//4=")</f>
        <v>#VALUE!</v>
      </c>
      <c r="IV2">
        <f>IF(Instructions!18:18,"AAAAAA/1//8=",0)</f>
        <v>0</v>
      </c>
    </row>
    <row r="3" spans="1:256" x14ac:dyDescent="0.2">
      <c r="A3" t="e">
        <f>AND(Instructions!A18,"AAAAAFiuuwA=")</f>
        <v>#VALUE!</v>
      </c>
      <c r="B3" t="e">
        <f>AND(Instructions!B18,"AAAAAFiuuwE=")</f>
        <v>#VALUE!</v>
      </c>
      <c r="C3" t="e">
        <f>AND(Instructions!C18,"AAAAAFiuuwI=")</f>
        <v>#VALUE!</v>
      </c>
      <c r="D3" t="e">
        <f>AND(Instructions!D18,"AAAAAFiuuwM=")</f>
        <v>#VALUE!</v>
      </c>
      <c r="E3" t="e">
        <f>AND(Instructions!E18,"AAAAAFiuuwQ=")</f>
        <v>#VALUE!</v>
      </c>
      <c r="F3" t="e">
        <f>AND(Instructions!F18,"AAAAAFiuuwU=")</f>
        <v>#VALUE!</v>
      </c>
      <c r="G3" t="e">
        <f>AND(Instructions!G18,"AAAAAFiuuwY=")</f>
        <v>#VALUE!</v>
      </c>
      <c r="H3" t="e">
        <f>AND(Instructions!H18,"AAAAAFiuuwc=")</f>
        <v>#VALUE!</v>
      </c>
      <c r="I3" t="e">
        <f>AND(Instructions!I18,"AAAAAFiuuwg=")</f>
        <v>#VALUE!</v>
      </c>
      <c r="J3" t="e">
        <f>AND(Instructions!J18,"AAAAAFiuuwk=")</f>
        <v>#VALUE!</v>
      </c>
      <c r="K3" t="e">
        <f>AND(Instructions!K18,"AAAAAFiuuwo=")</f>
        <v>#VALUE!</v>
      </c>
      <c r="L3" t="e">
        <f>AND(Instructions!L18,"AAAAAFiuuws=")</f>
        <v>#VALUE!</v>
      </c>
      <c r="M3" t="e">
        <f>AND(Instructions!M18,"AAAAAFiuuww=")</f>
        <v>#VALUE!</v>
      </c>
      <c r="N3" t="e">
        <f>AND(Instructions!N18,"AAAAAFiuuw0=")</f>
        <v>#VALUE!</v>
      </c>
      <c r="O3">
        <f>IF(Instructions!19:19,"AAAAAFiuuw4=",0)</f>
        <v>0</v>
      </c>
      <c r="P3" t="e">
        <f>AND(Instructions!A19,"AAAAAFiuuw8=")</f>
        <v>#VALUE!</v>
      </c>
      <c r="Q3" t="e">
        <f>AND(Instructions!B19,"AAAAAFiuuxA=")</f>
        <v>#VALUE!</v>
      </c>
      <c r="R3" t="e">
        <f>AND(Instructions!C19,"AAAAAFiuuxE=")</f>
        <v>#VALUE!</v>
      </c>
      <c r="S3" t="e">
        <f>AND(Instructions!D19,"AAAAAFiuuxI=")</f>
        <v>#VALUE!</v>
      </c>
      <c r="T3" t="e">
        <f>AND(Instructions!E19,"AAAAAFiuuxM=")</f>
        <v>#VALUE!</v>
      </c>
      <c r="U3" t="e">
        <f>AND(Instructions!F19,"AAAAAFiuuxQ=")</f>
        <v>#VALUE!</v>
      </c>
      <c r="V3" t="e">
        <f>AND(Instructions!G19,"AAAAAFiuuxU=")</f>
        <v>#VALUE!</v>
      </c>
      <c r="W3" t="e">
        <f>AND(Instructions!H19,"AAAAAFiuuxY=")</f>
        <v>#VALUE!</v>
      </c>
      <c r="X3" t="e">
        <f>AND(Instructions!I19,"AAAAAFiuuxc=")</f>
        <v>#VALUE!</v>
      </c>
      <c r="Y3" t="e">
        <f>AND(Instructions!J19,"AAAAAFiuuxg=")</f>
        <v>#VALUE!</v>
      </c>
      <c r="Z3" t="e">
        <f>AND(Instructions!K19,"AAAAAFiuuxk=")</f>
        <v>#VALUE!</v>
      </c>
      <c r="AA3" t="e">
        <f>AND(Instructions!L19,"AAAAAFiuuxo=")</f>
        <v>#VALUE!</v>
      </c>
      <c r="AB3" t="e">
        <f>AND(Instructions!M19,"AAAAAFiuuxs=")</f>
        <v>#VALUE!</v>
      </c>
      <c r="AC3" t="e">
        <f>AND(Instructions!N19,"AAAAAFiuuxw=")</f>
        <v>#VALUE!</v>
      </c>
      <c r="AD3">
        <f>IF(Instructions!20:20,"AAAAAFiuux0=",0)</f>
        <v>0</v>
      </c>
      <c r="AE3" t="e">
        <f>AND(Instructions!A20,"AAAAAFiuux4=")</f>
        <v>#VALUE!</v>
      </c>
      <c r="AF3" t="e">
        <f>AND(Instructions!B20,"AAAAAFiuux8=")</f>
        <v>#VALUE!</v>
      </c>
      <c r="AG3" t="e">
        <f>AND(Instructions!C20,"AAAAAFiuuyA=")</f>
        <v>#VALUE!</v>
      </c>
      <c r="AH3" t="e">
        <f>AND(Instructions!D20,"AAAAAFiuuyE=")</f>
        <v>#VALUE!</v>
      </c>
      <c r="AI3" t="e">
        <f>AND(Instructions!E20,"AAAAAFiuuyI=")</f>
        <v>#VALUE!</v>
      </c>
      <c r="AJ3" t="e">
        <f>AND(Instructions!F20,"AAAAAFiuuyM=")</f>
        <v>#VALUE!</v>
      </c>
      <c r="AK3" t="e">
        <f>AND(Instructions!G20,"AAAAAFiuuyQ=")</f>
        <v>#VALUE!</v>
      </c>
      <c r="AL3" t="e">
        <f>AND(Instructions!H20,"AAAAAFiuuyU=")</f>
        <v>#VALUE!</v>
      </c>
      <c r="AM3" t="e">
        <f>AND(Instructions!I20,"AAAAAFiuuyY=")</f>
        <v>#VALUE!</v>
      </c>
      <c r="AN3" t="e">
        <f>AND(Instructions!J20,"AAAAAFiuuyc=")</f>
        <v>#VALUE!</v>
      </c>
      <c r="AO3" t="e">
        <f>AND(Instructions!K20,"AAAAAFiuuyg=")</f>
        <v>#VALUE!</v>
      </c>
      <c r="AP3" t="e">
        <f>AND(Instructions!L20,"AAAAAFiuuyk=")</f>
        <v>#VALUE!</v>
      </c>
      <c r="AQ3" t="e">
        <f>AND(Instructions!M20,"AAAAAFiuuyo=")</f>
        <v>#VALUE!</v>
      </c>
      <c r="AR3" t="e">
        <f>AND(Instructions!N20,"AAAAAFiuuys=")</f>
        <v>#VALUE!</v>
      </c>
      <c r="AS3">
        <f>IF(Instructions!21:21,"AAAAAFiuuyw=",0)</f>
        <v>0</v>
      </c>
      <c r="AT3" t="e">
        <f>AND(Instructions!A21,"AAAAAFiuuy0=")</f>
        <v>#VALUE!</v>
      </c>
      <c r="AU3" t="e">
        <f>AND(Instructions!B21,"AAAAAFiuuy4=")</f>
        <v>#VALUE!</v>
      </c>
      <c r="AV3" t="e">
        <f>AND(Instructions!C21,"AAAAAFiuuy8=")</f>
        <v>#VALUE!</v>
      </c>
      <c r="AW3" t="e">
        <f>AND(Instructions!D21,"AAAAAFiuuzA=")</f>
        <v>#VALUE!</v>
      </c>
      <c r="AX3" t="e">
        <f>AND(Instructions!E21,"AAAAAFiuuzE=")</f>
        <v>#VALUE!</v>
      </c>
      <c r="AY3" t="e">
        <f>AND(Instructions!F21,"AAAAAFiuuzI=")</f>
        <v>#VALUE!</v>
      </c>
      <c r="AZ3" t="e">
        <f>AND(Instructions!G21,"AAAAAFiuuzM=")</f>
        <v>#VALUE!</v>
      </c>
      <c r="BA3" t="e">
        <f>AND(Instructions!H21,"AAAAAFiuuzQ=")</f>
        <v>#VALUE!</v>
      </c>
      <c r="BB3" t="e">
        <f>AND(Instructions!I21,"AAAAAFiuuzU=")</f>
        <v>#VALUE!</v>
      </c>
      <c r="BC3" t="e">
        <f>AND(Instructions!J21,"AAAAAFiuuzY=")</f>
        <v>#VALUE!</v>
      </c>
      <c r="BD3" t="e">
        <f>AND(Instructions!K21,"AAAAAFiuuzc=")</f>
        <v>#VALUE!</v>
      </c>
      <c r="BE3" t="e">
        <f>AND(Instructions!L21,"AAAAAFiuuzg=")</f>
        <v>#VALUE!</v>
      </c>
      <c r="BF3" t="e">
        <f>AND(Instructions!M21,"AAAAAFiuuzk=")</f>
        <v>#VALUE!</v>
      </c>
      <c r="BG3" t="e">
        <f>AND(Instructions!N21,"AAAAAFiuuzo=")</f>
        <v>#VALUE!</v>
      </c>
      <c r="BH3">
        <f>IF(Instructions!22:22,"AAAAAFiuuzs=",0)</f>
        <v>0</v>
      </c>
      <c r="BI3" t="e">
        <f>AND(Instructions!A22,"AAAAAFiuuzw=")</f>
        <v>#VALUE!</v>
      </c>
      <c r="BJ3" t="e">
        <f>AND(Instructions!B22,"AAAAAFiuuz0=")</f>
        <v>#VALUE!</v>
      </c>
      <c r="BK3" t="e">
        <f>AND(Instructions!C22,"AAAAAFiuuz4=")</f>
        <v>#VALUE!</v>
      </c>
      <c r="BL3" t="e">
        <f>AND(Instructions!D22,"AAAAAFiuuz8=")</f>
        <v>#VALUE!</v>
      </c>
      <c r="BM3" t="e">
        <f>AND(Instructions!E22,"AAAAAFiuu0A=")</f>
        <v>#VALUE!</v>
      </c>
      <c r="BN3" t="e">
        <f>AND(Instructions!F22,"AAAAAFiuu0E=")</f>
        <v>#VALUE!</v>
      </c>
      <c r="BO3" t="e">
        <f>AND(Instructions!G22,"AAAAAFiuu0I=")</f>
        <v>#VALUE!</v>
      </c>
      <c r="BP3" t="e">
        <f>AND(Instructions!H22,"AAAAAFiuu0M=")</f>
        <v>#VALUE!</v>
      </c>
      <c r="BQ3" t="e">
        <f>AND(Instructions!I22,"AAAAAFiuu0Q=")</f>
        <v>#VALUE!</v>
      </c>
      <c r="BR3" t="e">
        <f>AND(Instructions!J22,"AAAAAFiuu0U=")</f>
        <v>#VALUE!</v>
      </c>
      <c r="BS3" t="e">
        <f>AND(Instructions!K22,"AAAAAFiuu0Y=")</f>
        <v>#VALUE!</v>
      </c>
      <c r="BT3" t="e">
        <f>AND(Instructions!L22,"AAAAAFiuu0c=")</f>
        <v>#VALUE!</v>
      </c>
      <c r="BU3" t="e">
        <f>AND(Instructions!M22,"AAAAAFiuu0g=")</f>
        <v>#VALUE!</v>
      </c>
      <c r="BV3" t="e">
        <f>AND(Instructions!N22,"AAAAAFiuu0k=")</f>
        <v>#VALUE!</v>
      </c>
      <c r="BW3">
        <f>IF(Instructions!23:23,"AAAAAFiuu0o=",0)</f>
        <v>0</v>
      </c>
      <c r="BX3" t="e">
        <f>AND(Instructions!A23,"AAAAAFiuu0s=")</f>
        <v>#VALUE!</v>
      </c>
      <c r="BY3" t="e">
        <f>AND(Instructions!B23,"AAAAAFiuu0w=")</f>
        <v>#VALUE!</v>
      </c>
      <c r="BZ3" t="e">
        <f>AND(Instructions!C23,"AAAAAFiuu00=")</f>
        <v>#VALUE!</v>
      </c>
      <c r="CA3" t="e">
        <f>AND(Instructions!D23,"AAAAAFiuu04=")</f>
        <v>#VALUE!</v>
      </c>
      <c r="CB3" t="e">
        <f>AND(Instructions!E23,"AAAAAFiuu08=")</f>
        <v>#VALUE!</v>
      </c>
      <c r="CC3" t="e">
        <f>AND(Instructions!F23,"AAAAAFiuu1A=")</f>
        <v>#VALUE!</v>
      </c>
      <c r="CD3" t="e">
        <f>AND(Instructions!G23,"AAAAAFiuu1E=")</f>
        <v>#VALUE!</v>
      </c>
      <c r="CE3" t="e">
        <f>AND(Instructions!H23,"AAAAAFiuu1I=")</f>
        <v>#VALUE!</v>
      </c>
      <c r="CF3" t="e">
        <f>AND(Instructions!I23,"AAAAAFiuu1M=")</f>
        <v>#VALUE!</v>
      </c>
      <c r="CG3" t="e">
        <f>AND(Instructions!J23,"AAAAAFiuu1Q=")</f>
        <v>#VALUE!</v>
      </c>
      <c r="CH3" t="e">
        <f>AND(Instructions!K23,"AAAAAFiuu1U=")</f>
        <v>#VALUE!</v>
      </c>
      <c r="CI3" t="e">
        <f>AND(Instructions!L23,"AAAAAFiuu1Y=")</f>
        <v>#VALUE!</v>
      </c>
      <c r="CJ3" t="e">
        <f>AND(Instructions!M23,"AAAAAFiuu1c=")</f>
        <v>#VALUE!</v>
      </c>
      <c r="CK3" t="e">
        <f>AND(Instructions!N23,"AAAAAFiuu1g=")</f>
        <v>#VALUE!</v>
      </c>
      <c r="CL3">
        <f>IF(Instructions!24:24,"AAAAAFiuu1k=",0)</f>
        <v>0</v>
      </c>
      <c r="CM3" t="e">
        <f>AND(Instructions!A24,"AAAAAFiuu1o=")</f>
        <v>#VALUE!</v>
      </c>
      <c r="CN3" t="e">
        <f>AND(Instructions!B24,"AAAAAFiuu1s=")</f>
        <v>#VALUE!</v>
      </c>
      <c r="CO3" t="e">
        <f>AND(Instructions!C24,"AAAAAFiuu1w=")</f>
        <v>#VALUE!</v>
      </c>
      <c r="CP3" t="e">
        <f>AND(Instructions!D24,"AAAAAFiuu10=")</f>
        <v>#VALUE!</v>
      </c>
      <c r="CQ3" t="e">
        <f>AND(Instructions!E24,"AAAAAFiuu14=")</f>
        <v>#VALUE!</v>
      </c>
      <c r="CR3" t="e">
        <f>AND(Instructions!F24,"AAAAAFiuu18=")</f>
        <v>#VALUE!</v>
      </c>
      <c r="CS3" t="e">
        <f>AND(Instructions!G24,"AAAAAFiuu2A=")</f>
        <v>#VALUE!</v>
      </c>
      <c r="CT3" t="e">
        <f>AND(Instructions!H24,"AAAAAFiuu2E=")</f>
        <v>#VALUE!</v>
      </c>
      <c r="CU3" t="e">
        <f>AND(Instructions!I24,"AAAAAFiuu2I=")</f>
        <v>#VALUE!</v>
      </c>
      <c r="CV3" t="e">
        <f>AND(Instructions!J24,"AAAAAFiuu2M=")</f>
        <v>#VALUE!</v>
      </c>
      <c r="CW3" t="e">
        <f>AND(Instructions!K24,"AAAAAFiuu2Q=")</f>
        <v>#VALUE!</v>
      </c>
      <c r="CX3" t="e">
        <f>AND(Instructions!L24,"AAAAAFiuu2U=")</f>
        <v>#VALUE!</v>
      </c>
      <c r="CY3" t="e">
        <f>AND(Instructions!M24,"AAAAAFiuu2Y=")</f>
        <v>#VALUE!</v>
      </c>
      <c r="CZ3" t="e">
        <f>AND(Instructions!N24,"AAAAAFiuu2c=")</f>
        <v>#VALUE!</v>
      </c>
      <c r="DA3">
        <f>IF(Instructions!25:25,"AAAAAFiuu2g=",0)</f>
        <v>0</v>
      </c>
      <c r="DB3" t="e">
        <f>AND(Instructions!A25,"AAAAAFiuu2k=")</f>
        <v>#VALUE!</v>
      </c>
      <c r="DC3" t="e">
        <f>AND(Instructions!B25,"AAAAAFiuu2o=")</f>
        <v>#VALUE!</v>
      </c>
      <c r="DD3" t="e">
        <f>AND(Instructions!C25,"AAAAAFiuu2s=")</f>
        <v>#VALUE!</v>
      </c>
      <c r="DE3" t="e">
        <f>AND(Instructions!D25,"AAAAAFiuu2w=")</f>
        <v>#VALUE!</v>
      </c>
      <c r="DF3" t="e">
        <f>AND(Instructions!E25,"AAAAAFiuu20=")</f>
        <v>#VALUE!</v>
      </c>
      <c r="DG3" t="e">
        <f>AND(Instructions!F25,"AAAAAFiuu24=")</f>
        <v>#VALUE!</v>
      </c>
      <c r="DH3" t="e">
        <f>AND(Instructions!G25,"AAAAAFiuu28=")</f>
        <v>#VALUE!</v>
      </c>
      <c r="DI3" t="e">
        <f>AND(Instructions!H25,"AAAAAFiuu3A=")</f>
        <v>#VALUE!</v>
      </c>
      <c r="DJ3" t="e">
        <f>AND(Instructions!I25,"AAAAAFiuu3E=")</f>
        <v>#VALUE!</v>
      </c>
      <c r="DK3" t="e">
        <f>AND(Instructions!J25,"AAAAAFiuu3I=")</f>
        <v>#VALUE!</v>
      </c>
      <c r="DL3" t="e">
        <f>AND(Instructions!K25,"AAAAAFiuu3M=")</f>
        <v>#VALUE!</v>
      </c>
      <c r="DM3" t="e">
        <f>AND(Instructions!L25,"AAAAAFiuu3Q=")</f>
        <v>#VALUE!</v>
      </c>
      <c r="DN3" t="e">
        <f>AND(Instructions!M25,"AAAAAFiuu3U=")</f>
        <v>#VALUE!</v>
      </c>
      <c r="DO3" t="e">
        <f>AND(Instructions!N25,"AAAAAFiuu3Y=")</f>
        <v>#VALUE!</v>
      </c>
      <c r="DP3">
        <f>IF(Instructions!26:26,"AAAAAFiuu3c=",0)</f>
        <v>0</v>
      </c>
      <c r="DQ3" t="e">
        <f>AND(Instructions!A26,"AAAAAFiuu3g=")</f>
        <v>#VALUE!</v>
      </c>
      <c r="DR3" t="e">
        <f>AND(Instructions!B26,"AAAAAFiuu3k=")</f>
        <v>#VALUE!</v>
      </c>
      <c r="DS3" t="e">
        <f>AND(Instructions!C26,"AAAAAFiuu3o=")</f>
        <v>#VALUE!</v>
      </c>
      <c r="DT3" t="e">
        <f>AND(Instructions!D26,"AAAAAFiuu3s=")</f>
        <v>#VALUE!</v>
      </c>
      <c r="DU3" t="e">
        <f>AND(Instructions!E26,"AAAAAFiuu3w=")</f>
        <v>#VALUE!</v>
      </c>
      <c r="DV3" t="e">
        <f>AND(Instructions!F26,"AAAAAFiuu30=")</f>
        <v>#VALUE!</v>
      </c>
      <c r="DW3" t="e">
        <f>AND(Instructions!G26,"AAAAAFiuu34=")</f>
        <v>#VALUE!</v>
      </c>
      <c r="DX3" t="e">
        <f>AND(Instructions!H26,"AAAAAFiuu38=")</f>
        <v>#VALUE!</v>
      </c>
      <c r="DY3" t="e">
        <f>AND(Instructions!I26,"AAAAAFiuu4A=")</f>
        <v>#VALUE!</v>
      </c>
      <c r="DZ3" t="e">
        <f>AND(Instructions!J26,"AAAAAFiuu4E=")</f>
        <v>#VALUE!</v>
      </c>
      <c r="EA3" t="e">
        <f>AND(Instructions!K26,"AAAAAFiuu4I=")</f>
        <v>#VALUE!</v>
      </c>
      <c r="EB3" t="e">
        <f>AND(Instructions!L26,"AAAAAFiuu4M=")</f>
        <v>#VALUE!</v>
      </c>
      <c r="EC3" t="e">
        <f>AND(Instructions!M26,"AAAAAFiuu4Q=")</f>
        <v>#VALUE!</v>
      </c>
      <c r="ED3" t="e">
        <f>AND(Instructions!N26,"AAAAAFiuu4U=")</f>
        <v>#VALUE!</v>
      </c>
      <c r="EE3">
        <f>IF(Instructions!27:27,"AAAAAFiuu4Y=",0)</f>
        <v>0</v>
      </c>
      <c r="EF3" t="e">
        <f>AND(Instructions!A27,"AAAAAFiuu4c=")</f>
        <v>#VALUE!</v>
      </c>
      <c r="EG3" t="e">
        <f>AND(Instructions!B27,"AAAAAFiuu4g=")</f>
        <v>#VALUE!</v>
      </c>
      <c r="EH3" t="e">
        <f>AND(Instructions!C27,"AAAAAFiuu4k=")</f>
        <v>#VALUE!</v>
      </c>
      <c r="EI3" t="e">
        <f>AND(Instructions!D27,"AAAAAFiuu4o=")</f>
        <v>#VALUE!</v>
      </c>
      <c r="EJ3" t="e">
        <f>AND(Instructions!E27,"AAAAAFiuu4s=")</f>
        <v>#VALUE!</v>
      </c>
      <c r="EK3" t="e">
        <f>AND(Instructions!F27,"AAAAAFiuu4w=")</f>
        <v>#VALUE!</v>
      </c>
      <c r="EL3" t="e">
        <f>AND(Instructions!G27,"AAAAAFiuu40=")</f>
        <v>#VALUE!</v>
      </c>
      <c r="EM3" t="e">
        <f>AND(Instructions!H27,"AAAAAFiuu44=")</f>
        <v>#VALUE!</v>
      </c>
      <c r="EN3" t="e">
        <f>AND(Instructions!I27,"AAAAAFiuu48=")</f>
        <v>#VALUE!</v>
      </c>
      <c r="EO3" t="e">
        <f>AND(Instructions!J27,"AAAAAFiuu5A=")</f>
        <v>#VALUE!</v>
      </c>
      <c r="EP3" t="e">
        <f>AND(Instructions!K27,"AAAAAFiuu5E=")</f>
        <v>#VALUE!</v>
      </c>
      <c r="EQ3" t="e">
        <f>AND(Instructions!L27,"AAAAAFiuu5I=")</f>
        <v>#VALUE!</v>
      </c>
      <c r="ER3" t="e">
        <f>AND(Instructions!M27,"AAAAAFiuu5M=")</f>
        <v>#VALUE!</v>
      </c>
      <c r="ES3" t="e">
        <f>AND(Instructions!N27,"AAAAAFiuu5Q=")</f>
        <v>#VALUE!</v>
      </c>
      <c r="ET3">
        <f>IF(Instructions!28:28,"AAAAAFiuu5U=",0)</f>
        <v>0</v>
      </c>
      <c r="EU3" t="e">
        <f>AND(Instructions!A28,"AAAAAFiuu5Y=")</f>
        <v>#VALUE!</v>
      </c>
      <c r="EV3" t="e">
        <f>AND(Instructions!B28,"AAAAAFiuu5c=")</f>
        <v>#VALUE!</v>
      </c>
      <c r="EW3" t="e">
        <f>AND(Instructions!C28,"AAAAAFiuu5g=")</f>
        <v>#VALUE!</v>
      </c>
      <c r="EX3" t="e">
        <f>AND(Instructions!D28,"AAAAAFiuu5k=")</f>
        <v>#VALUE!</v>
      </c>
      <c r="EY3" t="e">
        <f>AND(Instructions!E28,"AAAAAFiuu5o=")</f>
        <v>#VALUE!</v>
      </c>
      <c r="EZ3" t="e">
        <f>AND(Instructions!F28,"AAAAAFiuu5s=")</f>
        <v>#VALUE!</v>
      </c>
      <c r="FA3" t="e">
        <f>AND(Instructions!G28,"AAAAAFiuu5w=")</f>
        <v>#VALUE!</v>
      </c>
      <c r="FB3" t="e">
        <f>AND(Instructions!H28,"AAAAAFiuu50=")</f>
        <v>#VALUE!</v>
      </c>
      <c r="FC3" t="e">
        <f>AND(Instructions!I28,"AAAAAFiuu54=")</f>
        <v>#VALUE!</v>
      </c>
      <c r="FD3" t="e">
        <f>AND(Instructions!J28,"AAAAAFiuu58=")</f>
        <v>#VALUE!</v>
      </c>
      <c r="FE3" t="e">
        <f>AND(Instructions!K28,"AAAAAFiuu6A=")</f>
        <v>#VALUE!</v>
      </c>
      <c r="FF3" t="e">
        <f>AND(Instructions!L28,"AAAAAFiuu6E=")</f>
        <v>#VALUE!</v>
      </c>
      <c r="FG3" t="e">
        <f>AND(Instructions!M28,"AAAAAFiuu6I=")</f>
        <v>#VALUE!</v>
      </c>
      <c r="FH3" t="e">
        <f>AND(Instructions!N28,"AAAAAFiuu6M=")</f>
        <v>#VALUE!</v>
      </c>
      <c r="FI3">
        <f>IF(Instructions!29:29,"AAAAAFiuu6Q=",0)</f>
        <v>0</v>
      </c>
      <c r="FJ3" t="e">
        <f>AND(Instructions!A29,"AAAAAFiuu6U=")</f>
        <v>#VALUE!</v>
      </c>
      <c r="FK3" t="e">
        <f>AND(Instructions!B29,"AAAAAFiuu6Y=")</f>
        <v>#VALUE!</v>
      </c>
      <c r="FL3" t="e">
        <f>AND(Instructions!C29,"AAAAAFiuu6c=")</f>
        <v>#VALUE!</v>
      </c>
      <c r="FM3" t="e">
        <f>AND(Instructions!D29,"AAAAAFiuu6g=")</f>
        <v>#VALUE!</v>
      </c>
      <c r="FN3" t="e">
        <f>AND(Instructions!E29,"AAAAAFiuu6k=")</f>
        <v>#VALUE!</v>
      </c>
      <c r="FO3" t="e">
        <f>AND(Instructions!F29,"AAAAAFiuu6o=")</f>
        <v>#VALUE!</v>
      </c>
      <c r="FP3" t="e">
        <f>AND(Instructions!G29,"AAAAAFiuu6s=")</f>
        <v>#VALUE!</v>
      </c>
      <c r="FQ3" t="e">
        <f>AND(Instructions!H29,"AAAAAFiuu6w=")</f>
        <v>#VALUE!</v>
      </c>
      <c r="FR3" t="e">
        <f>AND(Instructions!I29,"AAAAAFiuu60=")</f>
        <v>#VALUE!</v>
      </c>
      <c r="FS3" t="e">
        <f>AND(Instructions!J29,"AAAAAFiuu64=")</f>
        <v>#VALUE!</v>
      </c>
      <c r="FT3" t="e">
        <f>AND(Instructions!K29,"AAAAAFiuu68=")</f>
        <v>#VALUE!</v>
      </c>
      <c r="FU3" t="e">
        <f>AND(Instructions!L29,"AAAAAFiuu7A=")</f>
        <v>#VALUE!</v>
      </c>
      <c r="FV3" t="e">
        <f>AND(Instructions!M29,"AAAAAFiuu7E=")</f>
        <v>#VALUE!</v>
      </c>
      <c r="FW3" t="e">
        <f>AND(Instructions!N29,"AAAAAFiuu7I=")</f>
        <v>#VALUE!</v>
      </c>
      <c r="FX3">
        <f>IF(Instructions!30:30,"AAAAAFiuu7M=",0)</f>
        <v>0</v>
      </c>
      <c r="FY3" t="e">
        <f>AND(Instructions!A30,"AAAAAFiuu7Q=")</f>
        <v>#VALUE!</v>
      </c>
      <c r="FZ3" t="e">
        <f>AND(Instructions!B30,"AAAAAFiuu7U=")</f>
        <v>#VALUE!</v>
      </c>
      <c r="GA3" t="e">
        <f>AND(Instructions!C30,"AAAAAFiuu7Y=")</f>
        <v>#VALUE!</v>
      </c>
      <c r="GB3" t="e">
        <f>AND(Instructions!D30,"AAAAAFiuu7c=")</f>
        <v>#VALUE!</v>
      </c>
      <c r="GC3" t="e">
        <f>AND(Instructions!E30,"AAAAAFiuu7g=")</f>
        <v>#VALUE!</v>
      </c>
      <c r="GD3" t="e">
        <f>AND(Instructions!F30,"AAAAAFiuu7k=")</f>
        <v>#VALUE!</v>
      </c>
      <c r="GE3" t="e">
        <f>AND(Instructions!G30,"AAAAAFiuu7o=")</f>
        <v>#VALUE!</v>
      </c>
      <c r="GF3" t="e">
        <f>AND(Instructions!H30,"AAAAAFiuu7s=")</f>
        <v>#VALUE!</v>
      </c>
      <c r="GG3" t="e">
        <f>AND(Instructions!I30,"AAAAAFiuu7w=")</f>
        <v>#VALUE!</v>
      </c>
      <c r="GH3" t="e">
        <f>AND(Instructions!J30,"AAAAAFiuu70=")</f>
        <v>#VALUE!</v>
      </c>
      <c r="GI3" t="e">
        <f>AND(Instructions!K30,"AAAAAFiuu74=")</f>
        <v>#VALUE!</v>
      </c>
      <c r="GJ3" t="e">
        <f>AND(Instructions!L30,"AAAAAFiuu78=")</f>
        <v>#VALUE!</v>
      </c>
      <c r="GK3" t="e">
        <f>AND(Instructions!M30,"AAAAAFiuu8A=")</f>
        <v>#VALUE!</v>
      </c>
      <c r="GL3" t="e">
        <f>AND(Instructions!N30,"AAAAAFiuu8E=")</f>
        <v>#VALUE!</v>
      </c>
      <c r="GM3">
        <f>IF(Instructions!31:31,"AAAAAFiuu8I=",0)</f>
        <v>0</v>
      </c>
      <c r="GN3" t="e">
        <f>AND(Instructions!A31,"AAAAAFiuu8M=")</f>
        <v>#VALUE!</v>
      </c>
      <c r="GO3" t="e">
        <f>AND(Instructions!B31,"AAAAAFiuu8Q=")</f>
        <v>#VALUE!</v>
      </c>
      <c r="GP3" t="e">
        <f>AND(Instructions!C31,"AAAAAFiuu8U=")</f>
        <v>#VALUE!</v>
      </c>
      <c r="GQ3" t="e">
        <f>AND(Instructions!D31,"AAAAAFiuu8Y=")</f>
        <v>#VALUE!</v>
      </c>
      <c r="GR3" t="e">
        <f>AND(Instructions!E31,"AAAAAFiuu8c=")</f>
        <v>#VALUE!</v>
      </c>
      <c r="GS3" t="e">
        <f>AND(Instructions!F31,"AAAAAFiuu8g=")</f>
        <v>#VALUE!</v>
      </c>
      <c r="GT3" t="e">
        <f>AND(Instructions!G31,"AAAAAFiuu8k=")</f>
        <v>#VALUE!</v>
      </c>
      <c r="GU3" t="e">
        <f>AND(Instructions!H31,"AAAAAFiuu8o=")</f>
        <v>#VALUE!</v>
      </c>
      <c r="GV3" t="e">
        <f>AND(Instructions!I31,"AAAAAFiuu8s=")</f>
        <v>#VALUE!</v>
      </c>
      <c r="GW3" t="e">
        <f>AND(Instructions!J31,"AAAAAFiuu8w=")</f>
        <v>#VALUE!</v>
      </c>
      <c r="GX3" t="e">
        <f>AND(Instructions!K31,"AAAAAFiuu80=")</f>
        <v>#VALUE!</v>
      </c>
      <c r="GY3" t="e">
        <f>AND(Instructions!L31,"AAAAAFiuu84=")</f>
        <v>#VALUE!</v>
      </c>
      <c r="GZ3" t="e">
        <f>AND(Instructions!M31,"AAAAAFiuu88=")</f>
        <v>#VALUE!</v>
      </c>
      <c r="HA3" t="e">
        <f>AND(Instructions!N31,"AAAAAFiuu9A=")</f>
        <v>#VALUE!</v>
      </c>
      <c r="HB3">
        <f>IF(Instructions!32:32,"AAAAAFiuu9E=",0)</f>
        <v>0</v>
      </c>
      <c r="HC3" t="e">
        <f>AND(Instructions!A32,"AAAAAFiuu9I=")</f>
        <v>#VALUE!</v>
      </c>
      <c r="HD3" t="e">
        <f>AND(Instructions!B32,"AAAAAFiuu9M=")</f>
        <v>#VALUE!</v>
      </c>
      <c r="HE3" t="e">
        <f>AND(Instructions!C32,"AAAAAFiuu9Q=")</f>
        <v>#VALUE!</v>
      </c>
      <c r="HF3" t="e">
        <f>AND(Instructions!D32,"AAAAAFiuu9U=")</f>
        <v>#VALUE!</v>
      </c>
      <c r="HG3" t="e">
        <f>AND(Instructions!E32,"AAAAAFiuu9Y=")</f>
        <v>#VALUE!</v>
      </c>
      <c r="HH3" t="e">
        <f>AND(Instructions!F32,"AAAAAFiuu9c=")</f>
        <v>#VALUE!</v>
      </c>
      <c r="HI3" t="e">
        <f>AND(Instructions!G32,"AAAAAFiuu9g=")</f>
        <v>#VALUE!</v>
      </c>
      <c r="HJ3" t="e">
        <f>AND(Instructions!H32,"AAAAAFiuu9k=")</f>
        <v>#VALUE!</v>
      </c>
      <c r="HK3" t="e">
        <f>AND(Instructions!I32,"AAAAAFiuu9o=")</f>
        <v>#VALUE!</v>
      </c>
      <c r="HL3" t="e">
        <f>AND(Instructions!J32,"AAAAAFiuu9s=")</f>
        <v>#VALUE!</v>
      </c>
      <c r="HM3" t="e">
        <f>AND(Instructions!K32,"AAAAAFiuu9w=")</f>
        <v>#VALUE!</v>
      </c>
      <c r="HN3" t="e">
        <f>AND(Instructions!L32,"AAAAAFiuu90=")</f>
        <v>#VALUE!</v>
      </c>
      <c r="HO3" t="e">
        <f>AND(Instructions!M32,"AAAAAFiuu94=")</f>
        <v>#VALUE!</v>
      </c>
      <c r="HP3" t="e">
        <f>AND(Instructions!N32,"AAAAAFiuu98=")</f>
        <v>#VALUE!</v>
      </c>
      <c r="HQ3">
        <f>IF(Instructions!33:33,"AAAAAFiuu+A=",0)</f>
        <v>0</v>
      </c>
      <c r="HR3" t="e">
        <f>AND(Instructions!A33,"AAAAAFiuu+E=")</f>
        <v>#VALUE!</v>
      </c>
      <c r="HS3" t="e">
        <f>AND(Instructions!B33,"AAAAAFiuu+I=")</f>
        <v>#VALUE!</v>
      </c>
      <c r="HT3" t="e">
        <f>AND(Instructions!C33,"AAAAAFiuu+M=")</f>
        <v>#VALUE!</v>
      </c>
      <c r="HU3" t="e">
        <f>AND(Instructions!D33,"AAAAAFiuu+Q=")</f>
        <v>#VALUE!</v>
      </c>
      <c r="HV3" t="e">
        <f>AND(Instructions!E33,"AAAAAFiuu+U=")</f>
        <v>#VALUE!</v>
      </c>
      <c r="HW3" t="e">
        <f>AND(Instructions!F33,"AAAAAFiuu+Y=")</f>
        <v>#VALUE!</v>
      </c>
      <c r="HX3" t="e">
        <f>AND(Instructions!G33,"AAAAAFiuu+c=")</f>
        <v>#VALUE!</v>
      </c>
      <c r="HY3" t="e">
        <f>AND(Instructions!H33,"AAAAAFiuu+g=")</f>
        <v>#VALUE!</v>
      </c>
      <c r="HZ3" t="e">
        <f>AND(Instructions!I33,"AAAAAFiuu+k=")</f>
        <v>#VALUE!</v>
      </c>
      <c r="IA3" t="e">
        <f>AND(Instructions!J33,"AAAAAFiuu+o=")</f>
        <v>#VALUE!</v>
      </c>
      <c r="IB3" t="e">
        <f>AND(Instructions!K33,"AAAAAFiuu+s=")</f>
        <v>#VALUE!</v>
      </c>
      <c r="IC3" t="e">
        <f>AND(Instructions!L33,"AAAAAFiuu+w=")</f>
        <v>#VALUE!</v>
      </c>
      <c r="ID3" t="e">
        <f>AND(Instructions!M33,"AAAAAFiuu+0=")</f>
        <v>#VALUE!</v>
      </c>
      <c r="IE3" t="e">
        <f>AND(Instructions!N33,"AAAAAFiuu+4=")</f>
        <v>#VALUE!</v>
      </c>
      <c r="IF3">
        <f>IF(Instructions!34:34,"AAAAAFiuu+8=",0)</f>
        <v>0</v>
      </c>
      <c r="IG3" t="e">
        <f>AND(Instructions!A34,"AAAAAFiuu/A=")</f>
        <v>#VALUE!</v>
      </c>
      <c r="IH3" t="e">
        <f>AND(Instructions!B34,"AAAAAFiuu/E=")</f>
        <v>#VALUE!</v>
      </c>
      <c r="II3" t="e">
        <f>AND(Instructions!C34,"AAAAAFiuu/I=")</f>
        <v>#VALUE!</v>
      </c>
      <c r="IJ3" t="e">
        <f>AND(Instructions!D34,"AAAAAFiuu/M=")</f>
        <v>#VALUE!</v>
      </c>
      <c r="IK3" t="e">
        <f>AND(Instructions!E34,"AAAAAFiuu/Q=")</f>
        <v>#VALUE!</v>
      </c>
      <c r="IL3" t="e">
        <f>AND(Instructions!F34,"AAAAAFiuu/U=")</f>
        <v>#VALUE!</v>
      </c>
      <c r="IM3" t="e">
        <f>AND(Instructions!G34,"AAAAAFiuu/Y=")</f>
        <v>#VALUE!</v>
      </c>
      <c r="IN3" t="e">
        <f>AND(Instructions!H34,"AAAAAFiuu/c=")</f>
        <v>#VALUE!</v>
      </c>
      <c r="IO3" t="e">
        <f>AND(Instructions!I34,"AAAAAFiuu/g=")</f>
        <v>#VALUE!</v>
      </c>
      <c r="IP3" t="e">
        <f>AND(Instructions!J34,"AAAAAFiuu/k=")</f>
        <v>#VALUE!</v>
      </c>
      <c r="IQ3" t="e">
        <f>AND(Instructions!K34,"AAAAAFiuu/o=")</f>
        <v>#VALUE!</v>
      </c>
      <c r="IR3" t="e">
        <f>AND(Instructions!L34,"AAAAAFiuu/s=")</f>
        <v>#VALUE!</v>
      </c>
      <c r="IS3" t="e">
        <f>AND(Instructions!M34,"AAAAAFiuu/w=")</f>
        <v>#VALUE!</v>
      </c>
      <c r="IT3" t="e">
        <f>AND(Instructions!N34,"AAAAAFiuu/0=")</f>
        <v>#VALUE!</v>
      </c>
      <c r="IU3">
        <f>IF(Instructions!35:35,"AAAAAFiuu/4=",0)</f>
        <v>0</v>
      </c>
      <c r="IV3" t="e">
        <f>AND(Instructions!A35,"AAAAAFiuu/8=")</f>
        <v>#VALUE!</v>
      </c>
    </row>
    <row r="4" spans="1:256" x14ac:dyDescent="0.2">
      <c r="A4" t="e">
        <f>AND(Instructions!B35,"AAAAAFy8/wA=")</f>
        <v>#VALUE!</v>
      </c>
      <c r="B4" t="e">
        <f>AND(Instructions!C35,"AAAAAFy8/wE=")</f>
        <v>#VALUE!</v>
      </c>
      <c r="C4" t="e">
        <f>AND(Instructions!D35,"AAAAAFy8/wI=")</f>
        <v>#VALUE!</v>
      </c>
      <c r="D4" t="e">
        <f>AND(Instructions!E35,"AAAAAFy8/wM=")</f>
        <v>#VALUE!</v>
      </c>
      <c r="E4" t="e">
        <f>AND(Instructions!F35,"AAAAAFy8/wQ=")</f>
        <v>#VALUE!</v>
      </c>
      <c r="F4" t="e">
        <f>AND(Instructions!G35,"AAAAAFy8/wU=")</f>
        <v>#VALUE!</v>
      </c>
      <c r="G4" t="e">
        <f>AND(Instructions!H35,"AAAAAFy8/wY=")</f>
        <v>#VALUE!</v>
      </c>
      <c r="H4" t="e">
        <f>AND(Instructions!I35,"AAAAAFy8/wc=")</f>
        <v>#VALUE!</v>
      </c>
      <c r="I4" t="e">
        <f>AND(Instructions!J35,"AAAAAFy8/wg=")</f>
        <v>#VALUE!</v>
      </c>
      <c r="J4" t="e">
        <f>AND(Instructions!K35,"AAAAAFy8/wk=")</f>
        <v>#VALUE!</v>
      </c>
      <c r="K4" t="e">
        <f>AND(Instructions!L35,"AAAAAFy8/wo=")</f>
        <v>#VALUE!</v>
      </c>
      <c r="L4" t="e">
        <f>AND(Instructions!M35,"AAAAAFy8/ws=")</f>
        <v>#VALUE!</v>
      </c>
      <c r="M4" t="e">
        <f>AND(Instructions!N35,"AAAAAFy8/ww=")</f>
        <v>#VALUE!</v>
      </c>
      <c r="N4">
        <f>IF(Instructions!36:36,"AAAAAFy8/w0=",0)</f>
        <v>0</v>
      </c>
      <c r="O4" t="e">
        <f>AND(Instructions!A36,"AAAAAFy8/w4=")</f>
        <v>#VALUE!</v>
      </c>
      <c r="P4" t="e">
        <f>AND(Instructions!B36,"AAAAAFy8/w8=")</f>
        <v>#VALUE!</v>
      </c>
      <c r="Q4" t="e">
        <f>AND(Instructions!C36,"AAAAAFy8/xA=")</f>
        <v>#VALUE!</v>
      </c>
      <c r="R4" t="e">
        <f>AND(Instructions!D36,"AAAAAFy8/xE=")</f>
        <v>#VALUE!</v>
      </c>
      <c r="S4" t="e">
        <f>AND(Instructions!E36,"AAAAAFy8/xI=")</f>
        <v>#VALUE!</v>
      </c>
      <c r="T4" t="e">
        <f>AND(Instructions!F36,"AAAAAFy8/xM=")</f>
        <v>#VALUE!</v>
      </c>
      <c r="U4" t="e">
        <f>AND(Instructions!G36,"AAAAAFy8/xQ=")</f>
        <v>#VALUE!</v>
      </c>
      <c r="V4" t="e">
        <f>AND(Instructions!H36,"AAAAAFy8/xU=")</f>
        <v>#VALUE!</v>
      </c>
      <c r="W4" t="e">
        <f>AND(Instructions!I36,"AAAAAFy8/xY=")</f>
        <v>#VALUE!</v>
      </c>
      <c r="X4" t="e">
        <f>AND(Instructions!J36,"AAAAAFy8/xc=")</f>
        <v>#VALUE!</v>
      </c>
      <c r="Y4" t="e">
        <f>AND(Instructions!K36,"AAAAAFy8/xg=")</f>
        <v>#VALUE!</v>
      </c>
      <c r="Z4" t="e">
        <f>AND(Instructions!L36,"AAAAAFy8/xk=")</f>
        <v>#VALUE!</v>
      </c>
      <c r="AA4" t="e">
        <f>AND(Instructions!M36,"AAAAAFy8/xo=")</f>
        <v>#VALUE!</v>
      </c>
      <c r="AB4" t="e">
        <f>AND(Instructions!N36,"AAAAAFy8/xs=")</f>
        <v>#VALUE!</v>
      </c>
      <c r="AC4">
        <f>IF(Instructions!37:37,"AAAAAFy8/xw=",0)</f>
        <v>0</v>
      </c>
      <c r="AD4" t="e">
        <f>AND(Instructions!A37,"AAAAAFy8/x0=")</f>
        <v>#VALUE!</v>
      </c>
      <c r="AE4" t="e">
        <f>AND(Instructions!B37,"AAAAAFy8/x4=")</f>
        <v>#VALUE!</v>
      </c>
      <c r="AF4" t="e">
        <f>AND(Instructions!C37,"AAAAAFy8/x8=")</f>
        <v>#VALUE!</v>
      </c>
      <c r="AG4" t="e">
        <f>AND(Instructions!D37,"AAAAAFy8/yA=")</f>
        <v>#VALUE!</v>
      </c>
      <c r="AH4" t="e">
        <f>AND(Instructions!E37,"AAAAAFy8/yE=")</f>
        <v>#VALUE!</v>
      </c>
      <c r="AI4" t="e">
        <f>AND(Instructions!F37,"AAAAAFy8/yI=")</f>
        <v>#VALUE!</v>
      </c>
      <c r="AJ4" t="e">
        <f>AND(Instructions!G37,"AAAAAFy8/yM=")</f>
        <v>#VALUE!</v>
      </c>
      <c r="AK4" t="e">
        <f>AND(Instructions!H37,"AAAAAFy8/yQ=")</f>
        <v>#VALUE!</v>
      </c>
      <c r="AL4" t="e">
        <f>AND(Instructions!I37,"AAAAAFy8/yU=")</f>
        <v>#VALUE!</v>
      </c>
      <c r="AM4" t="e">
        <f>AND(Instructions!J37,"AAAAAFy8/yY=")</f>
        <v>#VALUE!</v>
      </c>
      <c r="AN4" t="e">
        <f>AND(Instructions!K37,"AAAAAFy8/yc=")</f>
        <v>#VALUE!</v>
      </c>
      <c r="AO4" t="e">
        <f>AND(Instructions!L37,"AAAAAFy8/yg=")</f>
        <v>#VALUE!</v>
      </c>
      <c r="AP4" t="e">
        <f>AND(Instructions!M37,"AAAAAFy8/yk=")</f>
        <v>#VALUE!</v>
      </c>
      <c r="AQ4" t="e">
        <f>AND(Instructions!N37,"AAAAAFy8/yo=")</f>
        <v>#VALUE!</v>
      </c>
      <c r="AR4">
        <f>IF(Instructions!38:38,"AAAAAFy8/ys=",0)</f>
        <v>0</v>
      </c>
      <c r="AS4" t="e">
        <f>AND(Instructions!A38,"AAAAAFy8/yw=")</f>
        <v>#VALUE!</v>
      </c>
      <c r="AT4" t="e">
        <f>AND(Instructions!B38,"AAAAAFy8/y0=")</f>
        <v>#VALUE!</v>
      </c>
      <c r="AU4" t="e">
        <f>AND(Instructions!C38,"AAAAAFy8/y4=")</f>
        <v>#VALUE!</v>
      </c>
      <c r="AV4" t="e">
        <f>AND(Instructions!D38,"AAAAAFy8/y8=")</f>
        <v>#VALUE!</v>
      </c>
      <c r="AW4" t="e">
        <f>AND(Instructions!E38,"AAAAAFy8/zA=")</f>
        <v>#VALUE!</v>
      </c>
      <c r="AX4" t="e">
        <f>AND(Instructions!F38,"AAAAAFy8/zE=")</f>
        <v>#VALUE!</v>
      </c>
      <c r="AY4" t="e">
        <f>AND(Instructions!G38,"AAAAAFy8/zI=")</f>
        <v>#VALUE!</v>
      </c>
      <c r="AZ4" t="e">
        <f>AND(Instructions!H38,"AAAAAFy8/zM=")</f>
        <v>#VALUE!</v>
      </c>
      <c r="BA4" t="e">
        <f>AND(Instructions!I38,"AAAAAFy8/zQ=")</f>
        <v>#VALUE!</v>
      </c>
      <c r="BB4" t="e">
        <f>AND(Instructions!J38,"AAAAAFy8/zU=")</f>
        <v>#VALUE!</v>
      </c>
      <c r="BC4" t="e">
        <f>AND(Instructions!K38,"AAAAAFy8/zY=")</f>
        <v>#VALUE!</v>
      </c>
      <c r="BD4" t="e">
        <f>AND(Instructions!L38,"AAAAAFy8/zc=")</f>
        <v>#VALUE!</v>
      </c>
      <c r="BE4" t="e">
        <f>AND(Instructions!M38,"AAAAAFy8/zg=")</f>
        <v>#VALUE!</v>
      </c>
      <c r="BF4" t="e">
        <f>AND(Instructions!N38,"AAAAAFy8/zk=")</f>
        <v>#VALUE!</v>
      </c>
      <c r="BG4">
        <f>IF(Instructions!39:39,"AAAAAFy8/zo=",0)</f>
        <v>0</v>
      </c>
      <c r="BH4" t="e">
        <f>AND(Instructions!A39,"AAAAAFy8/zs=")</f>
        <v>#VALUE!</v>
      </c>
      <c r="BI4" t="e">
        <f>AND(Instructions!B39,"AAAAAFy8/zw=")</f>
        <v>#VALUE!</v>
      </c>
      <c r="BJ4" t="e">
        <f>AND(Instructions!C39,"AAAAAFy8/z0=")</f>
        <v>#VALUE!</v>
      </c>
      <c r="BK4" t="e">
        <f>AND(Instructions!D39,"AAAAAFy8/z4=")</f>
        <v>#VALUE!</v>
      </c>
      <c r="BL4" t="e">
        <f>AND(Instructions!E39,"AAAAAFy8/z8=")</f>
        <v>#VALUE!</v>
      </c>
      <c r="BM4" t="e">
        <f>AND(Instructions!F39,"AAAAAFy8/0A=")</f>
        <v>#VALUE!</v>
      </c>
      <c r="BN4" t="e">
        <f>AND(Instructions!G39,"AAAAAFy8/0E=")</f>
        <v>#VALUE!</v>
      </c>
      <c r="BO4" t="e">
        <f>AND(Instructions!H39,"AAAAAFy8/0I=")</f>
        <v>#VALUE!</v>
      </c>
      <c r="BP4" t="e">
        <f>AND(Instructions!I39,"AAAAAFy8/0M=")</f>
        <v>#VALUE!</v>
      </c>
      <c r="BQ4" t="e">
        <f>AND(Instructions!J39,"AAAAAFy8/0Q=")</f>
        <v>#VALUE!</v>
      </c>
      <c r="BR4" t="e">
        <f>AND(Instructions!K39,"AAAAAFy8/0U=")</f>
        <v>#VALUE!</v>
      </c>
      <c r="BS4" t="e">
        <f>AND(Instructions!L39,"AAAAAFy8/0Y=")</f>
        <v>#VALUE!</v>
      </c>
      <c r="BT4" t="e">
        <f>AND(Instructions!M39,"AAAAAFy8/0c=")</f>
        <v>#VALUE!</v>
      </c>
      <c r="BU4" t="e">
        <f>AND(Instructions!N39,"AAAAAFy8/0g=")</f>
        <v>#VALUE!</v>
      </c>
      <c r="BV4">
        <f>IF(Instructions!40:40,"AAAAAFy8/0k=",0)</f>
        <v>0</v>
      </c>
      <c r="BW4" t="e">
        <f>AND(Instructions!A40,"AAAAAFy8/0o=")</f>
        <v>#VALUE!</v>
      </c>
      <c r="BX4" t="e">
        <f>AND(Instructions!B40,"AAAAAFy8/0s=")</f>
        <v>#VALUE!</v>
      </c>
      <c r="BY4" t="e">
        <f>AND(Instructions!C40,"AAAAAFy8/0w=")</f>
        <v>#VALUE!</v>
      </c>
      <c r="BZ4" t="e">
        <f>AND(Instructions!D40,"AAAAAFy8/00=")</f>
        <v>#VALUE!</v>
      </c>
      <c r="CA4" t="e">
        <f>AND(Instructions!E40,"AAAAAFy8/04=")</f>
        <v>#VALUE!</v>
      </c>
      <c r="CB4" t="e">
        <f>AND(Instructions!F40,"AAAAAFy8/08=")</f>
        <v>#VALUE!</v>
      </c>
      <c r="CC4" t="e">
        <f>AND(Instructions!G40,"AAAAAFy8/1A=")</f>
        <v>#VALUE!</v>
      </c>
      <c r="CD4" t="e">
        <f>AND(Instructions!H40,"AAAAAFy8/1E=")</f>
        <v>#VALUE!</v>
      </c>
      <c r="CE4" t="e">
        <f>AND(Instructions!I40,"AAAAAFy8/1I=")</f>
        <v>#VALUE!</v>
      </c>
      <c r="CF4" t="e">
        <f>AND(Instructions!J40,"AAAAAFy8/1M=")</f>
        <v>#VALUE!</v>
      </c>
      <c r="CG4" t="e">
        <f>AND(Instructions!K40,"AAAAAFy8/1Q=")</f>
        <v>#VALUE!</v>
      </c>
      <c r="CH4" t="e">
        <f>AND(Instructions!L40,"AAAAAFy8/1U=")</f>
        <v>#VALUE!</v>
      </c>
      <c r="CI4" t="e">
        <f>AND(Instructions!M40,"AAAAAFy8/1Y=")</f>
        <v>#VALUE!</v>
      </c>
      <c r="CJ4" t="e">
        <f>AND(Instructions!N40,"AAAAAFy8/1c=")</f>
        <v>#VALUE!</v>
      </c>
      <c r="CK4">
        <f>IF(Instructions!41:41,"AAAAAFy8/1g=",0)</f>
        <v>0</v>
      </c>
      <c r="CL4" t="e">
        <f>AND(Instructions!A41,"AAAAAFy8/1k=")</f>
        <v>#VALUE!</v>
      </c>
      <c r="CM4" t="e">
        <f>AND(Instructions!B41,"AAAAAFy8/1o=")</f>
        <v>#VALUE!</v>
      </c>
      <c r="CN4" t="e">
        <f>AND(Instructions!C41,"AAAAAFy8/1s=")</f>
        <v>#VALUE!</v>
      </c>
      <c r="CO4" t="e">
        <f>AND(Instructions!D41,"AAAAAFy8/1w=")</f>
        <v>#VALUE!</v>
      </c>
      <c r="CP4" t="e">
        <f>AND(Instructions!E41,"AAAAAFy8/10=")</f>
        <v>#VALUE!</v>
      </c>
      <c r="CQ4" t="e">
        <f>AND(Instructions!F41,"AAAAAFy8/14=")</f>
        <v>#VALUE!</v>
      </c>
      <c r="CR4" t="e">
        <f>AND(Instructions!G41,"AAAAAFy8/18=")</f>
        <v>#VALUE!</v>
      </c>
      <c r="CS4" t="e">
        <f>AND(Instructions!H41,"AAAAAFy8/2A=")</f>
        <v>#VALUE!</v>
      </c>
      <c r="CT4" t="e">
        <f>AND(Instructions!I41,"AAAAAFy8/2E=")</f>
        <v>#VALUE!</v>
      </c>
      <c r="CU4" t="e">
        <f>AND(Instructions!J41,"AAAAAFy8/2I=")</f>
        <v>#VALUE!</v>
      </c>
      <c r="CV4" t="e">
        <f>AND(Instructions!K41,"AAAAAFy8/2M=")</f>
        <v>#VALUE!</v>
      </c>
      <c r="CW4" t="e">
        <f>AND(Instructions!L41,"AAAAAFy8/2Q=")</f>
        <v>#VALUE!</v>
      </c>
      <c r="CX4" t="e">
        <f>AND(Instructions!M41,"AAAAAFy8/2U=")</f>
        <v>#VALUE!</v>
      </c>
      <c r="CY4" t="e">
        <f>AND(Instructions!N41,"AAAAAFy8/2Y=")</f>
        <v>#VALUE!</v>
      </c>
      <c r="CZ4">
        <f>IF(Instructions!42:42,"AAAAAFy8/2c=",0)</f>
        <v>0</v>
      </c>
      <c r="DA4" t="e">
        <f>AND(Instructions!A42,"AAAAAFy8/2g=")</f>
        <v>#VALUE!</v>
      </c>
      <c r="DB4" t="e">
        <f>AND(Instructions!B42,"AAAAAFy8/2k=")</f>
        <v>#VALUE!</v>
      </c>
      <c r="DC4" t="e">
        <f>AND(Instructions!C42,"AAAAAFy8/2o=")</f>
        <v>#VALUE!</v>
      </c>
      <c r="DD4" t="e">
        <f>AND(Instructions!D42,"AAAAAFy8/2s=")</f>
        <v>#VALUE!</v>
      </c>
      <c r="DE4" t="e">
        <f>AND(Instructions!E42,"AAAAAFy8/2w=")</f>
        <v>#VALUE!</v>
      </c>
      <c r="DF4" t="e">
        <f>AND(Instructions!F42,"AAAAAFy8/20=")</f>
        <v>#VALUE!</v>
      </c>
      <c r="DG4" t="e">
        <f>AND(Instructions!G42,"AAAAAFy8/24=")</f>
        <v>#VALUE!</v>
      </c>
      <c r="DH4" t="e">
        <f>AND(Instructions!H42,"AAAAAFy8/28=")</f>
        <v>#VALUE!</v>
      </c>
      <c r="DI4" t="e">
        <f>AND(Instructions!I42,"AAAAAFy8/3A=")</f>
        <v>#VALUE!</v>
      </c>
      <c r="DJ4" t="e">
        <f>AND(Instructions!J42,"AAAAAFy8/3E=")</f>
        <v>#VALUE!</v>
      </c>
      <c r="DK4" t="e">
        <f>AND(Instructions!K42,"AAAAAFy8/3I=")</f>
        <v>#VALUE!</v>
      </c>
      <c r="DL4" t="e">
        <f>AND(Instructions!L42,"AAAAAFy8/3M=")</f>
        <v>#VALUE!</v>
      </c>
      <c r="DM4" t="e">
        <f>AND(Instructions!M42,"AAAAAFy8/3Q=")</f>
        <v>#VALUE!</v>
      </c>
      <c r="DN4" t="e">
        <f>AND(Instructions!N42,"AAAAAFy8/3U=")</f>
        <v>#VALUE!</v>
      </c>
      <c r="DO4">
        <f>IF(Instructions!43:43,"AAAAAFy8/3Y=",0)</f>
        <v>0</v>
      </c>
      <c r="DP4" t="e">
        <f>AND(Instructions!A43,"AAAAAFy8/3c=")</f>
        <v>#VALUE!</v>
      </c>
      <c r="DQ4" t="e">
        <f>AND(Instructions!B43,"AAAAAFy8/3g=")</f>
        <v>#VALUE!</v>
      </c>
      <c r="DR4" t="e">
        <f>AND(Instructions!C43,"AAAAAFy8/3k=")</f>
        <v>#VALUE!</v>
      </c>
      <c r="DS4" t="e">
        <f>AND(Instructions!D43,"AAAAAFy8/3o=")</f>
        <v>#VALUE!</v>
      </c>
      <c r="DT4" t="e">
        <f>AND(Instructions!E43,"AAAAAFy8/3s=")</f>
        <v>#VALUE!</v>
      </c>
      <c r="DU4" t="e">
        <f>AND(Instructions!F43,"AAAAAFy8/3w=")</f>
        <v>#VALUE!</v>
      </c>
      <c r="DV4" t="e">
        <f>AND(Instructions!G43,"AAAAAFy8/30=")</f>
        <v>#VALUE!</v>
      </c>
      <c r="DW4" t="e">
        <f>AND(Instructions!H43,"AAAAAFy8/34=")</f>
        <v>#VALUE!</v>
      </c>
      <c r="DX4" t="e">
        <f>AND(Instructions!I43,"AAAAAFy8/38=")</f>
        <v>#VALUE!</v>
      </c>
      <c r="DY4" t="e">
        <f>AND(Instructions!J43,"AAAAAFy8/4A=")</f>
        <v>#VALUE!</v>
      </c>
      <c r="DZ4" t="e">
        <f>AND(Instructions!K43,"AAAAAFy8/4E=")</f>
        <v>#VALUE!</v>
      </c>
      <c r="EA4" t="e">
        <f>AND(Instructions!L43,"AAAAAFy8/4I=")</f>
        <v>#VALUE!</v>
      </c>
      <c r="EB4" t="e">
        <f>AND(Instructions!M43,"AAAAAFy8/4M=")</f>
        <v>#VALUE!</v>
      </c>
      <c r="EC4" t="e">
        <f>AND(Instructions!N43,"AAAAAFy8/4Q=")</f>
        <v>#VALUE!</v>
      </c>
      <c r="ED4">
        <f>IF(Instructions!44:44,"AAAAAFy8/4U=",0)</f>
        <v>0</v>
      </c>
      <c r="EE4" t="e">
        <f>AND(Instructions!A44,"AAAAAFy8/4Y=")</f>
        <v>#VALUE!</v>
      </c>
      <c r="EF4" t="e">
        <f>AND(Instructions!B44,"AAAAAFy8/4c=")</f>
        <v>#VALUE!</v>
      </c>
      <c r="EG4" t="e">
        <f>AND(Instructions!C44,"AAAAAFy8/4g=")</f>
        <v>#VALUE!</v>
      </c>
      <c r="EH4" t="e">
        <f>AND(Instructions!D44,"AAAAAFy8/4k=")</f>
        <v>#VALUE!</v>
      </c>
      <c r="EI4" t="e">
        <f>AND(Instructions!E44,"AAAAAFy8/4o=")</f>
        <v>#VALUE!</v>
      </c>
      <c r="EJ4" t="e">
        <f>AND(Instructions!F44,"AAAAAFy8/4s=")</f>
        <v>#VALUE!</v>
      </c>
      <c r="EK4" t="e">
        <f>AND(Instructions!G44,"AAAAAFy8/4w=")</f>
        <v>#VALUE!</v>
      </c>
      <c r="EL4" t="e">
        <f>AND(Instructions!H44,"AAAAAFy8/40=")</f>
        <v>#VALUE!</v>
      </c>
      <c r="EM4" t="e">
        <f>AND(Instructions!I44,"AAAAAFy8/44=")</f>
        <v>#VALUE!</v>
      </c>
      <c r="EN4" t="e">
        <f>AND(Instructions!J44,"AAAAAFy8/48=")</f>
        <v>#VALUE!</v>
      </c>
      <c r="EO4" t="e">
        <f>AND(Instructions!K44,"AAAAAFy8/5A=")</f>
        <v>#VALUE!</v>
      </c>
      <c r="EP4" t="e">
        <f>AND(Instructions!L44,"AAAAAFy8/5E=")</f>
        <v>#VALUE!</v>
      </c>
      <c r="EQ4" t="e">
        <f>AND(Instructions!M44,"AAAAAFy8/5I=")</f>
        <v>#VALUE!</v>
      </c>
      <c r="ER4" t="e">
        <f>AND(Instructions!N44,"AAAAAFy8/5M=")</f>
        <v>#VALUE!</v>
      </c>
      <c r="ES4">
        <f>IF(Instructions!45:45,"AAAAAFy8/5Q=",0)</f>
        <v>0</v>
      </c>
      <c r="ET4" t="e">
        <f>AND(Instructions!A45,"AAAAAFy8/5U=")</f>
        <v>#VALUE!</v>
      </c>
      <c r="EU4" t="e">
        <f>AND(Instructions!B45,"AAAAAFy8/5Y=")</f>
        <v>#VALUE!</v>
      </c>
      <c r="EV4" t="e">
        <f>AND(Instructions!C45,"AAAAAFy8/5c=")</f>
        <v>#VALUE!</v>
      </c>
      <c r="EW4" t="e">
        <f>AND(Instructions!D45,"AAAAAFy8/5g=")</f>
        <v>#VALUE!</v>
      </c>
      <c r="EX4" t="e">
        <f>AND(Instructions!E45,"AAAAAFy8/5k=")</f>
        <v>#VALUE!</v>
      </c>
      <c r="EY4" t="e">
        <f>AND(Instructions!F45,"AAAAAFy8/5o=")</f>
        <v>#VALUE!</v>
      </c>
      <c r="EZ4" t="e">
        <f>AND(Instructions!G45,"AAAAAFy8/5s=")</f>
        <v>#VALUE!</v>
      </c>
      <c r="FA4" t="e">
        <f>AND(Instructions!H45,"AAAAAFy8/5w=")</f>
        <v>#VALUE!</v>
      </c>
      <c r="FB4" t="e">
        <f>AND(Instructions!I45,"AAAAAFy8/50=")</f>
        <v>#VALUE!</v>
      </c>
      <c r="FC4" t="e">
        <f>AND(Instructions!J45,"AAAAAFy8/54=")</f>
        <v>#VALUE!</v>
      </c>
      <c r="FD4" t="e">
        <f>AND(Instructions!K45,"AAAAAFy8/58=")</f>
        <v>#VALUE!</v>
      </c>
      <c r="FE4" t="e">
        <f>AND(Instructions!L45,"AAAAAFy8/6A=")</f>
        <v>#VALUE!</v>
      </c>
      <c r="FF4" t="e">
        <f>AND(Instructions!M45,"AAAAAFy8/6E=")</f>
        <v>#VALUE!</v>
      </c>
      <c r="FG4" t="e">
        <f>AND(Instructions!N45,"AAAAAFy8/6I=")</f>
        <v>#VALUE!</v>
      </c>
      <c r="FH4">
        <f>IF(Instructions!46:46,"AAAAAFy8/6M=",0)</f>
        <v>0</v>
      </c>
      <c r="FI4" t="e">
        <f>AND(Instructions!A46,"AAAAAFy8/6Q=")</f>
        <v>#VALUE!</v>
      </c>
      <c r="FJ4" t="e">
        <f>AND(Instructions!B46,"AAAAAFy8/6U=")</f>
        <v>#VALUE!</v>
      </c>
      <c r="FK4" t="e">
        <f>AND(Instructions!C46,"AAAAAFy8/6Y=")</f>
        <v>#VALUE!</v>
      </c>
      <c r="FL4" t="e">
        <f>AND(Instructions!D46,"AAAAAFy8/6c=")</f>
        <v>#VALUE!</v>
      </c>
      <c r="FM4" t="e">
        <f>AND(Instructions!E46,"AAAAAFy8/6g=")</f>
        <v>#VALUE!</v>
      </c>
      <c r="FN4" t="e">
        <f>AND(Instructions!F46,"AAAAAFy8/6k=")</f>
        <v>#VALUE!</v>
      </c>
      <c r="FO4" t="e">
        <f>AND(Instructions!G46,"AAAAAFy8/6o=")</f>
        <v>#VALUE!</v>
      </c>
      <c r="FP4" t="e">
        <f>AND(Instructions!H46,"AAAAAFy8/6s=")</f>
        <v>#VALUE!</v>
      </c>
      <c r="FQ4" t="e">
        <f>AND(Instructions!I46,"AAAAAFy8/6w=")</f>
        <v>#VALUE!</v>
      </c>
      <c r="FR4" t="e">
        <f>AND(Instructions!J46,"AAAAAFy8/60=")</f>
        <v>#VALUE!</v>
      </c>
      <c r="FS4" t="e">
        <f>AND(Instructions!K46,"AAAAAFy8/64=")</f>
        <v>#VALUE!</v>
      </c>
      <c r="FT4" t="e">
        <f>AND(Instructions!L46,"AAAAAFy8/68=")</f>
        <v>#VALUE!</v>
      </c>
      <c r="FU4" t="e">
        <f>AND(Instructions!M46,"AAAAAFy8/7A=")</f>
        <v>#VALUE!</v>
      </c>
      <c r="FV4" t="e">
        <f>AND(Instructions!N46,"AAAAAFy8/7E=")</f>
        <v>#VALUE!</v>
      </c>
      <c r="FW4">
        <f>IF(Instructions!47:47,"AAAAAFy8/7I=",0)</f>
        <v>0</v>
      </c>
      <c r="FX4" t="e">
        <f>AND(Instructions!A47,"AAAAAFy8/7M=")</f>
        <v>#VALUE!</v>
      </c>
      <c r="FY4" t="e">
        <f>AND(Instructions!B47,"AAAAAFy8/7Q=")</f>
        <v>#VALUE!</v>
      </c>
      <c r="FZ4" t="e">
        <f>AND(Instructions!C47,"AAAAAFy8/7U=")</f>
        <v>#VALUE!</v>
      </c>
      <c r="GA4" t="e">
        <f>AND(Instructions!D47,"AAAAAFy8/7Y=")</f>
        <v>#VALUE!</v>
      </c>
      <c r="GB4" t="e">
        <f>AND(Instructions!E47,"AAAAAFy8/7c=")</f>
        <v>#VALUE!</v>
      </c>
      <c r="GC4" t="e">
        <f>AND(Instructions!F47,"AAAAAFy8/7g=")</f>
        <v>#VALUE!</v>
      </c>
      <c r="GD4" t="e">
        <f>AND(Instructions!G47,"AAAAAFy8/7k=")</f>
        <v>#VALUE!</v>
      </c>
      <c r="GE4" t="e">
        <f>AND(Instructions!H47,"AAAAAFy8/7o=")</f>
        <v>#VALUE!</v>
      </c>
      <c r="GF4" t="e">
        <f>AND(Instructions!I47,"AAAAAFy8/7s=")</f>
        <v>#VALUE!</v>
      </c>
      <c r="GG4" t="e">
        <f>AND(Instructions!J47,"AAAAAFy8/7w=")</f>
        <v>#VALUE!</v>
      </c>
      <c r="GH4" t="e">
        <f>AND(Instructions!K47,"AAAAAFy8/70=")</f>
        <v>#VALUE!</v>
      </c>
      <c r="GI4" t="e">
        <f>AND(Instructions!L47,"AAAAAFy8/74=")</f>
        <v>#VALUE!</v>
      </c>
      <c r="GJ4" t="e">
        <f>AND(Instructions!M47,"AAAAAFy8/78=")</f>
        <v>#VALUE!</v>
      </c>
      <c r="GK4" t="e">
        <f>AND(Instructions!N47,"AAAAAFy8/8A=")</f>
        <v>#VALUE!</v>
      </c>
      <c r="GL4">
        <f>IF(Instructions!48:48,"AAAAAFy8/8E=",0)</f>
        <v>0</v>
      </c>
      <c r="GM4" t="e">
        <f>AND(Instructions!A48,"AAAAAFy8/8I=")</f>
        <v>#VALUE!</v>
      </c>
      <c r="GN4" t="e">
        <f>AND(Instructions!B48,"AAAAAFy8/8M=")</f>
        <v>#VALUE!</v>
      </c>
      <c r="GO4" t="e">
        <f>AND(Instructions!C48,"AAAAAFy8/8Q=")</f>
        <v>#VALUE!</v>
      </c>
      <c r="GP4" t="e">
        <f>AND(Instructions!D48,"AAAAAFy8/8U=")</f>
        <v>#VALUE!</v>
      </c>
      <c r="GQ4" t="e">
        <f>AND(Instructions!E48,"AAAAAFy8/8Y=")</f>
        <v>#VALUE!</v>
      </c>
      <c r="GR4" t="e">
        <f>AND(Instructions!F48,"AAAAAFy8/8c=")</f>
        <v>#VALUE!</v>
      </c>
      <c r="GS4" t="e">
        <f>AND(Instructions!G48,"AAAAAFy8/8g=")</f>
        <v>#VALUE!</v>
      </c>
      <c r="GT4" t="e">
        <f>AND(Instructions!H48,"AAAAAFy8/8k=")</f>
        <v>#VALUE!</v>
      </c>
      <c r="GU4" t="e">
        <f>AND(Instructions!I48,"AAAAAFy8/8o=")</f>
        <v>#VALUE!</v>
      </c>
      <c r="GV4" t="e">
        <f>AND(Instructions!J48,"AAAAAFy8/8s=")</f>
        <v>#VALUE!</v>
      </c>
      <c r="GW4" t="e">
        <f>AND(Instructions!K48,"AAAAAFy8/8w=")</f>
        <v>#VALUE!</v>
      </c>
      <c r="GX4" t="e">
        <f>AND(Instructions!L48,"AAAAAFy8/80=")</f>
        <v>#VALUE!</v>
      </c>
      <c r="GY4" t="e">
        <f>AND(Instructions!M48,"AAAAAFy8/84=")</f>
        <v>#VALUE!</v>
      </c>
      <c r="GZ4" t="e">
        <f>AND(Instructions!N48,"AAAAAFy8/88=")</f>
        <v>#VALUE!</v>
      </c>
      <c r="HA4">
        <f>IF(Instructions!49:49,"AAAAAFy8/9A=",0)</f>
        <v>0</v>
      </c>
      <c r="HB4" t="e">
        <f>AND(Instructions!A49,"AAAAAFy8/9E=")</f>
        <v>#VALUE!</v>
      </c>
      <c r="HC4" t="e">
        <f>AND(Instructions!B49,"AAAAAFy8/9I=")</f>
        <v>#VALUE!</v>
      </c>
      <c r="HD4" t="e">
        <f>AND(Instructions!C49,"AAAAAFy8/9M=")</f>
        <v>#VALUE!</v>
      </c>
      <c r="HE4" t="e">
        <f>AND(Instructions!D49,"AAAAAFy8/9Q=")</f>
        <v>#VALUE!</v>
      </c>
      <c r="HF4" t="e">
        <f>AND(Instructions!E49,"AAAAAFy8/9U=")</f>
        <v>#VALUE!</v>
      </c>
      <c r="HG4" t="e">
        <f>AND(Instructions!F49,"AAAAAFy8/9Y=")</f>
        <v>#VALUE!</v>
      </c>
      <c r="HH4" t="e">
        <f>AND(Instructions!G49,"AAAAAFy8/9c=")</f>
        <v>#VALUE!</v>
      </c>
      <c r="HI4" t="e">
        <f>AND(Instructions!H49,"AAAAAFy8/9g=")</f>
        <v>#VALUE!</v>
      </c>
      <c r="HJ4" t="e">
        <f>AND(Instructions!I49,"AAAAAFy8/9k=")</f>
        <v>#VALUE!</v>
      </c>
      <c r="HK4" t="e">
        <f>AND(Instructions!J49,"AAAAAFy8/9o=")</f>
        <v>#VALUE!</v>
      </c>
      <c r="HL4" t="e">
        <f>AND(Instructions!K49,"AAAAAFy8/9s=")</f>
        <v>#VALUE!</v>
      </c>
      <c r="HM4" t="e">
        <f>AND(Instructions!L49,"AAAAAFy8/9w=")</f>
        <v>#VALUE!</v>
      </c>
      <c r="HN4" t="e">
        <f>AND(Instructions!M49,"AAAAAFy8/90=")</f>
        <v>#VALUE!</v>
      </c>
      <c r="HO4" t="e">
        <f>AND(Instructions!N49,"AAAAAFy8/94=")</f>
        <v>#VALUE!</v>
      </c>
      <c r="HP4">
        <f>IF(Instructions!50:50,"AAAAAFy8/98=",0)</f>
        <v>0</v>
      </c>
      <c r="HQ4" t="e">
        <f>AND(Instructions!A50,"AAAAAFy8/+A=")</f>
        <v>#VALUE!</v>
      </c>
      <c r="HR4" t="e">
        <f>AND(Instructions!B50,"AAAAAFy8/+E=")</f>
        <v>#VALUE!</v>
      </c>
      <c r="HS4" t="e">
        <f>AND(Instructions!C50,"AAAAAFy8/+I=")</f>
        <v>#VALUE!</v>
      </c>
      <c r="HT4" t="e">
        <f>AND(Instructions!D50,"AAAAAFy8/+M=")</f>
        <v>#VALUE!</v>
      </c>
      <c r="HU4" t="e">
        <f>AND(Instructions!E50,"AAAAAFy8/+Q=")</f>
        <v>#VALUE!</v>
      </c>
      <c r="HV4" t="e">
        <f>AND(Instructions!F50,"AAAAAFy8/+U=")</f>
        <v>#VALUE!</v>
      </c>
      <c r="HW4" t="e">
        <f>AND(Instructions!G50,"AAAAAFy8/+Y=")</f>
        <v>#VALUE!</v>
      </c>
      <c r="HX4" t="e">
        <f>AND(Instructions!H50,"AAAAAFy8/+c=")</f>
        <v>#VALUE!</v>
      </c>
      <c r="HY4" t="e">
        <f>AND(Instructions!I50,"AAAAAFy8/+g=")</f>
        <v>#VALUE!</v>
      </c>
      <c r="HZ4" t="e">
        <f>AND(Instructions!J50,"AAAAAFy8/+k=")</f>
        <v>#VALUE!</v>
      </c>
      <c r="IA4" t="e">
        <f>AND(Instructions!K50,"AAAAAFy8/+o=")</f>
        <v>#VALUE!</v>
      </c>
      <c r="IB4" t="e">
        <f>AND(Instructions!L50,"AAAAAFy8/+s=")</f>
        <v>#VALUE!</v>
      </c>
      <c r="IC4" t="e">
        <f>AND(Instructions!M50,"AAAAAFy8/+w=")</f>
        <v>#VALUE!</v>
      </c>
      <c r="ID4" t="e">
        <f>AND(Instructions!N50,"AAAAAFy8/+0=")</f>
        <v>#VALUE!</v>
      </c>
      <c r="IE4">
        <f>IF(Instructions!51:51,"AAAAAFy8/+4=",0)</f>
        <v>0</v>
      </c>
      <c r="IF4" t="e">
        <f>AND(Instructions!A51,"AAAAAFy8/+8=")</f>
        <v>#VALUE!</v>
      </c>
      <c r="IG4" t="e">
        <f>AND(Instructions!B51,"AAAAAFy8//A=")</f>
        <v>#VALUE!</v>
      </c>
      <c r="IH4" t="e">
        <f>AND(Instructions!C51,"AAAAAFy8//E=")</f>
        <v>#VALUE!</v>
      </c>
      <c r="II4" t="e">
        <f>AND(Instructions!D51,"AAAAAFy8//I=")</f>
        <v>#VALUE!</v>
      </c>
      <c r="IJ4" t="e">
        <f>AND(Instructions!E51,"AAAAAFy8//M=")</f>
        <v>#VALUE!</v>
      </c>
      <c r="IK4" t="e">
        <f>AND(Instructions!F51,"AAAAAFy8//Q=")</f>
        <v>#VALUE!</v>
      </c>
      <c r="IL4" t="e">
        <f>AND(Instructions!G51,"AAAAAFy8//U=")</f>
        <v>#VALUE!</v>
      </c>
      <c r="IM4" t="e">
        <f>AND(Instructions!H51,"AAAAAFy8//Y=")</f>
        <v>#VALUE!</v>
      </c>
      <c r="IN4" t="e">
        <f>AND(Instructions!I51,"AAAAAFy8//c=")</f>
        <v>#VALUE!</v>
      </c>
      <c r="IO4" t="e">
        <f>AND(Instructions!J51,"AAAAAFy8//g=")</f>
        <v>#VALUE!</v>
      </c>
      <c r="IP4" t="e">
        <f>AND(Instructions!K51,"AAAAAFy8//k=")</f>
        <v>#VALUE!</v>
      </c>
      <c r="IQ4" t="e">
        <f>AND(Instructions!L51,"AAAAAFy8//o=")</f>
        <v>#VALUE!</v>
      </c>
      <c r="IR4" t="e">
        <f>AND(Instructions!M51,"AAAAAFy8//s=")</f>
        <v>#VALUE!</v>
      </c>
      <c r="IS4" t="e">
        <f>AND(Instructions!N51,"AAAAAFy8//w=")</f>
        <v>#VALUE!</v>
      </c>
      <c r="IT4">
        <f>IF(Instructions!A:A,"AAAAAFy8//0=",0)</f>
        <v>0</v>
      </c>
      <c r="IU4" t="e">
        <f>IF(Instructions!B:B,"AAAAAFy8//4=",0)</f>
        <v>#VALUE!</v>
      </c>
      <c r="IV4">
        <f>IF(Instructions!C:C,"AAAAAFy8//8=",0)</f>
        <v>0</v>
      </c>
    </row>
    <row r="5" spans="1:256" x14ac:dyDescent="0.2">
      <c r="A5">
        <f>IF(Instructions!D:D,"AAAAAH23PwA=",0)</f>
        <v>0</v>
      </c>
      <c r="B5">
        <f>IF(Instructions!E:E,"AAAAAH23PwE=",0)</f>
        <v>0</v>
      </c>
      <c r="C5">
        <f>IF(Instructions!F:F,"AAAAAH23PwI=",0)</f>
        <v>0</v>
      </c>
      <c r="D5">
        <f>IF(Instructions!G:G,"AAAAAH23PwM=",0)</f>
        <v>0</v>
      </c>
      <c r="E5">
        <f>IF(Instructions!H:H,"AAAAAH23PwQ=",0)</f>
        <v>0</v>
      </c>
      <c r="F5">
        <f>IF(Instructions!I:I,"AAAAAH23PwU=",0)</f>
        <v>0</v>
      </c>
      <c r="G5">
        <f>IF(Instructions!J:J,"AAAAAH23PwY=",0)</f>
        <v>0</v>
      </c>
      <c r="H5">
        <f>IF(Instructions!K:K,"AAAAAH23Pwc=",0)</f>
        <v>0</v>
      </c>
      <c r="I5">
        <f>IF(Instructions!L:L,"AAAAAH23Pwg=",0)</f>
        <v>0</v>
      </c>
      <c r="J5">
        <f>IF(Instructions!M:M,"AAAAAH23Pwk=",0)</f>
        <v>0</v>
      </c>
      <c r="K5">
        <f>IF(Instructions!N:N,"AAAAAH23Pwo=",0)</f>
        <v>0</v>
      </c>
      <c r="L5">
        <f>IF('Printable Sheets'!1:1,"AAAAAH23Pws=",0)</f>
        <v>0</v>
      </c>
      <c r="M5" t="e">
        <f>AND('Printable Sheets'!A1,"AAAAAH23Pww=")</f>
        <v>#VALUE!</v>
      </c>
      <c r="N5" t="e">
        <f>AND('Printable Sheets'!B1,"AAAAAH23Pw0=")</f>
        <v>#VALUE!</v>
      </c>
      <c r="O5" t="e">
        <f>AND('Printable Sheets'!C1,"AAAAAH23Pw4=")</f>
        <v>#VALUE!</v>
      </c>
      <c r="P5" t="e">
        <f>AND('Printable Sheets'!D1,"AAAAAH23Pw8=")</f>
        <v>#VALUE!</v>
      </c>
      <c r="Q5" t="e">
        <f>AND('Printable Sheets'!E1,"AAAAAH23PxA=")</f>
        <v>#VALUE!</v>
      </c>
      <c r="R5" t="e">
        <f>AND('Printable Sheets'!F1,"AAAAAH23PxE=")</f>
        <v>#VALUE!</v>
      </c>
      <c r="S5" t="e">
        <f>AND('Printable Sheets'!G1,"AAAAAH23PxI=")</f>
        <v>#VALUE!</v>
      </c>
      <c r="T5" t="e">
        <f>AND('Printable Sheets'!H1,"AAAAAH23PxM=")</f>
        <v>#VALUE!</v>
      </c>
      <c r="U5" t="e">
        <f>AND('Printable Sheets'!I1,"AAAAAH23PxQ=")</f>
        <v>#VALUE!</v>
      </c>
      <c r="V5" t="e">
        <f>AND('Printable Sheets'!J1,"AAAAAH23PxU=")</f>
        <v>#VALUE!</v>
      </c>
      <c r="W5" t="e">
        <f>AND('Printable Sheets'!K1,"AAAAAH23PxY=")</f>
        <v>#VALUE!</v>
      </c>
      <c r="X5" t="e">
        <f>AND('Printable Sheets'!L1,"AAAAAH23Pxc=")</f>
        <v>#VALUE!</v>
      </c>
      <c r="Y5" t="e">
        <f>AND('Printable Sheets'!M1,"AAAAAH23Pxg=")</f>
        <v>#VALUE!</v>
      </c>
      <c r="Z5" t="e">
        <f>AND('Printable Sheets'!N1,"AAAAAH23Pxk=")</f>
        <v>#VALUE!</v>
      </c>
      <c r="AA5" t="e">
        <f>AND('Printable Sheets'!O1,"AAAAAH23Pxo=")</f>
        <v>#VALUE!</v>
      </c>
      <c r="AB5" t="e">
        <f>AND('Printable Sheets'!P1,"AAAAAH23Pxs=")</f>
        <v>#VALUE!</v>
      </c>
      <c r="AC5" t="e">
        <f>AND('Printable Sheets'!Q1,"AAAAAH23Pxw=")</f>
        <v>#VALUE!</v>
      </c>
      <c r="AD5" t="e">
        <f>AND('Printable Sheets'!R1,"AAAAAH23Px0=")</f>
        <v>#VALUE!</v>
      </c>
      <c r="AE5" t="e">
        <f>AND('Printable Sheets'!S1,"AAAAAH23Px4=")</f>
        <v>#VALUE!</v>
      </c>
      <c r="AF5" t="e">
        <f>AND('Printable Sheets'!T1,"AAAAAH23Px8=")</f>
        <v>#VALUE!</v>
      </c>
      <c r="AG5" t="e">
        <f>AND('Printable Sheets'!U1,"AAAAAH23PyA=")</f>
        <v>#VALUE!</v>
      </c>
      <c r="AH5" t="e">
        <f>AND('Printable Sheets'!V1,"AAAAAH23PyE=")</f>
        <v>#VALUE!</v>
      </c>
      <c r="AI5" t="e">
        <f>AND('Printable Sheets'!W1,"AAAAAH23PyI=")</f>
        <v>#VALUE!</v>
      </c>
      <c r="AJ5" t="e">
        <f>AND('Printable Sheets'!X1,"AAAAAH23PyM=")</f>
        <v>#VALUE!</v>
      </c>
      <c r="AK5" t="e">
        <f>AND('Printable Sheets'!Y1,"AAAAAH23PyQ=")</f>
        <v>#VALUE!</v>
      </c>
      <c r="AL5" t="e">
        <f>AND('Printable Sheets'!Z1,"AAAAAH23PyU=")</f>
        <v>#VALUE!</v>
      </c>
      <c r="AM5" t="e">
        <f>AND('Printable Sheets'!AA1,"AAAAAH23PyY=")</f>
        <v>#VALUE!</v>
      </c>
      <c r="AN5" t="e">
        <f>AND('Printable Sheets'!AB1,"AAAAAH23Pyc=")</f>
        <v>#VALUE!</v>
      </c>
      <c r="AO5" t="e">
        <f>AND('Printable Sheets'!AC1,"AAAAAH23Pyg=")</f>
        <v>#VALUE!</v>
      </c>
      <c r="AP5" t="e">
        <f>AND('Printable Sheets'!AD1,"AAAAAH23Pyk=")</f>
        <v>#VALUE!</v>
      </c>
      <c r="AQ5">
        <f>IF('Printable Sheets'!2:2,"AAAAAH23Pyo=",0)</f>
        <v>0</v>
      </c>
      <c r="AR5" t="e">
        <f>AND('Printable Sheets'!A2,"AAAAAH23Pys=")</f>
        <v>#VALUE!</v>
      </c>
      <c r="AS5" t="e">
        <f>AND('Printable Sheets'!B2,"AAAAAH23Pyw=")</f>
        <v>#VALUE!</v>
      </c>
      <c r="AT5" t="e">
        <f>AND('Printable Sheets'!C2,"AAAAAH23Py0=")</f>
        <v>#VALUE!</v>
      </c>
      <c r="AU5" t="e">
        <f>AND('Printable Sheets'!D2,"AAAAAH23Py4=")</f>
        <v>#VALUE!</v>
      </c>
      <c r="AV5" t="e">
        <f>AND('Printable Sheets'!E2,"AAAAAH23Py8=")</f>
        <v>#VALUE!</v>
      </c>
      <c r="AW5" t="e">
        <f>AND('Printable Sheets'!F2,"AAAAAH23PzA=")</f>
        <v>#VALUE!</v>
      </c>
      <c r="AX5" t="e">
        <f>AND('Printable Sheets'!G2,"AAAAAH23PzE=")</f>
        <v>#VALUE!</v>
      </c>
      <c r="AY5" t="e">
        <f>AND('Printable Sheets'!H2,"AAAAAH23PzI=")</f>
        <v>#VALUE!</v>
      </c>
      <c r="AZ5" t="e">
        <f>AND('Printable Sheets'!I2,"AAAAAH23PzM=")</f>
        <v>#VALUE!</v>
      </c>
      <c r="BA5" t="e">
        <f>AND('Printable Sheets'!J2,"AAAAAH23PzQ=")</f>
        <v>#VALUE!</v>
      </c>
      <c r="BB5" t="e">
        <f>AND('Printable Sheets'!K2,"AAAAAH23PzU=")</f>
        <v>#VALUE!</v>
      </c>
      <c r="BC5" t="e">
        <f>AND('Printable Sheets'!L2,"AAAAAH23PzY=")</f>
        <v>#VALUE!</v>
      </c>
      <c r="BD5" t="e">
        <f>AND('Printable Sheets'!M2,"AAAAAH23Pzc=")</f>
        <v>#VALUE!</v>
      </c>
      <c r="BE5" t="e">
        <f>AND('Printable Sheets'!N2,"AAAAAH23Pzg=")</f>
        <v>#VALUE!</v>
      </c>
      <c r="BF5" t="e">
        <f>AND('Printable Sheets'!O2,"AAAAAH23Pzk=")</f>
        <v>#VALUE!</v>
      </c>
      <c r="BG5" t="e">
        <f>AND('Printable Sheets'!P2,"AAAAAH23Pzo=")</f>
        <v>#VALUE!</v>
      </c>
      <c r="BH5" t="e">
        <f>AND('Printable Sheets'!Q2,"AAAAAH23Pzs=")</f>
        <v>#VALUE!</v>
      </c>
      <c r="BI5" t="e">
        <f>AND('Printable Sheets'!R2,"AAAAAH23Pzw=")</f>
        <v>#VALUE!</v>
      </c>
      <c r="BJ5" t="e">
        <f>AND('Printable Sheets'!S2,"AAAAAH23Pz0=")</f>
        <v>#VALUE!</v>
      </c>
      <c r="BK5" t="e">
        <f>AND('Printable Sheets'!T2,"AAAAAH23Pz4=")</f>
        <v>#VALUE!</v>
      </c>
      <c r="BL5" t="e">
        <f>AND('Printable Sheets'!U2,"AAAAAH23Pz8=")</f>
        <v>#VALUE!</v>
      </c>
      <c r="BM5" t="e">
        <f>AND('Printable Sheets'!V2,"AAAAAH23P0A=")</f>
        <v>#VALUE!</v>
      </c>
      <c r="BN5" t="e">
        <f>AND('Printable Sheets'!W2,"AAAAAH23P0E=")</f>
        <v>#VALUE!</v>
      </c>
      <c r="BO5" t="e">
        <f>AND('Printable Sheets'!X2,"AAAAAH23P0I=")</f>
        <v>#VALUE!</v>
      </c>
      <c r="BP5" t="e">
        <f>AND('Printable Sheets'!Y2,"AAAAAH23P0M=")</f>
        <v>#VALUE!</v>
      </c>
      <c r="BQ5" t="e">
        <f>AND('Printable Sheets'!Z2,"AAAAAH23P0Q=")</f>
        <v>#VALUE!</v>
      </c>
      <c r="BR5" t="e">
        <f>AND('Printable Sheets'!AA2,"AAAAAH23P0U=")</f>
        <v>#VALUE!</v>
      </c>
      <c r="BS5" t="e">
        <f>AND('Printable Sheets'!AB2,"AAAAAH23P0Y=")</f>
        <v>#VALUE!</v>
      </c>
      <c r="BT5" t="e">
        <f>AND('Printable Sheets'!AC2,"AAAAAH23P0c=")</f>
        <v>#VALUE!</v>
      </c>
      <c r="BU5" t="e">
        <f>AND('Printable Sheets'!AD2,"AAAAAH23P0g=")</f>
        <v>#VALUE!</v>
      </c>
      <c r="BV5">
        <f>IF('Printable Sheets'!3:3,"AAAAAH23P0k=",0)</f>
        <v>0</v>
      </c>
      <c r="BW5" t="e">
        <f>AND('Printable Sheets'!A3,"AAAAAH23P0o=")</f>
        <v>#VALUE!</v>
      </c>
      <c r="BX5" t="e">
        <f>AND('Printable Sheets'!B3,"AAAAAH23P0s=")</f>
        <v>#VALUE!</v>
      </c>
      <c r="BY5" t="e">
        <f>AND('Printable Sheets'!C3,"AAAAAH23P0w=")</f>
        <v>#VALUE!</v>
      </c>
      <c r="BZ5" t="e">
        <f>AND('Printable Sheets'!D3,"AAAAAH23P00=")</f>
        <v>#VALUE!</v>
      </c>
      <c r="CA5" t="e">
        <f>AND('Printable Sheets'!E3,"AAAAAH23P04=")</f>
        <v>#VALUE!</v>
      </c>
      <c r="CB5" t="e">
        <f>AND('Printable Sheets'!F3,"AAAAAH23P08=")</f>
        <v>#VALUE!</v>
      </c>
      <c r="CC5" t="e">
        <f>AND('Printable Sheets'!G3,"AAAAAH23P1A=")</f>
        <v>#VALUE!</v>
      </c>
      <c r="CD5" t="e">
        <f>AND('Printable Sheets'!H3,"AAAAAH23P1E=")</f>
        <v>#VALUE!</v>
      </c>
      <c r="CE5" t="e">
        <f>AND('Printable Sheets'!I3,"AAAAAH23P1I=")</f>
        <v>#VALUE!</v>
      </c>
      <c r="CF5" t="e">
        <f>AND('Printable Sheets'!J3,"AAAAAH23P1M=")</f>
        <v>#VALUE!</v>
      </c>
      <c r="CG5" t="e">
        <f>AND('Printable Sheets'!K3,"AAAAAH23P1Q=")</f>
        <v>#VALUE!</v>
      </c>
      <c r="CH5" t="e">
        <f>AND('Printable Sheets'!L3,"AAAAAH23P1U=")</f>
        <v>#VALUE!</v>
      </c>
      <c r="CI5" t="e">
        <f>AND('Printable Sheets'!M3,"AAAAAH23P1Y=")</f>
        <v>#VALUE!</v>
      </c>
      <c r="CJ5" t="e">
        <f>AND('Printable Sheets'!N3,"AAAAAH23P1c=")</f>
        <v>#VALUE!</v>
      </c>
      <c r="CK5" t="e">
        <f>AND('Printable Sheets'!O3,"AAAAAH23P1g=")</f>
        <v>#VALUE!</v>
      </c>
      <c r="CL5" t="e">
        <f>AND('Printable Sheets'!P3,"AAAAAH23P1k=")</f>
        <v>#VALUE!</v>
      </c>
      <c r="CM5" t="e">
        <f>AND('Printable Sheets'!Q3,"AAAAAH23P1o=")</f>
        <v>#VALUE!</v>
      </c>
      <c r="CN5" t="e">
        <f>AND('Printable Sheets'!R3,"AAAAAH23P1s=")</f>
        <v>#VALUE!</v>
      </c>
      <c r="CO5" t="e">
        <f>AND('Printable Sheets'!S3,"AAAAAH23P1w=")</f>
        <v>#VALUE!</v>
      </c>
      <c r="CP5" t="e">
        <f>AND('Printable Sheets'!T3,"AAAAAH23P10=")</f>
        <v>#VALUE!</v>
      </c>
      <c r="CQ5" t="e">
        <f>AND('Printable Sheets'!U3,"AAAAAH23P14=")</f>
        <v>#VALUE!</v>
      </c>
      <c r="CR5" t="e">
        <f>AND('Printable Sheets'!V3,"AAAAAH23P18=")</f>
        <v>#VALUE!</v>
      </c>
      <c r="CS5" t="e">
        <f>AND('Printable Sheets'!W3,"AAAAAH23P2A=")</f>
        <v>#VALUE!</v>
      </c>
      <c r="CT5" t="e">
        <f>AND('Printable Sheets'!X3,"AAAAAH23P2E=")</f>
        <v>#VALUE!</v>
      </c>
      <c r="CU5" t="e">
        <f>AND('Printable Sheets'!Y3,"AAAAAH23P2I=")</f>
        <v>#VALUE!</v>
      </c>
      <c r="CV5" t="e">
        <f>AND('Printable Sheets'!Z3,"AAAAAH23P2M=")</f>
        <v>#VALUE!</v>
      </c>
      <c r="CW5" t="e">
        <f>AND('Printable Sheets'!AA3,"AAAAAH23P2Q=")</f>
        <v>#VALUE!</v>
      </c>
      <c r="CX5" t="e">
        <f>AND('Printable Sheets'!AB3,"AAAAAH23P2U=")</f>
        <v>#VALUE!</v>
      </c>
      <c r="CY5" t="e">
        <f>AND('Printable Sheets'!AC3,"AAAAAH23P2Y=")</f>
        <v>#VALUE!</v>
      </c>
      <c r="CZ5" t="e">
        <f>AND('Printable Sheets'!AD3,"AAAAAH23P2c=")</f>
        <v>#VALUE!</v>
      </c>
      <c r="DA5">
        <f>IF('Printable Sheets'!4:4,"AAAAAH23P2g=",0)</f>
        <v>0</v>
      </c>
      <c r="DB5" t="e">
        <f>AND('Printable Sheets'!A4,"AAAAAH23P2k=")</f>
        <v>#VALUE!</v>
      </c>
      <c r="DC5" t="e">
        <f>AND('Printable Sheets'!B4,"AAAAAH23P2o=")</f>
        <v>#VALUE!</v>
      </c>
      <c r="DD5" t="e">
        <f>AND('Printable Sheets'!C4,"AAAAAH23P2s=")</f>
        <v>#VALUE!</v>
      </c>
      <c r="DE5" t="e">
        <f>AND('Printable Sheets'!D4,"AAAAAH23P2w=")</f>
        <v>#VALUE!</v>
      </c>
      <c r="DF5" t="e">
        <f>AND('Printable Sheets'!E4,"AAAAAH23P20=")</f>
        <v>#VALUE!</v>
      </c>
      <c r="DG5" t="e">
        <f>AND('Printable Sheets'!F4,"AAAAAH23P24=")</f>
        <v>#VALUE!</v>
      </c>
      <c r="DH5" t="e">
        <f>AND('Printable Sheets'!G4,"AAAAAH23P28=")</f>
        <v>#VALUE!</v>
      </c>
      <c r="DI5" t="e">
        <f>AND('Printable Sheets'!H4,"AAAAAH23P3A=")</f>
        <v>#VALUE!</v>
      </c>
      <c r="DJ5" t="e">
        <f>AND('Printable Sheets'!I4,"AAAAAH23P3E=")</f>
        <v>#VALUE!</v>
      </c>
      <c r="DK5" t="e">
        <f>AND('Printable Sheets'!J4,"AAAAAH23P3I=")</f>
        <v>#VALUE!</v>
      </c>
      <c r="DL5" t="e">
        <f>AND('Printable Sheets'!K4,"AAAAAH23P3M=")</f>
        <v>#VALUE!</v>
      </c>
      <c r="DM5" t="e">
        <f>AND('Printable Sheets'!L4,"AAAAAH23P3Q=")</f>
        <v>#VALUE!</v>
      </c>
      <c r="DN5" t="e">
        <f>AND('Printable Sheets'!M4,"AAAAAH23P3U=")</f>
        <v>#VALUE!</v>
      </c>
      <c r="DO5" t="e">
        <f>AND('Printable Sheets'!N4,"AAAAAH23P3Y=")</f>
        <v>#VALUE!</v>
      </c>
      <c r="DP5" t="e">
        <f>AND('Printable Sheets'!O4,"AAAAAH23P3c=")</f>
        <v>#VALUE!</v>
      </c>
      <c r="DQ5" t="e">
        <f>AND('Printable Sheets'!P4,"AAAAAH23P3g=")</f>
        <v>#VALUE!</v>
      </c>
      <c r="DR5" t="e">
        <f>AND('Printable Sheets'!Q4,"AAAAAH23P3k=")</f>
        <v>#VALUE!</v>
      </c>
      <c r="DS5" t="e">
        <f>AND('Printable Sheets'!R4,"AAAAAH23P3o=")</f>
        <v>#VALUE!</v>
      </c>
      <c r="DT5" t="e">
        <f>AND('Printable Sheets'!S4,"AAAAAH23P3s=")</f>
        <v>#VALUE!</v>
      </c>
      <c r="DU5" t="e">
        <f>AND('Printable Sheets'!T4,"AAAAAH23P3w=")</f>
        <v>#VALUE!</v>
      </c>
      <c r="DV5" t="e">
        <f>AND('Printable Sheets'!U4,"AAAAAH23P30=")</f>
        <v>#VALUE!</v>
      </c>
      <c r="DW5" t="e">
        <f>AND('Printable Sheets'!V4,"AAAAAH23P34=")</f>
        <v>#VALUE!</v>
      </c>
      <c r="DX5" t="e">
        <f>AND('Printable Sheets'!W4,"AAAAAH23P38=")</f>
        <v>#VALUE!</v>
      </c>
      <c r="DY5" t="e">
        <f>AND('Printable Sheets'!X4,"AAAAAH23P4A=")</f>
        <v>#VALUE!</v>
      </c>
      <c r="DZ5" t="e">
        <f>AND('Printable Sheets'!Y4,"AAAAAH23P4E=")</f>
        <v>#VALUE!</v>
      </c>
      <c r="EA5" t="e">
        <f>AND('Printable Sheets'!Z4,"AAAAAH23P4I=")</f>
        <v>#VALUE!</v>
      </c>
      <c r="EB5" t="e">
        <f>AND('Printable Sheets'!AA4,"AAAAAH23P4M=")</f>
        <v>#VALUE!</v>
      </c>
      <c r="EC5" t="e">
        <f>AND('Printable Sheets'!AB4,"AAAAAH23P4Q=")</f>
        <v>#VALUE!</v>
      </c>
      <c r="ED5" t="e">
        <f>AND('Printable Sheets'!AC4,"AAAAAH23P4U=")</f>
        <v>#VALUE!</v>
      </c>
      <c r="EE5" t="e">
        <f>AND('Printable Sheets'!AD4,"AAAAAH23P4Y=")</f>
        <v>#VALUE!</v>
      </c>
      <c r="EF5">
        <f>IF('Printable Sheets'!5:5,"AAAAAH23P4c=",0)</f>
        <v>0</v>
      </c>
      <c r="EG5" t="e">
        <f>AND('Printable Sheets'!A5,"AAAAAH23P4g=")</f>
        <v>#VALUE!</v>
      </c>
      <c r="EH5" t="e">
        <f>AND('Printable Sheets'!B5,"AAAAAH23P4k=")</f>
        <v>#VALUE!</v>
      </c>
      <c r="EI5" t="e">
        <f>AND('Printable Sheets'!C5,"AAAAAH23P4o=")</f>
        <v>#VALUE!</v>
      </c>
      <c r="EJ5" t="e">
        <f>AND('Printable Sheets'!D5,"AAAAAH23P4s=")</f>
        <v>#VALUE!</v>
      </c>
      <c r="EK5" t="e">
        <f>AND('Printable Sheets'!E5,"AAAAAH23P4w=")</f>
        <v>#VALUE!</v>
      </c>
      <c r="EL5" t="e">
        <f>AND('Printable Sheets'!F5,"AAAAAH23P40=")</f>
        <v>#VALUE!</v>
      </c>
      <c r="EM5" t="e">
        <f>AND('Printable Sheets'!G5,"AAAAAH23P44=")</f>
        <v>#VALUE!</v>
      </c>
      <c r="EN5" t="e">
        <f>AND('Printable Sheets'!H5,"AAAAAH23P48=")</f>
        <v>#VALUE!</v>
      </c>
      <c r="EO5" t="e">
        <f>AND('Printable Sheets'!I5,"AAAAAH23P5A=")</f>
        <v>#VALUE!</v>
      </c>
      <c r="EP5" t="e">
        <f>AND('Printable Sheets'!J5,"AAAAAH23P5E=")</f>
        <v>#VALUE!</v>
      </c>
      <c r="EQ5" t="e">
        <f>AND('Printable Sheets'!K5,"AAAAAH23P5I=")</f>
        <v>#VALUE!</v>
      </c>
      <c r="ER5" t="e">
        <f>AND('Printable Sheets'!L5,"AAAAAH23P5M=")</f>
        <v>#VALUE!</v>
      </c>
      <c r="ES5" t="e">
        <f>AND('Printable Sheets'!M5,"AAAAAH23P5Q=")</f>
        <v>#VALUE!</v>
      </c>
      <c r="ET5" t="e">
        <f>AND('Printable Sheets'!N5,"AAAAAH23P5U=")</f>
        <v>#VALUE!</v>
      </c>
      <c r="EU5" t="e">
        <f>AND('Printable Sheets'!O5,"AAAAAH23P5Y=")</f>
        <v>#VALUE!</v>
      </c>
      <c r="EV5" t="e">
        <f>AND('Printable Sheets'!P5,"AAAAAH23P5c=")</f>
        <v>#VALUE!</v>
      </c>
      <c r="EW5" t="e">
        <f>AND('Printable Sheets'!Q5,"AAAAAH23P5g=")</f>
        <v>#VALUE!</v>
      </c>
      <c r="EX5" t="e">
        <f>AND('Printable Sheets'!R5,"AAAAAH23P5k=")</f>
        <v>#VALUE!</v>
      </c>
      <c r="EY5" t="e">
        <f>AND('Printable Sheets'!S5,"AAAAAH23P5o=")</f>
        <v>#VALUE!</v>
      </c>
      <c r="EZ5" t="e">
        <f>AND('Printable Sheets'!T5,"AAAAAH23P5s=")</f>
        <v>#VALUE!</v>
      </c>
      <c r="FA5" t="e">
        <f>AND('Printable Sheets'!U5,"AAAAAH23P5w=")</f>
        <v>#VALUE!</v>
      </c>
      <c r="FB5" t="e">
        <f>AND('Printable Sheets'!V5,"AAAAAH23P50=")</f>
        <v>#VALUE!</v>
      </c>
      <c r="FC5" t="e">
        <f>AND('Printable Sheets'!W5,"AAAAAH23P54=")</f>
        <v>#VALUE!</v>
      </c>
      <c r="FD5" t="e">
        <f>AND('Printable Sheets'!X5,"AAAAAH23P58=")</f>
        <v>#VALUE!</v>
      </c>
      <c r="FE5" t="e">
        <f>AND('Printable Sheets'!Y5,"AAAAAH23P6A=")</f>
        <v>#VALUE!</v>
      </c>
      <c r="FF5" t="e">
        <f>AND('Printable Sheets'!Z5,"AAAAAH23P6E=")</f>
        <v>#VALUE!</v>
      </c>
      <c r="FG5" t="e">
        <f>AND('Printable Sheets'!AA5,"AAAAAH23P6I=")</f>
        <v>#VALUE!</v>
      </c>
      <c r="FH5" t="e">
        <f>AND('Printable Sheets'!AB5,"AAAAAH23P6M=")</f>
        <v>#VALUE!</v>
      </c>
      <c r="FI5" t="e">
        <f>AND('Printable Sheets'!AC5,"AAAAAH23P6Q=")</f>
        <v>#VALUE!</v>
      </c>
      <c r="FJ5" t="e">
        <f>AND('Printable Sheets'!AD5,"AAAAAH23P6U=")</f>
        <v>#VALUE!</v>
      </c>
      <c r="FK5">
        <f>IF('Printable Sheets'!6:6,"AAAAAH23P6Y=",0)</f>
        <v>0</v>
      </c>
      <c r="FL5" t="e">
        <f>AND('Printable Sheets'!A6,"AAAAAH23P6c=")</f>
        <v>#VALUE!</v>
      </c>
      <c r="FM5" t="e">
        <f>AND('Printable Sheets'!B6,"AAAAAH23P6g=")</f>
        <v>#VALUE!</v>
      </c>
      <c r="FN5" t="e">
        <f>AND('Printable Sheets'!C6,"AAAAAH23P6k=")</f>
        <v>#VALUE!</v>
      </c>
      <c r="FO5" t="e">
        <f>AND('Printable Sheets'!D6,"AAAAAH23P6o=")</f>
        <v>#VALUE!</v>
      </c>
      <c r="FP5" t="e">
        <f>AND('Printable Sheets'!E6,"AAAAAH23P6s=")</f>
        <v>#VALUE!</v>
      </c>
      <c r="FQ5" t="e">
        <f>AND('Printable Sheets'!F6,"AAAAAH23P6w=")</f>
        <v>#VALUE!</v>
      </c>
      <c r="FR5" t="e">
        <f>AND('Printable Sheets'!G6,"AAAAAH23P60=")</f>
        <v>#VALUE!</v>
      </c>
      <c r="FS5" t="e">
        <f>AND('Printable Sheets'!H6,"AAAAAH23P64=")</f>
        <v>#VALUE!</v>
      </c>
      <c r="FT5" t="e">
        <f>AND('Printable Sheets'!I6,"AAAAAH23P68=")</f>
        <v>#VALUE!</v>
      </c>
      <c r="FU5" t="e">
        <f>AND('Printable Sheets'!J6,"AAAAAH23P7A=")</f>
        <v>#VALUE!</v>
      </c>
      <c r="FV5" t="e">
        <f>AND('Printable Sheets'!K6,"AAAAAH23P7E=")</f>
        <v>#VALUE!</v>
      </c>
      <c r="FW5" t="e">
        <f>AND('Printable Sheets'!L6,"AAAAAH23P7I=")</f>
        <v>#VALUE!</v>
      </c>
      <c r="FX5" t="e">
        <f>AND('Printable Sheets'!M6,"AAAAAH23P7M=")</f>
        <v>#VALUE!</v>
      </c>
      <c r="FY5" t="e">
        <f>AND('Printable Sheets'!N6,"AAAAAH23P7Q=")</f>
        <v>#VALUE!</v>
      </c>
      <c r="FZ5" t="e">
        <f>AND('Printable Sheets'!O6,"AAAAAH23P7U=")</f>
        <v>#VALUE!</v>
      </c>
      <c r="GA5" t="e">
        <f>AND('Printable Sheets'!P6,"AAAAAH23P7Y=")</f>
        <v>#VALUE!</v>
      </c>
      <c r="GB5" t="e">
        <f>AND('Printable Sheets'!Q6,"AAAAAH23P7c=")</f>
        <v>#VALUE!</v>
      </c>
      <c r="GC5" t="e">
        <f>AND('Printable Sheets'!R6,"AAAAAH23P7g=")</f>
        <v>#VALUE!</v>
      </c>
      <c r="GD5" t="e">
        <f>AND('Printable Sheets'!S6,"AAAAAH23P7k=")</f>
        <v>#VALUE!</v>
      </c>
      <c r="GE5" t="e">
        <f>AND('Printable Sheets'!T6,"AAAAAH23P7o=")</f>
        <v>#VALUE!</v>
      </c>
      <c r="GF5" t="e">
        <f>AND('Printable Sheets'!U6,"AAAAAH23P7s=")</f>
        <v>#VALUE!</v>
      </c>
      <c r="GG5" t="e">
        <f>AND('Printable Sheets'!V6,"AAAAAH23P7w=")</f>
        <v>#VALUE!</v>
      </c>
      <c r="GH5" t="e">
        <f>AND('Printable Sheets'!W6,"AAAAAH23P70=")</f>
        <v>#VALUE!</v>
      </c>
      <c r="GI5" t="e">
        <f>AND('Printable Sheets'!X6,"AAAAAH23P74=")</f>
        <v>#VALUE!</v>
      </c>
      <c r="GJ5" t="e">
        <f>AND('Printable Sheets'!Y6,"AAAAAH23P78=")</f>
        <v>#VALUE!</v>
      </c>
      <c r="GK5" t="e">
        <f>AND('Printable Sheets'!Z6,"AAAAAH23P8A=")</f>
        <v>#VALUE!</v>
      </c>
      <c r="GL5" t="e">
        <f>AND('Printable Sheets'!AA6,"AAAAAH23P8E=")</f>
        <v>#VALUE!</v>
      </c>
      <c r="GM5" t="e">
        <f>AND('Printable Sheets'!AB6,"AAAAAH23P8I=")</f>
        <v>#VALUE!</v>
      </c>
      <c r="GN5" t="e">
        <f>AND('Printable Sheets'!AC6,"AAAAAH23P8M=")</f>
        <v>#VALUE!</v>
      </c>
      <c r="GO5" t="e">
        <f>AND('Printable Sheets'!AD6,"AAAAAH23P8Q=")</f>
        <v>#VALUE!</v>
      </c>
      <c r="GP5">
        <f>IF('Printable Sheets'!7:7,"AAAAAH23P8U=",0)</f>
        <v>0</v>
      </c>
      <c r="GQ5" t="e">
        <f>AND('Printable Sheets'!A7,"AAAAAH23P8Y=")</f>
        <v>#VALUE!</v>
      </c>
      <c r="GR5" t="e">
        <f>AND('Printable Sheets'!B7,"AAAAAH23P8c=")</f>
        <v>#VALUE!</v>
      </c>
      <c r="GS5" t="e">
        <f>AND('Printable Sheets'!C7,"AAAAAH23P8g=")</f>
        <v>#VALUE!</v>
      </c>
      <c r="GT5" t="e">
        <f>AND('Printable Sheets'!D7,"AAAAAH23P8k=")</f>
        <v>#VALUE!</v>
      </c>
      <c r="GU5" t="e">
        <f>AND('Printable Sheets'!E7,"AAAAAH23P8o=")</f>
        <v>#VALUE!</v>
      </c>
      <c r="GV5" t="e">
        <f>AND('Printable Sheets'!F7,"AAAAAH23P8s=")</f>
        <v>#VALUE!</v>
      </c>
      <c r="GW5" t="e">
        <f>AND('Printable Sheets'!G7,"AAAAAH23P8w=")</f>
        <v>#VALUE!</v>
      </c>
      <c r="GX5" t="e">
        <f>AND('Printable Sheets'!H7,"AAAAAH23P80=")</f>
        <v>#VALUE!</v>
      </c>
      <c r="GY5" t="e">
        <f>AND('Printable Sheets'!I7,"AAAAAH23P84=")</f>
        <v>#VALUE!</v>
      </c>
      <c r="GZ5" t="e">
        <f>AND('Printable Sheets'!J7,"AAAAAH23P88=")</f>
        <v>#VALUE!</v>
      </c>
      <c r="HA5" t="e">
        <f>AND('Printable Sheets'!K7,"AAAAAH23P9A=")</f>
        <v>#VALUE!</v>
      </c>
      <c r="HB5" t="e">
        <f>AND('Printable Sheets'!L7,"AAAAAH23P9E=")</f>
        <v>#VALUE!</v>
      </c>
      <c r="HC5" t="e">
        <f>AND('Printable Sheets'!M7,"AAAAAH23P9I=")</f>
        <v>#VALUE!</v>
      </c>
      <c r="HD5" t="e">
        <f>AND('Printable Sheets'!N7,"AAAAAH23P9M=")</f>
        <v>#VALUE!</v>
      </c>
      <c r="HE5" t="e">
        <f>AND('Printable Sheets'!O7,"AAAAAH23P9Q=")</f>
        <v>#VALUE!</v>
      </c>
      <c r="HF5" t="e">
        <f>AND('Printable Sheets'!P7,"AAAAAH23P9U=")</f>
        <v>#VALUE!</v>
      </c>
      <c r="HG5" t="e">
        <f>AND('Printable Sheets'!Q7,"AAAAAH23P9Y=")</f>
        <v>#VALUE!</v>
      </c>
      <c r="HH5" t="e">
        <f>AND('Printable Sheets'!R7,"AAAAAH23P9c=")</f>
        <v>#VALUE!</v>
      </c>
      <c r="HI5" t="e">
        <f>AND('Printable Sheets'!S7,"AAAAAH23P9g=")</f>
        <v>#VALUE!</v>
      </c>
      <c r="HJ5" t="e">
        <f>AND('Printable Sheets'!T7,"AAAAAH23P9k=")</f>
        <v>#VALUE!</v>
      </c>
      <c r="HK5" t="e">
        <f>AND('Printable Sheets'!U7,"AAAAAH23P9o=")</f>
        <v>#VALUE!</v>
      </c>
      <c r="HL5" t="e">
        <f>AND('Printable Sheets'!V7,"AAAAAH23P9s=")</f>
        <v>#VALUE!</v>
      </c>
      <c r="HM5" t="e">
        <f>AND('Printable Sheets'!W7,"AAAAAH23P9w=")</f>
        <v>#VALUE!</v>
      </c>
      <c r="HN5" t="e">
        <f>AND('Printable Sheets'!X7,"AAAAAH23P90=")</f>
        <v>#VALUE!</v>
      </c>
      <c r="HO5" t="e">
        <f>AND('Printable Sheets'!Y7,"AAAAAH23P94=")</f>
        <v>#VALUE!</v>
      </c>
      <c r="HP5" t="e">
        <f>AND('Printable Sheets'!Z7,"AAAAAH23P98=")</f>
        <v>#VALUE!</v>
      </c>
      <c r="HQ5" t="e">
        <f>AND('Printable Sheets'!AA7,"AAAAAH23P+A=")</f>
        <v>#VALUE!</v>
      </c>
      <c r="HR5" t="e">
        <f>AND('Printable Sheets'!AB7,"AAAAAH23P+E=")</f>
        <v>#VALUE!</v>
      </c>
      <c r="HS5" t="e">
        <f>AND('Printable Sheets'!AC7,"AAAAAH23P+I=")</f>
        <v>#VALUE!</v>
      </c>
      <c r="HT5" t="e">
        <f>AND('Printable Sheets'!AD7,"AAAAAH23P+M=")</f>
        <v>#VALUE!</v>
      </c>
      <c r="HU5">
        <f>IF('Printable Sheets'!8:8,"AAAAAH23P+Q=",0)</f>
        <v>0</v>
      </c>
      <c r="HV5" t="e">
        <f>AND('Printable Sheets'!A8,"AAAAAH23P+U=")</f>
        <v>#VALUE!</v>
      </c>
      <c r="HW5" t="e">
        <f>AND('Printable Sheets'!B8,"AAAAAH23P+Y=")</f>
        <v>#VALUE!</v>
      </c>
      <c r="HX5" t="e">
        <f>AND('Printable Sheets'!C8,"AAAAAH23P+c=")</f>
        <v>#VALUE!</v>
      </c>
      <c r="HY5" t="e">
        <f>AND('Printable Sheets'!D8,"AAAAAH23P+g=")</f>
        <v>#VALUE!</v>
      </c>
      <c r="HZ5" t="e">
        <f>AND('Printable Sheets'!E8,"AAAAAH23P+k=")</f>
        <v>#VALUE!</v>
      </c>
      <c r="IA5" t="e">
        <f>AND('Printable Sheets'!F8,"AAAAAH23P+o=")</f>
        <v>#VALUE!</v>
      </c>
      <c r="IB5" t="e">
        <f>AND('Printable Sheets'!G8,"AAAAAH23P+s=")</f>
        <v>#VALUE!</v>
      </c>
      <c r="IC5" t="e">
        <f>AND('Printable Sheets'!H8,"AAAAAH23P+w=")</f>
        <v>#VALUE!</v>
      </c>
      <c r="ID5" t="e">
        <f>AND('Printable Sheets'!I8,"AAAAAH23P+0=")</f>
        <v>#VALUE!</v>
      </c>
      <c r="IE5" t="e">
        <f>AND('Printable Sheets'!J8,"AAAAAH23P+4=")</f>
        <v>#VALUE!</v>
      </c>
      <c r="IF5" t="e">
        <f>AND('Printable Sheets'!K8,"AAAAAH23P+8=")</f>
        <v>#VALUE!</v>
      </c>
      <c r="IG5" t="e">
        <f>AND('Printable Sheets'!L8,"AAAAAH23P/A=")</f>
        <v>#VALUE!</v>
      </c>
      <c r="IH5" t="e">
        <f>AND('Printable Sheets'!M8,"AAAAAH23P/E=")</f>
        <v>#VALUE!</v>
      </c>
      <c r="II5" t="e">
        <f>AND('Printable Sheets'!N8,"AAAAAH23P/I=")</f>
        <v>#VALUE!</v>
      </c>
      <c r="IJ5" t="e">
        <f>AND('Printable Sheets'!O8,"AAAAAH23P/M=")</f>
        <v>#VALUE!</v>
      </c>
      <c r="IK5" t="e">
        <f>AND('Printable Sheets'!P8,"AAAAAH23P/Q=")</f>
        <v>#VALUE!</v>
      </c>
      <c r="IL5" t="e">
        <f>AND('Printable Sheets'!Q8,"AAAAAH23P/U=")</f>
        <v>#VALUE!</v>
      </c>
      <c r="IM5" t="e">
        <f>AND('Printable Sheets'!R8,"AAAAAH23P/Y=")</f>
        <v>#VALUE!</v>
      </c>
      <c r="IN5" t="e">
        <f>AND('Printable Sheets'!S8,"AAAAAH23P/c=")</f>
        <v>#VALUE!</v>
      </c>
      <c r="IO5" t="e">
        <f>AND('Printable Sheets'!T8,"AAAAAH23P/g=")</f>
        <v>#VALUE!</v>
      </c>
      <c r="IP5" t="e">
        <f>AND('Printable Sheets'!U8,"AAAAAH23P/k=")</f>
        <v>#VALUE!</v>
      </c>
      <c r="IQ5" t="e">
        <f>AND('Printable Sheets'!V8,"AAAAAH23P/o=")</f>
        <v>#VALUE!</v>
      </c>
      <c r="IR5" t="e">
        <f>AND('Printable Sheets'!W8,"AAAAAH23P/s=")</f>
        <v>#VALUE!</v>
      </c>
      <c r="IS5" t="e">
        <f>AND('Printable Sheets'!X8,"AAAAAH23P/w=")</f>
        <v>#VALUE!</v>
      </c>
      <c r="IT5" t="e">
        <f>AND('Printable Sheets'!Y8,"AAAAAH23P/0=")</f>
        <v>#VALUE!</v>
      </c>
      <c r="IU5" t="e">
        <f>AND('Printable Sheets'!Z8,"AAAAAH23P/4=")</f>
        <v>#VALUE!</v>
      </c>
      <c r="IV5" t="e">
        <f>AND('Printable Sheets'!AA8,"AAAAAH23P/8=")</f>
        <v>#VALUE!</v>
      </c>
    </row>
    <row r="6" spans="1:256" x14ac:dyDescent="0.2">
      <c r="A6" t="e">
        <f>AND('Printable Sheets'!AB8,"AAAAAH/mvwA=")</f>
        <v>#VALUE!</v>
      </c>
      <c r="B6" t="e">
        <f>AND('Printable Sheets'!AC8,"AAAAAH/mvwE=")</f>
        <v>#VALUE!</v>
      </c>
      <c r="C6" t="e">
        <f>AND('Printable Sheets'!AD8,"AAAAAH/mvwI=")</f>
        <v>#VALUE!</v>
      </c>
      <c r="D6">
        <f>IF('Printable Sheets'!9:9,"AAAAAH/mvwM=",0)</f>
        <v>0</v>
      </c>
      <c r="E6" t="e">
        <f>AND('Printable Sheets'!A9,"AAAAAH/mvwQ=")</f>
        <v>#VALUE!</v>
      </c>
      <c r="F6" t="e">
        <f>AND('Printable Sheets'!B9,"AAAAAH/mvwU=")</f>
        <v>#VALUE!</v>
      </c>
      <c r="G6" t="e">
        <f>AND('Printable Sheets'!C9,"AAAAAH/mvwY=")</f>
        <v>#VALUE!</v>
      </c>
      <c r="H6" t="e">
        <f>AND('Printable Sheets'!D9,"AAAAAH/mvwc=")</f>
        <v>#VALUE!</v>
      </c>
      <c r="I6" t="e">
        <f>AND('Printable Sheets'!E9,"AAAAAH/mvwg=")</f>
        <v>#VALUE!</v>
      </c>
      <c r="J6" t="e">
        <f>AND('Printable Sheets'!F9,"AAAAAH/mvwk=")</f>
        <v>#VALUE!</v>
      </c>
      <c r="K6" t="e">
        <f>AND('Printable Sheets'!G9,"AAAAAH/mvwo=")</f>
        <v>#VALUE!</v>
      </c>
      <c r="L6" t="e">
        <f>AND('Printable Sheets'!H9,"AAAAAH/mvws=")</f>
        <v>#VALUE!</v>
      </c>
      <c r="M6" t="e">
        <f>AND('Printable Sheets'!I9,"AAAAAH/mvww=")</f>
        <v>#VALUE!</v>
      </c>
      <c r="N6" t="e">
        <f>AND('Printable Sheets'!J9,"AAAAAH/mvw0=")</f>
        <v>#VALUE!</v>
      </c>
      <c r="O6" t="e">
        <f>AND('Printable Sheets'!K9,"AAAAAH/mvw4=")</f>
        <v>#VALUE!</v>
      </c>
      <c r="P6" t="e">
        <f>AND('Printable Sheets'!L9,"AAAAAH/mvw8=")</f>
        <v>#VALUE!</v>
      </c>
      <c r="Q6" t="e">
        <f>AND('Printable Sheets'!M9,"AAAAAH/mvxA=")</f>
        <v>#VALUE!</v>
      </c>
      <c r="R6" t="e">
        <f>AND('Printable Sheets'!N9,"AAAAAH/mvxE=")</f>
        <v>#VALUE!</v>
      </c>
      <c r="S6" t="e">
        <f>AND('Printable Sheets'!O9,"AAAAAH/mvxI=")</f>
        <v>#VALUE!</v>
      </c>
      <c r="T6" t="e">
        <f>AND('Printable Sheets'!P9,"AAAAAH/mvxM=")</f>
        <v>#VALUE!</v>
      </c>
      <c r="U6" t="e">
        <f>AND('Printable Sheets'!Q9,"AAAAAH/mvxQ=")</f>
        <v>#VALUE!</v>
      </c>
      <c r="V6" t="e">
        <f>AND('Printable Sheets'!R9,"AAAAAH/mvxU=")</f>
        <v>#VALUE!</v>
      </c>
      <c r="W6" t="e">
        <f>AND('Printable Sheets'!S9,"AAAAAH/mvxY=")</f>
        <v>#VALUE!</v>
      </c>
      <c r="X6" t="e">
        <f>AND('Printable Sheets'!T9,"AAAAAH/mvxc=")</f>
        <v>#VALUE!</v>
      </c>
      <c r="Y6" t="e">
        <f>AND('Printable Sheets'!U9,"AAAAAH/mvxg=")</f>
        <v>#VALUE!</v>
      </c>
      <c r="Z6" t="e">
        <f>AND('Printable Sheets'!V9,"AAAAAH/mvxk=")</f>
        <v>#VALUE!</v>
      </c>
      <c r="AA6" t="e">
        <f>AND('Printable Sheets'!W9,"AAAAAH/mvxo=")</f>
        <v>#VALUE!</v>
      </c>
      <c r="AB6" t="e">
        <f>AND('Printable Sheets'!X9,"AAAAAH/mvxs=")</f>
        <v>#VALUE!</v>
      </c>
      <c r="AC6" t="e">
        <f>AND('Printable Sheets'!Y9,"AAAAAH/mvxw=")</f>
        <v>#VALUE!</v>
      </c>
      <c r="AD6" t="e">
        <f>AND('Printable Sheets'!Z9,"AAAAAH/mvx0=")</f>
        <v>#VALUE!</v>
      </c>
      <c r="AE6" t="e">
        <f>AND('Printable Sheets'!AA9,"AAAAAH/mvx4=")</f>
        <v>#VALUE!</v>
      </c>
      <c r="AF6" t="e">
        <f>AND('Printable Sheets'!AB9,"AAAAAH/mvx8=")</f>
        <v>#VALUE!</v>
      </c>
      <c r="AG6" t="e">
        <f>AND('Printable Sheets'!AC9,"AAAAAH/mvyA=")</f>
        <v>#VALUE!</v>
      </c>
      <c r="AH6" t="e">
        <f>AND('Printable Sheets'!AD9,"AAAAAH/mvyE=")</f>
        <v>#VALUE!</v>
      </c>
      <c r="AI6">
        <f>IF('Printable Sheets'!10:10,"AAAAAH/mvyI=",0)</f>
        <v>0</v>
      </c>
      <c r="AJ6" t="e">
        <f>AND('Printable Sheets'!A10,"AAAAAH/mvyM=")</f>
        <v>#VALUE!</v>
      </c>
      <c r="AK6" t="e">
        <f>AND('Printable Sheets'!B10,"AAAAAH/mvyQ=")</f>
        <v>#VALUE!</v>
      </c>
      <c r="AL6" t="e">
        <f>AND('Printable Sheets'!C10,"AAAAAH/mvyU=")</f>
        <v>#VALUE!</v>
      </c>
      <c r="AM6" t="e">
        <f>AND('Printable Sheets'!D10,"AAAAAH/mvyY=")</f>
        <v>#VALUE!</v>
      </c>
      <c r="AN6" t="e">
        <f>AND('Printable Sheets'!E10,"AAAAAH/mvyc=")</f>
        <v>#VALUE!</v>
      </c>
      <c r="AO6" t="e">
        <f>AND('Printable Sheets'!F10,"AAAAAH/mvyg=")</f>
        <v>#VALUE!</v>
      </c>
      <c r="AP6" t="e">
        <f>AND('Printable Sheets'!G10,"AAAAAH/mvyk=")</f>
        <v>#VALUE!</v>
      </c>
      <c r="AQ6" t="e">
        <f>AND('Printable Sheets'!H10,"AAAAAH/mvyo=")</f>
        <v>#VALUE!</v>
      </c>
      <c r="AR6" t="e">
        <f>AND('Printable Sheets'!I10,"AAAAAH/mvys=")</f>
        <v>#VALUE!</v>
      </c>
      <c r="AS6" t="e">
        <f>AND('Printable Sheets'!J10,"AAAAAH/mvyw=")</f>
        <v>#VALUE!</v>
      </c>
      <c r="AT6" t="e">
        <f>AND('Printable Sheets'!K10,"AAAAAH/mvy0=")</f>
        <v>#VALUE!</v>
      </c>
      <c r="AU6" t="e">
        <f>AND('Printable Sheets'!L10,"AAAAAH/mvy4=")</f>
        <v>#VALUE!</v>
      </c>
      <c r="AV6" t="e">
        <f>AND('Printable Sheets'!M10,"AAAAAH/mvy8=")</f>
        <v>#VALUE!</v>
      </c>
      <c r="AW6" t="e">
        <f>AND('Printable Sheets'!N10,"AAAAAH/mvzA=")</f>
        <v>#VALUE!</v>
      </c>
      <c r="AX6" t="e">
        <f>AND('Printable Sheets'!O10,"AAAAAH/mvzE=")</f>
        <v>#VALUE!</v>
      </c>
      <c r="AY6" t="e">
        <f>AND('Printable Sheets'!P10,"AAAAAH/mvzI=")</f>
        <v>#VALUE!</v>
      </c>
      <c r="AZ6" t="e">
        <f>AND('Printable Sheets'!Q10,"AAAAAH/mvzM=")</f>
        <v>#VALUE!</v>
      </c>
      <c r="BA6" t="e">
        <f>AND('Printable Sheets'!R10,"AAAAAH/mvzQ=")</f>
        <v>#VALUE!</v>
      </c>
      <c r="BB6" t="e">
        <f>AND('Printable Sheets'!S10,"AAAAAH/mvzU=")</f>
        <v>#VALUE!</v>
      </c>
      <c r="BC6" t="e">
        <f>AND('Printable Sheets'!T10,"AAAAAH/mvzY=")</f>
        <v>#VALUE!</v>
      </c>
      <c r="BD6" t="e">
        <f>AND('Printable Sheets'!U10,"AAAAAH/mvzc=")</f>
        <v>#VALUE!</v>
      </c>
      <c r="BE6" t="e">
        <f>AND('Printable Sheets'!V10,"AAAAAH/mvzg=")</f>
        <v>#VALUE!</v>
      </c>
      <c r="BF6" t="e">
        <f>AND('Printable Sheets'!W10,"AAAAAH/mvzk=")</f>
        <v>#VALUE!</v>
      </c>
      <c r="BG6" t="e">
        <f>AND('Printable Sheets'!X10,"AAAAAH/mvzo=")</f>
        <v>#VALUE!</v>
      </c>
      <c r="BH6" t="e">
        <f>AND('Printable Sheets'!Y10,"AAAAAH/mvzs=")</f>
        <v>#VALUE!</v>
      </c>
      <c r="BI6" t="e">
        <f>AND('Printable Sheets'!Z10,"AAAAAH/mvzw=")</f>
        <v>#VALUE!</v>
      </c>
      <c r="BJ6" t="e">
        <f>AND('Printable Sheets'!AA10,"AAAAAH/mvz0=")</f>
        <v>#VALUE!</v>
      </c>
      <c r="BK6" t="e">
        <f>AND('Printable Sheets'!AB10,"AAAAAH/mvz4=")</f>
        <v>#VALUE!</v>
      </c>
      <c r="BL6" t="e">
        <f>AND('Printable Sheets'!AC10,"AAAAAH/mvz8=")</f>
        <v>#VALUE!</v>
      </c>
      <c r="BM6" t="e">
        <f>AND('Printable Sheets'!AD10,"AAAAAH/mv0A=")</f>
        <v>#VALUE!</v>
      </c>
      <c r="BN6">
        <f>IF('Printable Sheets'!11:11,"AAAAAH/mv0E=",0)</f>
        <v>0</v>
      </c>
      <c r="BO6" t="e">
        <f>AND('Printable Sheets'!A11,"AAAAAH/mv0I=")</f>
        <v>#VALUE!</v>
      </c>
      <c r="BP6" t="e">
        <f>AND('Printable Sheets'!B11,"AAAAAH/mv0M=")</f>
        <v>#VALUE!</v>
      </c>
      <c r="BQ6" t="e">
        <f>AND('Printable Sheets'!C11,"AAAAAH/mv0Q=")</f>
        <v>#VALUE!</v>
      </c>
      <c r="BR6" t="e">
        <f>AND('Printable Sheets'!D11,"AAAAAH/mv0U=")</f>
        <v>#VALUE!</v>
      </c>
      <c r="BS6" t="e">
        <f>AND('Printable Sheets'!E11,"AAAAAH/mv0Y=")</f>
        <v>#VALUE!</v>
      </c>
      <c r="BT6" t="e">
        <f>AND('Printable Sheets'!F11,"AAAAAH/mv0c=")</f>
        <v>#VALUE!</v>
      </c>
      <c r="BU6" t="e">
        <f>AND('Printable Sheets'!G11,"AAAAAH/mv0g=")</f>
        <v>#VALUE!</v>
      </c>
      <c r="BV6" t="e">
        <f>AND('Printable Sheets'!H11,"AAAAAH/mv0k=")</f>
        <v>#VALUE!</v>
      </c>
      <c r="BW6" t="e">
        <f>AND('Printable Sheets'!I11,"AAAAAH/mv0o=")</f>
        <v>#VALUE!</v>
      </c>
      <c r="BX6" t="e">
        <f>AND('Printable Sheets'!J11,"AAAAAH/mv0s=")</f>
        <v>#VALUE!</v>
      </c>
      <c r="BY6" t="e">
        <f>AND('Printable Sheets'!K11,"AAAAAH/mv0w=")</f>
        <v>#VALUE!</v>
      </c>
      <c r="BZ6" t="e">
        <f>AND('Printable Sheets'!L11,"AAAAAH/mv00=")</f>
        <v>#VALUE!</v>
      </c>
      <c r="CA6" t="e">
        <f>AND('Printable Sheets'!M11,"AAAAAH/mv04=")</f>
        <v>#VALUE!</v>
      </c>
      <c r="CB6" t="e">
        <f>AND('Printable Sheets'!N11,"AAAAAH/mv08=")</f>
        <v>#VALUE!</v>
      </c>
      <c r="CC6" t="e">
        <f>AND('Printable Sheets'!O11,"AAAAAH/mv1A=")</f>
        <v>#VALUE!</v>
      </c>
      <c r="CD6" t="e">
        <f>AND('Printable Sheets'!P11,"AAAAAH/mv1E=")</f>
        <v>#VALUE!</v>
      </c>
      <c r="CE6" t="e">
        <f>AND('Printable Sheets'!Q11,"AAAAAH/mv1I=")</f>
        <v>#VALUE!</v>
      </c>
      <c r="CF6" t="e">
        <f>AND('Printable Sheets'!R11,"AAAAAH/mv1M=")</f>
        <v>#VALUE!</v>
      </c>
      <c r="CG6" t="e">
        <f>AND('Printable Sheets'!S11,"AAAAAH/mv1Q=")</f>
        <v>#VALUE!</v>
      </c>
      <c r="CH6" t="e">
        <f>AND('Printable Sheets'!T11,"AAAAAH/mv1U=")</f>
        <v>#VALUE!</v>
      </c>
      <c r="CI6" t="e">
        <f>AND('Printable Sheets'!U11,"AAAAAH/mv1Y=")</f>
        <v>#VALUE!</v>
      </c>
      <c r="CJ6" t="e">
        <f>AND('Printable Sheets'!V11,"AAAAAH/mv1c=")</f>
        <v>#VALUE!</v>
      </c>
      <c r="CK6" t="e">
        <f>AND('Printable Sheets'!W11,"AAAAAH/mv1g=")</f>
        <v>#VALUE!</v>
      </c>
      <c r="CL6" t="e">
        <f>AND('Printable Sheets'!X11,"AAAAAH/mv1k=")</f>
        <v>#VALUE!</v>
      </c>
      <c r="CM6" t="e">
        <f>AND('Printable Sheets'!Y11,"AAAAAH/mv1o=")</f>
        <v>#VALUE!</v>
      </c>
      <c r="CN6" t="e">
        <f>AND('Printable Sheets'!Z11,"AAAAAH/mv1s=")</f>
        <v>#VALUE!</v>
      </c>
      <c r="CO6" t="e">
        <f>AND('Printable Sheets'!AA11,"AAAAAH/mv1w=")</f>
        <v>#VALUE!</v>
      </c>
      <c r="CP6" t="e">
        <f>AND('Printable Sheets'!AB11,"AAAAAH/mv10=")</f>
        <v>#VALUE!</v>
      </c>
      <c r="CQ6" t="e">
        <f>AND('Printable Sheets'!AC11,"AAAAAH/mv14=")</f>
        <v>#VALUE!</v>
      </c>
      <c r="CR6" t="e">
        <f>AND('Printable Sheets'!AD11,"AAAAAH/mv18=")</f>
        <v>#VALUE!</v>
      </c>
      <c r="CS6">
        <f>IF('Printable Sheets'!12:12,"AAAAAH/mv2A=",0)</f>
        <v>0</v>
      </c>
      <c r="CT6" t="e">
        <f>AND('Printable Sheets'!A12,"AAAAAH/mv2E=")</f>
        <v>#VALUE!</v>
      </c>
      <c r="CU6" t="e">
        <f>AND('Printable Sheets'!B12,"AAAAAH/mv2I=")</f>
        <v>#VALUE!</v>
      </c>
      <c r="CV6" t="e">
        <f>AND('Printable Sheets'!C12,"AAAAAH/mv2M=")</f>
        <v>#VALUE!</v>
      </c>
      <c r="CW6" t="e">
        <f>AND('Printable Sheets'!D12,"AAAAAH/mv2Q=")</f>
        <v>#VALUE!</v>
      </c>
      <c r="CX6" t="e">
        <f>AND('Printable Sheets'!E12,"AAAAAH/mv2U=")</f>
        <v>#VALUE!</v>
      </c>
      <c r="CY6" t="e">
        <f>AND('Printable Sheets'!F12,"AAAAAH/mv2Y=")</f>
        <v>#VALUE!</v>
      </c>
      <c r="CZ6" t="e">
        <f>AND('Printable Sheets'!G12,"AAAAAH/mv2c=")</f>
        <v>#VALUE!</v>
      </c>
      <c r="DA6" t="e">
        <f>AND('Printable Sheets'!H12,"AAAAAH/mv2g=")</f>
        <v>#VALUE!</v>
      </c>
      <c r="DB6" t="e">
        <f>AND('Printable Sheets'!I12,"AAAAAH/mv2k=")</f>
        <v>#VALUE!</v>
      </c>
      <c r="DC6" t="e">
        <f>AND('Printable Sheets'!J12,"AAAAAH/mv2o=")</f>
        <v>#VALUE!</v>
      </c>
      <c r="DD6" t="e">
        <f>AND('Printable Sheets'!K12,"AAAAAH/mv2s=")</f>
        <v>#VALUE!</v>
      </c>
      <c r="DE6" t="e">
        <f>AND('Printable Sheets'!L12,"AAAAAH/mv2w=")</f>
        <v>#VALUE!</v>
      </c>
      <c r="DF6" t="e">
        <f>AND('Printable Sheets'!M12,"AAAAAH/mv20=")</f>
        <v>#VALUE!</v>
      </c>
      <c r="DG6" t="e">
        <f>AND('Printable Sheets'!N12,"AAAAAH/mv24=")</f>
        <v>#VALUE!</v>
      </c>
      <c r="DH6" t="e">
        <f>AND('Printable Sheets'!O12,"AAAAAH/mv28=")</f>
        <v>#VALUE!</v>
      </c>
      <c r="DI6" t="e">
        <f>AND('Printable Sheets'!P12,"AAAAAH/mv3A=")</f>
        <v>#VALUE!</v>
      </c>
      <c r="DJ6" t="e">
        <f>AND('Printable Sheets'!Q12,"AAAAAH/mv3E=")</f>
        <v>#VALUE!</v>
      </c>
      <c r="DK6" t="e">
        <f>AND('Printable Sheets'!R12,"AAAAAH/mv3I=")</f>
        <v>#VALUE!</v>
      </c>
      <c r="DL6" t="e">
        <f>AND('Printable Sheets'!S12,"AAAAAH/mv3M=")</f>
        <v>#VALUE!</v>
      </c>
      <c r="DM6" t="e">
        <f>AND('Printable Sheets'!T12,"AAAAAH/mv3Q=")</f>
        <v>#VALUE!</v>
      </c>
      <c r="DN6" t="e">
        <f>AND('Printable Sheets'!U12,"AAAAAH/mv3U=")</f>
        <v>#VALUE!</v>
      </c>
      <c r="DO6" t="e">
        <f>AND('Printable Sheets'!V12,"AAAAAH/mv3Y=")</f>
        <v>#VALUE!</v>
      </c>
      <c r="DP6" t="e">
        <f>AND('Printable Sheets'!W12,"AAAAAH/mv3c=")</f>
        <v>#VALUE!</v>
      </c>
      <c r="DQ6" t="e">
        <f>AND('Printable Sheets'!X12,"AAAAAH/mv3g=")</f>
        <v>#VALUE!</v>
      </c>
      <c r="DR6" t="e">
        <f>AND('Printable Sheets'!Y12,"AAAAAH/mv3k=")</f>
        <v>#VALUE!</v>
      </c>
      <c r="DS6" t="e">
        <f>AND('Printable Sheets'!Z12,"AAAAAH/mv3o=")</f>
        <v>#VALUE!</v>
      </c>
      <c r="DT6" t="e">
        <f>AND('Printable Sheets'!AA12,"AAAAAH/mv3s=")</f>
        <v>#VALUE!</v>
      </c>
      <c r="DU6" t="e">
        <f>AND('Printable Sheets'!AB12,"AAAAAH/mv3w=")</f>
        <v>#VALUE!</v>
      </c>
      <c r="DV6" t="e">
        <f>AND('Printable Sheets'!AC12,"AAAAAH/mv30=")</f>
        <v>#VALUE!</v>
      </c>
      <c r="DW6" t="e">
        <f>AND('Printable Sheets'!AD12,"AAAAAH/mv34=")</f>
        <v>#VALUE!</v>
      </c>
      <c r="DX6">
        <f>IF('Printable Sheets'!13:13,"AAAAAH/mv38=",0)</f>
        <v>0</v>
      </c>
      <c r="DY6" t="e">
        <f>AND('Printable Sheets'!A13,"AAAAAH/mv4A=")</f>
        <v>#VALUE!</v>
      </c>
      <c r="DZ6" t="e">
        <f>AND('Printable Sheets'!B13,"AAAAAH/mv4E=")</f>
        <v>#VALUE!</v>
      </c>
      <c r="EA6" t="e">
        <f>AND('Printable Sheets'!C13,"AAAAAH/mv4I=")</f>
        <v>#VALUE!</v>
      </c>
      <c r="EB6" t="e">
        <f>AND('Printable Sheets'!D13,"AAAAAH/mv4M=")</f>
        <v>#VALUE!</v>
      </c>
      <c r="EC6" t="e">
        <f>AND('Printable Sheets'!E13,"AAAAAH/mv4Q=")</f>
        <v>#VALUE!</v>
      </c>
      <c r="ED6" t="e">
        <f>AND('Printable Sheets'!F13,"AAAAAH/mv4U=")</f>
        <v>#VALUE!</v>
      </c>
      <c r="EE6" t="e">
        <f>AND('Printable Sheets'!G13,"AAAAAH/mv4Y=")</f>
        <v>#VALUE!</v>
      </c>
      <c r="EF6" t="e">
        <f>AND('Printable Sheets'!H13,"AAAAAH/mv4c=")</f>
        <v>#VALUE!</v>
      </c>
      <c r="EG6" t="e">
        <f>AND('Printable Sheets'!I13,"AAAAAH/mv4g=")</f>
        <v>#VALUE!</v>
      </c>
      <c r="EH6" t="e">
        <f>AND('Printable Sheets'!J13,"AAAAAH/mv4k=")</f>
        <v>#VALUE!</v>
      </c>
      <c r="EI6" t="e">
        <f>AND('Printable Sheets'!K13,"AAAAAH/mv4o=")</f>
        <v>#VALUE!</v>
      </c>
      <c r="EJ6" t="e">
        <f>AND('Printable Sheets'!L13,"AAAAAH/mv4s=")</f>
        <v>#VALUE!</v>
      </c>
      <c r="EK6" t="e">
        <f>AND('Printable Sheets'!M13,"AAAAAH/mv4w=")</f>
        <v>#VALUE!</v>
      </c>
      <c r="EL6" t="e">
        <f>AND('Printable Sheets'!N13,"AAAAAH/mv40=")</f>
        <v>#VALUE!</v>
      </c>
      <c r="EM6" t="e">
        <f>AND('Printable Sheets'!O13,"AAAAAH/mv44=")</f>
        <v>#VALUE!</v>
      </c>
      <c r="EN6" t="e">
        <f>AND('Printable Sheets'!P13,"AAAAAH/mv48=")</f>
        <v>#VALUE!</v>
      </c>
      <c r="EO6" t="e">
        <f>AND('Printable Sheets'!Q13,"AAAAAH/mv5A=")</f>
        <v>#VALUE!</v>
      </c>
      <c r="EP6" t="e">
        <f>AND('Printable Sheets'!R13,"AAAAAH/mv5E=")</f>
        <v>#VALUE!</v>
      </c>
      <c r="EQ6" t="e">
        <f>AND('Printable Sheets'!S13,"AAAAAH/mv5I=")</f>
        <v>#VALUE!</v>
      </c>
      <c r="ER6" t="e">
        <f>AND('Printable Sheets'!T13,"AAAAAH/mv5M=")</f>
        <v>#VALUE!</v>
      </c>
      <c r="ES6" t="e">
        <f>AND('Printable Sheets'!U13,"AAAAAH/mv5Q=")</f>
        <v>#VALUE!</v>
      </c>
      <c r="ET6" t="e">
        <f>AND('Printable Sheets'!V13,"AAAAAH/mv5U=")</f>
        <v>#VALUE!</v>
      </c>
      <c r="EU6" t="e">
        <f>AND('Printable Sheets'!W13,"AAAAAH/mv5Y=")</f>
        <v>#VALUE!</v>
      </c>
      <c r="EV6" t="e">
        <f>AND('Printable Sheets'!X13,"AAAAAH/mv5c=")</f>
        <v>#VALUE!</v>
      </c>
      <c r="EW6" t="e">
        <f>AND('Printable Sheets'!Y13,"AAAAAH/mv5g=")</f>
        <v>#VALUE!</v>
      </c>
      <c r="EX6" t="e">
        <f>AND('Printable Sheets'!Z13,"AAAAAH/mv5k=")</f>
        <v>#VALUE!</v>
      </c>
      <c r="EY6" t="e">
        <f>AND('Printable Sheets'!AA13,"AAAAAH/mv5o=")</f>
        <v>#VALUE!</v>
      </c>
      <c r="EZ6" t="e">
        <f>AND('Printable Sheets'!AB13,"AAAAAH/mv5s=")</f>
        <v>#VALUE!</v>
      </c>
      <c r="FA6" t="e">
        <f>AND('Printable Sheets'!AC13,"AAAAAH/mv5w=")</f>
        <v>#VALUE!</v>
      </c>
      <c r="FB6" t="e">
        <f>AND('Printable Sheets'!AD13,"AAAAAH/mv50=")</f>
        <v>#VALUE!</v>
      </c>
      <c r="FC6">
        <f>IF('Printable Sheets'!14:14,"AAAAAH/mv54=",0)</f>
        <v>0</v>
      </c>
      <c r="FD6" t="e">
        <f>AND('Printable Sheets'!A14,"AAAAAH/mv58=")</f>
        <v>#VALUE!</v>
      </c>
      <c r="FE6" t="e">
        <f>AND('Printable Sheets'!B14,"AAAAAH/mv6A=")</f>
        <v>#VALUE!</v>
      </c>
      <c r="FF6" t="e">
        <f>AND('Printable Sheets'!C14,"AAAAAH/mv6E=")</f>
        <v>#VALUE!</v>
      </c>
      <c r="FG6" t="e">
        <f>AND('Printable Sheets'!D14,"AAAAAH/mv6I=")</f>
        <v>#VALUE!</v>
      </c>
      <c r="FH6" t="e">
        <f>AND('Printable Sheets'!E14,"AAAAAH/mv6M=")</f>
        <v>#VALUE!</v>
      </c>
      <c r="FI6" t="e">
        <f>AND('Printable Sheets'!F14,"AAAAAH/mv6Q=")</f>
        <v>#VALUE!</v>
      </c>
      <c r="FJ6" t="e">
        <f>AND('Printable Sheets'!G14,"AAAAAH/mv6U=")</f>
        <v>#VALUE!</v>
      </c>
      <c r="FK6" t="e">
        <f>AND('Printable Sheets'!H14,"AAAAAH/mv6Y=")</f>
        <v>#VALUE!</v>
      </c>
      <c r="FL6" t="e">
        <f>AND('Printable Sheets'!I14,"AAAAAH/mv6c=")</f>
        <v>#VALUE!</v>
      </c>
      <c r="FM6" t="e">
        <f>AND('Printable Sheets'!J14,"AAAAAH/mv6g=")</f>
        <v>#VALUE!</v>
      </c>
      <c r="FN6" t="e">
        <f>AND('Printable Sheets'!K14,"AAAAAH/mv6k=")</f>
        <v>#VALUE!</v>
      </c>
      <c r="FO6" t="e">
        <f>AND('Printable Sheets'!L14,"AAAAAH/mv6o=")</f>
        <v>#VALUE!</v>
      </c>
      <c r="FP6" t="e">
        <f>AND('Printable Sheets'!M14,"AAAAAH/mv6s=")</f>
        <v>#VALUE!</v>
      </c>
      <c r="FQ6" t="e">
        <f>AND('Printable Sheets'!N14,"AAAAAH/mv6w=")</f>
        <v>#VALUE!</v>
      </c>
      <c r="FR6" t="e">
        <f>AND('Printable Sheets'!O14,"AAAAAH/mv60=")</f>
        <v>#VALUE!</v>
      </c>
      <c r="FS6" t="e">
        <f>AND('Printable Sheets'!P14,"AAAAAH/mv64=")</f>
        <v>#VALUE!</v>
      </c>
      <c r="FT6" t="e">
        <f>AND('Printable Sheets'!Q14,"AAAAAH/mv68=")</f>
        <v>#VALUE!</v>
      </c>
      <c r="FU6" t="e">
        <f>AND('Printable Sheets'!R14,"AAAAAH/mv7A=")</f>
        <v>#VALUE!</v>
      </c>
      <c r="FV6" t="e">
        <f>AND('Printable Sheets'!S14,"AAAAAH/mv7E=")</f>
        <v>#VALUE!</v>
      </c>
      <c r="FW6" t="e">
        <f>AND('Printable Sheets'!T14,"AAAAAH/mv7I=")</f>
        <v>#VALUE!</v>
      </c>
      <c r="FX6" t="e">
        <f>AND('Printable Sheets'!U14,"AAAAAH/mv7M=")</f>
        <v>#VALUE!</v>
      </c>
      <c r="FY6" t="e">
        <f>AND('Printable Sheets'!V14,"AAAAAH/mv7Q=")</f>
        <v>#VALUE!</v>
      </c>
      <c r="FZ6" t="e">
        <f>AND('Printable Sheets'!W14,"AAAAAH/mv7U=")</f>
        <v>#VALUE!</v>
      </c>
      <c r="GA6" t="e">
        <f>AND('Printable Sheets'!X14,"AAAAAH/mv7Y=")</f>
        <v>#VALUE!</v>
      </c>
      <c r="GB6" t="e">
        <f>AND('Printable Sheets'!Y14,"AAAAAH/mv7c=")</f>
        <v>#VALUE!</v>
      </c>
      <c r="GC6" t="e">
        <f>AND('Printable Sheets'!Z14,"AAAAAH/mv7g=")</f>
        <v>#VALUE!</v>
      </c>
      <c r="GD6" t="e">
        <f>AND('Printable Sheets'!AA14,"AAAAAH/mv7k=")</f>
        <v>#VALUE!</v>
      </c>
      <c r="GE6" t="e">
        <f>AND('Printable Sheets'!AB14,"AAAAAH/mv7o=")</f>
        <v>#VALUE!</v>
      </c>
      <c r="GF6" t="e">
        <f>AND('Printable Sheets'!AC14,"AAAAAH/mv7s=")</f>
        <v>#VALUE!</v>
      </c>
      <c r="GG6" t="e">
        <f>AND('Printable Sheets'!AD14,"AAAAAH/mv7w=")</f>
        <v>#VALUE!</v>
      </c>
      <c r="GH6">
        <f>IF('Printable Sheets'!15:15,"AAAAAH/mv70=",0)</f>
        <v>0</v>
      </c>
      <c r="GI6" t="e">
        <f>AND('Printable Sheets'!A15,"AAAAAH/mv74=")</f>
        <v>#VALUE!</v>
      </c>
      <c r="GJ6" t="e">
        <f>AND('Printable Sheets'!B15,"AAAAAH/mv78=")</f>
        <v>#VALUE!</v>
      </c>
      <c r="GK6" t="e">
        <f>AND('Printable Sheets'!C15,"AAAAAH/mv8A=")</f>
        <v>#VALUE!</v>
      </c>
      <c r="GL6" t="e">
        <f>AND('Printable Sheets'!D15,"AAAAAH/mv8E=")</f>
        <v>#VALUE!</v>
      </c>
      <c r="GM6" t="e">
        <f>AND('Printable Sheets'!E15,"AAAAAH/mv8I=")</f>
        <v>#VALUE!</v>
      </c>
      <c r="GN6" t="e">
        <f>AND('Printable Sheets'!F15,"AAAAAH/mv8M=")</f>
        <v>#VALUE!</v>
      </c>
      <c r="GO6" t="e">
        <f>AND('Printable Sheets'!G15,"AAAAAH/mv8Q=")</f>
        <v>#VALUE!</v>
      </c>
      <c r="GP6" t="e">
        <f>AND('Printable Sheets'!H15,"AAAAAH/mv8U=")</f>
        <v>#VALUE!</v>
      </c>
      <c r="GQ6" t="e">
        <f>AND('Printable Sheets'!I15,"AAAAAH/mv8Y=")</f>
        <v>#VALUE!</v>
      </c>
      <c r="GR6" t="e">
        <f>AND('Printable Sheets'!J15,"AAAAAH/mv8c=")</f>
        <v>#VALUE!</v>
      </c>
      <c r="GS6" t="e">
        <f>AND('Printable Sheets'!K15,"AAAAAH/mv8g=")</f>
        <v>#VALUE!</v>
      </c>
      <c r="GT6" t="e">
        <f>AND('Printable Sheets'!L15,"AAAAAH/mv8k=")</f>
        <v>#VALUE!</v>
      </c>
      <c r="GU6" t="e">
        <f>AND('Printable Sheets'!M15,"AAAAAH/mv8o=")</f>
        <v>#VALUE!</v>
      </c>
      <c r="GV6" t="e">
        <f>AND('Printable Sheets'!N15,"AAAAAH/mv8s=")</f>
        <v>#VALUE!</v>
      </c>
      <c r="GW6" t="e">
        <f>AND('Printable Sheets'!O15,"AAAAAH/mv8w=")</f>
        <v>#VALUE!</v>
      </c>
      <c r="GX6" t="e">
        <f>AND('Printable Sheets'!P15,"AAAAAH/mv80=")</f>
        <v>#VALUE!</v>
      </c>
      <c r="GY6" t="e">
        <f>AND('Printable Sheets'!Q15,"AAAAAH/mv84=")</f>
        <v>#VALUE!</v>
      </c>
      <c r="GZ6" t="e">
        <f>AND('Printable Sheets'!R15,"AAAAAH/mv88=")</f>
        <v>#VALUE!</v>
      </c>
      <c r="HA6" t="e">
        <f>AND('Printable Sheets'!S15,"AAAAAH/mv9A=")</f>
        <v>#VALUE!</v>
      </c>
      <c r="HB6" t="e">
        <f>AND('Printable Sheets'!T15,"AAAAAH/mv9E=")</f>
        <v>#VALUE!</v>
      </c>
      <c r="HC6" t="e">
        <f>AND('Printable Sheets'!U15,"AAAAAH/mv9I=")</f>
        <v>#VALUE!</v>
      </c>
      <c r="HD6" t="e">
        <f>AND('Printable Sheets'!V15,"AAAAAH/mv9M=")</f>
        <v>#VALUE!</v>
      </c>
      <c r="HE6" t="e">
        <f>AND('Printable Sheets'!W15,"AAAAAH/mv9Q=")</f>
        <v>#VALUE!</v>
      </c>
      <c r="HF6" t="e">
        <f>AND('Printable Sheets'!X15,"AAAAAH/mv9U=")</f>
        <v>#VALUE!</v>
      </c>
      <c r="HG6" t="e">
        <f>AND('Printable Sheets'!Y15,"AAAAAH/mv9Y=")</f>
        <v>#VALUE!</v>
      </c>
      <c r="HH6" t="e">
        <f>AND('Printable Sheets'!Z15,"AAAAAH/mv9c=")</f>
        <v>#VALUE!</v>
      </c>
      <c r="HI6" t="e">
        <f>AND('Printable Sheets'!AA15,"AAAAAH/mv9g=")</f>
        <v>#VALUE!</v>
      </c>
      <c r="HJ6" t="e">
        <f>AND('Printable Sheets'!AB15,"AAAAAH/mv9k=")</f>
        <v>#VALUE!</v>
      </c>
      <c r="HK6" t="e">
        <f>AND('Printable Sheets'!AC15,"AAAAAH/mv9o=")</f>
        <v>#VALUE!</v>
      </c>
      <c r="HL6" t="e">
        <f>AND('Printable Sheets'!AD15,"AAAAAH/mv9s=")</f>
        <v>#VALUE!</v>
      </c>
      <c r="HM6">
        <f>IF('Printable Sheets'!16:16,"AAAAAH/mv9w=",0)</f>
        <v>0</v>
      </c>
      <c r="HN6" t="e">
        <f>AND('Printable Sheets'!A16,"AAAAAH/mv90=")</f>
        <v>#VALUE!</v>
      </c>
      <c r="HO6" t="e">
        <f>AND('Printable Sheets'!B16,"AAAAAH/mv94=")</f>
        <v>#VALUE!</v>
      </c>
      <c r="HP6" t="e">
        <f>AND('Printable Sheets'!C16,"AAAAAH/mv98=")</f>
        <v>#VALUE!</v>
      </c>
      <c r="HQ6" t="e">
        <f>AND('Printable Sheets'!D16,"AAAAAH/mv+A=")</f>
        <v>#VALUE!</v>
      </c>
      <c r="HR6" t="e">
        <f>AND('Printable Sheets'!E16,"AAAAAH/mv+E=")</f>
        <v>#VALUE!</v>
      </c>
      <c r="HS6" t="e">
        <f>AND('Printable Sheets'!F16,"AAAAAH/mv+I=")</f>
        <v>#VALUE!</v>
      </c>
      <c r="HT6" t="e">
        <f>AND('Printable Sheets'!G16,"AAAAAH/mv+M=")</f>
        <v>#VALUE!</v>
      </c>
      <c r="HU6" t="e">
        <f>AND('Printable Sheets'!H16,"AAAAAH/mv+Q=")</f>
        <v>#VALUE!</v>
      </c>
      <c r="HV6" t="e">
        <f>AND('Printable Sheets'!I16,"AAAAAH/mv+U=")</f>
        <v>#VALUE!</v>
      </c>
      <c r="HW6" t="e">
        <f>AND('Printable Sheets'!J16,"AAAAAH/mv+Y=")</f>
        <v>#VALUE!</v>
      </c>
      <c r="HX6" t="e">
        <f>AND('Printable Sheets'!K16,"AAAAAH/mv+c=")</f>
        <v>#VALUE!</v>
      </c>
      <c r="HY6" t="e">
        <f>AND('Printable Sheets'!L16,"AAAAAH/mv+g=")</f>
        <v>#VALUE!</v>
      </c>
      <c r="HZ6" t="e">
        <f>AND('Printable Sheets'!M16,"AAAAAH/mv+k=")</f>
        <v>#VALUE!</v>
      </c>
      <c r="IA6" t="e">
        <f>AND('Printable Sheets'!N16,"AAAAAH/mv+o=")</f>
        <v>#VALUE!</v>
      </c>
      <c r="IB6" t="e">
        <f>AND('Printable Sheets'!O16,"AAAAAH/mv+s=")</f>
        <v>#VALUE!</v>
      </c>
      <c r="IC6" t="e">
        <f>AND('Printable Sheets'!P16,"AAAAAH/mv+w=")</f>
        <v>#VALUE!</v>
      </c>
      <c r="ID6" t="e">
        <f>AND('Printable Sheets'!Q16,"AAAAAH/mv+0=")</f>
        <v>#VALUE!</v>
      </c>
      <c r="IE6" t="e">
        <f>AND('Printable Sheets'!R16,"AAAAAH/mv+4=")</f>
        <v>#VALUE!</v>
      </c>
      <c r="IF6" t="e">
        <f>AND('Printable Sheets'!S16,"AAAAAH/mv+8=")</f>
        <v>#VALUE!</v>
      </c>
      <c r="IG6" t="e">
        <f>AND('Printable Sheets'!T16,"AAAAAH/mv/A=")</f>
        <v>#VALUE!</v>
      </c>
      <c r="IH6" t="e">
        <f>AND('Printable Sheets'!U16,"AAAAAH/mv/E=")</f>
        <v>#VALUE!</v>
      </c>
      <c r="II6" t="e">
        <f>AND('Printable Sheets'!V16,"AAAAAH/mv/I=")</f>
        <v>#VALUE!</v>
      </c>
      <c r="IJ6" t="e">
        <f>AND('Printable Sheets'!W16,"AAAAAH/mv/M=")</f>
        <v>#VALUE!</v>
      </c>
      <c r="IK6" t="e">
        <f>AND('Printable Sheets'!X16,"AAAAAH/mv/Q=")</f>
        <v>#VALUE!</v>
      </c>
      <c r="IL6" t="e">
        <f>AND('Printable Sheets'!Y16,"AAAAAH/mv/U=")</f>
        <v>#VALUE!</v>
      </c>
      <c r="IM6" t="e">
        <f>AND('Printable Sheets'!Z16,"AAAAAH/mv/Y=")</f>
        <v>#VALUE!</v>
      </c>
      <c r="IN6" t="e">
        <f>AND('Printable Sheets'!AA16,"AAAAAH/mv/c=")</f>
        <v>#VALUE!</v>
      </c>
      <c r="IO6" t="e">
        <f>AND('Printable Sheets'!AB16,"AAAAAH/mv/g=")</f>
        <v>#VALUE!</v>
      </c>
      <c r="IP6" t="e">
        <f>AND('Printable Sheets'!AC16,"AAAAAH/mv/k=")</f>
        <v>#VALUE!</v>
      </c>
      <c r="IQ6" t="e">
        <f>AND('Printable Sheets'!AD16,"AAAAAH/mv/o=")</f>
        <v>#VALUE!</v>
      </c>
      <c r="IR6">
        <f>IF('Printable Sheets'!17:17,"AAAAAH/mv/s=",0)</f>
        <v>0</v>
      </c>
      <c r="IS6" t="e">
        <f>AND('Printable Sheets'!A17,"AAAAAH/mv/w=")</f>
        <v>#VALUE!</v>
      </c>
      <c r="IT6" t="e">
        <f>AND('Printable Sheets'!B17,"AAAAAH/mv/0=")</f>
        <v>#VALUE!</v>
      </c>
      <c r="IU6" t="e">
        <f>AND('Printable Sheets'!C17,"AAAAAH/mv/4=")</f>
        <v>#VALUE!</v>
      </c>
      <c r="IV6" t="e">
        <f>AND('Printable Sheets'!D17,"AAAAAH/mv/8=")</f>
        <v>#VALUE!</v>
      </c>
    </row>
    <row r="7" spans="1:256" x14ac:dyDescent="0.2">
      <c r="A7" t="e">
        <f>AND('Printable Sheets'!E17,"AAAAAD9/OwA=")</f>
        <v>#VALUE!</v>
      </c>
      <c r="B7" t="e">
        <f>AND('Printable Sheets'!F17,"AAAAAD9/OwE=")</f>
        <v>#VALUE!</v>
      </c>
      <c r="C7" t="e">
        <f>AND('Printable Sheets'!G17,"AAAAAD9/OwI=")</f>
        <v>#VALUE!</v>
      </c>
      <c r="D7" t="e">
        <f>AND('Printable Sheets'!H17,"AAAAAD9/OwM=")</f>
        <v>#VALUE!</v>
      </c>
      <c r="E7" t="e">
        <f>AND('Printable Sheets'!I17,"AAAAAD9/OwQ=")</f>
        <v>#VALUE!</v>
      </c>
      <c r="F7" t="e">
        <f>AND('Printable Sheets'!J17,"AAAAAD9/OwU=")</f>
        <v>#VALUE!</v>
      </c>
      <c r="G7" t="e">
        <f>AND('Printable Sheets'!K17,"AAAAAD9/OwY=")</f>
        <v>#VALUE!</v>
      </c>
      <c r="H7" t="e">
        <f>AND('Printable Sheets'!L17,"AAAAAD9/Owc=")</f>
        <v>#VALUE!</v>
      </c>
      <c r="I7" t="e">
        <f>AND('Printable Sheets'!M17,"AAAAAD9/Owg=")</f>
        <v>#VALUE!</v>
      </c>
      <c r="J7" t="e">
        <f>AND('Printable Sheets'!N17,"AAAAAD9/Owk=")</f>
        <v>#VALUE!</v>
      </c>
      <c r="K7" t="e">
        <f>AND('Printable Sheets'!O17,"AAAAAD9/Owo=")</f>
        <v>#VALUE!</v>
      </c>
      <c r="L7" t="e">
        <f>AND('Printable Sheets'!P17,"AAAAAD9/Ows=")</f>
        <v>#VALUE!</v>
      </c>
      <c r="M7" t="e">
        <f>AND('Printable Sheets'!Q17,"AAAAAD9/Oww=")</f>
        <v>#VALUE!</v>
      </c>
      <c r="N7" t="e">
        <f>AND('Printable Sheets'!R17,"AAAAAD9/Ow0=")</f>
        <v>#VALUE!</v>
      </c>
      <c r="O7" t="e">
        <f>AND('Printable Sheets'!S17,"AAAAAD9/Ow4=")</f>
        <v>#VALUE!</v>
      </c>
      <c r="P7" t="e">
        <f>AND('Printable Sheets'!T17,"AAAAAD9/Ow8=")</f>
        <v>#VALUE!</v>
      </c>
      <c r="Q7" t="e">
        <f>AND('Printable Sheets'!U17,"AAAAAD9/OxA=")</f>
        <v>#VALUE!</v>
      </c>
      <c r="R7" t="e">
        <f>AND('Printable Sheets'!V17,"AAAAAD9/OxE=")</f>
        <v>#VALUE!</v>
      </c>
      <c r="S7" t="e">
        <f>AND('Printable Sheets'!W17,"AAAAAD9/OxI=")</f>
        <v>#VALUE!</v>
      </c>
      <c r="T7" t="e">
        <f>AND('Printable Sheets'!X17,"AAAAAD9/OxM=")</f>
        <v>#VALUE!</v>
      </c>
      <c r="U7" t="e">
        <f>AND('Printable Sheets'!Y17,"AAAAAD9/OxQ=")</f>
        <v>#VALUE!</v>
      </c>
      <c r="V7" t="e">
        <f>AND('Printable Sheets'!Z17,"AAAAAD9/OxU=")</f>
        <v>#VALUE!</v>
      </c>
      <c r="W7" t="e">
        <f>AND('Printable Sheets'!AA17,"AAAAAD9/OxY=")</f>
        <v>#VALUE!</v>
      </c>
      <c r="X7" t="e">
        <f>AND('Printable Sheets'!AB17,"AAAAAD9/Oxc=")</f>
        <v>#VALUE!</v>
      </c>
      <c r="Y7" t="e">
        <f>AND('Printable Sheets'!AC17,"AAAAAD9/Oxg=")</f>
        <v>#VALUE!</v>
      </c>
      <c r="Z7" t="e">
        <f>AND('Printable Sheets'!AD17,"AAAAAD9/Oxk=")</f>
        <v>#VALUE!</v>
      </c>
      <c r="AA7">
        <f>IF('Printable Sheets'!18:18,"AAAAAD9/Oxo=",0)</f>
        <v>0</v>
      </c>
      <c r="AB7" t="e">
        <f>AND('Printable Sheets'!A18,"AAAAAD9/Oxs=")</f>
        <v>#VALUE!</v>
      </c>
      <c r="AC7" t="e">
        <f>AND('Printable Sheets'!B18,"AAAAAD9/Oxw=")</f>
        <v>#VALUE!</v>
      </c>
      <c r="AD7" t="e">
        <f>AND('Printable Sheets'!C18,"AAAAAD9/Ox0=")</f>
        <v>#VALUE!</v>
      </c>
      <c r="AE7" t="e">
        <f>AND('Printable Sheets'!D18,"AAAAAD9/Ox4=")</f>
        <v>#VALUE!</v>
      </c>
      <c r="AF7" t="e">
        <f>AND('Printable Sheets'!E18,"AAAAAD9/Ox8=")</f>
        <v>#VALUE!</v>
      </c>
      <c r="AG7" t="e">
        <f>AND('Printable Sheets'!F18,"AAAAAD9/OyA=")</f>
        <v>#VALUE!</v>
      </c>
      <c r="AH7" t="e">
        <f>AND('Printable Sheets'!G18,"AAAAAD9/OyE=")</f>
        <v>#VALUE!</v>
      </c>
      <c r="AI7" t="e">
        <f>AND('Printable Sheets'!H18,"AAAAAD9/OyI=")</f>
        <v>#VALUE!</v>
      </c>
      <c r="AJ7" t="e">
        <f>AND('Printable Sheets'!I18,"AAAAAD9/OyM=")</f>
        <v>#VALUE!</v>
      </c>
      <c r="AK7" t="e">
        <f>AND('Printable Sheets'!J18,"AAAAAD9/OyQ=")</f>
        <v>#VALUE!</v>
      </c>
      <c r="AL7" t="e">
        <f>AND('Printable Sheets'!K18,"AAAAAD9/OyU=")</f>
        <v>#VALUE!</v>
      </c>
      <c r="AM7" t="e">
        <f>AND('Printable Sheets'!L18,"AAAAAD9/OyY=")</f>
        <v>#VALUE!</v>
      </c>
      <c r="AN7" t="e">
        <f>AND('Printable Sheets'!M18,"AAAAAD9/Oyc=")</f>
        <v>#VALUE!</v>
      </c>
      <c r="AO7" t="e">
        <f>AND('Printable Sheets'!N18,"AAAAAD9/Oyg=")</f>
        <v>#VALUE!</v>
      </c>
      <c r="AP7" t="e">
        <f>AND('Printable Sheets'!O18,"AAAAAD9/Oyk=")</f>
        <v>#VALUE!</v>
      </c>
      <c r="AQ7" t="e">
        <f>AND('Printable Sheets'!P18,"AAAAAD9/Oyo=")</f>
        <v>#VALUE!</v>
      </c>
      <c r="AR7" t="e">
        <f>AND('Printable Sheets'!Q18,"AAAAAD9/Oys=")</f>
        <v>#VALUE!</v>
      </c>
      <c r="AS7" t="e">
        <f>AND('Printable Sheets'!R18,"AAAAAD9/Oyw=")</f>
        <v>#VALUE!</v>
      </c>
      <c r="AT7" t="e">
        <f>AND('Printable Sheets'!S18,"AAAAAD9/Oy0=")</f>
        <v>#VALUE!</v>
      </c>
      <c r="AU7" t="e">
        <f>AND('Printable Sheets'!T18,"AAAAAD9/Oy4=")</f>
        <v>#VALUE!</v>
      </c>
      <c r="AV7" t="e">
        <f>AND('Printable Sheets'!U18,"AAAAAD9/Oy8=")</f>
        <v>#VALUE!</v>
      </c>
      <c r="AW7" t="e">
        <f>AND('Printable Sheets'!V18,"AAAAAD9/OzA=")</f>
        <v>#VALUE!</v>
      </c>
      <c r="AX7" t="e">
        <f>AND('Printable Sheets'!W18,"AAAAAD9/OzE=")</f>
        <v>#VALUE!</v>
      </c>
      <c r="AY7" t="e">
        <f>AND('Printable Sheets'!X18,"AAAAAD9/OzI=")</f>
        <v>#VALUE!</v>
      </c>
      <c r="AZ7" t="e">
        <f>AND('Printable Sheets'!Y18,"AAAAAD9/OzM=")</f>
        <v>#VALUE!</v>
      </c>
      <c r="BA7" t="e">
        <f>AND('Printable Sheets'!Z18,"AAAAAD9/OzQ=")</f>
        <v>#VALUE!</v>
      </c>
      <c r="BB7" t="e">
        <f>AND('Printable Sheets'!AA18,"AAAAAD9/OzU=")</f>
        <v>#VALUE!</v>
      </c>
      <c r="BC7" t="e">
        <f>AND('Printable Sheets'!AB18,"AAAAAD9/OzY=")</f>
        <v>#VALUE!</v>
      </c>
      <c r="BD7" t="e">
        <f>AND('Printable Sheets'!AC18,"AAAAAD9/Ozc=")</f>
        <v>#VALUE!</v>
      </c>
      <c r="BE7" t="e">
        <f>AND('Printable Sheets'!AD18,"AAAAAD9/Ozg=")</f>
        <v>#VALUE!</v>
      </c>
      <c r="BF7">
        <f>IF('Printable Sheets'!19:19,"AAAAAD9/Ozk=",0)</f>
        <v>0</v>
      </c>
      <c r="BG7" t="e">
        <f>AND('Printable Sheets'!A19,"AAAAAD9/Ozo=")</f>
        <v>#VALUE!</v>
      </c>
      <c r="BH7" t="e">
        <f>AND('Printable Sheets'!B19,"AAAAAD9/Ozs=")</f>
        <v>#VALUE!</v>
      </c>
      <c r="BI7" t="e">
        <f>AND('Printable Sheets'!C19,"AAAAAD9/Ozw=")</f>
        <v>#VALUE!</v>
      </c>
      <c r="BJ7" t="e">
        <f>AND('Printable Sheets'!D19,"AAAAAD9/Oz0=")</f>
        <v>#VALUE!</v>
      </c>
      <c r="BK7" t="e">
        <f>AND('Printable Sheets'!E19,"AAAAAD9/Oz4=")</f>
        <v>#VALUE!</v>
      </c>
      <c r="BL7" t="e">
        <f>AND('Printable Sheets'!F19,"AAAAAD9/Oz8=")</f>
        <v>#VALUE!</v>
      </c>
      <c r="BM7" t="e">
        <f>AND('Printable Sheets'!G19,"AAAAAD9/O0A=")</f>
        <v>#VALUE!</v>
      </c>
      <c r="BN7" t="e">
        <f>AND('Printable Sheets'!H19,"AAAAAD9/O0E=")</f>
        <v>#VALUE!</v>
      </c>
      <c r="BO7" t="e">
        <f>AND('Printable Sheets'!I19,"AAAAAD9/O0I=")</f>
        <v>#VALUE!</v>
      </c>
      <c r="BP7" t="e">
        <f>AND('Printable Sheets'!J19,"AAAAAD9/O0M=")</f>
        <v>#VALUE!</v>
      </c>
      <c r="BQ7" t="e">
        <f>AND('Printable Sheets'!K19,"AAAAAD9/O0Q=")</f>
        <v>#VALUE!</v>
      </c>
      <c r="BR7" t="e">
        <f>AND('Printable Sheets'!L19,"AAAAAD9/O0U=")</f>
        <v>#VALUE!</v>
      </c>
      <c r="BS7" t="e">
        <f>AND('Printable Sheets'!M19,"AAAAAD9/O0Y=")</f>
        <v>#VALUE!</v>
      </c>
      <c r="BT7" t="e">
        <f>AND('Printable Sheets'!N19,"AAAAAD9/O0c=")</f>
        <v>#VALUE!</v>
      </c>
      <c r="BU7" t="e">
        <f>AND('Printable Sheets'!O19,"AAAAAD9/O0g=")</f>
        <v>#VALUE!</v>
      </c>
      <c r="BV7" t="e">
        <f>AND('Printable Sheets'!P19,"AAAAAD9/O0k=")</f>
        <v>#VALUE!</v>
      </c>
      <c r="BW7" t="e">
        <f>AND('Printable Sheets'!Q19,"AAAAAD9/O0o=")</f>
        <v>#VALUE!</v>
      </c>
      <c r="BX7" t="e">
        <f>AND('Printable Sheets'!R19,"AAAAAD9/O0s=")</f>
        <v>#VALUE!</v>
      </c>
      <c r="BY7" t="e">
        <f>AND('Printable Sheets'!S19,"AAAAAD9/O0w=")</f>
        <v>#VALUE!</v>
      </c>
      <c r="BZ7" t="e">
        <f>AND('Printable Sheets'!T19,"AAAAAD9/O00=")</f>
        <v>#VALUE!</v>
      </c>
      <c r="CA7" t="e">
        <f>AND('Printable Sheets'!U19,"AAAAAD9/O04=")</f>
        <v>#VALUE!</v>
      </c>
      <c r="CB7" t="e">
        <f>AND('Printable Sheets'!V19,"AAAAAD9/O08=")</f>
        <v>#VALUE!</v>
      </c>
      <c r="CC7" t="e">
        <f>AND('Printable Sheets'!W19,"AAAAAD9/O1A=")</f>
        <v>#VALUE!</v>
      </c>
      <c r="CD7" t="e">
        <f>AND('Printable Sheets'!X19,"AAAAAD9/O1E=")</f>
        <v>#VALUE!</v>
      </c>
      <c r="CE7" t="e">
        <f>AND('Printable Sheets'!Y19,"AAAAAD9/O1I=")</f>
        <v>#VALUE!</v>
      </c>
      <c r="CF7" t="e">
        <f>AND('Printable Sheets'!Z19,"AAAAAD9/O1M=")</f>
        <v>#VALUE!</v>
      </c>
      <c r="CG7" t="e">
        <f>AND('Printable Sheets'!AA19,"AAAAAD9/O1Q=")</f>
        <v>#VALUE!</v>
      </c>
      <c r="CH7" t="e">
        <f>AND('Printable Sheets'!AB19,"AAAAAD9/O1U=")</f>
        <v>#VALUE!</v>
      </c>
      <c r="CI7" t="e">
        <f>AND('Printable Sheets'!AC19,"AAAAAD9/O1Y=")</f>
        <v>#VALUE!</v>
      </c>
      <c r="CJ7" t="e">
        <f>AND('Printable Sheets'!AD19,"AAAAAD9/O1c=")</f>
        <v>#VALUE!</v>
      </c>
      <c r="CK7">
        <f>IF('Printable Sheets'!20:20,"AAAAAD9/O1g=",0)</f>
        <v>0</v>
      </c>
      <c r="CL7" t="e">
        <f>AND('Printable Sheets'!A20,"AAAAAD9/O1k=")</f>
        <v>#VALUE!</v>
      </c>
      <c r="CM7" t="e">
        <f>AND('Printable Sheets'!B20,"AAAAAD9/O1o=")</f>
        <v>#VALUE!</v>
      </c>
      <c r="CN7" t="e">
        <f>AND('Printable Sheets'!C20,"AAAAAD9/O1s=")</f>
        <v>#VALUE!</v>
      </c>
      <c r="CO7" t="e">
        <f>AND('Printable Sheets'!D20,"AAAAAD9/O1w=")</f>
        <v>#VALUE!</v>
      </c>
      <c r="CP7" t="e">
        <f>AND('Printable Sheets'!E20,"AAAAAD9/O10=")</f>
        <v>#VALUE!</v>
      </c>
      <c r="CQ7" t="e">
        <f>AND('Printable Sheets'!F20,"AAAAAD9/O14=")</f>
        <v>#VALUE!</v>
      </c>
      <c r="CR7" t="e">
        <f>AND('Printable Sheets'!G20,"AAAAAD9/O18=")</f>
        <v>#VALUE!</v>
      </c>
      <c r="CS7" t="e">
        <f>AND('Printable Sheets'!H20,"AAAAAD9/O2A=")</f>
        <v>#VALUE!</v>
      </c>
      <c r="CT7" t="e">
        <f>AND('Printable Sheets'!I20,"AAAAAD9/O2E=")</f>
        <v>#VALUE!</v>
      </c>
      <c r="CU7" t="e">
        <f>AND('Printable Sheets'!J20,"AAAAAD9/O2I=")</f>
        <v>#VALUE!</v>
      </c>
      <c r="CV7" t="e">
        <f>AND('Printable Sheets'!K20,"AAAAAD9/O2M=")</f>
        <v>#VALUE!</v>
      </c>
      <c r="CW7" t="e">
        <f>AND('Printable Sheets'!L20,"AAAAAD9/O2Q=")</f>
        <v>#VALUE!</v>
      </c>
      <c r="CX7" t="e">
        <f>AND('Printable Sheets'!M20,"AAAAAD9/O2U=")</f>
        <v>#VALUE!</v>
      </c>
      <c r="CY7" t="e">
        <f>AND('Printable Sheets'!N20,"AAAAAD9/O2Y=")</f>
        <v>#VALUE!</v>
      </c>
      <c r="CZ7" t="e">
        <f>AND('Printable Sheets'!O20,"AAAAAD9/O2c=")</f>
        <v>#VALUE!</v>
      </c>
      <c r="DA7" t="e">
        <f>AND('Printable Sheets'!P20,"AAAAAD9/O2g=")</f>
        <v>#VALUE!</v>
      </c>
      <c r="DB7" t="e">
        <f>AND('Printable Sheets'!Q20,"AAAAAD9/O2k=")</f>
        <v>#VALUE!</v>
      </c>
      <c r="DC7" t="e">
        <f>AND('Printable Sheets'!R20,"AAAAAD9/O2o=")</f>
        <v>#VALUE!</v>
      </c>
      <c r="DD7" t="e">
        <f>AND('Printable Sheets'!S20,"AAAAAD9/O2s=")</f>
        <v>#VALUE!</v>
      </c>
      <c r="DE7" t="e">
        <f>AND('Printable Sheets'!T20,"AAAAAD9/O2w=")</f>
        <v>#VALUE!</v>
      </c>
      <c r="DF7" t="e">
        <f>AND('Printable Sheets'!U20,"AAAAAD9/O20=")</f>
        <v>#VALUE!</v>
      </c>
      <c r="DG7" t="e">
        <f>AND('Printable Sheets'!V20,"AAAAAD9/O24=")</f>
        <v>#VALUE!</v>
      </c>
      <c r="DH7" t="e">
        <f>AND('Printable Sheets'!W20,"AAAAAD9/O28=")</f>
        <v>#VALUE!</v>
      </c>
      <c r="DI7" t="e">
        <f>AND('Printable Sheets'!X20,"AAAAAD9/O3A=")</f>
        <v>#VALUE!</v>
      </c>
      <c r="DJ7" t="e">
        <f>AND('Printable Sheets'!Y20,"AAAAAD9/O3E=")</f>
        <v>#VALUE!</v>
      </c>
      <c r="DK7" t="e">
        <f>AND('Printable Sheets'!Z20,"AAAAAD9/O3I=")</f>
        <v>#VALUE!</v>
      </c>
      <c r="DL7" t="e">
        <f>AND('Printable Sheets'!AA20,"AAAAAD9/O3M=")</f>
        <v>#VALUE!</v>
      </c>
      <c r="DM7" t="e">
        <f>AND('Printable Sheets'!AB20,"AAAAAD9/O3Q=")</f>
        <v>#VALUE!</v>
      </c>
      <c r="DN7" t="e">
        <f>AND('Printable Sheets'!AC20,"AAAAAD9/O3U=")</f>
        <v>#VALUE!</v>
      </c>
      <c r="DO7" t="e">
        <f>AND('Printable Sheets'!AD20,"AAAAAD9/O3Y=")</f>
        <v>#VALUE!</v>
      </c>
      <c r="DP7">
        <f>IF('Printable Sheets'!21:21,"AAAAAD9/O3c=",0)</f>
        <v>0</v>
      </c>
      <c r="DQ7" t="e">
        <f>AND('Printable Sheets'!A21,"AAAAAD9/O3g=")</f>
        <v>#VALUE!</v>
      </c>
      <c r="DR7" t="e">
        <f>AND('Printable Sheets'!B21,"AAAAAD9/O3k=")</f>
        <v>#VALUE!</v>
      </c>
      <c r="DS7" t="e">
        <f>AND('Printable Sheets'!C21,"AAAAAD9/O3o=")</f>
        <v>#VALUE!</v>
      </c>
      <c r="DT7" t="e">
        <f>AND('Printable Sheets'!D21,"AAAAAD9/O3s=")</f>
        <v>#VALUE!</v>
      </c>
      <c r="DU7" t="e">
        <f>AND('Printable Sheets'!E21,"AAAAAD9/O3w=")</f>
        <v>#VALUE!</v>
      </c>
      <c r="DV7" t="e">
        <f>AND('Printable Sheets'!F21,"AAAAAD9/O30=")</f>
        <v>#VALUE!</v>
      </c>
      <c r="DW7" t="e">
        <f>AND('Printable Sheets'!G21,"AAAAAD9/O34=")</f>
        <v>#VALUE!</v>
      </c>
      <c r="DX7" t="e">
        <f>AND('Printable Sheets'!H21,"AAAAAD9/O38=")</f>
        <v>#VALUE!</v>
      </c>
      <c r="DY7" t="e">
        <f>AND('Printable Sheets'!I21,"AAAAAD9/O4A=")</f>
        <v>#VALUE!</v>
      </c>
      <c r="DZ7" t="e">
        <f>AND('Printable Sheets'!J21,"AAAAAD9/O4E=")</f>
        <v>#VALUE!</v>
      </c>
      <c r="EA7" t="e">
        <f>AND('Printable Sheets'!K21,"AAAAAD9/O4I=")</f>
        <v>#VALUE!</v>
      </c>
      <c r="EB7" t="e">
        <f>AND('Printable Sheets'!L21,"AAAAAD9/O4M=")</f>
        <v>#VALUE!</v>
      </c>
      <c r="EC7" t="e">
        <f>AND('Printable Sheets'!M21,"AAAAAD9/O4Q=")</f>
        <v>#VALUE!</v>
      </c>
      <c r="ED7" t="e">
        <f>AND('Printable Sheets'!N21,"AAAAAD9/O4U=")</f>
        <v>#VALUE!</v>
      </c>
      <c r="EE7" t="e">
        <f>AND('Printable Sheets'!O21,"AAAAAD9/O4Y=")</f>
        <v>#VALUE!</v>
      </c>
      <c r="EF7" t="e">
        <f>AND('Printable Sheets'!P21,"AAAAAD9/O4c=")</f>
        <v>#VALUE!</v>
      </c>
      <c r="EG7" t="e">
        <f>AND('Printable Sheets'!Q21,"AAAAAD9/O4g=")</f>
        <v>#VALUE!</v>
      </c>
      <c r="EH7" t="e">
        <f>AND('Printable Sheets'!R21,"AAAAAD9/O4k=")</f>
        <v>#VALUE!</v>
      </c>
      <c r="EI7" t="e">
        <f>AND('Printable Sheets'!S21,"AAAAAD9/O4o=")</f>
        <v>#VALUE!</v>
      </c>
      <c r="EJ7" t="e">
        <f>AND('Printable Sheets'!T21,"AAAAAD9/O4s=")</f>
        <v>#VALUE!</v>
      </c>
      <c r="EK7" t="e">
        <f>AND('Printable Sheets'!U21,"AAAAAD9/O4w=")</f>
        <v>#VALUE!</v>
      </c>
      <c r="EL7" t="e">
        <f>AND('Printable Sheets'!V21,"AAAAAD9/O40=")</f>
        <v>#VALUE!</v>
      </c>
      <c r="EM7" t="e">
        <f>AND('Printable Sheets'!W21,"AAAAAD9/O44=")</f>
        <v>#VALUE!</v>
      </c>
      <c r="EN7" t="e">
        <f>AND('Printable Sheets'!X21,"AAAAAD9/O48=")</f>
        <v>#VALUE!</v>
      </c>
      <c r="EO7" t="e">
        <f>AND('Printable Sheets'!Y21,"AAAAAD9/O5A=")</f>
        <v>#VALUE!</v>
      </c>
      <c r="EP7" t="e">
        <f>AND('Printable Sheets'!Z21,"AAAAAD9/O5E=")</f>
        <v>#VALUE!</v>
      </c>
      <c r="EQ7" t="e">
        <f>AND('Printable Sheets'!AA21,"AAAAAD9/O5I=")</f>
        <v>#VALUE!</v>
      </c>
      <c r="ER7" t="e">
        <f>AND('Printable Sheets'!AB21,"AAAAAD9/O5M=")</f>
        <v>#VALUE!</v>
      </c>
      <c r="ES7" t="e">
        <f>AND('Printable Sheets'!AC21,"AAAAAD9/O5Q=")</f>
        <v>#VALUE!</v>
      </c>
      <c r="ET7" t="e">
        <f>AND('Printable Sheets'!AD21,"AAAAAD9/O5U=")</f>
        <v>#VALUE!</v>
      </c>
      <c r="EU7">
        <f>IF('Printable Sheets'!22:22,"AAAAAD9/O5Y=",0)</f>
        <v>0</v>
      </c>
      <c r="EV7" t="e">
        <f>AND('Printable Sheets'!A22,"AAAAAD9/O5c=")</f>
        <v>#VALUE!</v>
      </c>
      <c r="EW7" t="e">
        <f>AND('Printable Sheets'!B22,"AAAAAD9/O5g=")</f>
        <v>#VALUE!</v>
      </c>
      <c r="EX7" t="e">
        <f>AND('Printable Sheets'!C22,"AAAAAD9/O5k=")</f>
        <v>#VALUE!</v>
      </c>
      <c r="EY7" t="e">
        <f>AND('Printable Sheets'!D22,"AAAAAD9/O5o=")</f>
        <v>#VALUE!</v>
      </c>
      <c r="EZ7" t="e">
        <f>AND('Printable Sheets'!E22,"AAAAAD9/O5s=")</f>
        <v>#VALUE!</v>
      </c>
      <c r="FA7" t="e">
        <f>AND('Printable Sheets'!F22,"AAAAAD9/O5w=")</f>
        <v>#VALUE!</v>
      </c>
      <c r="FB7" t="e">
        <f>AND('Printable Sheets'!G22,"AAAAAD9/O50=")</f>
        <v>#VALUE!</v>
      </c>
      <c r="FC7" t="e">
        <f>AND('Printable Sheets'!H22,"AAAAAD9/O54=")</f>
        <v>#VALUE!</v>
      </c>
      <c r="FD7" t="e">
        <f>AND('Printable Sheets'!I22,"AAAAAD9/O58=")</f>
        <v>#VALUE!</v>
      </c>
      <c r="FE7" t="e">
        <f>AND('Printable Sheets'!J22,"AAAAAD9/O6A=")</f>
        <v>#VALUE!</v>
      </c>
      <c r="FF7" t="e">
        <f>AND('Printable Sheets'!K22,"AAAAAD9/O6E=")</f>
        <v>#VALUE!</v>
      </c>
      <c r="FG7" t="e">
        <f>AND('Printable Sheets'!L22,"AAAAAD9/O6I=")</f>
        <v>#VALUE!</v>
      </c>
      <c r="FH7" t="e">
        <f>AND('Printable Sheets'!M22,"AAAAAD9/O6M=")</f>
        <v>#VALUE!</v>
      </c>
      <c r="FI7" t="e">
        <f>AND('Printable Sheets'!N22,"AAAAAD9/O6Q=")</f>
        <v>#VALUE!</v>
      </c>
      <c r="FJ7" t="e">
        <f>AND('Printable Sheets'!O22,"AAAAAD9/O6U=")</f>
        <v>#VALUE!</v>
      </c>
      <c r="FK7" t="e">
        <f>AND('Printable Sheets'!P22,"AAAAAD9/O6Y=")</f>
        <v>#VALUE!</v>
      </c>
      <c r="FL7" t="e">
        <f>AND('Printable Sheets'!Q22,"AAAAAD9/O6c=")</f>
        <v>#VALUE!</v>
      </c>
      <c r="FM7" t="e">
        <f>AND('Printable Sheets'!R22,"AAAAAD9/O6g=")</f>
        <v>#VALUE!</v>
      </c>
      <c r="FN7" t="e">
        <f>AND('Printable Sheets'!S22,"AAAAAD9/O6k=")</f>
        <v>#VALUE!</v>
      </c>
      <c r="FO7" t="e">
        <f>AND('Printable Sheets'!T22,"AAAAAD9/O6o=")</f>
        <v>#VALUE!</v>
      </c>
      <c r="FP7" t="e">
        <f>AND('Printable Sheets'!U22,"AAAAAD9/O6s=")</f>
        <v>#VALUE!</v>
      </c>
      <c r="FQ7" t="e">
        <f>AND('Printable Sheets'!V22,"AAAAAD9/O6w=")</f>
        <v>#VALUE!</v>
      </c>
      <c r="FR7" t="e">
        <f>AND('Printable Sheets'!W22,"AAAAAD9/O60=")</f>
        <v>#VALUE!</v>
      </c>
      <c r="FS7" t="e">
        <f>AND('Printable Sheets'!X22,"AAAAAD9/O64=")</f>
        <v>#VALUE!</v>
      </c>
      <c r="FT7" t="e">
        <f>AND('Printable Sheets'!Y22,"AAAAAD9/O68=")</f>
        <v>#VALUE!</v>
      </c>
      <c r="FU7" t="e">
        <f>AND('Printable Sheets'!Z22,"AAAAAD9/O7A=")</f>
        <v>#VALUE!</v>
      </c>
      <c r="FV7" t="e">
        <f>AND('Printable Sheets'!AA22,"AAAAAD9/O7E=")</f>
        <v>#VALUE!</v>
      </c>
      <c r="FW7" t="e">
        <f>AND('Printable Sheets'!AB22,"AAAAAD9/O7I=")</f>
        <v>#VALUE!</v>
      </c>
      <c r="FX7" t="e">
        <f>AND('Printable Sheets'!AC22,"AAAAAD9/O7M=")</f>
        <v>#VALUE!</v>
      </c>
      <c r="FY7" t="e">
        <f>AND('Printable Sheets'!AD22,"AAAAAD9/O7Q=")</f>
        <v>#VALUE!</v>
      </c>
      <c r="FZ7">
        <f>IF('Printable Sheets'!23:23,"AAAAAD9/O7U=",0)</f>
        <v>0</v>
      </c>
      <c r="GA7" t="e">
        <f>AND('Printable Sheets'!A23,"AAAAAD9/O7Y=")</f>
        <v>#VALUE!</v>
      </c>
      <c r="GB7" t="e">
        <f>AND('Printable Sheets'!B23,"AAAAAD9/O7c=")</f>
        <v>#VALUE!</v>
      </c>
      <c r="GC7" t="e">
        <f>AND('Printable Sheets'!C23,"AAAAAD9/O7g=")</f>
        <v>#VALUE!</v>
      </c>
      <c r="GD7" t="e">
        <f>AND('Printable Sheets'!D23,"AAAAAD9/O7k=")</f>
        <v>#VALUE!</v>
      </c>
      <c r="GE7" t="e">
        <f>AND('Printable Sheets'!E23,"AAAAAD9/O7o=")</f>
        <v>#VALUE!</v>
      </c>
      <c r="GF7" t="e">
        <f>AND('Printable Sheets'!F23,"AAAAAD9/O7s=")</f>
        <v>#VALUE!</v>
      </c>
      <c r="GG7" t="e">
        <f>AND('Printable Sheets'!G23,"AAAAAD9/O7w=")</f>
        <v>#VALUE!</v>
      </c>
      <c r="GH7" t="e">
        <f>AND('Printable Sheets'!H23,"AAAAAD9/O70=")</f>
        <v>#VALUE!</v>
      </c>
      <c r="GI7" t="e">
        <f>AND('Printable Sheets'!I23,"AAAAAD9/O74=")</f>
        <v>#VALUE!</v>
      </c>
      <c r="GJ7" t="e">
        <f>AND('Printable Sheets'!J23,"AAAAAD9/O78=")</f>
        <v>#VALUE!</v>
      </c>
      <c r="GK7" t="e">
        <f>AND('Printable Sheets'!K23,"AAAAAD9/O8A=")</f>
        <v>#VALUE!</v>
      </c>
      <c r="GL7" t="e">
        <f>AND('Printable Sheets'!L23,"AAAAAD9/O8E=")</f>
        <v>#VALUE!</v>
      </c>
      <c r="GM7" t="e">
        <f>AND('Printable Sheets'!M23,"AAAAAD9/O8I=")</f>
        <v>#VALUE!</v>
      </c>
      <c r="GN7" t="e">
        <f>AND('Printable Sheets'!N23,"AAAAAD9/O8M=")</f>
        <v>#VALUE!</v>
      </c>
      <c r="GO7" t="e">
        <f>AND('Printable Sheets'!O23,"AAAAAD9/O8Q=")</f>
        <v>#VALUE!</v>
      </c>
      <c r="GP7" t="e">
        <f>AND('Printable Sheets'!P23,"AAAAAD9/O8U=")</f>
        <v>#VALUE!</v>
      </c>
      <c r="GQ7" t="e">
        <f>AND('Printable Sheets'!Q23,"AAAAAD9/O8Y=")</f>
        <v>#VALUE!</v>
      </c>
      <c r="GR7" t="e">
        <f>AND('Printable Sheets'!R23,"AAAAAD9/O8c=")</f>
        <v>#VALUE!</v>
      </c>
      <c r="GS7" t="e">
        <f>AND('Printable Sheets'!S23,"AAAAAD9/O8g=")</f>
        <v>#VALUE!</v>
      </c>
      <c r="GT7" t="e">
        <f>AND('Printable Sheets'!T23,"AAAAAD9/O8k=")</f>
        <v>#VALUE!</v>
      </c>
      <c r="GU7" t="e">
        <f>AND('Printable Sheets'!U23,"AAAAAD9/O8o=")</f>
        <v>#VALUE!</v>
      </c>
      <c r="GV7" t="e">
        <f>AND('Printable Sheets'!V23,"AAAAAD9/O8s=")</f>
        <v>#VALUE!</v>
      </c>
      <c r="GW7" t="e">
        <f>AND('Printable Sheets'!W23,"AAAAAD9/O8w=")</f>
        <v>#VALUE!</v>
      </c>
      <c r="GX7" t="e">
        <f>AND('Printable Sheets'!X23,"AAAAAD9/O80=")</f>
        <v>#VALUE!</v>
      </c>
      <c r="GY7" t="e">
        <f>AND('Printable Sheets'!Y23,"AAAAAD9/O84=")</f>
        <v>#VALUE!</v>
      </c>
      <c r="GZ7" t="e">
        <f>AND('Printable Sheets'!Z23,"AAAAAD9/O88=")</f>
        <v>#VALUE!</v>
      </c>
      <c r="HA7" t="e">
        <f>AND('Printable Sheets'!AA23,"AAAAAD9/O9A=")</f>
        <v>#VALUE!</v>
      </c>
      <c r="HB7" t="e">
        <f>AND('Printable Sheets'!AB23,"AAAAAD9/O9E=")</f>
        <v>#VALUE!</v>
      </c>
      <c r="HC7" t="e">
        <f>AND('Printable Sheets'!AC23,"AAAAAD9/O9I=")</f>
        <v>#VALUE!</v>
      </c>
      <c r="HD7" t="e">
        <f>AND('Printable Sheets'!AD23,"AAAAAD9/O9M=")</f>
        <v>#VALUE!</v>
      </c>
      <c r="HE7">
        <f>IF('Printable Sheets'!24:24,"AAAAAD9/O9Q=",0)</f>
        <v>0</v>
      </c>
      <c r="HF7" t="e">
        <f>AND('Printable Sheets'!A24,"AAAAAD9/O9U=")</f>
        <v>#VALUE!</v>
      </c>
      <c r="HG7" t="e">
        <f>AND('Printable Sheets'!B24,"AAAAAD9/O9Y=")</f>
        <v>#VALUE!</v>
      </c>
      <c r="HH7" t="e">
        <f>AND('Printable Sheets'!C24,"AAAAAD9/O9c=")</f>
        <v>#VALUE!</v>
      </c>
      <c r="HI7" t="e">
        <f>AND('Printable Sheets'!D24,"AAAAAD9/O9g=")</f>
        <v>#VALUE!</v>
      </c>
      <c r="HJ7" t="e">
        <f>AND('Printable Sheets'!E24,"AAAAAD9/O9k=")</f>
        <v>#VALUE!</v>
      </c>
      <c r="HK7" t="e">
        <f>AND('Printable Sheets'!F24,"AAAAAD9/O9o=")</f>
        <v>#VALUE!</v>
      </c>
      <c r="HL7" t="e">
        <f>AND('Printable Sheets'!G24,"AAAAAD9/O9s=")</f>
        <v>#VALUE!</v>
      </c>
      <c r="HM7" t="e">
        <f>AND('Printable Sheets'!H24,"AAAAAD9/O9w=")</f>
        <v>#VALUE!</v>
      </c>
      <c r="HN7" t="e">
        <f>AND('Printable Sheets'!I24,"AAAAAD9/O90=")</f>
        <v>#VALUE!</v>
      </c>
      <c r="HO7" t="e">
        <f>AND('Printable Sheets'!J24,"AAAAAD9/O94=")</f>
        <v>#VALUE!</v>
      </c>
      <c r="HP7" t="e">
        <f>AND('Printable Sheets'!K24,"AAAAAD9/O98=")</f>
        <v>#VALUE!</v>
      </c>
      <c r="HQ7" t="e">
        <f>AND('Printable Sheets'!L24,"AAAAAD9/O+A=")</f>
        <v>#VALUE!</v>
      </c>
      <c r="HR7" t="e">
        <f>AND('Printable Sheets'!M24,"AAAAAD9/O+E=")</f>
        <v>#VALUE!</v>
      </c>
      <c r="HS7" t="e">
        <f>AND('Printable Sheets'!N24,"AAAAAD9/O+I=")</f>
        <v>#VALUE!</v>
      </c>
      <c r="HT7" t="e">
        <f>AND('Printable Sheets'!O24,"AAAAAD9/O+M=")</f>
        <v>#VALUE!</v>
      </c>
      <c r="HU7" t="e">
        <f>AND('Printable Sheets'!P24,"AAAAAD9/O+Q=")</f>
        <v>#VALUE!</v>
      </c>
      <c r="HV7" t="e">
        <f>AND('Printable Sheets'!Q24,"AAAAAD9/O+U=")</f>
        <v>#VALUE!</v>
      </c>
      <c r="HW7" t="e">
        <f>AND('Printable Sheets'!R24,"AAAAAD9/O+Y=")</f>
        <v>#VALUE!</v>
      </c>
      <c r="HX7" t="e">
        <f>AND('Printable Sheets'!S24,"AAAAAD9/O+c=")</f>
        <v>#VALUE!</v>
      </c>
      <c r="HY7" t="e">
        <f>AND('Printable Sheets'!T24,"AAAAAD9/O+g=")</f>
        <v>#VALUE!</v>
      </c>
      <c r="HZ7" t="e">
        <f>AND('Printable Sheets'!U24,"AAAAAD9/O+k=")</f>
        <v>#VALUE!</v>
      </c>
      <c r="IA7" t="e">
        <f>AND('Printable Sheets'!V24,"AAAAAD9/O+o=")</f>
        <v>#VALUE!</v>
      </c>
      <c r="IB7" t="e">
        <f>AND('Printable Sheets'!W24,"AAAAAD9/O+s=")</f>
        <v>#VALUE!</v>
      </c>
      <c r="IC7" t="e">
        <f>AND('Printable Sheets'!X24,"AAAAAD9/O+w=")</f>
        <v>#VALUE!</v>
      </c>
      <c r="ID7" t="e">
        <f>AND('Printable Sheets'!Y24,"AAAAAD9/O+0=")</f>
        <v>#VALUE!</v>
      </c>
      <c r="IE7" t="e">
        <f>AND('Printable Sheets'!Z24,"AAAAAD9/O+4=")</f>
        <v>#VALUE!</v>
      </c>
      <c r="IF7" t="e">
        <f>AND('Printable Sheets'!AA24,"AAAAAD9/O+8=")</f>
        <v>#VALUE!</v>
      </c>
      <c r="IG7" t="e">
        <f>AND('Printable Sheets'!AB24,"AAAAAD9/O/A=")</f>
        <v>#VALUE!</v>
      </c>
      <c r="IH7" t="e">
        <f>AND('Printable Sheets'!AC24,"AAAAAD9/O/E=")</f>
        <v>#VALUE!</v>
      </c>
      <c r="II7" t="e">
        <f>AND('Printable Sheets'!AD24,"AAAAAD9/O/I=")</f>
        <v>#VALUE!</v>
      </c>
      <c r="IJ7">
        <f>IF('Printable Sheets'!25:25,"AAAAAD9/O/M=",0)</f>
        <v>0</v>
      </c>
      <c r="IK7" t="e">
        <f>AND('Printable Sheets'!A25,"AAAAAD9/O/Q=")</f>
        <v>#VALUE!</v>
      </c>
      <c r="IL7" t="e">
        <f>AND('Printable Sheets'!B25,"AAAAAD9/O/U=")</f>
        <v>#VALUE!</v>
      </c>
      <c r="IM7" t="e">
        <f>AND('Printable Sheets'!C25,"AAAAAD9/O/Y=")</f>
        <v>#VALUE!</v>
      </c>
      <c r="IN7" t="e">
        <f>AND('Printable Sheets'!D25,"AAAAAD9/O/c=")</f>
        <v>#VALUE!</v>
      </c>
      <c r="IO7" t="e">
        <f>AND('Printable Sheets'!E25,"AAAAAD9/O/g=")</f>
        <v>#VALUE!</v>
      </c>
      <c r="IP7" t="e">
        <f>AND('Printable Sheets'!F25,"AAAAAD9/O/k=")</f>
        <v>#VALUE!</v>
      </c>
      <c r="IQ7" t="e">
        <f>AND('Printable Sheets'!G25,"AAAAAD9/O/o=")</f>
        <v>#VALUE!</v>
      </c>
      <c r="IR7" t="e">
        <f>AND('Printable Sheets'!H25,"AAAAAD9/O/s=")</f>
        <v>#VALUE!</v>
      </c>
      <c r="IS7" t="e">
        <f>AND('Printable Sheets'!I25,"AAAAAD9/O/w=")</f>
        <v>#VALUE!</v>
      </c>
      <c r="IT7" t="e">
        <f>AND('Printable Sheets'!J25,"AAAAAD9/O/0=")</f>
        <v>#VALUE!</v>
      </c>
      <c r="IU7" t="e">
        <f>AND('Printable Sheets'!K25,"AAAAAD9/O/4=")</f>
        <v>#VALUE!</v>
      </c>
      <c r="IV7" t="e">
        <f>AND('Printable Sheets'!L25,"AAAAAD9/O/8=")</f>
        <v>#VALUE!</v>
      </c>
    </row>
    <row r="8" spans="1:256" x14ac:dyDescent="0.2">
      <c r="A8" t="e">
        <f>AND('Printable Sheets'!M25,"AAAAACfvvgA=")</f>
        <v>#VALUE!</v>
      </c>
      <c r="B8" t="e">
        <f>AND('Printable Sheets'!N25,"AAAAACfvvgE=")</f>
        <v>#VALUE!</v>
      </c>
      <c r="C8" t="e">
        <f>AND('Printable Sheets'!O25,"AAAAACfvvgI=")</f>
        <v>#VALUE!</v>
      </c>
      <c r="D8" t="e">
        <f>AND('Printable Sheets'!P25,"AAAAACfvvgM=")</f>
        <v>#VALUE!</v>
      </c>
      <c r="E8" t="e">
        <f>AND('Printable Sheets'!Q25,"AAAAACfvvgQ=")</f>
        <v>#VALUE!</v>
      </c>
      <c r="F8" t="e">
        <f>AND('Printable Sheets'!R25,"AAAAACfvvgU=")</f>
        <v>#VALUE!</v>
      </c>
      <c r="G8" t="e">
        <f>AND('Printable Sheets'!S25,"AAAAACfvvgY=")</f>
        <v>#VALUE!</v>
      </c>
      <c r="H8" t="e">
        <f>AND('Printable Sheets'!T25,"AAAAACfvvgc=")</f>
        <v>#VALUE!</v>
      </c>
      <c r="I8" t="e">
        <f>AND('Printable Sheets'!U25,"AAAAACfvvgg=")</f>
        <v>#VALUE!</v>
      </c>
      <c r="J8" t="e">
        <f>AND('Printable Sheets'!V25,"AAAAACfvvgk=")</f>
        <v>#VALUE!</v>
      </c>
      <c r="K8" t="e">
        <f>AND('Printable Sheets'!W25,"AAAAACfvvgo=")</f>
        <v>#VALUE!</v>
      </c>
      <c r="L8" t="e">
        <f>AND('Printable Sheets'!X25,"AAAAACfvvgs=")</f>
        <v>#VALUE!</v>
      </c>
      <c r="M8" t="e">
        <f>AND('Printable Sheets'!Y25,"AAAAACfvvgw=")</f>
        <v>#VALUE!</v>
      </c>
      <c r="N8" t="e">
        <f>AND('Printable Sheets'!Z25,"AAAAACfvvg0=")</f>
        <v>#VALUE!</v>
      </c>
      <c r="O8" t="e">
        <f>AND('Printable Sheets'!AA25,"AAAAACfvvg4=")</f>
        <v>#VALUE!</v>
      </c>
      <c r="P8" t="e">
        <f>AND('Printable Sheets'!AB25,"AAAAACfvvg8=")</f>
        <v>#VALUE!</v>
      </c>
      <c r="Q8" t="e">
        <f>AND('Printable Sheets'!AC25,"AAAAACfvvhA=")</f>
        <v>#VALUE!</v>
      </c>
      <c r="R8" t="e">
        <f>AND('Printable Sheets'!AD25,"AAAAACfvvhE=")</f>
        <v>#VALUE!</v>
      </c>
      <c r="S8">
        <f>IF('Printable Sheets'!26:26,"AAAAACfvvhI=",0)</f>
        <v>0</v>
      </c>
      <c r="T8" t="e">
        <f>AND('Printable Sheets'!A26,"AAAAACfvvhM=")</f>
        <v>#VALUE!</v>
      </c>
      <c r="U8" t="e">
        <f>AND('Printable Sheets'!B26,"AAAAACfvvhQ=")</f>
        <v>#VALUE!</v>
      </c>
      <c r="V8" t="e">
        <f>AND('Printable Sheets'!C26,"AAAAACfvvhU=")</f>
        <v>#VALUE!</v>
      </c>
      <c r="W8" t="e">
        <f>AND('Printable Sheets'!D26,"AAAAACfvvhY=")</f>
        <v>#VALUE!</v>
      </c>
      <c r="X8" t="e">
        <f>AND('Printable Sheets'!E26,"AAAAACfvvhc=")</f>
        <v>#VALUE!</v>
      </c>
      <c r="Y8" t="e">
        <f>AND('Printable Sheets'!F26,"AAAAACfvvhg=")</f>
        <v>#VALUE!</v>
      </c>
      <c r="Z8" t="e">
        <f>AND('Printable Sheets'!G26,"AAAAACfvvhk=")</f>
        <v>#VALUE!</v>
      </c>
      <c r="AA8" t="e">
        <f>AND('Printable Sheets'!H26,"AAAAACfvvho=")</f>
        <v>#VALUE!</v>
      </c>
      <c r="AB8" t="e">
        <f>AND('Printable Sheets'!I26,"AAAAACfvvhs=")</f>
        <v>#VALUE!</v>
      </c>
      <c r="AC8" t="e">
        <f>AND('Printable Sheets'!J26,"AAAAACfvvhw=")</f>
        <v>#VALUE!</v>
      </c>
      <c r="AD8" t="e">
        <f>AND('Printable Sheets'!K26,"AAAAACfvvh0=")</f>
        <v>#VALUE!</v>
      </c>
      <c r="AE8" t="e">
        <f>AND('Printable Sheets'!L26,"AAAAACfvvh4=")</f>
        <v>#VALUE!</v>
      </c>
      <c r="AF8" t="e">
        <f>AND('Printable Sheets'!M26,"AAAAACfvvh8=")</f>
        <v>#VALUE!</v>
      </c>
      <c r="AG8" t="e">
        <f>AND('Printable Sheets'!N26,"AAAAACfvviA=")</f>
        <v>#VALUE!</v>
      </c>
      <c r="AH8" t="e">
        <f>AND('Printable Sheets'!O26,"AAAAACfvviE=")</f>
        <v>#VALUE!</v>
      </c>
      <c r="AI8" t="e">
        <f>AND('Printable Sheets'!P26,"AAAAACfvviI=")</f>
        <v>#VALUE!</v>
      </c>
      <c r="AJ8" t="e">
        <f>AND('Printable Sheets'!Q26,"AAAAACfvviM=")</f>
        <v>#VALUE!</v>
      </c>
      <c r="AK8" t="e">
        <f>AND('Printable Sheets'!R26,"AAAAACfvviQ=")</f>
        <v>#VALUE!</v>
      </c>
      <c r="AL8" t="e">
        <f>AND('Printable Sheets'!S26,"AAAAACfvviU=")</f>
        <v>#VALUE!</v>
      </c>
      <c r="AM8" t="e">
        <f>AND('Printable Sheets'!T26,"AAAAACfvviY=")</f>
        <v>#VALUE!</v>
      </c>
      <c r="AN8" t="e">
        <f>AND('Printable Sheets'!U26,"AAAAACfvvic=")</f>
        <v>#VALUE!</v>
      </c>
      <c r="AO8" t="e">
        <f>AND('Printable Sheets'!V26,"AAAAACfvvig=")</f>
        <v>#VALUE!</v>
      </c>
      <c r="AP8" t="e">
        <f>AND('Printable Sheets'!W26,"AAAAACfvvik=")</f>
        <v>#VALUE!</v>
      </c>
      <c r="AQ8" t="e">
        <f>AND('Printable Sheets'!X26,"AAAAACfvvio=")</f>
        <v>#VALUE!</v>
      </c>
      <c r="AR8" t="e">
        <f>AND('Printable Sheets'!Y26,"AAAAACfvvis=")</f>
        <v>#VALUE!</v>
      </c>
      <c r="AS8" t="e">
        <f>AND('Printable Sheets'!Z26,"AAAAACfvviw=")</f>
        <v>#VALUE!</v>
      </c>
      <c r="AT8" t="e">
        <f>AND('Printable Sheets'!AA26,"AAAAACfvvi0=")</f>
        <v>#VALUE!</v>
      </c>
      <c r="AU8" t="e">
        <f>AND('Printable Sheets'!AB26,"AAAAACfvvi4=")</f>
        <v>#VALUE!</v>
      </c>
      <c r="AV8" t="e">
        <f>AND('Printable Sheets'!AC26,"AAAAACfvvi8=")</f>
        <v>#VALUE!</v>
      </c>
      <c r="AW8" t="e">
        <f>AND('Printable Sheets'!AD26,"AAAAACfvvjA=")</f>
        <v>#VALUE!</v>
      </c>
      <c r="AX8">
        <f>IF('Printable Sheets'!27:27,"AAAAACfvvjE=",0)</f>
        <v>0</v>
      </c>
      <c r="AY8" t="e">
        <f>AND('Printable Sheets'!A27,"AAAAACfvvjI=")</f>
        <v>#VALUE!</v>
      </c>
      <c r="AZ8" t="e">
        <f>AND('Printable Sheets'!B27,"AAAAACfvvjM=")</f>
        <v>#VALUE!</v>
      </c>
      <c r="BA8" t="e">
        <f>AND('Printable Sheets'!C27,"AAAAACfvvjQ=")</f>
        <v>#VALUE!</v>
      </c>
      <c r="BB8" t="e">
        <f>AND('Printable Sheets'!D27,"AAAAACfvvjU=")</f>
        <v>#VALUE!</v>
      </c>
      <c r="BC8" t="e">
        <f>AND('Printable Sheets'!E27,"AAAAACfvvjY=")</f>
        <v>#VALUE!</v>
      </c>
      <c r="BD8" t="e">
        <f>AND('Printable Sheets'!F27,"AAAAACfvvjc=")</f>
        <v>#VALUE!</v>
      </c>
      <c r="BE8" t="e">
        <f>AND('Printable Sheets'!G27,"AAAAACfvvjg=")</f>
        <v>#VALUE!</v>
      </c>
      <c r="BF8" t="e">
        <f>AND('Printable Sheets'!H27,"AAAAACfvvjk=")</f>
        <v>#VALUE!</v>
      </c>
      <c r="BG8" t="e">
        <f>AND('Printable Sheets'!I27,"AAAAACfvvjo=")</f>
        <v>#VALUE!</v>
      </c>
      <c r="BH8" t="e">
        <f>AND('Printable Sheets'!J27,"AAAAACfvvjs=")</f>
        <v>#VALUE!</v>
      </c>
      <c r="BI8" t="e">
        <f>AND('Printable Sheets'!K27,"AAAAACfvvjw=")</f>
        <v>#VALUE!</v>
      </c>
      <c r="BJ8" t="e">
        <f>AND('Printable Sheets'!L27,"AAAAACfvvj0=")</f>
        <v>#VALUE!</v>
      </c>
      <c r="BK8" t="e">
        <f>AND('Printable Sheets'!M27,"AAAAACfvvj4=")</f>
        <v>#VALUE!</v>
      </c>
      <c r="BL8" t="e">
        <f>AND('Printable Sheets'!N27,"AAAAACfvvj8=")</f>
        <v>#VALUE!</v>
      </c>
      <c r="BM8" t="e">
        <f>AND('Printable Sheets'!O27,"AAAAACfvvkA=")</f>
        <v>#VALUE!</v>
      </c>
      <c r="BN8" t="e">
        <f>AND('Printable Sheets'!P27,"AAAAACfvvkE=")</f>
        <v>#VALUE!</v>
      </c>
      <c r="BO8" t="e">
        <f>AND('Printable Sheets'!Q27,"AAAAACfvvkI=")</f>
        <v>#VALUE!</v>
      </c>
      <c r="BP8" t="e">
        <f>AND('Printable Sheets'!R27,"AAAAACfvvkM=")</f>
        <v>#VALUE!</v>
      </c>
      <c r="BQ8" t="e">
        <f>AND('Printable Sheets'!S27,"AAAAACfvvkQ=")</f>
        <v>#VALUE!</v>
      </c>
      <c r="BR8" t="e">
        <f>AND('Printable Sheets'!T27,"AAAAACfvvkU=")</f>
        <v>#VALUE!</v>
      </c>
      <c r="BS8" t="e">
        <f>AND('Printable Sheets'!U27,"AAAAACfvvkY=")</f>
        <v>#VALUE!</v>
      </c>
      <c r="BT8" t="e">
        <f>AND('Printable Sheets'!V27,"AAAAACfvvkc=")</f>
        <v>#VALUE!</v>
      </c>
      <c r="BU8" t="e">
        <f>AND('Printable Sheets'!W27,"AAAAACfvvkg=")</f>
        <v>#VALUE!</v>
      </c>
      <c r="BV8" t="e">
        <f>AND('Printable Sheets'!X27,"AAAAACfvvkk=")</f>
        <v>#VALUE!</v>
      </c>
      <c r="BW8" t="e">
        <f>AND('Printable Sheets'!Y27,"AAAAACfvvko=")</f>
        <v>#VALUE!</v>
      </c>
      <c r="BX8" t="e">
        <f>AND('Printable Sheets'!Z27,"AAAAACfvvks=")</f>
        <v>#VALUE!</v>
      </c>
      <c r="BY8" t="e">
        <f>AND('Printable Sheets'!AA27,"AAAAACfvvkw=")</f>
        <v>#VALUE!</v>
      </c>
      <c r="BZ8" t="e">
        <f>AND('Printable Sheets'!AB27,"AAAAACfvvk0=")</f>
        <v>#VALUE!</v>
      </c>
      <c r="CA8" t="e">
        <f>AND('Printable Sheets'!AC27,"AAAAACfvvk4=")</f>
        <v>#VALUE!</v>
      </c>
      <c r="CB8" t="e">
        <f>AND('Printable Sheets'!AD27,"AAAAACfvvk8=")</f>
        <v>#VALUE!</v>
      </c>
      <c r="CC8">
        <f>IF('Printable Sheets'!28:28,"AAAAACfvvlA=",0)</f>
        <v>0</v>
      </c>
      <c r="CD8" t="e">
        <f>AND('Printable Sheets'!A28,"AAAAACfvvlE=")</f>
        <v>#VALUE!</v>
      </c>
      <c r="CE8" t="e">
        <f>AND('Printable Sheets'!B28,"AAAAACfvvlI=")</f>
        <v>#VALUE!</v>
      </c>
      <c r="CF8" t="e">
        <f>AND('Printable Sheets'!C28,"AAAAACfvvlM=")</f>
        <v>#VALUE!</v>
      </c>
      <c r="CG8" t="e">
        <f>AND('Printable Sheets'!D28,"AAAAACfvvlQ=")</f>
        <v>#VALUE!</v>
      </c>
      <c r="CH8" t="e">
        <f>AND('Printable Sheets'!E28,"AAAAACfvvlU=")</f>
        <v>#VALUE!</v>
      </c>
      <c r="CI8" t="e">
        <f>AND('Printable Sheets'!F28,"AAAAACfvvlY=")</f>
        <v>#VALUE!</v>
      </c>
      <c r="CJ8" t="e">
        <f>AND('Printable Sheets'!G28,"AAAAACfvvlc=")</f>
        <v>#VALUE!</v>
      </c>
      <c r="CK8" t="e">
        <f>AND('Printable Sheets'!H28,"AAAAACfvvlg=")</f>
        <v>#VALUE!</v>
      </c>
      <c r="CL8" t="e">
        <f>AND('Printable Sheets'!I28,"AAAAACfvvlk=")</f>
        <v>#VALUE!</v>
      </c>
      <c r="CM8" t="e">
        <f>AND('Printable Sheets'!J28,"AAAAACfvvlo=")</f>
        <v>#VALUE!</v>
      </c>
      <c r="CN8" t="e">
        <f>AND('Printable Sheets'!K28,"AAAAACfvvls=")</f>
        <v>#VALUE!</v>
      </c>
      <c r="CO8" t="e">
        <f>AND('Printable Sheets'!L28,"AAAAACfvvlw=")</f>
        <v>#VALUE!</v>
      </c>
      <c r="CP8" t="e">
        <f>AND('Printable Sheets'!M28,"AAAAACfvvl0=")</f>
        <v>#VALUE!</v>
      </c>
      <c r="CQ8" t="e">
        <f>AND('Printable Sheets'!N28,"AAAAACfvvl4=")</f>
        <v>#VALUE!</v>
      </c>
      <c r="CR8" t="e">
        <f>AND('Printable Sheets'!O28,"AAAAACfvvl8=")</f>
        <v>#VALUE!</v>
      </c>
      <c r="CS8" t="e">
        <f>AND('Printable Sheets'!P28,"AAAAACfvvmA=")</f>
        <v>#VALUE!</v>
      </c>
      <c r="CT8" t="e">
        <f>AND('Printable Sheets'!Q28,"AAAAACfvvmE=")</f>
        <v>#VALUE!</v>
      </c>
      <c r="CU8" t="e">
        <f>AND('Printable Sheets'!R28,"AAAAACfvvmI=")</f>
        <v>#VALUE!</v>
      </c>
      <c r="CV8" t="e">
        <f>AND('Printable Sheets'!S28,"AAAAACfvvmM=")</f>
        <v>#VALUE!</v>
      </c>
      <c r="CW8" t="e">
        <f>AND('Printable Sheets'!T28,"AAAAACfvvmQ=")</f>
        <v>#VALUE!</v>
      </c>
      <c r="CX8" t="e">
        <f>AND('Printable Sheets'!U28,"AAAAACfvvmU=")</f>
        <v>#VALUE!</v>
      </c>
      <c r="CY8" t="e">
        <f>AND('Printable Sheets'!V28,"AAAAACfvvmY=")</f>
        <v>#VALUE!</v>
      </c>
      <c r="CZ8" t="e">
        <f>AND('Printable Sheets'!W28,"AAAAACfvvmc=")</f>
        <v>#VALUE!</v>
      </c>
      <c r="DA8" t="e">
        <f>AND('Printable Sheets'!X28,"AAAAACfvvmg=")</f>
        <v>#VALUE!</v>
      </c>
      <c r="DB8" t="e">
        <f>AND('Printable Sheets'!Y28,"AAAAACfvvmk=")</f>
        <v>#VALUE!</v>
      </c>
      <c r="DC8" t="e">
        <f>AND('Printable Sheets'!Z28,"AAAAACfvvmo=")</f>
        <v>#VALUE!</v>
      </c>
      <c r="DD8" t="e">
        <f>AND('Printable Sheets'!AA28,"AAAAACfvvms=")</f>
        <v>#VALUE!</v>
      </c>
      <c r="DE8" t="e">
        <f>AND('Printable Sheets'!AB28,"AAAAACfvvmw=")</f>
        <v>#VALUE!</v>
      </c>
      <c r="DF8" t="e">
        <f>AND('Printable Sheets'!AC28,"AAAAACfvvm0=")</f>
        <v>#VALUE!</v>
      </c>
      <c r="DG8" t="e">
        <f>AND('Printable Sheets'!AD28,"AAAAACfvvm4=")</f>
        <v>#VALUE!</v>
      </c>
      <c r="DH8">
        <f>IF('Printable Sheets'!29:29,"AAAAACfvvm8=",0)</f>
        <v>0</v>
      </c>
      <c r="DI8" t="e">
        <f>AND('Printable Sheets'!A29,"AAAAACfvvnA=")</f>
        <v>#VALUE!</v>
      </c>
      <c r="DJ8" t="e">
        <f>AND('Printable Sheets'!B29,"AAAAACfvvnE=")</f>
        <v>#VALUE!</v>
      </c>
      <c r="DK8" t="e">
        <f>AND('Printable Sheets'!C29,"AAAAACfvvnI=")</f>
        <v>#VALUE!</v>
      </c>
      <c r="DL8" t="e">
        <f>AND('Printable Sheets'!D29,"AAAAACfvvnM=")</f>
        <v>#VALUE!</v>
      </c>
      <c r="DM8" t="e">
        <f>AND('Printable Sheets'!E29,"AAAAACfvvnQ=")</f>
        <v>#VALUE!</v>
      </c>
      <c r="DN8" t="e">
        <f>AND('Printable Sheets'!F29,"AAAAACfvvnU=")</f>
        <v>#VALUE!</v>
      </c>
      <c r="DO8" t="e">
        <f>AND('Printable Sheets'!G29,"AAAAACfvvnY=")</f>
        <v>#VALUE!</v>
      </c>
      <c r="DP8" t="e">
        <f>AND('Printable Sheets'!H29,"AAAAACfvvnc=")</f>
        <v>#VALUE!</v>
      </c>
      <c r="DQ8" t="e">
        <f>AND('Printable Sheets'!I29,"AAAAACfvvng=")</f>
        <v>#VALUE!</v>
      </c>
      <c r="DR8" t="e">
        <f>AND('Printable Sheets'!J29,"AAAAACfvvnk=")</f>
        <v>#VALUE!</v>
      </c>
      <c r="DS8" t="e">
        <f>AND('Printable Sheets'!K29,"AAAAACfvvno=")</f>
        <v>#VALUE!</v>
      </c>
      <c r="DT8" t="e">
        <f>AND('Printable Sheets'!L29,"AAAAACfvvns=")</f>
        <v>#VALUE!</v>
      </c>
      <c r="DU8" t="e">
        <f>AND('Printable Sheets'!M29,"AAAAACfvvnw=")</f>
        <v>#VALUE!</v>
      </c>
      <c r="DV8" t="e">
        <f>AND('Printable Sheets'!N29,"AAAAACfvvn0=")</f>
        <v>#VALUE!</v>
      </c>
      <c r="DW8" t="e">
        <f>AND('Printable Sheets'!O29,"AAAAACfvvn4=")</f>
        <v>#VALUE!</v>
      </c>
      <c r="DX8" t="e">
        <f>AND('Printable Sheets'!P29,"AAAAACfvvn8=")</f>
        <v>#VALUE!</v>
      </c>
      <c r="DY8" t="e">
        <f>AND('Printable Sheets'!Q29,"AAAAACfvvoA=")</f>
        <v>#VALUE!</v>
      </c>
      <c r="DZ8" t="e">
        <f>AND('Printable Sheets'!R29,"AAAAACfvvoE=")</f>
        <v>#VALUE!</v>
      </c>
      <c r="EA8" t="e">
        <f>AND('Printable Sheets'!S29,"AAAAACfvvoI=")</f>
        <v>#VALUE!</v>
      </c>
      <c r="EB8" t="e">
        <f>AND('Printable Sheets'!T29,"AAAAACfvvoM=")</f>
        <v>#VALUE!</v>
      </c>
      <c r="EC8" t="e">
        <f>AND('Printable Sheets'!U29,"AAAAACfvvoQ=")</f>
        <v>#VALUE!</v>
      </c>
      <c r="ED8" t="e">
        <f>AND('Printable Sheets'!V29,"AAAAACfvvoU=")</f>
        <v>#VALUE!</v>
      </c>
      <c r="EE8" t="e">
        <f>AND('Printable Sheets'!W29,"AAAAACfvvoY=")</f>
        <v>#VALUE!</v>
      </c>
      <c r="EF8" t="e">
        <f>AND('Printable Sheets'!X29,"AAAAACfvvoc=")</f>
        <v>#VALUE!</v>
      </c>
      <c r="EG8" t="e">
        <f>AND('Printable Sheets'!Y29,"AAAAACfvvog=")</f>
        <v>#VALUE!</v>
      </c>
      <c r="EH8" t="e">
        <f>AND('Printable Sheets'!Z29,"AAAAACfvvok=")</f>
        <v>#VALUE!</v>
      </c>
      <c r="EI8" t="e">
        <f>AND('Printable Sheets'!AA29,"AAAAACfvvoo=")</f>
        <v>#VALUE!</v>
      </c>
      <c r="EJ8" t="e">
        <f>AND('Printable Sheets'!AB29,"AAAAACfvvos=")</f>
        <v>#VALUE!</v>
      </c>
      <c r="EK8" t="e">
        <f>AND('Printable Sheets'!AC29,"AAAAACfvvow=")</f>
        <v>#VALUE!</v>
      </c>
      <c r="EL8" t="e">
        <f>AND('Printable Sheets'!AD29,"AAAAACfvvo0=")</f>
        <v>#VALUE!</v>
      </c>
      <c r="EM8">
        <f>IF('Printable Sheets'!30:30,"AAAAACfvvo4=",0)</f>
        <v>0</v>
      </c>
      <c r="EN8" t="e">
        <f>AND('Printable Sheets'!A30,"AAAAACfvvo8=")</f>
        <v>#VALUE!</v>
      </c>
      <c r="EO8" t="e">
        <f>AND('Printable Sheets'!B30,"AAAAACfvvpA=")</f>
        <v>#VALUE!</v>
      </c>
      <c r="EP8" t="e">
        <f>AND('Printable Sheets'!C30,"AAAAACfvvpE=")</f>
        <v>#VALUE!</v>
      </c>
      <c r="EQ8" t="e">
        <f>AND('Printable Sheets'!D30,"AAAAACfvvpI=")</f>
        <v>#VALUE!</v>
      </c>
      <c r="ER8" t="e">
        <f>AND('Printable Sheets'!E30,"AAAAACfvvpM=")</f>
        <v>#VALUE!</v>
      </c>
      <c r="ES8" t="e">
        <f>AND('Printable Sheets'!F30,"AAAAACfvvpQ=")</f>
        <v>#VALUE!</v>
      </c>
      <c r="ET8" t="e">
        <f>AND('Printable Sheets'!G30,"AAAAACfvvpU=")</f>
        <v>#VALUE!</v>
      </c>
      <c r="EU8" t="e">
        <f>AND('Printable Sheets'!H30,"AAAAACfvvpY=")</f>
        <v>#VALUE!</v>
      </c>
      <c r="EV8" t="e">
        <f>AND('Printable Sheets'!I30,"AAAAACfvvpc=")</f>
        <v>#VALUE!</v>
      </c>
      <c r="EW8" t="e">
        <f>AND('Printable Sheets'!J30,"AAAAACfvvpg=")</f>
        <v>#VALUE!</v>
      </c>
      <c r="EX8" t="e">
        <f>AND('Printable Sheets'!K30,"AAAAACfvvpk=")</f>
        <v>#VALUE!</v>
      </c>
      <c r="EY8" t="e">
        <f>AND('Printable Sheets'!L30,"AAAAACfvvpo=")</f>
        <v>#VALUE!</v>
      </c>
      <c r="EZ8" t="e">
        <f>AND('Printable Sheets'!M30,"AAAAACfvvps=")</f>
        <v>#VALUE!</v>
      </c>
      <c r="FA8" t="e">
        <f>AND('Printable Sheets'!N30,"AAAAACfvvpw=")</f>
        <v>#VALUE!</v>
      </c>
      <c r="FB8" t="e">
        <f>AND('Printable Sheets'!O30,"AAAAACfvvp0=")</f>
        <v>#VALUE!</v>
      </c>
      <c r="FC8" t="e">
        <f>AND('Printable Sheets'!P30,"AAAAACfvvp4=")</f>
        <v>#VALUE!</v>
      </c>
      <c r="FD8" t="e">
        <f>AND('Printable Sheets'!Q30,"AAAAACfvvp8=")</f>
        <v>#VALUE!</v>
      </c>
      <c r="FE8" t="e">
        <f>AND('Printable Sheets'!R30,"AAAAACfvvqA=")</f>
        <v>#VALUE!</v>
      </c>
      <c r="FF8" t="e">
        <f>AND('Printable Sheets'!S30,"AAAAACfvvqE=")</f>
        <v>#VALUE!</v>
      </c>
      <c r="FG8" t="e">
        <f>AND('Printable Sheets'!T30,"AAAAACfvvqI=")</f>
        <v>#VALUE!</v>
      </c>
      <c r="FH8" t="e">
        <f>AND('Printable Sheets'!U30,"AAAAACfvvqM=")</f>
        <v>#VALUE!</v>
      </c>
      <c r="FI8" t="e">
        <f>AND('Printable Sheets'!V30,"AAAAACfvvqQ=")</f>
        <v>#VALUE!</v>
      </c>
      <c r="FJ8" t="e">
        <f>AND('Printable Sheets'!W30,"AAAAACfvvqU=")</f>
        <v>#VALUE!</v>
      </c>
      <c r="FK8" t="e">
        <f>AND('Printable Sheets'!X30,"AAAAACfvvqY=")</f>
        <v>#VALUE!</v>
      </c>
      <c r="FL8" t="e">
        <f>AND('Printable Sheets'!Y30,"AAAAACfvvqc=")</f>
        <v>#VALUE!</v>
      </c>
      <c r="FM8" t="e">
        <f>AND('Printable Sheets'!Z30,"AAAAACfvvqg=")</f>
        <v>#VALUE!</v>
      </c>
      <c r="FN8" t="e">
        <f>AND('Printable Sheets'!AA30,"AAAAACfvvqk=")</f>
        <v>#VALUE!</v>
      </c>
      <c r="FO8" t="e">
        <f>AND('Printable Sheets'!AB30,"AAAAACfvvqo=")</f>
        <v>#VALUE!</v>
      </c>
      <c r="FP8" t="e">
        <f>AND('Printable Sheets'!AC30,"AAAAACfvvqs=")</f>
        <v>#VALUE!</v>
      </c>
      <c r="FQ8" t="e">
        <f>AND('Printable Sheets'!AD30,"AAAAACfvvqw=")</f>
        <v>#VALUE!</v>
      </c>
      <c r="FR8">
        <f>IF('Printable Sheets'!31:31,"AAAAACfvvq0=",0)</f>
        <v>0</v>
      </c>
      <c r="FS8" t="e">
        <f>AND('Printable Sheets'!A31,"AAAAACfvvq4=")</f>
        <v>#VALUE!</v>
      </c>
      <c r="FT8" t="e">
        <f>AND('Printable Sheets'!B31,"AAAAACfvvq8=")</f>
        <v>#VALUE!</v>
      </c>
      <c r="FU8" t="e">
        <f>AND('Printable Sheets'!C31,"AAAAACfvvrA=")</f>
        <v>#VALUE!</v>
      </c>
      <c r="FV8" t="e">
        <f>AND('Printable Sheets'!D31,"AAAAACfvvrE=")</f>
        <v>#VALUE!</v>
      </c>
      <c r="FW8" t="e">
        <f>AND('Printable Sheets'!E31,"AAAAACfvvrI=")</f>
        <v>#VALUE!</v>
      </c>
      <c r="FX8" t="e">
        <f>AND('Printable Sheets'!F31,"AAAAACfvvrM=")</f>
        <v>#VALUE!</v>
      </c>
      <c r="FY8" t="e">
        <f>AND('Printable Sheets'!G31,"AAAAACfvvrQ=")</f>
        <v>#VALUE!</v>
      </c>
      <c r="FZ8" t="e">
        <f>AND('Printable Sheets'!H31,"AAAAACfvvrU=")</f>
        <v>#VALUE!</v>
      </c>
      <c r="GA8" t="e">
        <f>AND('Printable Sheets'!I31,"AAAAACfvvrY=")</f>
        <v>#VALUE!</v>
      </c>
      <c r="GB8" t="e">
        <f>AND('Printable Sheets'!J31,"AAAAACfvvrc=")</f>
        <v>#VALUE!</v>
      </c>
      <c r="GC8" t="e">
        <f>AND('Printable Sheets'!K31,"AAAAACfvvrg=")</f>
        <v>#VALUE!</v>
      </c>
      <c r="GD8" t="e">
        <f>AND('Printable Sheets'!L31,"AAAAACfvvrk=")</f>
        <v>#VALUE!</v>
      </c>
      <c r="GE8" t="e">
        <f>AND('Printable Sheets'!M31,"AAAAACfvvro=")</f>
        <v>#VALUE!</v>
      </c>
      <c r="GF8" t="e">
        <f>AND('Printable Sheets'!N31,"AAAAACfvvrs=")</f>
        <v>#VALUE!</v>
      </c>
      <c r="GG8" t="e">
        <f>AND('Printable Sheets'!O31,"AAAAACfvvrw=")</f>
        <v>#VALUE!</v>
      </c>
      <c r="GH8" t="e">
        <f>AND('Printable Sheets'!P31,"AAAAACfvvr0=")</f>
        <v>#VALUE!</v>
      </c>
      <c r="GI8" t="e">
        <f>AND('Printable Sheets'!Q31,"AAAAACfvvr4=")</f>
        <v>#VALUE!</v>
      </c>
      <c r="GJ8" t="e">
        <f>AND('Printable Sheets'!R31,"AAAAACfvvr8=")</f>
        <v>#VALUE!</v>
      </c>
      <c r="GK8" t="e">
        <f>AND('Printable Sheets'!S31,"AAAAACfvvsA=")</f>
        <v>#VALUE!</v>
      </c>
      <c r="GL8" t="e">
        <f>AND('Printable Sheets'!T31,"AAAAACfvvsE=")</f>
        <v>#VALUE!</v>
      </c>
      <c r="GM8" t="e">
        <f>AND('Printable Sheets'!U31,"AAAAACfvvsI=")</f>
        <v>#VALUE!</v>
      </c>
      <c r="GN8" t="e">
        <f>AND('Printable Sheets'!V31,"AAAAACfvvsM=")</f>
        <v>#VALUE!</v>
      </c>
      <c r="GO8" t="e">
        <f>AND('Printable Sheets'!W31,"AAAAACfvvsQ=")</f>
        <v>#VALUE!</v>
      </c>
      <c r="GP8" t="e">
        <f>AND('Printable Sheets'!X31,"AAAAACfvvsU=")</f>
        <v>#VALUE!</v>
      </c>
      <c r="GQ8" t="e">
        <f>AND('Printable Sheets'!Y31,"AAAAACfvvsY=")</f>
        <v>#VALUE!</v>
      </c>
      <c r="GR8" t="e">
        <f>AND('Printable Sheets'!Z31,"AAAAACfvvsc=")</f>
        <v>#VALUE!</v>
      </c>
      <c r="GS8" t="e">
        <f>AND('Printable Sheets'!AA31,"AAAAACfvvsg=")</f>
        <v>#VALUE!</v>
      </c>
      <c r="GT8" t="e">
        <f>AND('Printable Sheets'!AB31,"AAAAACfvvsk=")</f>
        <v>#VALUE!</v>
      </c>
      <c r="GU8" t="e">
        <f>AND('Printable Sheets'!AC31,"AAAAACfvvso=")</f>
        <v>#VALUE!</v>
      </c>
      <c r="GV8" t="e">
        <f>AND('Printable Sheets'!AD31,"AAAAACfvvss=")</f>
        <v>#VALUE!</v>
      </c>
      <c r="GW8">
        <f>IF('Printable Sheets'!32:32,"AAAAACfvvsw=",0)</f>
        <v>0</v>
      </c>
      <c r="GX8" t="e">
        <f>AND('Printable Sheets'!A32,"AAAAACfvvs0=")</f>
        <v>#VALUE!</v>
      </c>
      <c r="GY8" t="e">
        <f>AND('Printable Sheets'!B32,"AAAAACfvvs4=")</f>
        <v>#VALUE!</v>
      </c>
      <c r="GZ8" t="e">
        <f>AND('Printable Sheets'!C32,"AAAAACfvvs8=")</f>
        <v>#VALUE!</v>
      </c>
      <c r="HA8" t="e">
        <f>AND('Printable Sheets'!D32,"AAAAACfvvtA=")</f>
        <v>#VALUE!</v>
      </c>
      <c r="HB8" t="e">
        <f>AND('Printable Sheets'!E32,"AAAAACfvvtE=")</f>
        <v>#VALUE!</v>
      </c>
      <c r="HC8" t="e">
        <f>AND('Printable Sheets'!F32,"AAAAACfvvtI=")</f>
        <v>#VALUE!</v>
      </c>
      <c r="HD8" t="e">
        <f>AND('Printable Sheets'!G32,"AAAAACfvvtM=")</f>
        <v>#VALUE!</v>
      </c>
      <c r="HE8" t="e">
        <f>AND('Printable Sheets'!H32,"AAAAACfvvtQ=")</f>
        <v>#VALUE!</v>
      </c>
      <c r="HF8" t="e">
        <f>AND('Printable Sheets'!I32,"AAAAACfvvtU=")</f>
        <v>#VALUE!</v>
      </c>
      <c r="HG8" t="e">
        <f>AND('Printable Sheets'!J32,"AAAAACfvvtY=")</f>
        <v>#VALUE!</v>
      </c>
      <c r="HH8" t="e">
        <f>AND('Printable Sheets'!K32,"AAAAACfvvtc=")</f>
        <v>#VALUE!</v>
      </c>
      <c r="HI8" t="e">
        <f>AND('Printable Sheets'!L32,"AAAAACfvvtg=")</f>
        <v>#VALUE!</v>
      </c>
      <c r="HJ8" t="e">
        <f>AND('Printable Sheets'!M32,"AAAAACfvvtk=")</f>
        <v>#VALUE!</v>
      </c>
      <c r="HK8" t="e">
        <f>AND('Printable Sheets'!N32,"AAAAACfvvto=")</f>
        <v>#VALUE!</v>
      </c>
      <c r="HL8" t="e">
        <f>AND('Printable Sheets'!O32,"AAAAACfvvts=")</f>
        <v>#VALUE!</v>
      </c>
      <c r="HM8" t="e">
        <f>AND('Printable Sheets'!P32,"AAAAACfvvtw=")</f>
        <v>#VALUE!</v>
      </c>
      <c r="HN8" t="e">
        <f>AND('Printable Sheets'!Q32,"AAAAACfvvt0=")</f>
        <v>#VALUE!</v>
      </c>
      <c r="HO8" t="e">
        <f>AND('Printable Sheets'!R32,"AAAAACfvvt4=")</f>
        <v>#VALUE!</v>
      </c>
      <c r="HP8" t="e">
        <f>AND('Printable Sheets'!S32,"AAAAACfvvt8=")</f>
        <v>#VALUE!</v>
      </c>
      <c r="HQ8" t="e">
        <f>AND('Printable Sheets'!T32,"AAAAACfvvuA=")</f>
        <v>#VALUE!</v>
      </c>
      <c r="HR8" t="e">
        <f>AND('Printable Sheets'!U32,"AAAAACfvvuE=")</f>
        <v>#VALUE!</v>
      </c>
      <c r="HS8" t="e">
        <f>AND('Printable Sheets'!V32,"AAAAACfvvuI=")</f>
        <v>#VALUE!</v>
      </c>
      <c r="HT8" t="e">
        <f>AND('Printable Sheets'!W32,"AAAAACfvvuM=")</f>
        <v>#VALUE!</v>
      </c>
      <c r="HU8" t="e">
        <f>AND('Printable Sheets'!X32,"AAAAACfvvuQ=")</f>
        <v>#VALUE!</v>
      </c>
      <c r="HV8" t="e">
        <f>AND('Printable Sheets'!Y32,"AAAAACfvvuU=")</f>
        <v>#VALUE!</v>
      </c>
      <c r="HW8" t="e">
        <f>AND('Printable Sheets'!Z32,"AAAAACfvvuY=")</f>
        <v>#VALUE!</v>
      </c>
      <c r="HX8" t="e">
        <f>AND('Printable Sheets'!AA32,"AAAAACfvvuc=")</f>
        <v>#VALUE!</v>
      </c>
      <c r="HY8" t="e">
        <f>AND('Printable Sheets'!AB32,"AAAAACfvvug=")</f>
        <v>#VALUE!</v>
      </c>
      <c r="HZ8" t="e">
        <f>AND('Printable Sheets'!AC32,"AAAAACfvvuk=")</f>
        <v>#VALUE!</v>
      </c>
      <c r="IA8" t="e">
        <f>AND('Printable Sheets'!AD32,"AAAAACfvvuo=")</f>
        <v>#VALUE!</v>
      </c>
      <c r="IB8">
        <f>IF('Printable Sheets'!33:33,"AAAAACfvvus=",0)</f>
        <v>0</v>
      </c>
      <c r="IC8" t="e">
        <f>AND('Printable Sheets'!A33,"AAAAACfvvuw=")</f>
        <v>#VALUE!</v>
      </c>
      <c r="ID8" t="e">
        <f>AND('Printable Sheets'!B33,"AAAAACfvvu0=")</f>
        <v>#VALUE!</v>
      </c>
      <c r="IE8" t="e">
        <f>AND('Printable Sheets'!C33,"AAAAACfvvu4=")</f>
        <v>#VALUE!</v>
      </c>
      <c r="IF8" t="e">
        <f>AND('Printable Sheets'!D33,"AAAAACfvvu8=")</f>
        <v>#VALUE!</v>
      </c>
      <c r="IG8" t="e">
        <f>AND('Printable Sheets'!E33,"AAAAACfvvvA=")</f>
        <v>#VALUE!</v>
      </c>
      <c r="IH8" t="e">
        <f>AND('Printable Sheets'!F33,"AAAAACfvvvE=")</f>
        <v>#VALUE!</v>
      </c>
      <c r="II8" t="e">
        <f>AND('Printable Sheets'!G33,"AAAAACfvvvI=")</f>
        <v>#VALUE!</v>
      </c>
      <c r="IJ8" t="e">
        <f>AND('Printable Sheets'!H33,"AAAAACfvvvM=")</f>
        <v>#VALUE!</v>
      </c>
      <c r="IK8" t="e">
        <f>AND('Printable Sheets'!I33,"AAAAACfvvvQ=")</f>
        <v>#VALUE!</v>
      </c>
      <c r="IL8" t="e">
        <f>AND('Printable Sheets'!J33,"AAAAACfvvvU=")</f>
        <v>#VALUE!</v>
      </c>
      <c r="IM8" t="e">
        <f>AND('Printable Sheets'!K33,"AAAAACfvvvY=")</f>
        <v>#VALUE!</v>
      </c>
      <c r="IN8" t="e">
        <f>AND('Printable Sheets'!L33,"AAAAACfvvvc=")</f>
        <v>#VALUE!</v>
      </c>
      <c r="IO8" t="e">
        <f>AND('Printable Sheets'!M33,"AAAAACfvvvg=")</f>
        <v>#VALUE!</v>
      </c>
      <c r="IP8" t="e">
        <f>AND('Printable Sheets'!N33,"AAAAACfvvvk=")</f>
        <v>#VALUE!</v>
      </c>
      <c r="IQ8" t="e">
        <f>AND('Printable Sheets'!O33,"AAAAACfvvvo=")</f>
        <v>#VALUE!</v>
      </c>
      <c r="IR8" t="e">
        <f>AND('Printable Sheets'!P33,"AAAAACfvvvs=")</f>
        <v>#VALUE!</v>
      </c>
      <c r="IS8" t="e">
        <f>AND('Printable Sheets'!Q33,"AAAAACfvvvw=")</f>
        <v>#VALUE!</v>
      </c>
      <c r="IT8" t="e">
        <f>AND('Printable Sheets'!R33,"AAAAACfvvv0=")</f>
        <v>#VALUE!</v>
      </c>
      <c r="IU8" t="e">
        <f>AND('Printable Sheets'!S33,"AAAAACfvvv4=")</f>
        <v>#VALUE!</v>
      </c>
      <c r="IV8" t="e">
        <f>AND('Printable Sheets'!T33,"AAAAACfvvv8=")</f>
        <v>#VALUE!</v>
      </c>
    </row>
    <row r="9" spans="1:256" x14ac:dyDescent="0.2">
      <c r="A9" t="e">
        <f>AND('Printable Sheets'!U33,"AAAAAFu7awA=")</f>
        <v>#VALUE!</v>
      </c>
      <c r="B9" t="e">
        <f>AND('Printable Sheets'!V33,"AAAAAFu7awE=")</f>
        <v>#VALUE!</v>
      </c>
      <c r="C9" t="e">
        <f>AND('Printable Sheets'!W33,"AAAAAFu7awI=")</f>
        <v>#VALUE!</v>
      </c>
      <c r="D9" t="e">
        <f>AND('Printable Sheets'!X33,"AAAAAFu7awM=")</f>
        <v>#VALUE!</v>
      </c>
      <c r="E9" t="e">
        <f>AND('Printable Sheets'!Y33,"AAAAAFu7awQ=")</f>
        <v>#VALUE!</v>
      </c>
      <c r="F9" t="e">
        <f>AND('Printable Sheets'!Z33,"AAAAAFu7awU=")</f>
        <v>#VALUE!</v>
      </c>
      <c r="G9" t="e">
        <f>AND('Printable Sheets'!AA33,"AAAAAFu7awY=")</f>
        <v>#VALUE!</v>
      </c>
      <c r="H9" t="e">
        <f>AND('Printable Sheets'!AB33,"AAAAAFu7awc=")</f>
        <v>#VALUE!</v>
      </c>
      <c r="I9" t="e">
        <f>AND('Printable Sheets'!AC33,"AAAAAFu7awg=")</f>
        <v>#VALUE!</v>
      </c>
      <c r="J9" t="e">
        <f>AND('Printable Sheets'!AD33,"AAAAAFu7awk=")</f>
        <v>#VALUE!</v>
      </c>
      <c r="K9">
        <f>IF('Printable Sheets'!34:34,"AAAAAFu7awo=",0)</f>
        <v>0</v>
      </c>
      <c r="L9" t="e">
        <f>AND('Printable Sheets'!A34,"AAAAAFu7aws=")</f>
        <v>#VALUE!</v>
      </c>
      <c r="M9" t="e">
        <f>AND('Printable Sheets'!B34,"AAAAAFu7aww=")</f>
        <v>#VALUE!</v>
      </c>
      <c r="N9" t="e">
        <f>AND('Printable Sheets'!C34,"AAAAAFu7aw0=")</f>
        <v>#VALUE!</v>
      </c>
      <c r="O9" t="e">
        <f>AND('Printable Sheets'!D34,"AAAAAFu7aw4=")</f>
        <v>#VALUE!</v>
      </c>
      <c r="P9" t="e">
        <f>AND('Printable Sheets'!E34,"AAAAAFu7aw8=")</f>
        <v>#VALUE!</v>
      </c>
      <c r="Q9" t="e">
        <f>AND('Printable Sheets'!F34,"AAAAAFu7axA=")</f>
        <v>#VALUE!</v>
      </c>
      <c r="R9" t="e">
        <f>AND('Printable Sheets'!G34,"AAAAAFu7axE=")</f>
        <v>#VALUE!</v>
      </c>
      <c r="S9" t="e">
        <f>AND('Printable Sheets'!H34,"AAAAAFu7axI=")</f>
        <v>#VALUE!</v>
      </c>
      <c r="T9" t="e">
        <f>AND('Printable Sheets'!I34,"AAAAAFu7axM=")</f>
        <v>#VALUE!</v>
      </c>
      <c r="U9" t="e">
        <f>AND('Printable Sheets'!J34,"AAAAAFu7axQ=")</f>
        <v>#VALUE!</v>
      </c>
      <c r="V9" t="e">
        <f>AND('Printable Sheets'!K34,"AAAAAFu7axU=")</f>
        <v>#VALUE!</v>
      </c>
      <c r="W9" t="e">
        <f>AND('Printable Sheets'!L34,"AAAAAFu7axY=")</f>
        <v>#VALUE!</v>
      </c>
      <c r="X9" t="e">
        <f>AND('Printable Sheets'!M34,"AAAAAFu7axc=")</f>
        <v>#VALUE!</v>
      </c>
      <c r="Y9" t="e">
        <f>AND('Printable Sheets'!N34,"AAAAAFu7axg=")</f>
        <v>#VALUE!</v>
      </c>
      <c r="Z9" t="e">
        <f>AND('Printable Sheets'!O34,"AAAAAFu7axk=")</f>
        <v>#VALUE!</v>
      </c>
      <c r="AA9" t="e">
        <f>AND('Printable Sheets'!P34,"AAAAAFu7axo=")</f>
        <v>#VALUE!</v>
      </c>
      <c r="AB9" t="e">
        <f>AND('Printable Sheets'!Q34,"AAAAAFu7axs=")</f>
        <v>#VALUE!</v>
      </c>
      <c r="AC9" t="e">
        <f>AND('Printable Sheets'!R34,"AAAAAFu7axw=")</f>
        <v>#VALUE!</v>
      </c>
      <c r="AD9" t="e">
        <f>AND('Printable Sheets'!S34,"AAAAAFu7ax0=")</f>
        <v>#VALUE!</v>
      </c>
      <c r="AE9" t="e">
        <f>AND('Printable Sheets'!T34,"AAAAAFu7ax4=")</f>
        <v>#VALUE!</v>
      </c>
      <c r="AF9" t="e">
        <f>AND('Printable Sheets'!U34,"AAAAAFu7ax8=")</f>
        <v>#VALUE!</v>
      </c>
      <c r="AG9" t="e">
        <f>AND('Printable Sheets'!V34,"AAAAAFu7ayA=")</f>
        <v>#VALUE!</v>
      </c>
      <c r="AH9" t="e">
        <f>AND('Printable Sheets'!W34,"AAAAAFu7ayE=")</f>
        <v>#VALUE!</v>
      </c>
      <c r="AI9" t="e">
        <f>AND('Printable Sheets'!X34,"AAAAAFu7ayI=")</f>
        <v>#VALUE!</v>
      </c>
      <c r="AJ9" t="e">
        <f>AND('Printable Sheets'!Y34,"AAAAAFu7ayM=")</f>
        <v>#VALUE!</v>
      </c>
      <c r="AK9" t="e">
        <f>AND('Printable Sheets'!Z34,"AAAAAFu7ayQ=")</f>
        <v>#VALUE!</v>
      </c>
      <c r="AL9" t="e">
        <f>AND('Printable Sheets'!AA34,"AAAAAFu7ayU=")</f>
        <v>#VALUE!</v>
      </c>
      <c r="AM9" t="e">
        <f>AND('Printable Sheets'!AB34,"AAAAAFu7ayY=")</f>
        <v>#VALUE!</v>
      </c>
      <c r="AN9" t="e">
        <f>AND('Printable Sheets'!AC34,"AAAAAFu7ayc=")</f>
        <v>#VALUE!</v>
      </c>
      <c r="AO9" t="e">
        <f>AND('Printable Sheets'!AD34,"AAAAAFu7ayg=")</f>
        <v>#VALUE!</v>
      </c>
      <c r="AP9">
        <f>IF('Printable Sheets'!35:35,"AAAAAFu7ayk=",0)</f>
        <v>0</v>
      </c>
      <c r="AQ9" t="e">
        <f>AND('Printable Sheets'!A35,"AAAAAFu7ayo=")</f>
        <v>#VALUE!</v>
      </c>
      <c r="AR9" t="e">
        <f>AND('Printable Sheets'!B35,"AAAAAFu7ays=")</f>
        <v>#VALUE!</v>
      </c>
      <c r="AS9" t="e">
        <f>AND('Printable Sheets'!C35,"AAAAAFu7ayw=")</f>
        <v>#VALUE!</v>
      </c>
      <c r="AT9" t="e">
        <f>AND('Printable Sheets'!D35,"AAAAAFu7ay0=")</f>
        <v>#VALUE!</v>
      </c>
      <c r="AU9" t="e">
        <f>AND('Printable Sheets'!E35,"AAAAAFu7ay4=")</f>
        <v>#VALUE!</v>
      </c>
      <c r="AV9" t="e">
        <f>AND('Printable Sheets'!F35,"AAAAAFu7ay8=")</f>
        <v>#VALUE!</v>
      </c>
      <c r="AW9" t="e">
        <f>AND('Printable Sheets'!G35,"AAAAAFu7azA=")</f>
        <v>#VALUE!</v>
      </c>
      <c r="AX9" t="e">
        <f>AND('Printable Sheets'!H35,"AAAAAFu7azE=")</f>
        <v>#VALUE!</v>
      </c>
      <c r="AY9" t="e">
        <f>AND('Printable Sheets'!I35,"AAAAAFu7azI=")</f>
        <v>#VALUE!</v>
      </c>
      <c r="AZ9" t="e">
        <f>AND('Printable Sheets'!J35,"AAAAAFu7azM=")</f>
        <v>#VALUE!</v>
      </c>
      <c r="BA9" t="e">
        <f>AND('Printable Sheets'!K35,"AAAAAFu7azQ=")</f>
        <v>#VALUE!</v>
      </c>
      <c r="BB9" t="e">
        <f>AND('Printable Sheets'!L35,"AAAAAFu7azU=")</f>
        <v>#VALUE!</v>
      </c>
      <c r="BC9" t="e">
        <f>AND('Printable Sheets'!M35,"AAAAAFu7azY=")</f>
        <v>#VALUE!</v>
      </c>
      <c r="BD9" t="e">
        <f>AND('Printable Sheets'!N35,"AAAAAFu7azc=")</f>
        <v>#VALUE!</v>
      </c>
      <c r="BE9" t="e">
        <f>AND('Printable Sheets'!O35,"AAAAAFu7azg=")</f>
        <v>#VALUE!</v>
      </c>
      <c r="BF9" t="e">
        <f>AND('Printable Sheets'!P35,"AAAAAFu7azk=")</f>
        <v>#VALUE!</v>
      </c>
      <c r="BG9" t="e">
        <f>AND('Printable Sheets'!Q35,"AAAAAFu7azo=")</f>
        <v>#VALUE!</v>
      </c>
      <c r="BH9" t="e">
        <f>AND('Printable Sheets'!R35,"AAAAAFu7azs=")</f>
        <v>#VALUE!</v>
      </c>
      <c r="BI9" t="e">
        <f>AND('Printable Sheets'!S35,"AAAAAFu7azw=")</f>
        <v>#VALUE!</v>
      </c>
      <c r="BJ9" t="e">
        <f>AND('Printable Sheets'!T35,"AAAAAFu7az0=")</f>
        <v>#VALUE!</v>
      </c>
      <c r="BK9" t="e">
        <f>AND('Printable Sheets'!U35,"AAAAAFu7az4=")</f>
        <v>#VALUE!</v>
      </c>
      <c r="BL9" t="e">
        <f>AND('Printable Sheets'!V35,"AAAAAFu7az8=")</f>
        <v>#VALUE!</v>
      </c>
      <c r="BM9" t="e">
        <f>AND('Printable Sheets'!W35,"AAAAAFu7a0A=")</f>
        <v>#VALUE!</v>
      </c>
      <c r="BN9" t="e">
        <f>AND('Printable Sheets'!X35,"AAAAAFu7a0E=")</f>
        <v>#VALUE!</v>
      </c>
      <c r="BO9" t="e">
        <f>AND('Printable Sheets'!Y35,"AAAAAFu7a0I=")</f>
        <v>#VALUE!</v>
      </c>
      <c r="BP9" t="e">
        <f>AND('Printable Sheets'!Z35,"AAAAAFu7a0M=")</f>
        <v>#VALUE!</v>
      </c>
      <c r="BQ9" t="e">
        <f>AND('Printable Sheets'!AA35,"AAAAAFu7a0Q=")</f>
        <v>#VALUE!</v>
      </c>
      <c r="BR9" t="e">
        <f>AND('Printable Sheets'!AB35,"AAAAAFu7a0U=")</f>
        <v>#VALUE!</v>
      </c>
      <c r="BS9" t="e">
        <f>AND('Printable Sheets'!AC35,"AAAAAFu7a0Y=")</f>
        <v>#VALUE!</v>
      </c>
      <c r="BT9" t="e">
        <f>AND('Printable Sheets'!AD35,"AAAAAFu7a0c=")</f>
        <v>#VALUE!</v>
      </c>
      <c r="BU9">
        <f>IF('Printable Sheets'!36:36,"AAAAAFu7a0g=",0)</f>
        <v>0</v>
      </c>
      <c r="BV9" t="e">
        <f>AND('Printable Sheets'!A36,"AAAAAFu7a0k=")</f>
        <v>#VALUE!</v>
      </c>
      <c r="BW9" t="e">
        <f>AND('Printable Sheets'!B36,"AAAAAFu7a0o=")</f>
        <v>#VALUE!</v>
      </c>
      <c r="BX9" t="e">
        <f>AND('Printable Sheets'!C36,"AAAAAFu7a0s=")</f>
        <v>#VALUE!</v>
      </c>
      <c r="BY9" t="e">
        <f>AND('Printable Sheets'!D36,"AAAAAFu7a0w=")</f>
        <v>#VALUE!</v>
      </c>
      <c r="BZ9" t="e">
        <f>AND('Printable Sheets'!E36,"AAAAAFu7a00=")</f>
        <v>#VALUE!</v>
      </c>
      <c r="CA9" t="e">
        <f>AND('Printable Sheets'!F36,"AAAAAFu7a04=")</f>
        <v>#VALUE!</v>
      </c>
      <c r="CB9" t="e">
        <f>AND('Printable Sheets'!G36,"AAAAAFu7a08=")</f>
        <v>#VALUE!</v>
      </c>
      <c r="CC9" t="e">
        <f>AND('Printable Sheets'!H36,"AAAAAFu7a1A=")</f>
        <v>#VALUE!</v>
      </c>
      <c r="CD9" t="e">
        <f>AND('Printable Sheets'!I36,"AAAAAFu7a1E=")</f>
        <v>#VALUE!</v>
      </c>
      <c r="CE9" t="e">
        <f>AND('Printable Sheets'!J36,"AAAAAFu7a1I=")</f>
        <v>#VALUE!</v>
      </c>
      <c r="CF9" t="e">
        <f>AND('Printable Sheets'!K36,"AAAAAFu7a1M=")</f>
        <v>#VALUE!</v>
      </c>
      <c r="CG9" t="e">
        <f>AND('Printable Sheets'!L36,"AAAAAFu7a1Q=")</f>
        <v>#VALUE!</v>
      </c>
      <c r="CH9" t="e">
        <f>AND('Printable Sheets'!M36,"AAAAAFu7a1U=")</f>
        <v>#VALUE!</v>
      </c>
      <c r="CI9" t="e">
        <f>AND('Printable Sheets'!N36,"AAAAAFu7a1Y=")</f>
        <v>#VALUE!</v>
      </c>
      <c r="CJ9" t="e">
        <f>AND('Printable Sheets'!O36,"AAAAAFu7a1c=")</f>
        <v>#VALUE!</v>
      </c>
      <c r="CK9" t="e">
        <f>AND('Printable Sheets'!P36,"AAAAAFu7a1g=")</f>
        <v>#VALUE!</v>
      </c>
      <c r="CL9" t="e">
        <f>AND('Printable Sheets'!Q36,"AAAAAFu7a1k=")</f>
        <v>#VALUE!</v>
      </c>
      <c r="CM9" t="e">
        <f>AND('Printable Sheets'!R36,"AAAAAFu7a1o=")</f>
        <v>#VALUE!</v>
      </c>
      <c r="CN9" t="e">
        <f>AND('Printable Sheets'!S36,"AAAAAFu7a1s=")</f>
        <v>#VALUE!</v>
      </c>
      <c r="CO9" t="e">
        <f>AND('Printable Sheets'!T36,"AAAAAFu7a1w=")</f>
        <v>#VALUE!</v>
      </c>
      <c r="CP9" t="e">
        <f>AND('Printable Sheets'!U36,"AAAAAFu7a10=")</f>
        <v>#VALUE!</v>
      </c>
      <c r="CQ9" t="e">
        <f>AND('Printable Sheets'!V36,"AAAAAFu7a14=")</f>
        <v>#VALUE!</v>
      </c>
      <c r="CR9" t="e">
        <f>AND('Printable Sheets'!W36,"AAAAAFu7a18=")</f>
        <v>#VALUE!</v>
      </c>
      <c r="CS9" t="e">
        <f>AND('Printable Sheets'!X36,"AAAAAFu7a2A=")</f>
        <v>#VALUE!</v>
      </c>
      <c r="CT9" t="e">
        <f>AND('Printable Sheets'!Y36,"AAAAAFu7a2E=")</f>
        <v>#VALUE!</v>
      </c>
      <c r="CU9" t="e">
        <f>AND('Printable Sheets'!Z36,"AAAAAFu7a2I=")</f>
        <v>#VALUE!</v>
      </c>
      <c r="CV9" t="e">
        <f>AND('Printable Sheets'!AA36,"AAAAAFu7a2M=")</f>
        <v>#VALUE!</v>
      </c>
      <c r="CW9" t="e">
        <f>AND('Printable Sheets'!AB36,"AAAAAFu7a2Q=")</f>
        <v>#VALUE!</v>
      </c>
      <c r="CX9" t="e">
        <f>AND('Printable Sheets'!AC36,"AAAAAFu7a2U=")</f>
        <v>#VALUE!</v>
      </c>
      <c r="CY9" t="e">
        <f>AND('Printable Sheets'!AD36,"AAAAAFu7a2Y=")</f>
        <v>#VALUE!</v>
      </c>
      <c r="CZ9">
        <f>IF('Printable Sheets'!37:37,"AAAAAFu7a2c=",0)</f>
        <v>0</v>
      </c>
      <c r="DA9" t="e">
        <f>AND('Printable Sheets'!A37,"AAAAAFu7a2g=")</f>
        <v>#VALUE!</v>
      </c>
      <c r="DB9" t="e">
        <f>AND('Printable Sheets'!B37,"AAAAAFu7a2k=")</f>
        <v>#VALUE!</v>
      </c>
      <c r="DC9" t="e">
        <f>AND('Printable Sheets'!C37,"AAAAAFu7a2o=")</f>
        <v>#VALUE!</v>
      </c>
      <c r="DD9" t="e">
        <f>AND('Printable Sheets'!D37,"AAAAAFu7a2s=")</f>
        <v>#VALUE!</v>
      </c>
      <c r="DE9" t="e">
        <f>AND('Printable Sheets'!E37,"AAAAAFu7a2w=")</f>
        <v>#VALUE!</v>
      </c>
      <c r="DF9" t="e">
        <f>AND('Printable Sheets'!F37,"AAAAAFu7a20=")</f>
        <v>#VALUE!</v>
      </c>
      <c r="DG9" t="e">
        <f>AND('Printable Sheets'!G37,"AAAAAFu7a24=")</f>
        <v>#VALUE!</v>
      </c>
      <c r="DH9" t="e">
        <f>AND('Printable Sheets'!H37,"AAAAAFu7a28=")</f>
        <v>#VALUE!</v>
      </c>
      <c r="DI9" t="e">
        <f>AND('Printable Sheets'!I37,"AAAAAFu7a3A=")</f>
        <v>#VALUE!</v>
      </c>
      <c r="DJ9" t="e">
        <f>AND('Printable Sheets'!J37,"AAAAAFu7a3E=")</f>
        <v>#VALUE!</v>
      </c>
      <c r="DK9" t="e">
        <f>AND('Printable Sheets'!K37,"AAAAAFu7a3I=")</f>
        <v>#VALUE!</v>
      </c>
      <c r="DL9" t="e">
        <f>AND('Printable Sheets'!L37,"AAAAAFu7a3M=")</f>
        <v>#VALUE!</v>
      </c>
      <c r="DM9" t="e">
        <f>AND('Printable Sheets'!M37,"AAAAAFu7a3Q=")</f>
        <v>#VALUE!</v>
      </c>
      <c r="DN9" t="e">
        <f>AND('Printable Sheets'!N37,"AAAAAFu7a3U=")</f>
        <v>#VALUE!</v>
      </c>
      <c r="DO9" t="e">
        <f>AND('Printable Sheets'!O37,"AAAAAFu7a3Y=")</f>
        <v>#VALUE!</v>
      </c>
      <c r="DP9" t="e">
        <f>AND('Printable Sheets'!P37,"AAAAAFu7a3c=")</f>
        <v>#VALUE!</v>
      </c>
      <c r="DQ9" t="e">
        <f>AND('Printable Sheets'!Q37,"AAAAAFu7a3g=")</f>
        <v>#VALUE!</v>
      </c>
      <c r="DR9" t="e">
        <f>AND('Printable Sheets'!R37,"AAAAAFu7a3k=")</f>
        <v>#VALUE!</v>
      </c>
      <c r="DS9" t="e">
        <f>AND('Printable Sheets'!S37,"AAAAAFu7a3o=")</f>
        <v>#VALUE!</v>
      </c>
      <c r="DT9" t="e">
        <f>AND('Printable Sheets'!T37,"AAAAAFu7a3s=")</f>
        <v>#VALUE!</v>
      </c>
      <c r="DU9" t="e">
        <f>AND('Printable Sheets'!U37,"AAAAAFu7a3w=")</f>
        <v>#VALUE!</v>
      </c>
      <c r="DV9" t="e">
        <f>AND('Printable Sheets'!V37,"AAAAAFu7a30=")</f>
        <v>#VALUE!</v>
      </c>
      <c r="DW9" t="e">
        <f>AND('Printable Sheets'!W37,"AAAAAFu7a34=")</f>
        <v>#VALUE!</v>
      </c>
      <c r="DX9" t="e">
        <f>AND('Printable Sheets'!X37,"AAAAAFu7a38=")</f>
        <v>#VALUE!</v>
      </c>
      <c r="DY9" t="e">
        <f>AND('Printable Sheets'!Y37,"AAAAAFu7a4A=")</f>
        <v>#VALUE!</v>
      </c>
      <c r="DZ9" t="e">
        <f>AND('Printable Sheets'!Z37,"AAAAAFu7a4E=")</f>
        <v>#VALUE!</v>
      </c>
      <c r="EA9" t="e">
        <f>AND('Printable Sheets'!AA37,"AAAAAFu7a4I=")</f>
        <v>#VALUE!</v>
      </c>
      <c r="EB9" t="e">
        <f>AND('Printable Sheets'!AB37,"AAAAAFu7a4M=")</f>
        <v>#VALUE!</v>
      </c>
      <c r="EC9" t="e">
        <f>AND('Printable Sheets'!AC37,"AAAAAFu7a4Q=")</f>
        <v>#VALUE!</v>
      </c>
      <c r="ED9" t="e">
        <f>AND('Printable Sheets'!AD37,"AAAAAFu7a4U=")</f>
        <v>#VALUE!</v>
      </c>
      <c r="EE9">
        <f>IF('Printable Sheets'!38:38,"AAAAAFu7a4Y=",0)</f>
        <v>0</v>
      </c>
      <c r="EF9" t="e">
        <f>AND('Printable Sheets'!A38,"AAAAAFu7a4c=")</f>
        <v>#VALUE!</v>
      </c>
      <c r="EG9" t="e">
        <f>AND('Printable Sheets'!B38,"AAAAAFu7a4g=")</f>
        <v>#VALUE!</v>
      </c>
      <c r="EH9" t="e">
        <f>AND('Printable Sheets'!C38,"AAAAAFu7a4k=")</f>
        <v>#VALUE!</v>
      </c>
      <c r="EI9" t="e">
        <f>AND('Printable Sheets'!D38,"AAAAAFu7a4o=")</f>
        <v>#VALUE!</v>
      </c>
      <c r="EJ9" t="e">
        <f>AND('Printable Sheets'!E38,"AAAAAFu7a4s=")</f>
        <v>#VALUE!</v>
      </c>
      <c r="EK9" t="e">
        <f>AND('Printable Sheets'!F38,"AAAAAFu7a4w=")</f>
        <v>#VALUE!</v>
      </c>
      <c r="EL9" t="e">
        <f>AND('Printable Sheets'!G38,"AAAAAFu7a40=")</f>
        <v>#VALUE!</v>
      </c>
      <c r="EM9" t="e">
        <f>AND('Printable Sheets'!H38,"AAAAAFu7a44=")</f>
        <v>#VALUE!</v>
      </c>
      <c r="EN9" t="e">
        <f>AND('Printable Sheets'!I38,"AAAAAFu7a48=")</f>
        <v>#VALUE!</v>
      </c>
      <c r="EO9" t="e">
        <f>AND('Printable Sheets'!J38,"AAAAAFu7a5A=")</f>
        <v>#VALUE!</v>
      </c>
      <c r="EP9" t="e">
        <f>AND('Printable Sheets'!K38,"AAAAAFu7a5E=")</f>
        <v>#VALUE!</v>
      </c>
      <c r="EQ9" t="e">
        <f>AND('Printable Sheets'!L38,"AAAAAFu7a5I=")</f>
        <v>#VALUE!</v>
      </c>
      <c r="ER9" t="e">
        <f>AND('Printable Sheets'!M38,"AAAAAFu7a5M=")</f>
        <v>#VALUE!</v>
      </c>
      <c r="ES9" t="e">
        <f>AND('Printable Sheets'!N38,"AAAAAFu7a5Q=")</f>
        <v>#VALUE!</v>
      </c>
      <c r="ET9" t="e">
        <f>AND('Printable Sheets'!O38,"AAAAAFu7a5U=")</f>
        <v>#VALUE!</v>
      </c>
      <c r="EU9" t="e">
        <f>AND('Printable Sheets'!P38,"AAAAAFu7a5Y=")</f>
        <v>#VALUE!</v>
      </c>
      <c r="EV9" t="e">
        <f>AND('Printable Sheets'!Q38,"AAAAAFu7a5c=")</f>
        <v>#VALUE!</v>
      </c>
      <c r="EW9" t="e">
        <f>AND('Printable Sheets'!R38,"AAAAAFu7a5g=")</f>
        <v>#VALUE!</v>
      </c>
      <c r="EX9" t="e">
        <f>AND('Printable Sheets'!S38,"AAAAAFu7a5k=")</f>
        <v>#VALUE!</v>
      </c>
      <c r="EY9" t="e">
        <f>AND('Printable Sheets'!T38,"AAAAAFu7a5o=")</f>
        <v>#VALUE!</v>
      </c>
      <c r="EZ9" t="e">
        <f>AND('Printable Sheets'!U38,"AAAAAFu7a5s=")</f>
        <v>#VALUE!</v>
      </c>
      <c r="FA9" t="e">
        <f>AND('Printable Sheets'!V38,"AAAAAFu7a5w=")</f>
        <v>#VALUE!</v>
      </c>
      <c r="FB9" t="e">
        <f>AND('Printable Sheets'!W38,"AAAAAFu7a50=")</f>
        <v>#VALUE!</v>
      </c>
      <c r="FC9" t="e">
        <f>AND('Printable Sheets'!X38,"AAAAAFu7a54=")</f>
        <v>#VALUE!</v>
      </c>
      <c r="FD9" t="e">
        <f>AND('Printable Sheets'!Y38,"AAAAAFu7a58=")</f>
        <v>#VALUE!</v>
      </c>
      <c r="FE9" t="e">
        <f>AND('Printable Sheets'!Z38,"AAAAAFu7a6A=")</f>
        <v>#VALUE!</v>
      </c>
      <c r="FF9" t="e">
        <f>AND('Printable Sheets'!AA38,"AAAAAFu7a6E=")</f>
        <v>#VALUE!</v>
      </c>
      <c r="FG9" t="e">
        <f>AND('Printable Sheets'!AB38,"AAAAAFu7a6I=")</f>
        <v>#VALUE!</v>
      </c>
      <c r="FH9" t="e">
        <f>AND('Printable Sheets'!AC38,"AAAAAFu7a6M=")</f>
        <v>#VALUE!</v>
      </c>
      <c r="FI9" t="e">
        <f>AND('Printable Sheets'!AD38,"AAAAAFu7a6Q=")</f>
        <v>#VALUE!</v>
      </c>
      <c r="FJ9">
        <f>IF('Printable Sheets'!39:39,"AAAAAFu7a6U=",0)</f>
        <v>0</v>
      </c>
      <c r="FK9" t="e">
        <f>AND('Printable Sheets'!A39,"AAAAAFu7a6Y=")</f>
        <v>#VALUE!</v>
      </c>
      <c r="FL9" t="e">
        <f>AND('Printable Sheets'!B39,"AAAAAFu7a6c=")</f>
        <v>#VALUE!</v>
      </c>
      <c r="FM9" t="e">
        <f>AND('Printable Sheets'!C39,"AAAAAFu7a6g=")</f>
        <v>#VALUE!</v>
      </c>
      <c r="FN9" t="e">
        <f>AND('Printable Sheets'!D39,"AAAAAFu7a6k=")</f>
        <v>#VALUE!</v>
      </c>
      <c r="FO9" t="e">
        <f>AND('Printable Sheets'!E39,"AAAAAFu7a6o=")</f>
        <v>#VALUE!</v>
      </c>
      <c r="FP9" t="e">
        <f>AND('Printable Sheets'!F39,"AAAAAFu7a6s=")</f>
        <v>#VALUE!</v>
      </c>
      <c r="FQ9" t="e">
        <f>AND('Printable Sheets'!G39,"AAAAAFu7a6w=")</f>
        <v>#VALUE!</v>
      </c>
      <c r="FR9" t="e">
        <f>AND('Printable Sheets'!H39,"AAAAAFu7a60=")</f>
        <v>#VALUE!</v>
      </c>
      <c r="FS9" t="e">
        <f>AND('Printable Sheets'!I39,"AAAAAFu7a64=")</f>
        <v>#VALUE!</v>
      </c>
      <c r="FT9" t="e">
        <f>AND('Printable Sheets'!J39,"AAAAAFu7a68=")</f>
        <v>#VALUE!</v>
      </c>
      <c r="FU9" t="e">
        <f>AND('Printable Sheets'!K39,"AAAAAFu7a7A=")</f>
        <v>#VALUE!</v>
      </c>
      <c r="FV9" t="e">
        <f>AND('Printable Sheets'!L39,"AAAAAFu7a7E=")</f>
        <v>#VALUE!</v>
      </c>
      <c r="FW9" t="e">
        <f>AND('Printable Sheets'!M39,"AAAAAFu7a7I=")</f>
        <v>#VALUE!</v>
      </c>
      <c r="FX9" t="e">
        <f>AND('Printable Sheets'!N39,"AAAAAFu7a7M=")</f>
        <v>#VALUE!</v>
      </c>
      <c r="FY9" t="e">
        <f>AND('Printable Sheets'!O39,"AAAAAFu7a7Q=")</f>
        <v>#VALUE!</v>
      </c>
      <c r="FZ9" t="e">
        <f>AND('Printable Sheets'!P39,"AAAAAFu7a7U=")</f>
        <v>#VALUE!</v>
      </c>
      <c r="GA9" t="e">
        <f>AND('Printable Sheets'!Q39,"AAAAAFu7a7Y=")</f>
        <v>#VALUE!</v>
      </c>
      <c r="GB9" t="e">
        <f>AND('Printable Sheets'!R39,"AAAAAFu7a7c=")</f>
        <v>#VALUE!</v>
      </c>
      <c r="GC9" t="e">
        <f>AND('Printable Sheets'!S39,"AAAAAFu7a7g=")</f>
        <v>#VALUE!</v>
      </c>
      <c r="GD9" t="e">
        <f>AND('Printable Sheets'!T39,"AAAAAFu7a7k=")</f>
        <v>#VALUE!</v>
      </c>
      <c r="GE9" t="e">
        <f>AND('Printable Sheets'!U39,"AAAAAFu7a7o=")</f>
        <v>#VALUE!</v>
      </c>
      <c r="GF9" t="e">
        <f>AND('Printable Sheets'!V39,"AAAAAFu7a7s=")</f>
        <v>#VALUE!</v>
      </c>
      <c r="GG9" t="e">
        <f>AND('Printable Sheets'!W39,"AAAAAFu7a7w=")</f>
        <v>#VALUE!</v>
      </c>
      <c r="GH9" t="e">
        <f>AND('Printable Sheets'!X39,"AAAAAFu7a70=")</f>
        <v>#VALUE!</v>
      </c>
      <c r="GI9" t="e">
        <f>AND('Printable Sheets'!Y39,"AAAAAFu7a74=")</f>
        <v>#VALUE!</v>
      </c>
      <c r="GJ9" t="e">
        <f>AND('Printable Sheets'!Z39,"AAAAAFu7a78=")</f>
        <v>#VALUE!</v>
      </c>
      <c r="GK9" t="e">
        <f>AND('Printable Sheets'!AA39,"AAAAAFu7a8A=")</f>
        <v>#VALUE!</v>
      </c>
      <c r="GL9" t="e">
        <f>AND('Printable Sheets'!AB39,"AAAAAFu7a8E=")</f>
        <v>#VALUE!</v>
      </c>
      <c r="GM9" t="e">
        <f>AND('Printable Sheets'!AC39,"AAAAAFu7a8I=")</f>
        <v>#VALUE!</v>
      </c>
      <c r="GN9" t="e">
        <f>AND('Printable Sheets'!AD39,"AAAAAFu7a8M=")</f>
        <v>#VALUE!</v>
      </c>
      <c r="GO9">
        <f>IF('Printable Sheets'!40:40,"AAAAAFu7a8Q=",0)</f>
        <v>0</v>
      </c>
      <c r="GP9" t="e">
        <f>AND('Printable Sheets'!A40,"AAAAAFu7a8U=")</f>
        <v>#VALUE!</v>
      </c>
      <c r="GQ9" t="e">
        <f>AND('Printable Sheets'!B40,"AAAAAFu7a8Y=")</f>
        <v>#VALUE!</v>
      </c>
      <c r="GR9" t="e">
        <f>AND('Printable Sheets'!C40,"AAAAAFu7a8c=")</f>
        <v>#VALUE!</v>
      </c>
      <c r="GS9" t="e">
        <f>AND('Printable Sheets'!D40,"AAAAAFu7a8g=")</f>
        <v>#VALUE!</v>
      </c>
      <c r="GT9" t="e">
        <f>AND('Printable Sheets'!E40,"AAAAAFu7a8k=")</f>
        <v>#VALUE!</v>
      </c>
      <c r="GU9" t="e">
        <f>AND('Printable Sheets'!F40,"AAAAAFu7a8o=")</f>
        <v>#VALUE!</v>
      </c>
      <c r="GV9" t="e">
        <f>AND('Printable Sheets'!G40,"AAAAAFu7a8s=")</f>
        <v>#VALUE!</v>
      </c>
      <c r="GW9" t="e">
        <f>AND('Printable Sheets'!H40,"AAAAAFu7a8w=")</f>
        <v>#VALUE!</v>
      </c>
      <c r="GX9" t="e">
        <f>AND('Printable Sheets'!I40,"AAAAAFu7a80=")</f>
        <v>#VALUE!</v>
      </c>
      <c r="GY9" t="e">
        <f>AND('Printable Sheets'!J40,"AAAAAFu7a84=")</f>
        <v>#VALUE!</v>
      </c>
      <c r="GZ9" t="e">
        <f>AND('Printable Sheets'!K40,"AAAAAFu7a88=")</f>
        <v>#VALUE!</v>
      </c>
      <c r="HA9" t="e">
        <f>AND('Printable Sheets'!L40,"AAAAAFu7a9A=")</f>
        <v>#VALUE!</v>
      </c>
      <c r="HB9" t="e">
        <f>AND('Printable Sheets'!M40,"AAAAAFu7a9E=")</f>
        <v>#VALUE!</v>
      </c>
      <c r="HC9" t="e">
        <f>AND('Printable Sheets'!N40,"AAAAAFu7a9I=")</f>
        <v>#VALUE!</v>
      </c>
      <c r="HD9" t="e">
        <f>AND('Printable Sheets'!O40,"AAAAAFu7a9M=")</f>
        <v>#VALUE!</v>
      </c>
      <c r="HE9" t="e">
        <f>AND('Printable Sheets'!P40,"AAAAAFu7a9Q=")</f>
        <v>#VALUE!</v>
      </c>
      <c r="HF9" t="e">
        <f>AND('Printable Sheets'!Q40,"AAAAAFu7a9U=")</f>
        <v>#VALUE!</v>
      </c>
      <c r="HG9" t="e">
        <f>AND('Printable Sheets'!R40,"AAAAAFu7a9Y=")</f>
        <v>#VALUE!</v>
      </c>
      <c r="HH9" t="e">
        <f>AND('Printable Sheets'!S40,"AAAAAFu7a9c=")</f>
        <v>#VALUE!</v>
      </c>
      <c r="HI9" t="e">
        <f>AND('Printable Sheets'!T40,"AAAAAFu7a9g=")</f>
        <v>#VALUE!</v>
      </c>
      <c r="HJ9" t="e">
        <f>AND('Printable Sheets'!U40,"AAAAAFu7a9k=")</f>
        <v>#VALUE!</v>
      </c>
      <c r="HK9" t="e">
        <f>AND('Printable Sheets'!V40,"AAAAAFu7a9o=")</f>
        <v>#VALUE!</v>
      </c>
      <c r="HL9" t="e">
        <f>AND('Printable Sheets'!W40,"AAAAAFu7a9s=")</f>
        <v>#VALUE!</v>
      </c>
      <c r="HM9" t="e">
        <f>AND('Printable Sheets'!X40,"AAAAAFu7a9w=")</f>
        <v>#VALUE!</v>
      </c>
      <c r="HN9" t="e">
        <f>AND('Printable Sheets'!Y40,"AAAAAFu7a90=")</f>
        <v>#VALUE!</v>
      </c>
      <c r="HO9" t="e">
        <f>AND('Printable Sheets'!Z40,"AAAAAFu7a94=")</f>
        <v>#VALUE!</v>
      </c>
      <c r="HP9" t="e">
        <f>AND('Printable Sheets'!AA40,"AAAAAFu7a98=")</f>
        <v>#VALUE!</v>
      </c>
      <c r="HQ9" t="e">
        <f>AND('Printable Sheets'!AB40,"AAAAAFu7a+A=")</f>
        <v>#VALUE!</v>
      </c>
      <c r="HR9" t="e">
        <f>AND('Printable Sheets'!AC40,"AAAAAFu7a+E=")</f>
        <v>#VALUE!</v>
      </c>
      <c r="HS9" t="e">
        <f>AND('Printable Sheets'!AD40,"AAAAAFu7a+I=")</f>
        <v>#VALUE!</v>
      </c>
      <c r="HT9">
        <f>IF('Printable Sheets'!41:41,"AAAAAFu7a+M=",0)</f>
        <v>0</v>
      </c>
      <c r="HU9" t="e">
        <f>AND('Printable Sheets'!A41,"AAAAAFu7a+Q=")</f>
        <v>#VALUE!</v>
      </c>
      <c r="HV9" t="e">
        <f>AND('Printable Sheets'!B41,"AAAAAFu7a+U=")</f>
        <v>#VALUE!</v>
      </c>
      <c r="HW9" t="e">
        <f>AND('Printable Sheets'!C41,"AAAAAFu7a+Y=")</f>
        <v>#VALUE!</v>
      </c>
      <c r="HX9" t="e">
        <f>AND('Printable Sheets'!D41,"AAAAAFu7a+c=")</f>
        <v>#VALUE!</v>
      </c>
      <c r="HY9" t="e">
        <f>AND('Printable Sheets'!E41,"AAAAAFu7a+g=")</f>
        <v>#VALUE!</v>
      </c>
      <c r="HZ9" t="e">
        <f>AND('Printable Sheets'!F41,"AAAAAFu7a+k=")</f>
        <v>#VALUE!</v>
      </c>
      <c r="IA9" t="e">
        <f>AND('Printable Sheets'!G41,"AAAAAFu7a+o=")</f>
        <v>#VALUE!</v>
      </c>
      <c r="IB9" t="e">
        <f>AND('Printable Sheets'!H41,"AAAAAFu7a+s=")</f>
        <v>#VALUE!</v>
      </c>
      <c r="IC9" t="e">
        <f>AND('Printable Sheets'!I41,"AAAAAFu7a+w=")</f>
        <v>#VALUE!</v>
      </c>
      <c r="ID9" t="e">
        <f>AND('Printable Sheets'!J41,"AAAAAFu7a+0=")</f>
        <v>#VALUE!</v>
      </c>
      <c r="IE9" t="e">
        <f>AND('Printable Sheets'!K41,"AAAAAFu7a+4=")</f>
        <v>#VALUE!</v>
      </c>
      <c r="IF9" t="e">
        <f>AND('Printable Sheets'!L41,"AAAAAFu7a+8=")</f>
        <v>#VALUE!</v>
      </c>
      <c r="IG9" t="e">
        <f>AND('Printable Sheets'!M41,"AAAAAFu7a/A=")</f>
        <v>#VALUE!</v>
      </c>
      <c r="IH9" t="e">
        <f>AND('Printable Sheets'!N41,"AAAAAFu7a/E=")</f>
        <v>#VALUE!</v>
      </c>
      <c r="II9" t="e">
        <f>AND('Printable Sheets'!O41,"AAAAAFu7a/I=")</f>
        <v>#VALUE!</v>
      </c>
      <c r="IJ9" t="e">
        <f>AND('Printable Sheets'!P41,"AAAAAFu7a/M=")</f>
        <v>#VALUE!</v>
      </c>
      <c r="IK9" t="e">
        <f>AND('Printable Sheets'!Q41,"AAAAAFu7a/Q=")</f>
        <v>#VALUE!</v>
      </c>
      <c r="IL9" t="e">
        <f>AND('Printable Sheets'!R41,"AAAAAFu7a/U=")</f>
        <v>#VALUE!</v>
      </c>
      <c r="IM9" t="e">
        <f>AND('Printable Sheets'!S41,"AAAAAFu7a/Y=")</f>
        <v>#VALUE!</v>
      </c>
      <c r="IN9" t="e">
        <f>AND('Printable Sheets'!T41,"AAAAAFu7a/c=")</f>
        <v>#VALUE!</v>
      </c>
      <c r="IO9" t="e">
        <f>AND('Printable Sheets'!U41,"AAAAAFu7a/g=")</f>
        <v>#VALUE!</v>
      </c>
      <c r="IP9" t="e">
        <f>AND('Printable Sheets'!V41,"AAAAAFu7a/k=")</f>
        <v>#VALUE!</v>
      </c>
      <c r="IQ9" t="e">
        <f>AND('Printable Sheets'!W41,"AAAAAFu7a/o=")</f>
        <v>#VALUE!</v>
      </c>
      <c r="IR9" t="e">
        <f>AND('Printable Sheets'!X41,"AAAAAFu7a/s=")</f>
        <v>#VALUE!</v>
      </c>
      <c r="IS9" t="e">
        <f>AND('Printable Sheets'!Y41,"AAAAAFu7a/w=")</f>
        <v>#VALUE!</v>
      </c>
      <c r="IT9" t="e">
        <f>AND('Printable Sheets'!Z41,"AAAAAFu7a/0=")</f>
        <v>#VALUE!</v>
      </c>
      <c r="IU9" t="e">
        <f>AND('Printable Sheets'!AA41,"AAAAAFu7a/4=")</f>
        <v>#VALUE!</v>
      </c>
      <c r="IV9" t="e">
        <f>AND('Printable Sheets'!AB41,"AAAAAFu7a/8=")</f>
        <v>#VALUE!</v>
      </c>
    </row>
    <row r="10" spans="1:256" x14ac:dyDescent="0.2">
      <c r="A10" t="e">
        <f>AND('Printable Sheets'!AC41,"AAAAAH+v3wA=")</f>
        <v>#VALUE!</v>
      </c>
      <c r="B10" t="e">
        <f>AND('Printable Sheets'!AD41,"AAAAAH+v3wE=")</f>
        <v>#VALUE!</v>
      </c>
      <c r="C10">
        <f>IF('Printable Sheets'!42:42,"AAAAAH+v3wI=",0)</f>
        <v>0</v>
      </c>
      <c r="D10" t="e">
        <f>AND('Printable Sheets'!A42,"AAAAAH+v3wM=")</f>
        <v>#VALUE!</v>
      </c>
      <c r="E10" t="e">
        <f>AND('Printable Sheets'!B42,"AAAAAH+v3wQ=")</f>
        <v>#VALUE!</v>
      </c>
      <c r="F10" t="e">
        <f>AND('Printable Sheets'!C42,"AAAAAH+v3wU=")</f>
        <v>#VALUE!</v>
      </c>
      <c r="G10" t="e">
        <f>AND('Printable Sheets'!D42,"AAAAAH+v3wY=")</f>
        <v>#VALUE!</v>
      </c>
      <c r="H10" t="e">
        <f>AND('Printable Sheets'!E42,"AAAAAH+v3wc=")</f>
        <v>#VALUE!</v>
      </c>
      <c r="I10" t="e">
        <f>AND('Printable Sheets'!F42,"AAAAAH+v3wg=")</f>
        <v>#VALUE!</v>
      </c>
      <c r="J10" t="e">
        <f>AND('Printable Sheets'!G42,"AAAAAH+v3wk=")</f>
        <v>#VALUE!</v>
      </c>
      <c r="K10" t="e">
        <f>AND('Printable Sheets'!H42,"AAAAAH+v3wo=")</f>
        <v>#VALUE!</v>
      </c>
      <c r="L10" t="e">
        <f>AND('Printable Sheets'!I42,"AAAAAH+v3ws=")</f>
        <v>#VALUE!</v>
      </c>
      <c r="M10" t="e">
        <f>AND('Printable Sheets'!J42,"AAAAAH+v3ww=")</f>
        <v>#VALUE!</v>
      </c>
      <c r="N10" t="e">
        <f>AND('Printable Sheets'!K42,"AAAAAH+v3w0=")</f>
        <v>#VALUE!</v>
      </c>
      <c r="O10" t="e">
        <f>AND('Printable Sheets'!L42,"AAAAAH+v3w4=")</f>
        <v>#VALUE!</v>
      </c>
      <c r="P10" t="e">
        <f>AND('Printable Sheets'!M42,"AAAAAH+v3w8=")</f>
        <v>#VALUE!</v>
      </c>
      <c r="Q10" t="e">
        <f>AND('Printable Sheets'!N42,"AAAAAH+v3xA=")</f>
        <v>#VALUE!</v>
      </c>
      <c r="R10" t="e">
        <f>AND('Printable Sheets'!O42,"AAAAAH+v3xE=")</f>
        <v>#VALUE!</v>
      </c>
      <c r="S10" t="e">
        <f>AND('Printable Sheets'!P42,"AAAAAH+v3xI=")</f>
        <v>#VALUE!</v>
      </c>
      <c r="T10" t="e">
        <f>AND('Printable Sheets'!Q42,"AAAAAH+v3xM=")</f>
        <v>#VALUE!</v>
      </c>
      <c r="U10" t="e">
        <f>AND('Printable Sheets'!R42,"AAAAAH+v3xQ=")</f>
        <v>#VALUE!</v>
      </c>
      <c r="V10" t="e">
        <f>AND('Printable Sheets'!S42,"AAAAAH+v3xU=")</f>
        <v>#VALUE!</v>
      </c>
      <c r="W10" t="e">
        <f>AND('Printable Sheets'!T42,"AAAAAH+v3xY=")</f>
        <v>#VALUE!</v>
      </c>
      <c r="X10" t="e">
        <f>AND('Printable Sheets'!U42,"AAAAAH+v3xc=")</f>
        <v>#VALUE!</v>
      </c>
      <c r="Y10" t="e">
        <f>AND('Printable Sheets'!V42,"AAAAAH+v3xg=")</f>
        <v>#VALUE!</v>
      </c>
      <c r="Z10" t="e">
        <f>AND('Printable Sheets'!W42,"AAAAAH+v3xk=")</f>
        <v>#VALUE!</v>
      </c>
      <c r="AA10" t="e">
        <f>AND('Printable Sheets'!X42,"AAAAAH+v3xo=")</f>
        <v>#VALUE!</v>
      </c>
      <c r="AB10" t="e">
        <f>AND('Printable Sheets'!Y42,"AAAAAH+v3xs=")</f>
        <v>#VALUE!</v>
      </c>
      <c r="AC10" t="e">
        <f>AND('Printable Sheets'!Z42,"AAAAAH+v3xw=")</f>
        <v>#VALUE!</v>
      </c>
      <c r="AD10" t="e">
        <f>AND('Printable Sheets'!AA42,"AAAAAH+v3x0=")</f>
        <v>#VALUE!</v>
      </c>
      <c r="AE10" t="e">
        <f>AND('Printable Sheets'!AB42,"AAAAAH+v3x4=")</f>
        <v>#VALUE!</v>
      </c>
      <c r="AF10" t="e">
        <f>AND('Printable Sheets'!AC42,"AAAAAH+v3x8=")</f>
        <v>#VALUE!</v>
      </c>
      <c r="AG10" t="e">
        <f>AND('Printable Sheets'!AD42,"AAAAAH+v3yA=")</f>
        <v>#VALUE!</v>
      </c>
      <c r="AH10">
        <f>IF('Printable Sheets'!43:43,"AAAAAH+v3yE=",0)</f>
        <v>0</v>
      </c>
      <c r="AI10" t="e">
        <f>AND('Printable Sheets'!A43,"AAAAAH+v3yI=")</f>
        <v>#VALUE!</v>
      </c>
      <c r="AJ10" t="e">
        <f>AND('Printable Sheets'!B43,"AAAAAH+v3yM=")</f>
        <v>#VALUE!</v>
      </c>
      <c r="AK10" t="e">
        <f>AND('Printable Sheets'!C43,"AAAAAH+v3yQ=")</f>
        <v>#VALUE!</v>
      </c>
      <c r="AL10" t="e">
        <f>AND('Printable Sheets'!D43,"AAAAAH+v3yU=")</f>
        <v>#VALUE!</v>
      </c>
      <c r="AM10" t="e">
        <f>AND('Printable Sheets'!E43,"AAAAAH+v3yY=")</f>
        <v>#VALUE!</v>
      </c>
      <c r="AN10" t="e">
        <f>AND('Printable Sheets'!F43,"AAAAAH+v3yc=")</f>
        <v>#VALUE!</v>
      </c>
      <c r="AO10" t="e">
        <f>AND('Printable Sheets'!G43,"AAAAAH+v3yg=")</f>
        <v>#VALUE!</v>
      </c>
      <c r="AP10" t="e">
        <f>AND('Printable Sheets'!H43,"AAAAAH+v3yk=")</f>
        <v>#VALUE!</v>
      </c>
      <c r="AQ10" t="e">
        <f>AND('Printable Sheets'!I43,"AAAAAH+v3yo=")</f>
        <v>#VALUE!</v>
      </c>
      <c r="AR10" t="e">
        <f>AND('Printable Sheets'!J43,"AAAAAH+v3ys=")</f>
        <v>#VALUE!</v>
      </c>
      <c r="AS10" t="e">
        <f>AND('Printable Sheets'!K43,"AAAAAH+v3yw=")</f>
        <v>#VALUE!</v>
      </c>
      <c r="AT10" t="e">
        <f>AND('Printable Sheets'!L43,"AAAAAH+v3y0=")</f>
        <v>#VALUE!</v>
      </c>
      <c r="AU10" t="e">
        <f>AND('Printable Sheets'!M43,"AAAAAH+v3y4=")</f>
        <v>#VALUE!</v>
      </c>
      <c r="AV10" t="e">
        <f>AND('Printable Sheets'!N43,"AAAAAH+v3y8=")</f>
        <v>#VALUE!</v>
      </c>
      <c r="AW10" t="e">
        <f>AND('Printable Sheets'!O43,"AAAAAH+v3zA=")</f>
        <v>#VALUE!</v>
      </c>
      <c r="AX10" t="e">
        <f>AND('Printable Sheets'!P43,"AAAAAH+v3zE=")</f>
        <v>#VALUE!</v>
      </c>
      <c r="AY10" t="e">
        <f>AND('Printable Sheets'!Q43,"AAAAAH+v3zI=")</f>
        <v>#VALUE!</v>
      </c>
      <c r="AZ10" t="e">
        <f>AND('Printable Sheets'!R43,"AAAAAH+v3zM=")</f>
        <v>#VALUE!</v>
      </c>
      <c r="BA10" t="e">
        <f>AND('Printable Sheets'!S43,"AAAAAH+v3zQ=")</f>
        <v>#VALUE!</v>
      </c>
      <c r="BB10" t="e">
        <f>AND('Printable Sheets'!T43,"AAAAAH+v3zU=")</f>
        <v>#VALUE!</v>
      </c>
      <c r="BC10" t="e">
        <f>AND('Printable Sheets'!U43,"AAAAAH+v3zY=")</f>
        <v>#VALUE!</v>
      </c>
      <c r="BD10" t="e">
        <f>AND('Printable Sheets'!V43,"AAAAAH+v3zc=")</f>
        <v>#VALUE!</v>
      </c>
      <c r="BE10" t="e">
        <f>AND('Printable Sheets'!W43,"AAAAAH+v3zg=")</f>
        <v>#VALUE!</v>
      </c>
      <c r="BF10" t="e">
        <f>AND('Printable Sheets'!X43,"AAAAAH+v3zk=")</f>
        <v>#VALUE!</v>
      </c>
      <c r="BG10" t="e">
        <f>AND('Printable Sheets'!Y43,"AAAAAH+v3zo=")</f>
        <v>#VALUE!</v>
      </c>
      <c r="BH10" t="e">
        <f>AND('Printable Sheets'!Z43,"AAAAAH+v3zs=")</f>
        <v>#VALUE!</v>
      </c>
      <c r="BI10" t="e">
        <f>AND('Printable Sheets'!AA43,"AAAAAH+v3zw=")</f>
        <v>#VALUE!</v>
      </c>
      <c r="BJ10" t="e">
        <f>AND('Printable Sheets'!AB43,"AAAAAH+v3z0=")</f>
        <v>#VALUE!</v>
      </c>
      <c r="BK10" t="e">
        <f>AND('Printable Sheets'!AC43,"AAAAAH+v3z4=")</f>
        <v>#VALUE!</v>
      </c>
      <c r="BL10" t="e">
        <f>AND('Printable Sheets'!AD43,"AAAAAH+v3z8=")</f>
        <v>#VALUE!</v>
      </c>
      <c r="BM10">
        <f>IF('Printable Sheets'!44:44,"AAAAAH+v30A=",0)</f>
        <v>0</v>
      </c>
      <c r="BN10" t="e">
        <f>AND('Printable Sheets'!A44,"AAAAAH+v30E=")</f>
        <v>#VALUE!</v>
      </c>
      <c r="BO10" t="e">
        <f>AND('Printable Sheets'!B44,"AAAAAH+v30I=")</f>
        <v>#VALUE!</v>
      </c>
      <c r="BP10" t="e">
        <f>AND('Printable Sheets'!C44,"AAAAAH+v30M=")</f>
        <v>#VALUE!</v>
      </c>
      <c r="BQ10" t="e">
        <f>AND('Printable Sheets'!D44,"AAAAAH+v30Q=")</f>
        <v>#VALUE!</v>
      </c>
      <c r="BR10" t="e">
        <f>AND('Printable Sheets'!E44,"AAAAAH+v30U=")</f>
        <v>#VALUE!</v>
      </c>
      <c r="BS10" t="e">
        <f>AND('Printable Sheets'!F44,"AAAAAH+v30Y=")</f>
        <v>#VALUE!</v>
      </c>
      <c r="BT10" t="e">
        <f>AND('Printable Sheets'!G44,"AAAAAH+v30c=")</f>
        <v>#VALUE!</v>
      </c>
      <c r="BU10" t="e">
        <f>AND('Printable Sheets'!H44,"AAAAAH+v30g=")</f>
        <v>#VALUE!</v>
      </c>
      <c r="BV10" t="e">
        <f>AND('Printable Sheets'!I44,"AAAAAH+v30k=")</f>
        <v>#VALUE!</v>
      </c>
      <c r="BW10" t="e">
        <f>AND('Printable Sheets'!J44,"AAAAAH+v30o=")</f>
        <v>#VALUE!</v>
      </c>
      <c r="BX10" t="e">
        <f>AND('Printable Sheets'!K44,"AAAAAH+v30s=")</f>
        <v>#VALUE!</v>
      </c>
      <c r="BY10" t="e">
        <f>AND('Printable Sheets'!L44,"AAAAAH+v30w=")</f>
        <v>#VALUE!</v>
      </c>
      <c r="BZ10" t="e">
        <f>AND('Printable Sheets'!M44,"AAAAAH+v300=")</f>
        <v>#VALUE!</v>
      </c>
      <c r="CA10" t="e">
        <f>AND('Printable Sheets'!N44,"AAAAAH+v304=")</f>
        <v>#VALUE!</v>
      </c>
      <c r="CB10" t="e">
        <f>AND('Printable Sheets'!O44,"AAAAAH+v308=")</f>
        <v>#VALUE!</v>
      </c>
      <c r="CC10" t="e">
        <f>AND('Printable Sheets'!P44,"AAAAAH+v31A=")</f>
        <v>#VALUE!</v>
      </c>
      <c r="CD10" t="e">
        <f>AND('Printable Sheets'!Q44,"AAAAAH+v31E=")</f>
        <v>#VALUE!</v>
      </c>
      <c r="CE10" t="e">
        <f>AND('Printable Sheets'!R44,"AAAAAH+v31I=")</f>
        <v>#VALUE!</v>
      </c>
      <c r="CF10" t="e">
        <f>AND('Printable Sheets'!S44,"AAAAAH+v31M=")</f>
        <v>#VALUE!</v>
      </c>
      <c r="CG10" t="e">
        <f>AND('Printable Sheets'!T44,"AAAAAH+v31Q=")</f>
        <v>#VALUE!</v>
      </c>
      <c r="CH10" t="e">
        <f>AND('Printable Sheets'!U44,"AAAAAH+v31U=")</f>
        <v>#VALUE!</v>
      </c>
      <c r="CI10" t="e">
        <f>AND('Printable Sheets'!V44,"AAAAAH+v31Y=")</f>
        <v>#VALUE!</v>
      </c>
      <c r="CJ10" t="e">
        <f>AND('Printable Sheets'!W44,"AAAAAH+v31c=")</f>
        <v>#VALUE!</v>
      </c>
      <c r="CK10" t="e">
        <f>AND('Printable Sheets'!X44,"AAAAAH+v31g=")</f>
        <v>#VALUE!</v>
      </c>
      <c r="CL10" t="e">
        <f>AND('Printable Sheets'!Y44,"AAAAAH+v31k=")</f>
        <v>#VALUE!</v>
      </c>
      <c r="CM10" t="e">
        <f>AND('Printable Sheets'!Z44,"AAAAAH+v31o=")</f>
        <v>#VALUE!</v>
      </c>
      <c r="CN10" t="e">
        <f>AND('Printable Sheets'!AA44,"AAAAAH+v31s=")</f>
        <v>#VALUE!</v>
      </c>
      <c r="CO10" t="e">
        <f>AND('Printable Sheets'!AB44,"AAAAAH+v31w=")</f>
        <v>#VALUE!</v>
      </c>
      <c r="CP10" t="e">
        <f>AND('Printable Sheets'!AC44,"AAAAAH+v310=")</f>
        <v>#VALUE!</v>
      </c>
      <c r="CQ10" t="e">
        <f>AND('Printable Sheets'!AD44,"AAAAAH+v314=")</f>
        <v>#VALUE!</v>
      </c>
      <c r="CR10">
        <f>IF('Printable Sheets'!45:45,"AAAAAH+v318=",0)</f>
        <v>0</v>
      </c>
      <c r="CS10" t="e">
        <f>AND('Printable Sheets'!A45,"AAAAAH+v32A=")</f>
        <v>#VALUE!</v>
      </c>
      <c r="CT10" t="e">
        <f>AND('Printable Sheets'!B45,"AAAAAH+v32E=")</f>
        <v>#VALUE!</v>
      </c>
      <c r="CU10" t="e">
        <f>AND('Printable Sheets'!C45,"AAAAAH+v32I=")</f>
        <v>#VALUE!</v>
      </c>
      <c r="CV10" t="e">
        <f>AND('Printable Sheets'!D45,"AAAAAH+v32M=")</f>
        <v>#VALUE!</v>
      </c>
      <c r="CW10" t="e">
        <f>AND('Printable Sheets'!E45,"AAAAAH+v32Q=")</f>
        <v>#VALUE!</v>
      </c>
      <c r="CX10" t="e">
        <f>AND('Printable Sheets'!F45,"AAAAAH+v32U=")</f>
        <v>#VALUE!</v>
      </c>
      <c r="CY10" t="e">
        <f>AND('Printable Sheets'!G45,"AAAAAH+v32Y=")</f>
        <v>#VALUE!</v>
      </c>
      <c r="CZ10" t="e">
        <f>AND('Printable Sheets'!H45,"AAAAAH+v32c=")</f>
        <v>#VALUE!</v>
      </c>
      <c r="DA10" t="e">
        <f>AND('Printable Sheets'!I45,"AAAAAH+v32g=")</f>
        <v>#VALUE!</v>
      </c>
      <c r="DB10" t="e">
        <f>AND('Printable Sheets'!J45,"AAAAAH+v32k=")</f>
        <v>#VALUE!</v>
      </c>
      <c r="DC10" t="e">
        <f>AND('Printable Sheets'!K45,"AAAAAH+v32o=")</f>
        <v>#VALUE!</v>
      </c>
      <c r="DD10" t="e">
        <f>AND('Printable Sheets'!L45,"AAAAAH+v32s=")</f>
        <v>#VALUE!</v>
      </c>
      <c r="DE10" t="e">
        <f>AND('Printable Sheets'!M45,"AAAAAH+v32w=")</f>
        <v>#VALUE!</v>
      </c>
      <c r="DF10" t="e">
        <f>AND('Printable Sheets'!N45,"AAAAAH+v320=")</f>
        <v>#VALUE!</v>
      </c>
      <c r="DG10" t="e">
        <f>AND('Printable Sheets'!O45,"AAAAAH+v324=")</f>
        <v>#VALUE!</v>
      </c>
      <c r="DH10" t="e">
        <f>AND('Printable Sheets'!P45,"AAAAAH+v328=")</f>
        <v>#VALUE!</v>
      </c>
      <c r="DI10" t="e">
        <f>AND('Printable Sheets'!Q45,"AAAAAH+v33A=")</f>
        <v>#VALUE!</v>
      </c>
      <c r="DJ10" t="e">
        <f>AND('Printable Sheets'!R45,"AAAAAH+v33E=")</f>
        <v>#VALUE!</v>
      </c>
      <c r="DK10" t="e">
        <f>AND('Printable Sheets'!S45,"AAAAAH+v33I=")</f>
        <v>#VALUE!</v>
      </c>
      <c r="DL10" t="e">
        <f>AND('Printable Sheets'!T45,"AAAAAH+v33M=")</f>
        <v>#VALUE!</v>
      </c>
      <c r="DM10" t="e">
        <f>AND('Printable Sheets'!U45,"AAAAAH+v33Q=")</f>
        <v>#VALUE!</v>
      </c>
      <c r="DN10" t="e">
        <f>AND('Printable Sheets'!V45,"AAAAAH+v33U=")</f>
        <v>#VALUE!</v>
      </c>
      <c r="DO10" t="e">
        <f>AND('Printable Sheets'!W45,"AAAAAH+v33Y=")</f>
        <v>#VALUE!</v>
      </c>
      <c r="DP10" t="e">
        <f>AND('Printable Sheets'!X45,"AAAAAH+v33c=")</f>
        <v>#VALUE!</v>
      </c>
      <c r="DQ10" t="e">
        <f>AND('Printable Sheets'!Y45,"AAAAAH+v33g=")</f>
        <v>#VALUE!</v>
      </c>
      <c r="DR10" t="e">
        <f>AND('Printable Sheets'!Z45,"AAAAAH+v33k=")</f>
        <v>#VALUE!</v>
      </c>
      <c r="DS10" t="e">
        <f>AND('Printable Sheets'!AA45,"AAAAAH+v33o=")</f>
        <v>#VALUE!</v>
      </c>
      <c r="DT10" t="e">
        <f>AND('Printable Sheets'!AB45,"AAAAAH+v33s=")</f>
        <v>#VALUE!</v>
      </c>
      <c r="DU10" t="e">
        <f>AND('Printable Sheets'!AC45,"AAAAAH+v33w=")</f>
        <v>#VALUE!</v>
      </c>
      <c r="DV10" t="e">
        <f>AND('Printable Sheets'!AD45,"AAAAAH+v330=")</f>
        <v>#VALUE!</v>
      </c>
      <c r="DW10">
        <f>IF('Printable Sheets'!46:46,"AAAAAH+v334=",0)</f>
        <v>0</v>
      </c>
      <c r="DX10" t="e">
        <f>AND('Printable Sheets'!A46,"AAAAAH+v338=")</f>
        <v>#VALUE!</v>
      </c>
      <c r="DY10" t="e">
        <f>AND('Printable Sheets'!B46,"AAAAAH+v34A=")</f>
        <v>#VALUE!</v>
      </c>
      <c r="DZ10" t="e">
        <f>AND('Printable Sheets'!C46,"AAAAAH+v34E=")</f>
        <v>#VALUE!</v>
      </c>
      <c r="EA10" t="e">
        <f>AND('Printable Sheets'!D46,"AAAAAH+v34I=")</f>
        <v>#VALUE!</v>
      </c>
      <c r="EB10" t="e">
        <f>AND('Printable Sheets'!E46,"AAAAAH+v34M=")</f>
        <v>#VALUE!</v>
      </c>
      <c r="EC10" t="e">
        <f>AND('Printable Sheets'!F46,"AAAAAH+v34Q=")</f>
        <v>#VALUE!</v>
      </c>
      <c r="ED10" t="e">
        <f>AND('Printable Sheets'!G46,"AAAAAH+v34U=")</f>
        <v>#VALUE!</v>
      </c>
      <c r="EE10" t="e">
        <f>AND('Printable Sheets'!H46,"AAAAAH+v34Y=")</f>
        <v>#VALUE!</v>
      </c>
      <c r="EF10" t="e">
        <f>AND('Printable Sheets'!I46,"AAAAAH+v34c=")</f>
        <v>#VALUE!</v>
      </c>
      <c r="EG10" t="e">
        <f>AND('Printable Sheets'!J46,"AAAAAH+v34g=")</f>
        <v>#VALUE!</v>
      </c>
      <c r="EH10" t="e">
        <f>AND('Printable Sheets'!K46,"AAAAAH+v34k=")</f>
        <v>#VALUE!</v>
      </c>
      <c r="EI10" t="e">
        <f>AND('Printable Sheets'!L46,"AAAAAH+v34o=")</f>
        <v>#VALUE!</v>
      </c>
      <c r="EJ10" t="e">
        <f>AND('Printable Sheets'!M46,"AAAAAH+v34s=")</f>
        <v>#VALUE!</v>
      </c>
      <c r="EK10" t="e">
        <f>AND('Printable Sheets'!N46,"AAAAAH+v34w=")</f>
        <v>#VALUE!</v>
      </c>
      <c r="EL10" t="e">
        <f>AND('Printable Sheets'!O46,"AAAAAH+v340=")</f>
        <v>#VALUE!</v>
      </c>
      <c r="EM10" t="e">
        <f>AND('Printable Sheets'!P46,"AAAAAH+v344=")</f>
        <v>#VALUE!</v>
      </c>
      <c r="EN10" t="e">
        <f>AND('Printable Sheets'!Q46,"AAAAAH+v348=")</f>
        <v>#VALUE!</v>
      </c>
      <c r="EO10" t="e">
        <f>AND('Printable Sheets'!R46,"AAAAAH+v35A=")</f>
        <v>#VALUE!</v>
      </c>
      <c r="EP10" t="e">
        <f>AND('Printable Sheets'!S46,"AAAAAH+v35E=")</f>
        <v>#VALUE!</v>
      </c>
      <c r="EQ10" t="e">
        <f>AND('Printable Sheets'!T46,"AAAAAH+v35I=")</f>
        <v>#VALUE!</v>
      </c>
      <c r="ER10" t="e">
        <f>AND('Printable Sheets'!U46,"AAAAAH+v35M=")</f>
        <v>#VALUE!</v>
      </c>
      <c r="ES10" t="e">
        <f>AND('Printable Sheets'!V46,"AAAAAH+v35Q=")</f>
        <v>#VALUE!</v>
      </c>
      <c r="ET10" t="e">
        <f>AND('Printable Sheets'!W46,"AAAAAH+v35U=")</f>
        <v>#VALUE!</v>
      </c>
      <c r="EU10" t="e">
        <f>AND('Printable Sheets'!X46,"AAAAAH+v35Y=")</f>
        <v>#VALUE!</v>
      </c>
      <c r="EV10" t="e">
        <f>AND('Printable Sheets'!Y46,"AAAAAH+v35c=")</f>
        <v>#VALUE!</v>
      </c>
      <c r="EW10" t="e">
        <f>AND('Printable Sheets'!Z46,"AAAAAH+v35g=")</f>
        <v>#VALUE!</v>
      </c>
      <c r="EX10" t="e">
        <f>AND('Printable Sheets'!AA46,"AAAAAH+v35k=")</f>
        <v>#VALUE!</v>
      </c>
      <c r="EY10" t="e">
        <f>AND('Printable Sheets'!AB46,"AAAAAH+v35o=")</f>
        <v>#VALUE!</v>
      </c>
      <c r="EZ10" t="e">
        <f>AND('Printable Sheets'!AC46,"AAAAAH+v35s=")</f>
        <v>#VALUE!</v>
      </c>
      <c r="FA10" t="e">
        <f>AND('Printable Sheets'!AD46,"AAAAAH+v35w=")</f>
        <v>#VALUE!</v>
      </c>
      <c r="FB10">
        <f>IF('Printable Sheets'!47:47,"AAAAAH+v350=",0)</f>
        <v>0</v>
      </c>
      <c r="FC10" t="e">
        <f>AND('Printable Sheets'!A47,"AAAAAH+v354=")</f>
        <v>#VALUE!</v>
      </c>
      <c r="FD10" t="e">
        <f>AND('Printable Sheets'!B47,"AAAAAH+v358=")</f>
        <v>#VALUE!</v>
      </c>
      <c r="FE10" t="e">
        <f>AND('Printable Sheets'!C47,"AAAAAH+v36A=")</f>
        <v>#VALUE!</v>
      </c>
      <c r="FF10" t="e">
        <f>AND('Printable Sheets'!D47,"AAAAAH+v36E=")</f>
        <v>#VALUE!</v>
      </c>
      <c r="FG10" t="e">
        <f>AND('Printable Sheets'!E47,"AAAAAH+v36I=")</f>
        <v>#VALUE!</v>
      </c>
      <c r="FH10" t="e">
        <f>AND('Printable Sheets'!F47,"AAAAAH+v36M=")</f>
        <v>#VALUE!</v>
      </c>
      <c r="FI10" t="e">
        <f>AND('Printable Sheets'!G47,"AAAAAH+v36Q=")</f>
        <v>#VALUE!</v>
      </c>
      <c r="FJ10" t="e">
        <f>AND('Printable Sheets'!H47,"AAAAAH+v36U=")</f>
        <v>#VALUE!</v>
      </c>
      <c r="FK10" t="e">
        <f>AND('Printable Sheets'!I47,"AAAAAH+v36Y=")</f>
        <v>#VALUE!</v>
      </c>
      <c r="FL10" t="e">
        <f>AND('Printable Sheets'!J47,"AAAAAH+v36c=")</f>
        <v>#VALUE!</v>
      </c>
      <c r="FM10" t="e">
        <f>AND('Printable Sheets'!K47,"AAAAAH+v36g=")</f>
        <v>#VALUE!</v>
      </c>
      <c r="FN10" t="e">
        <f>AND('Printable Sheets'!L47,"AAAAAH+v36k=")</f>
        <v>#VALUE!</v>
      </c>
      <c r="FO10" t="e">
        <f>AND('Printable Sheets'!M47,"AAAAAH+v36o=")</f>
        <v>#VALUE!</v>
      </c>
      <c r="FP10" t="e">
        <f>AND('Printable Sheets'!N47,"AAAAAH+v36s=")</f>
        <v>#VALUE!</v>
      </c>
      <c r="FQ10" t="e">
        <f>AND('Printable Sheets'!O47,"AAAAAH+v36w=")</f>
        <v>#VALUE!</v>
      </c>
      <c r="FR10" t="e">
        <f>AND('Printable Sheets'!P47,"AAAAAH+v360=")</f>
        <v>#VALUE!</v>
      </c>
      <c r="FS10" t="e">
        <f>AND('Printable Sheets'!Q47,"AAAAAH+v364=")</f>
        <v>#VALUE!</v>
      </c>
      <c r="FT10" t="e">
        <f>AND('Printable Sheets'!R47,"AAAAAH+v368=")</f>
        <v>#VALUE!</v>
      </c>
      <c r="FU10" t="e">
        <f>AND('Printable Sheets'!S47,"AAAAAH+v37A=")</f>
        <v>#VALUE!</v>
      </c>
      <c r="FV10" t="e">
        <f>AND('Printable Sheets'!T47,"AAAAAH+v37E=")</f>
        <v>#VALUE!</v>
      </c>
      <c r="FW10" t="e">
        <f>AND('Printable Sheets'!U47,"AAAAAH+v37I=")</f>
        <v>#VALUE!</v>
      </c>
      <c r="FX10" t="e">
        <f>AND('Printable Sheets'!V47,"AAAAAH+v37M=")</f>
        <v>#VALUE!</v>
      </c>
      <c r="FY10" t="e">
        <f>AND('Printable Sheets'!W47,"AAAAAH+v37Q=")</f>
        <v>#VALUE!</v>
      </c>
      <c r="FZ10" t="e">
        <f>AND('Printable Sheets'!X47,"AAAAAH+v37U=")</f>
        <v>#VALUE!</v>
      </c>
      <c r="GA10" t="e">
        <f>AND('Printable Sheets'!Y47,"AAAAAH+v37Y=")</f>
        <v>#VALUE!</v>
      </c>
      <c r="GB10" t="e">
        <f>AND('Printable Sheets'!Z47,"AAAAAH+v37c=")</f>
        <v>#VALUE!</v>
      </c>
      <c r="GC10" t="e">
        <f>AND('Printable Sheets'!AA47,"AAAAAH+v37g=")</f>
        <v>#VALUE!</v>
      </c>
      <c r="GD10" t="e">
        <f>AND('Printable Sheets'!AB47,"AAAAAH+v37k=")</f>
        <v>#VALUE!</v>
      </c>
      <c r="GE10" t="e">
        <f>AND('Printable Sheets'!AC47,"AAAAAH+v37o=")</f>
        <v>#VALUE!</v>
      </c>
      <c r="GF10" t="e">
        <f>AND('Printable Sheets'!AD47,"AAAAAH+v37s=")</f>
        <v>#VALUE!</v>
      </c>
      <c r="GG10">
        <f>IF('Printable Sheets'!48:48,"AAAAAH+v37w=",0)</f>
        <v>0</v>
      </c>
      <c r="GH10" t="e">
        <f>AND('Printable Sheets'!A48,"AAAAAH+v370=")</f>
        <v>#VALUE!</v>
      </c>
      <c r="GI10" t="e">
        <f>AND('Printable Sheets'!B48,"AAAAAH+v374=")</f>
        <v>#VALUE!</v>
      </c>
      <c r="GJ10" t="e">
        <f>AND('Printable Sheets'!C48,"AAAAAH+v378=")</f>
        <v>#VALUE!</v>
      </c>
      <c r="GK10" t="e">
        <f>AND('Printable Sheets'!D48,"AAAAAH+v38A=")</f>
        <v>#VALUE!</v>
      </c>
      <c r="GL10" t="e">
        <f>AND('Printable Sheets'!E48,"AAAAAH+v38E=")</f>
        <v>#VALUE!</v>
      </c>
      <c r="GM10" t="e">
        <f>AND('Printable Sheets'!F48,"AAAAAH+v38I=")</f>
        <v>#VALUE!</v>
      </c>
      <c r="GN10" t="e">
        <f>AND('Printable Sheets'!G48,"AAAAAH+v38M=")</f>
        <v>#VALUE!</v>
      </c>
      <c r="GO10" t="e">
        <f>AND('Printable Sheets'!H48,"AAAAAH+v38Q=")</f>
        <v>#VALUE!</v>
      </c>
      <c r="GP10" t="e">
        <f>AND('Printable Sheets'!I48,"AAAAAH+v38U=")</f>
        <v>#VALUE!</v>
      </c>
      <c r="GQ10" t="e">
        <f>AND('Printable Sheets'!J48,"AAAAAH+v38Y=")</f>
        <v>#VALUE!</v>
      </c>
      <c r="GR10" t="e">
        <f>AND('Printable Sheets'!K48,"AAAAAH+v38c=")</f>
        <v>#VALUE!</v>
      </c>
      <c r="GS10" t="e">
        <f>AND('Printable Sheets'!L48,"AAAAAH+v38g=")</f>
        <v>#VALUE!</v>
      </c>
      <c r="GT10" t="e">
        <f>AND('Printable Sheets'!M48,"AAAAAH+v38k=")</f>
        <v>#VALUE!</v>
      </c>
      <c r="GU10" t="e">
        <f>AND('Printable Sheets'!N48,"AAAAAH+v38o=")</f>
        <v>#VALUE!</v>
      </c>
      <c r="GV10" t="e">
        <f>AND('Printable Sheets'!O48,"AAAAAH+v38s=")</f>
        <v>#VALUE!</v>
      </c>
      <c r="GW10" t="e">
        <f>AND('Printable Sheets'!P48,"AAAAAH+v38w=")</f>
        <v>#VALUE!</v>
      </c>
      <c r="GX10" t="e">
        <f>AND('Printable Sheets'!Q48,"AAAAAH+v380=")</f>
        <v>#VALUE!</v>
      </c>
      <c r="GY10" t="e">
        <f>AND('Printable Sheets'!R48,"AAAAAH+v384=")</f>
        <v>#VALUE!</v>
      </c>
      <c r="GZ10" t="e">
        <f>AND('Printable Sheets'!S48,"AAAAAH+v388=")</f>
        <v>#VALUE!</v>
      </c>
      <c r="HA10" t="e">
        <f>AND('Printable Sheets'!T48,"AAAAAH+v39A=")</f>
        <v>#VALUE!</v>
      </c>
      <c r="HB10" t="e">
        <f>AND('Printable Sheets'!U48,"AAAAAH+v39E=")</f>
        <v>#VALUE!</v>
      </c>
      <c r="HC10" t="e">
        <f>AND('Printable Sheets'!V48,"AAAAAH+v39I=")</f>
        <v>#VALUE!</v>
      </c>
      <c r="HD10" t="e">
        <f>AND('Printable Sheets'!W48,"AAAAAH+v39M=")</f>
        <v>#VALUE!</v>
      </c>
      <c r="HE10" t="e">
        <f>AND('Printable Sheets'!X48,"AAAAAH+v39Q=")</f>
        <v>#VALUE!</v>
      </c>
      <c r="HF10" t="e">
        <f>AND('Printable Sheets'!Y48,"AAAAAH+v39U=")</f>
        <v>#VALUE!</v>
      </c>
      <c r="HG10" t="e">
        <f>AND('Printable Sheets'!Z48,"AAAAAH+v39Y=")</f>
        <v>#VALUE!</v>
      </c>
      <c r="HH10" t="e">
        <f>AND('Printable Sheets'!AA48,"AAAAAH+v39c=")</f>
        <v>#VALUE!</v>
      </c>
      <c r="HI10" t="e">
        <f>AND('Printable Sheets'!AB48,"AAAAAH+v39g=")</f>
        <v>#VALUE!</v>
      </c>
      <c r="HJ10" t="e">
        <f>AND('Printable Sheets'!AC48,"AAAAAH+v39k=")</f>
        <v>#VALUE!</v>
      </c>
      <c r="HK10" t="e">
        <f>AND('Printable Sheets'!AD48,"AAAAAH+v39o=")</f>
        <v>#VALUE!</v>
      </c>
      <c r="HL10">
        <f>IF('Printable Sheets'!49:49,"AAAAAH+v39s=",0)</f>
        <v>0</v>
      </c>
      <c r="HM10" t="e">
        <f>AND('Printable Sheets'!A49,"AAAAAH+v39w=")</f>
        <v>#VALUE!</v>
      </c>
      <c r="HN10" t="e">
        <f>AND('Printable Sheets'!B49,"AAAAAH+v390=")</f>
        <v>#VALUE!</v>
      </c>
      <c r="HO10" t="e">
        <f>AND('Printable Sheets'!C49,"AAAAAH+v394=")</f>
        <v>#VALUE!</v>
      </c>
      <c r="HP10" t="e">
        <f>AND('Printable Sheets'!D49,"AAAAAH+v398=")</f>
        <v>#VALUE!</v>
      </c>
      <c r="HQ10" t="e">
        <f>AND('Printable Sheets'!E49,"AAAAAH+v3+A=")</f>
        <v>#VALUE!</v>
      </c>
      <c r="HR10" t="e">
        <f>AND('Printable Sheets'!F49,"AAAAAH+v3+E=")</f>
        <v>#VALUE!</v>
      </c>
      <c r="HS10" t="e">
        <f>AND('Printable Sheets'!G49,"AAAAAH+v3+I=")</f>
        <v>#VALUE!</v>
      </c>
      <c r="HT10" t="e">
        <f>AND('Printable Sheets'!H49,"AAAAAH+v3+M=")</f>
        <v>#VALUE!</v>
      </c>
      <c r="HU10" t="e">
        <f>AND('Printable Sheets'!I49,"AAAAAH+v3+Q=")</f>
        <v>#VALUE!</v>
      </c>
      <c r="HV10" t="e">
        <f>AND('Printable Sheets'!J49,"AAAAAH+v3+U=")</f>
        <v>#VALUE!</v>
      </c>
      <c r="HW10" t="e">
        <f>AND('Printable Sheets'!K49,"AAAAAH+v3+Y=")</f>
        <v>#VALUE!</v>
      </c>
      <c r="HX10" t="e">
        <f>AND('Printable Sheets'!L49,"AAAAAH+v3+c=")</f>
        <v>#VALUE!</v>
      </c>
      <c r="HY10" t="e">
        <f>AND('Printable Sheets'!M49,"AAAAAH+v3+g=")</f>
        <v>#VALUE!</v>
      </c>
      <c r="HZ10" t="e">
        <f>AND('Printable Sheets'!N49,"AAAAAH+v3+k=")</f>
        <v>#VALUE!</v>
      </c>
      <c r="IA10" t="e">
        <f>AND('Printable Sheets'!O49,"AAAAAH+v3+o=")</f>
        <v>#VALUE!</v>
      </c>
      <c r="IB10" t="e">
        <f>AND('Printable Sheets'!P49,"AAAAAH+v3+s=")</f>
        <v>#VALUE!</v>
      </c>
      <c r="IC10" t="e">
        <f>AND('Printable Sheets'!Q49,"AAAAAH+v3+w=")</f>
        <v>#VALUE!</v>
      </c>
      <c r="ID10" t="e">
        <f>AND('Printable Sheets'!R49,"AAAAAH+v3+0=")</f>
        <v>#VALUE!</v>
      </c>
      <c r="IE10" t="e">
        <f>AND('Printable Sheets'!S49,"AAAAAH+v3+4=")</f>
        <v>#VALUE!</v>
      </c>
      <c r="IF10" t="e">
        <f>AND('Printable Sheets'!T49,"AAAAAH+v3+8=")</f>
        <v>#VALUE!</v>
      </c>
      <c r="IG10" t="e">
        <f>AND('Printable Sheets'!U49,"AAAAAH+v3/A=")</f>
        <v>#VALUE!</v>
      </c>
      <c r="IH10" t="e">
        <f>AND('Printable Sheets'!V49,"AAAAAH+v3/E=")</f>
        <v>#VALUE!</v>
      </c>
      <c r="II10" t="e">
        <f>AND('Printable Sheets'!W49,"AAAAAH+v3/I=")</f>
        <v>#VALUE!</v>
      </c>
      <c r="IJ10" t="e">
        <f>AND('Printable Sheets'!X49,"AAAAAH+v3/M=")</f>
        <v>#VALUE!</v>
      </c>
      <c r="IK10" t="e">
        <f>AND('Printable Sheets'!Y49,"AAAAAH+v3/Q=")</f>
        <v>#VALUE!</v>
      </c>
      <c r="IL10" t="e">
        <f>AND('Printable Sheets'!Z49,"AAAAAH+v3/U=")</f>
        <v>#VALUE!</v>
      </c>
      <c r="IM10" t="e">
        <f>AND('Printable Sheets'!AA49,"AAAAAH+v3/Y=")</f>
        <v>#VALUE!</v>
      </c>
      <c r="IN10" t="e">
        <f>AND('Printable Sheets'!AB49,"AAAAAH+v3/c=")</f>
        <v>#VALUE!</v>
      </c>
      <c r="IO10" t="e">
        <f>AND('Printable Sheets'!AC49,"AAAAAH+v3/g=")</f>
        <v>#VALUE!</v>
      </c>
      <c r="IP10" t="e">
        <f>AND('Printable Sheets'!AD49,"AAAAAH+v3/k=")</f>
        <v>#VALUE!</v>
      </c>
      <c r="IQ10">
        <f>IF('Printable Sheets'!50:50,"AAAAAH+v3/o=",0)</f>
        <v>0</v>
      </c>
      <c r="IR10" t="e">
        <f>AND('Printable Sheets'!A50,"AAAAAH+v3/s=")</f>
        <v>#VALUE!</v>
      </c>
      <c r="IS10" t="e">
        <f>AND('Printable Sheets'!B50,"AAAAAH+v3/w=")</f>
        <v>#VALUE!</v>
      </c>
      <c r="IT10" t="e">
        <f>AND('Printable Sheets'!C50,"AAAAAH+v3/0=")</f>
        <v>#VALUE!</v>
      </c>
      <c r="IU10" t="e">
        <f>AND('Printable Sheets'!D50,"AAAAAH+v3/4=")</f>
        <v>#VALUE!</v>
      </c>
      <c r="IV10" t="e">
        <f>AND('Printable Sheets'!E50,"AAAAAH+v3/8=")</f>
        <v>#VALUE!</v>
      </c>
    </row>
    <row r="11" spans="1:256" x14ac:dyDescent="0.2">
      <c r="A11" t="e">
        <f>AND('Printable Sheets'!F50,"AAAAAD73nwA=")</f>
        <v>#VALUE!</v>
      </c>
      <c r="B11" t="e">
        <f>AND('Printable Sheets'!G50,"AAAAAD73nwE=")</f>
        <v>#VALUE!</v>
      </c>
      <c r="C11" t="e">
        <f>AND('Printable Sheets'!H50,"AAAAAD73nwI=")</f>
        <v>#VALUE!</v>
      </c>
      <c r="D11" t="e">
        <f>AND('Printable Sheets'!I50,"AAAAAD73nwM=")</f>
        <v>#VALUE!</v>
      </c>
      <c r="E11" t="e">
        <f>AND('Printable Sheets'!J50,"AAAAAD73nwQ=")</f>
        <v>#VALUE!</v>
      </c>
      <c r="F11" t="e">
        <f>AND('Printable Sheets'!K50,"AAAAAD73nwU=")</f>
        <v>#VALUE!</v>
      </c>
      <c r="G11" t="e">
        <f>AND('Printable Sheets'!L50,"AAAAAD73nwY=")</f>
        <v>#VALUE!</v>
      </c>
      <c r="H11" t="e">
        <f>AND('Printable Sheets'!M50,"AAAAAD73nwc=")</f>
        <v>#VALUE!</v>
      </c>
      <c r="I11" t="e">
        <f>AND('Printable Sheets'!N50,"AAAAAD73nwg=")</f>
        <v>#VALUE!</v>
      </c>
      <c r="J11" t="e">
        <f>AND('Printable Sheets'!O50,"AAAAAD73nwk=")</f>
        <v>#VALUE!</v>
      </c>
      <c r="K11" t="e">
        <f>AND('Printable Sheets'!P50,"AAAAAD73nwo=")</f>
        <v>#VALUE!</v>
      </c>
      <c r="L11" t="e">
        <f>AND('Printable Sheets'!Q50,"AAAAAD73nws=")</f>
        <v>#VALUE!</v>
      </c>
      <c r="M11" t="e">
        <f>AND('Printable Sheets'!R50,"AAAAAD73nww=")</f>
        <v>#VALUE!</v>
      </c>
      <c r="N11" t="e">
        <f>AND('Printable Sheets'!S50,"AAAAAD73nw0=")</f>
        <v>#VALUE!</v>
      </c>
      <c r="O11" t="e">
        <f>AND('Printable Sheets'!T50,"AAAAAD73nw4=")</f>
        <v>#VALUE!</v>
      </c>
      <c r="P11" t="e">
        <f>AND('Printable Sheets'!U50,"AAAAAD73nw8=")</f>
        <v>#VALUE!</v>
      </c>
      <c r="Q11" t="e">
        <f>AND('Printable Sheets'!V50,"AAAAAD73nxA=")</f>
        <v>#VALUE!</v>
      </c>
      <c r="R11" t="e">
        <f>AND('Printable Sheets'!W50,"AAAAAD73nxE=")</f>
        <v>#VALUE!</v>
      </c>
      <c r="S11" t="e">
        <f>AND('Printable Sheets'!X50,"AAAAAD73nxI=")</f>
        <v>#VALUE!</v>
      </c>
      <c r="T11" t="e">
        <f>AND('Printable Sheets'!Y50,"AAAAAD73nxM=")</f>
        <v>#VALUE!</v>
      </c>
      <c r="U11" t="e">
        <f>AND('Printable Sheets'!Z50,"AAAAAD73nxQ=")</f>
        <v>#VALUE!</v>
      </c>
      <c r="V11" t="e">
        <f>AND('Printable Sheets'!AA50,"AAAAAD73nxU=")</f>
        <v>#VALUE!</v>
      </c>
      <c r="W11" t="e">
        <f>AND('Printable Sheets'!AB50,"AAAAAD73nxY=")</f>
        <v>#VALUE!</v>
      </c>
      <c r="X11" t="e">
        <f>AND('Printable Sheets'!AC50,"AAAAAD73nxc=")</f>
        <v>#VALUE!</v>
      </c>
      <c r="Y11" t="e">
        <f>AND('Printable Sheets'!AD50,"AAAAAD73nxg=")</f>
        <v>#VALUE!</v>
      </c>
      <c r="Z11">
        <f>IF('Printable Sheets'!51:51,"AAAAAD73nxk=",0)</f>
        <v>0</v>
      </c>
      <c r="AA11" t="e">
        <f>AND('Printable Sheets'!A51,"AAAAAD73nxo=")</f>
        <v>#VALUE!</v>
      </c>
      <c r="AB11" t="e">
        <f>AND('Printable Sheets'!B51,"AAAAAD73nxs=")</f>
        <v>#VALUE!</v>
      </c>
      <c r="AC11" t="e">
        <f>AND('Printable Sheets'!C51,"AAAAAD73nxw=")</f>
        <v>#VALUE!</v>
      </c>
      <c r="AD11" t="e">
        <f>AND('Printable Sheets'!D51,"AAAAAD73nx0=")</f>
        <v>#VALUE!</v>
      </c>
      <c r="AE11" t="e">
        <f>AND('Printable Sheets'!E51,"AAAAAD73nx4=")</f>
        <v>#VALUE!</v>
      </c>
      <c r="AF11" t="e">
        <f>AND('Printable Sheets'!F51,"AAAAAD73nx8=")</f>
        <v>#VALUE!</v>
      </c>
      <c r="AG11" t="e">
        <f>AND('Printable Sheets'!G51,"AAAAAD73nyA=")</f>
        <v>#VALUE!</v>
      </c>
      <c r="AH11" t="e">
        <f>AND('Printable Sheets'!H51,"AAAAAD73nyE=")</f>
        <v>#VALUE!</v>
      </c>
      <c r="AI11" t="e">
        <f>AND('Printable Sheets'!I51,"AAAAAD73nyI=")</f>
        <v>#VALUE!</v>
      </c>
      <c r="AJ11" t="e">
        <f>AND('Printable Sheets'!J51,"AAAAAD73nyM=")</f>
        <v>#VALUE!</v>
      </c>
      <c r="AK11" t="e">
        <f>AND('Printable Sheets'!K51,"AAAAAD73nyQ=")</f>
        <v>#VALUE!</v>
      </c>
      <c r="AL11" t="e">
        <f>AND('Printable Sheets'!L51,"AAAAAD73nyU=")</f>
        <v>#VALUE!</v>
      </c>
      <c r="AM11" t="e">
        <f>AND('Printable Sheets'!M51,"AAAAAD73nyY=")</f>
        <v>#VALUE!</v>
      </c>
      <c r="AN11" t="e">
        <f>AND('Printable Sheets'!N51,"AAAAAD73nyc=")</f>
        <v>#VALUE!</v>
      </c>
      <c r="AO11" t="e">
        <f>AND('Printable Sheets'!O51,"AAAAAD73nyg=")</f>
        <v>#VALUE!</v>
      </c>
      <c r="AP11" t="e">
        <f>AND('Printable Sheets'!P51,"AAAAAD73nyk=")</f>
        <v>#VALUE!</v>
      </c>
      <c r="AQ11" t="e">
        <f>AND('Printable Sheets'!Q51,"AAAAAD73nyo=")</f>
        <v>#VALUE!</v>
      </c>
      <c r="AR11" t="e">
        <f>AND('Printable Sheets'!R51,"AAAAAD73nys=")</f>
        <v>#VALUE!</v>
      </c>
      <c r="AS11" t="e">
        <f>AND('Printable Sheets'!S51,"AAAAAD73nyw=")</f>
        <v>#VALUE!</v>
      </c>
      <c r="AT11" t="e">
        <f>AND('Printable Sheets'!T51,"AAAAAD73ny0=")</f>
        <v>#VALUE!</v>
      </c>
      <c r="AU11" t="e">
        <f>AND('Printable Sheets'!U51,"AAAAAD73ny4=")</f>
        <v>#VALUE!</v>
      </c>
      <c r="AV11" t="e">
        <f>AND('Printable Sheets'!V51,"AAAAAD73ny8=")</f>
        <v>#VALUE!</v>
      </c>
      <c r="AW11" t="e">
        <f>AND('Printable Sheets'!W51,"AAAAAD73nzA=")</f>
        <v>#VALUE!</v>
      </c>
      <c r="AX11" t="e">
        <f>AND('Printable Sheets'!X51,"AAAAAD73nzE=")</f>
        <v>#VALUE!</v>
      </c>
      <c r="AY11" t="e">
        <f>AND('Printable Sheets'!Y51,"AAAAAD73nzI=")</f>
        <v>#VALUE!</v>
      </c>
      <c r="AZ11" t="e">
        <f>AND('Printable Sheets'!Z51,"AAAAAD73nzM=")</f>
        <v>#VALUE!</v>
      </c>
      <c r="BA11" t="e">
        <f>AND('Printable Sheets'!AA51,"AAAAAD73nzQ=")</f>
        <v>#VALUE!</v>
      </c>
      <c r="BB11" t="e">
        <f>AND('Printable Sheets'!AB51,"AAAAAD73nzU=")</f>
        <v>#VALUE!</v>
      </c>
      <c r="BC11" t="e">
        <f>AND('Printable Sheets'!AC51,"AAAAAD73nzY=")</f>
        <v>#VALUE!</v>
      </c>
      <c r="BD11" t="e">
        <f>AND('Printable Sheets'!AD51,"AAAAAD73nzc=")</f>
        <v>#VALUE!</v>
      </c>
      <c r="BE11">
        <f>IF('Printable Sheets'!52:52,"AAAAAD73nzg=",0)</f>
        <v>0</v>
      </c>
      <c r="BF11" t="e">
        <f>AND('Printable Sheets'!A52,"AAAAAD73nzk=")</f>
        <v>#VALUE!</v>
      </c>
      <c r="BG11" t="e">
        <f>AND('Printable Sheets'!B52,"AAAAAD73nzo=")</f>
        <v>#VALUE!</v>
      </c>
      <c r="BH11" t="e">
        <f>AND('Printable Sheets'!C52,"AAAAAD73nzs=")</f>
        <v>#VALUE!</v>
      </c>
      <c r="BI11" t="e">
        <f>AND('Printable Sheets'!D52,"AAAAAD73nzw=")</f>
        <v>#VALUE!</v>
      </c>
      <c r="BJ11" t="e">
        <f>AND('Printable Sheets'!E52,"AAAAAD73nz0=")</f>
        <v>#VALUE!</v>
      </c>
      <c r="BK11" t="e">
        <f>AND('Printable Sheets'!F52,"AAAAAD73nz4=")</f>
        <v>#VALUE!</v>
      </c>
      <c r="BL11" t="e">
        <f>AND('Printable Sheets'!G52,"AAAAAD73nz8=")</f>
        <v>#VALUE!</v>
      </c>
      <c r="BM11" t="e">
        <f>AND('Printable Sheets'!H52,"AAAAAD73n0A=")</f>
        <v>#VALUE!</v>
      </c>
      <c r="BN11" t="e">
        <f>AND('Printable Sheets'!I52,"AAAAAD73n0E=")</f>
        <v>#VALUE!</v>
      </c>
      <c r="BO11" t="e">
        <f>AND('Printable Sheets'!J52,"AAAAAD73n0I=")</f>
        <v>#VALUE!</v>
      </c>
      <c r="BP11" t="e">
        <f>AND('Printable Sheets'!K52,"AAAAAD73n0M=")</f>
        <v>#VALUE!</v>
      </c>
      <c r="BQ11" t="e">
        <f>AND('Printable Sheets'!L52,"AAAAAD73n0Q=")</f>
        <v>#VALUE!</v>
      </c>
      <c r="BR11" t="e">
        <f>AND('Printable Sheets'!M52,"AAAAAD73n0U=")</f>
        <v>#VALUE!</v>
      </c>
      <c r="BS11" t="e">
        <f>AND('Printable Sheets'!N52,"AAAAAD73n0Y=")</f>
        <v>#VALUE!</v>
      </c>
      <c r="BT11" t="e">
        <f>AND('Printable Sheets'!O52,"AAAAAD73n0c=")</f>
        <v>#VALUE!</v>
      </c>
      <c r="BU11" t="e">
        <f>AND('Printable Sheets'!P52,"AAAAAD73n0g=")</f>
        <v>#VALUE!</v>
      </c>
      <c r="BV11" t="e">
        <f>AND('Printable Sheets'!Q52,"AAAAAD73n0k=")</f>
        <v>#VALUE!</v>
      </c>
      <c r="BW11" t="e">
        <f>AND('Printable Sheets'!R52,"AAAAAD73n0o=")</f>
        <v>#VALUE!</v>
      </c>
      <c r="BX11" t="e">
        <f>AND('Printable Sheets'!S52,"AAAAAD73n0s=")</f>
        <v>#VALUE!</v>
      </c>
      <c r="BY11" t="e">
        <f>AND('Printable Sheets'!T52,"AAAAAD73n0w=")</f>
        <v>#VALUE!</v>
      </c>
      <c r="BZ11" t="e">
        <f>AND('Printable Sheets'!U52,"AAAAAD73n00=")</f>
        <v>#VALUE!</v>
      </c>
      <c r="CA11" t="e">
        <f>AND('Printable Sheets'!V52,"AAAAAD73n04=")</f>
        <v>#VALUE!</v>
      </c>
      <c r="CB11" t="e">
        <f>AND('Printable Sheets'!W52,"AAAAAD73n08=")</f>
        <v>#VALUE!</v>
      </c>
      <c r="CC11" t="e">
        <f>AND('Printable Sheets'!X52,"AAAAAD73n1A=")</f>
        <v>#VALUE!</v>
      </c>
      <c r="CD11" t="e">
        <f>AND('Printable Sheets'!Y52,"AAAAAD73n1E=")</f>
        <v>#VALUE!</v>
      </c>
      <c r="CE11" t="e">
        <f>AND('Printable Sheets'!Z52,"AAAAAD73n1I=")</f>
        <v>#VALUE!</v>
      </c>
      <c r="CF11" t="e">
        <f>AND('Printable Sheets'!AA52,"AAAAAD73n1M=")</f>
        <v>#VALUE!</v>
      </c>
      <c r="CG11" t="e">
        <f>AND('Printable Sheets'!AB52,"AAAAAD73n1Q=")</f>
        <v>#VALUE!</v>
      </c>
      <c r="CH11" t="e">
        <f>AND('Printable Sheets'!AC52,"AAAAAD73n1U=")</f>
        <v>#VALUE!</v>
      </c>
      <c r="CI11" t="e">
        <f>AND('Printable Sheets'!AD52,"AAAAAD73n1Y=")</f>
        <v>#VALUE!</v>
      </c>
      <c r="CJ11">
        <f>IF('Printable Sheets'!53:53,"AAAAAD73n1c=",0)</f>
        <v>0</v>
      </c>
      <c r="CK11" t="e">
        <f>AND('Printable Sheets'!A53,"AAAAAD73n1g=")</f>
        <v>#VALUE!</v>
      </c>
      <c r="CL11" t="e">
        <f>AND('Printable Sheets'!B53,"AAAAAD73n1k=")</f>
        <v>#VALUE!</v>
      </c>
      <c r="CM11" t="e">
        <f>AND('Printable Sheets'!C53,"AAAAAD73n1o=")</f>
        <v>#VALUE!</v>
      </c>
      <c r="CN11" t="e">
        <f>AND('Printable Sheets'!D53,"AAAAAD73n1s=")</f>
        <v>#VALUE!</v>
      </c>
      <c r="CO11" t="e">
        <f>AND('Printable Sheets'!E53,"AAAAAD73n1w=")</f>
        <v>#VALUE!</v>
      </c>
      <c r="CP11" t="e">
        <f>AND('Printable Sheets'!F53,"AAAAAD73n10=")</f>
        <v>#VALUE!</v>
      </c>
      <c r="CQ11" t="e">
        <f>AND('Printable Sheets'!G53,"AAAAAD73n14=")</f>
        <v>#VALUE!</v>
      </c>
      <c r="CR11" t="e">
        <f>AND('Printable Sheets'!H53,"AAAAAD73n18=")</f>
        <v>#VALUE!</v>
      </c>
      <c r="CS11" t="e">
        <f>AND('Printable Sheets'!I53,"AAAAAD73n2A=")</f>
        <v>#VALUE!</v>
      </c>
      <c r="CT11" t="e">
        <f>AND('Printable Sheets'!J53,"AAAAAD73n2E=")</f>
        <v>#VALUE!</v>
      </c>
      <c r="CU11" t="e">
        <f>AND('Printable Sheets'!K53,"AAAAAD73n2I=")</f>
        <v>#VALUE!</v>
      </c>
      <c r="CV11" t="e">
        <f>AND('Printable Sheets'!L53,"AAAAAD73n2M=")</f>
        <v>#VALUE!</v>
      </c>
      <c r="CW11" t="e">
        <f>AND('Printable Sheets'!M53,"AAAAAD73n2Q=")</f>
        <v>#VALUE!</v>
      </c>
      <c r="CX11" t="e">
        <f>AND('Printable Sheets'!N53,"AAAAAD73n2U=")</f>
        <v>#VALUE!</v>
      </c>
      <c r="CY11" t="e">
        <f>AND('Printable Sheets'!O53,"AAAAAD73n2Y=")</f>
        <v>#VALUE!</v>
      </c>
      <c r="CZ11" t="e">
        <f>AND('Printable Sheets'!P53,"AAAAAD73n2c=")</f>
        <v>#VALUE!</v>
      </c>
      <c r="DA11" t="e">
        <f>AND('Printable Sheets'!Q53,"AAAAAD73n2g=")</f>
        <v>#VALUE!</v>
      </c>
      <c r="DB11" t="e">
        <f>AND('Printable Sheets'!R53,"AAAAAD73n2k=")</f>
        <v>#VALUE!</v>
      </c>
      <c r="DC11" t="e">
        <f>AND('Printable Sheets'!S53,"AAAAAD73n2o=")</f>
        <v>#VALUE!</v>
      </c>
      <c r="DD11" t="e">
        <f>AND('Printable Sheets'!T53,"AAAAAD73n2s=")</f>
        <v>#VALUE!</v>
      </c>
      <c r="DE11" t="e">
        <f>AND('Printable Sheets'!U53,"AAAAAD73n2w=")</f>
        <v>#VALUE!</v>
      </c>
      <c r="DF11" t="e">
        <f>AND('Printable Sheets'!V53,"AAAAAD73n20=")</f>
        <v>#VALUE!</v>
      </c>
      <c r="DG11" t="e">
        <f>AND('Printable Sheets'!W53,"AAAAAD73n24=")</f>
        <v>#VALUE!</v>
      </c>
      <c r="DH11" t="e">
        <f>AND('Printable Sheets'!X53,"AAAAAD73n28=")</f>
        <v>#VALUE!</v>
      </c>
      <c r="DI11" t="e">
        <f>AND('Printable Sheets'!Y53,"AAAAAD73n3A=")</f>
        <v>#VALUE!</v>
      </c>
      <c r="DJ11" t="e">
        <f>AND('Printable Sheets'!Z53,"AAAAAD73n3E=")</f>
        <v>#VALUE!</v>
      </c>
      <c r="DK11" t="e">
        <f>AND('Printable Sheets'!AA53,"AAAAAD73n3I=")</f>
        <v>#VALUE!</v>
      </c>
      <c r="DL11" t="e">
        <f>AND('Printable Sheets'!AB53,"AAAAAD73n3M=")</f>
        <v>#VALUE!</v>
      </c>
      <c r="DM11" t="e">
        <f>AND('Printable Sheets'!AC53,"AAAAAD73n3Q=")</f>
        <v>#VALUE!</v>
      </c>
      <c r="DN11" t="e">
        <f>AND('Printable Sheets'!AD53,"AAAAAD73n3U=")</f>
        <v>#VALUE!</v>
      </c>
      <c r="DO11">
        <f>IF('Printable Sheets'!54:54,"AAAAAD73n3Y=",0)</f>
        <v>0</v>
      </c>
      <c r="DP11" t="e">
        <f>AND('Printable Sheets'!A54,"AAAAAD73n3c=")</f>
        <v>#VALUE!</v>
      </c>
      <c r="DQ11" t="e">
        <f>AND('Printable Sheets'!B54,"AAAAAD73n3g=")</f>
        <v>#VALUE!</v>
      </c>
      <c r="DR11" t="e">
        <f>AND('Printable Sheets'!C54,"AAAAAD73n3k=")</f>
        <v>#VALUE!</v>
      </c>
      <c r="DS11" t="e">
        <f>AND('Printable Sheets'!D54,"AAAAAD73n3o=")</f>
        <v>#VALUE!</v>
      </c>
      <c r="DT11" t="e">
        <f>AND('Printable Sheets'!E54,"AAAAAD73n3s=")</f>
        <v>#VALUE!</v>
      </c>
      <c r="DU11" t="e">
        <f>AND('Printable Sheets'!F54,"AAAAAD73n3w=")</f>
        <v>#VALUE!</v>
      </c>
      <c r="DV11" t="e">
        <f>AND('Printable Sheets'!G54,"AAAAAD73n30=")</f>
        <v>#VALUE!</v>
      </c>
      <c r="DW11" t="e">
        <f>AND('Printable Sheets'!H54,"AAAAAD73n34=")</f>
        <v>#VALUE!</v>
      </c>
      <c r="DX11" t="e">
        <f>AND('Printable Sheets'!I54,"AAAAAD73n38=")</f>
        <v>#VALUE!</v>
      </c>
      <c r="DY11" t="e">
        <f>AND('Printable Sheets'!J54,"AAAAAD73n4A=")</f>
        <v>#VALUE!</v>
      </c>
      <c r="DZ11" t="e">
        <f>AND('Printable Sheets'!K54,"AAAAAD73n4E=")</f>
        <v>#VALUE!</v>
      </c>
      <c r="EA11" t="e">
        <f>AND('Printable Sheets'!L54,"AAAAAD73n4I=")</f>
        <v>#VALUE!</v>
      </c>
      <c r="EB11" t="e">
        <f>AND('Printable Sheets'!M54,"AAAAAD73n4M=")</f>
        <v>#VALUE!</v>
      </c>
      <c r="EC11" t="e">
        <f>AND('Printable Sheets'!N54,"AAAAAD73n4Q=")</f>
        <v>#VALUE!</v>
      </c>
      <c r="ED11" t="e">
        <f>AND('Printable Sheets'!O54,"AAAAAD73n4U=")</f>
        <v>#VALUE!</v>
      </c>
      <c r="EE11" t="e">
        <f>AND('Printable Sheets'!P54,"AAAAAD73n4Y=")</f>
        <v>#VALUE!</v>
      </c>
      <c r="EF11" t="e">
        <f>AND('Printable Sheets'!Q54,"AAAAAD73n4c=")</f>
        <v>#VALUE!</v>
      </c>
      <c r="EG11" t="e">
        <f>AND('Printable Sheets'!R54,"AAAAAD73n4g=")</f>
        <v>#VALUE!</v>
      </c>
      <c r="EH11" t="e">
        <f>AND('Printable Sheets'!S54,"AAAAAD73n4k=")</f>
        <v>#VALUE!</v>
      </c>
      <c r="EI11" t="e">
        <f>AND('Printable Sheets'!T54,"AAAAAD73n4o=")</f>
        <v>#VALUE!</v>
      </c>
      <c r="EJ11" t="e">
        <f>AND('Printable Sheets'!U54,"AAAAAD73n4s=")</f>
        <v>#VALUE!</v>
      </c>
      <c r="EK11" t="e">
        <f>AND('Printable Sheets'!V54,"AAAAAD73n4w=")</f>
        <v>#VALUE!</v>
      </c>
      <c r="EL11" t="e">
        <f>AND('Printable Sheets'!W54,"AAAAAD73n40=")</f>
        <v>#VALUE!</v>
      </c>
      <c r="EM11" t="e">
        <f>AND('Printable Sheets'!X54,"AAAAAD73n44=")</f>
        <v>#VALUE!</v>
      </c>
      <c r="EN11" t="e">
        <f>AND('Printable Sheets'!Y54,"AAAAAD73n48=")</f>
        <v>#VALUE!</v>
      </c>
      <c r="EO11" t="e">
        <f>AND('Printable Sheets'!Z54,"AAAAAD73n5A=")</f>
        <v>#VALUE!</v>
      </c>
      <c r="EP11" t="e">
        <f>AND('Printable Sheets'!AA54,"AAAAAD73n5E=")</f>
        <v>#VALUE!</v>
      </c>
      <c r="EQ11" t="e">
        <f>AND('Printable Sheets'!AB54,"AAAAAD73n5I=")</f>
        <v>#VALUE!</v>
      </c>
      <c r="ER11" t="e">
        <f>AND('Printable Sheets'!AC54,"AAAAAD73n5M=")</f>
        <v>#VALUE!</v>
      </c>
      <c r="ES11" t="e">
        <f>AND('Printable Sheets'!AD54,"AAAAAD73n5Q=")</f>
        <v>#VALUE!</v>
      </c>
      <c r="ET11">
        <f>IF('Printable Sheets'!55:55,"AAAAAD73n5U=",0)</f>
        <v>0</v>
      </c>
      <c r="EU11" t="e">
        <f>AND('Printable Sheets'!A55,"AAAAAD73n5Y=")</f>
        <v>#VALUE!</v>
      </c>
      <c r="EV11" t="e">
        <f>AND('Printable Sheets'!B55,"AAAAAD73n5c=")</f>
        <v>#VALUE!</v>
      </c>
      <c r="EW11" t="e">
        <f>AND('Printable Sheets'!C55,"AAAAAD73n5g=")</f>
        <v>#VALUE!</v>
      </c>
      <c r="EX11" t="e">
        <f>AND('Printable Sheets'!D55,"AAAAAD73n5k=")</f>
        <v>#VALUE!</v>
      </c>
      <c r="EY11" t="e">
        <f>AND('Printable Sheets'!E55,"AAAAAD73n5o=")</f>
        <v>#VALUE!</v>
      </c>
      <c r="EZ11" t="e">
        <f>AND('Printable Sheets'!F55,"AAAAAD73n5s=")</f>
        <v>#VALUE!</v>
      </c>
      <c r="FA11" t="e">
        <f>AND('Printable Sheets'!G55,"AAAAAD73n5w=")</f>
        <v>#VALUE!</v>
      </c>
      <c r="FB11" t="e">
        <f>AND('Printable Sheets'!H55,"AAAAAD73n50=")</f>
        <v>#VALUE!</v>
      </c>
      <c r="FC11" t="e">
        <f>AND('Printable Sheets'!I55,"AAAAAD73n54=")</f>
        <v>#VALUE!</v>
      </c>
      <c r="FD11" t="e">
        <f>AND('Printable Sheets'!J55,"AAAAAD73n58=")</f>
        <v>#VALUE!</v>
      </c>
      <c r="FE11" t="e">
        <f>AND('Printable Sheets'!K55,"AAAAAD73n6A=")</f>
        <v>#VALUE!</v>
      </c>
      <c r="FF11" t="e">
        <f>AND('Printable Sheets'!L55,"AAAAAD73n6E=")</f>
        <v>#VALUE!</v>
      </c>
      <c r="FG11" t="e">
        <f>AND('Printable Sheets'!M55,"AAAAAD73n6I=")</f>
        <v>#VALUE!</v>
      </c>
      <c r="FH11" t="e">
        <f>AND('Printable Sheets'!N55,"AAAAAD73n6M=")</f>
        <v>#VALUE!</v>
      </c>
      <c r="FI11" t="e">
        <f>AND('Printable Sheets'!O55,"AAAAAD73n6Q=")</f>
        <v>#VALUE!</v>
      </c>
      <c r="FJ11" t="e">
        <f>AND('Printable Sheets'!P55,"AAAAAD73n6U=")</f>
        <v>#VALUE!</v>
      </c>
      <c r="FK11" t="e">
        <f>AND('Printable Sheets'!Q55,"AAAAAD73n6Y=")</f>
        <v>#VALUE!</v>
      </c>
      <c r="FL11" t="e">
        <f>AND('Printable Sheets'!R55,"AAAAAD73n6c=")</f>
        <v>#VALUE!</v>
      </c>
      <c r="FM11" t="e">
        <f>AND('Printable Sheets'!S55,"AAAAAD73n6g=")</f>
        <v>#VALUE!</v>
      </c>
      <c r="FN11" t="e">
        <f>AND('Printable Sheets'!T55,"AAAAAD73n6k=")</f>
        <v>#VALUE!</v>
      </c>
      <c r="FO11" t="e">
        <f>AND('Printable Sheets'!U55,"AAAAAD73n6o=")</f>
        <v>#VALUE!</v>
      </c>
      <c r="FP11" t="e">
        <f>AND('Printable Sheets'!V55,"AAAAAD73n6s=")</f>
        <v>#VALUE!</v>
      </c>
      <c r="FQ11" t="e">
        <f>AND('Printable Sheets'!W55,"AAAAAD73n6w=")</f>
        <v>#VALUE!</v>
      </c>
      <c r="FR11" t="e">
        <f>AND('Printable Sheets'!X55,"AAAAAD73n60=")</f>
        <v>#VALUE!</v>
      </c>
      <c r="FS11" t="e">
        <f>AND('Printable Sheets'!Y55,"AAAAAD73n64=")</f>
        <v>#VALUE!</v>
      </c>
      <c r="FT11" t="e">
        <f>AND('Printable Sheets'!Z55,"AAAAAD73n68=")</f>
        <v>#VALUE!</v>
      </c>
      <c r="FU11" t="e">
        <f>AND('Printable Sheets'!AA55,"AAAAAD73n7A=")</f>
        <v>#VALUE!</v>
      </c>
      <c r="FV11" t="e">
        <f>AND('Printable Sheets'!AB55,"AAAAAD73n7E=")</f>
        <v>#VALUE!</v>
      </c>
      <c r="FW11" t="e">
        <f>AND('Printable Sheets'!AC55,"AAAAAD73n7I=")</f>
        <v>#VALUE!</v>
      </c>
      <c r="FX11" t="e">
        <f>AND('Printable Sheets'!AD55,"AAAAAD73n7M=")</f>
        <v>#VALUE!</v>
      </c>
      <c r="FY11">
        <f>IF('Printable Sheets'!56:56,"AAAAAD73n7Q=",0)</f>
        <v>0</v>
      </c>
      <c r="FZ11" t="e">
        <f>AND('Printable Sheets'!A56,"AAAAAD73n7U=")</f>
        <v>#VALUE!</v>
      </c>
      <c r="GA11" t="e">
        <f>AND('Printable Sheets'!B56,"AAAAAD73n7Y=")</f>
        <v>#VALUE!</v>
      </c>
      <c r="GB11" t="e">
        <f>AND('Printable Sheets'!C56,"AAAAAD73n7c=")</f>
        <v>#VALUE!</v>
      </c>
      <c r="GC11" t="e">
        <f>AND('Printable Sheets'!D56,"AAAAAD73n7g=")</f>
        <v>#VALUE!</v>
      </c>
      <c r="GD11" t="e">
        <f>AND('Printable Sheets'!E56,"AAAAAD73n7k=")</f>
        <v>#VALUE!</v>
      </c>
      <c r="GE11" t="e">
        <f>AND('Printable Sheets'!F56,"AAAAAD73n7o=")</f>
        <v>#VALUE!</v>
      </c>
      <c r="GF11" t="e">
        <f>AND('Printable Sheets'!G56,"AAAAAD73n7s=")</f>
        <v>#VALUE!</v>
      </c>
      <c r="GG11" t="e">
        <f>AND('Printable Sheets'!H56,"AAAAAD73n7w=")</f>
        <v>#VALUE!</v>
      </c>
      <c r="GH11" t="e">
        <f>AND('Printable Sheets'!I56,"AAAAAD73n70=")</f>
        <v>#VALUE!</v>
      </c>
      <c r="GI11" t="e">
        <f>AND('Printable Sheets'!J56,"AAAAAD73n74=")</f>
        <v>#VALUE!</v>
      </c>
      <c r="GJ11" t="e">
        <f>AND('Printable Sheets'!K56,"AAAAAD73n78=")</f>
        <v>#VALUE!</v>
      </c>
      <c r="GK11" t="e">
        <f>AND('Printable Sheets'!L56,"AAAAAD73n8A=")</f>
        <v>#VALUE!</v>
      </c>
      <c r="GL11" t="e">
        <f>AND('Printable Sheets'!M56,"AAAAAD73n8E=")</f>
        <v>#VALUE!</v>
      </c>
      <c r="GM11" t="e">
        <f>AND('Printable Sheets'!N56,"AAAAAD73n8I=")</f>
        <v>#VALUE!</v>
      </c>
      <c r="GN11" t="e">
        <f>AND('Printable Sheets'!O56,"AAAAAD73n8M=")</f>
        <v>#VALUE!</v>
      </c>
      <c r="GO11" t="e">
        <f>AND('Printable Sheets'!P56,"AAAAAD73n8Q=")</f>
        <v>#VALUE!</v>
      </c>
      <c r="GP11" t="e">
        <f>AND('Printable Sheets'!Q56,"AAAAAD73n8U=")</f>
        <v>#VALUE!</v>
      </c>
      <c r="GQ11" t="e">
        <f>AND('Printable Sheets'!R56,"AAAAAD73n8Y=")</f>
        <v>#VALUE!</v>
      </c>
      <c r="GR11" t="e">
        <f>AND('Printable Sheets'!S56,"AAAAAD73n8c=")</f>
        <v>#VALUE!</v>
      </c>
      <c r="GS11" t="e">
        <f>AND('Printable Sheets'!T56,"AAAAAD73n8g=")</f>
        <v>#VALUE!</v>
      </c>
      <c r="GT11" t="e">
        <f>AND('Printable Sheets'!U56,"AAAAAD73n8k=")</f>
        <v>#VALUE!</v>
      </c>
      <c r="GU11" t="e">
        <f>AND('Printable Sheets'!V56,"AAAAAD73n8o=")</f>
        <v>#VALUE!</v>
      </c>
      <c r="GV11" t="e">
        <f>AND('Printable Sheets'!W56,"AAAAAD73n8s=")</f>
        <v>#VALUE!</v>
      </c>
      <c r="GW11" t="e">
        <f>AND('Printable Sheets'!X56,"AAAAAD73n8w=")</f>
        <v>#VALUE!</v>
      </c>
      <c r="GX11" t="e">
        <f>AND('Printable Sheets'!Y56,"AAAAAD73n80=")</f>
        <v>#VALUE!</v>
      </c>
      <c r="GY11" t="e">
        <f>AND('Printable Sheets'!Z56,"AAAAAD73n84=")</f>
        <v>#VALUE!</v>
      </c>
      <c r="GZ11" t="e">
        <f>AND('Printable Sheets'!AA56,"AAAAAD73n88=")</f>
        <v>#VALUE!</v>
      </c>
      <c r="HA11" t="e">
        <f>AND('Printable Sheets'!AB56,"AAAAAD73n9A=")</f>
        <v>#VALUE!</v>
      </c>
      <c r="HB11" t="e">
        <f>AND('Printable Sheets'!AC56,"AAAAAD73n9E=")</f>
        <v>#VALUE!</v>
      </c>
      <c r="HC11" t="e">
        <f>AND('Printable Sheets'!AD56,"AAAAAD73n9I=")</f>
        <v>#VALUE!</v>
      </c>
      <c r="HD11">
        <f>IF('Printable Sheets'!57:57,"AAAAAD73n9M=",0)</f>
        <v>0</v>
      </c>
      <c r="HE11" t="e">
        <f>AND('Printable Sheets'!A57,"AAAAAD73n9Q=")</f>
        <v>#VALUE!</v>
      </c>
      <c r="HF11" t="e">
        <f>AND('Printable Sheets'!B57,"AAAAAD73n9U=")</f>
        <v>#VALUE!</v>
      </c>
      <c r="HG11" t="e">
        <f>AND('Printable Sheets'!C57,"AAAAAD73n9Y=")</f>
        <v>#VALUE!</v>
      </c>
      <c r="HH11" t="e">
        <f>AND('Printable Sheets'!D57,"AAAAAD73n9c=")</f>
        <v>#VALUE!</v>
      </c>
      <c r="HI11" t="e">
        <f>AND('Printable Sheets'!E57,"AAAAAD73n9g=")</f>
        <v>#VALUE!</v>
      </c>
      <c r="HJ11" t="e">
        <f>AND('Printable Sheets'!F57,"AAAAAD73n9k=")</f>
        <v>#VALUE!</v>
      </c>
      <c r="HK11" t="e">
        <f>AND('Printable Sheets'!G57,"AAAAAD73n9o=")</f>
        <v>#VALUE!</v>
      </c>
      <c r="HL11" t="e">
        <f>AND('Printable Sheets'!H57,"AAAAAD73n9s=")</f>
        <v>#VALUE!</v>
      </c>
      <c r="HM11" t="e">
        <f>AND('Printable Sheets'!I57,"AAAAAD73n9w=")</f>
        <v>#VALUE!</v>
      </c>
      <c r="HN11" t="e">
        <f>AND('Printable Sheets'!J57,"AAAAAD73n90=")</f>
        <v>#VALUE!</v>
      </c>
      <c r="HO11" t="e">
        <f>AND('Printable Sheets'!K57,"AAAAAD73n94=")</f>
        <v>#VALUE!</v>
      </c>
      <c r="HP11" t="e">
        <f>AND('Printable Sheets'!L57,"AAAAAD73n98=")</f>
        <v>#VALUE!</v>
      </c>
      <c r="HQ11" t="e">
        <f>AND('Printable Sheets'!M57,"AAAAAD73n+A=")</f>
        <v>#VALUE!</v>
      </c>
      <c r="HR11" t="e">
        <f>AND('Printable Sheets'!N57,"AAAAAD73n+E=")</f>
        <v>#VALUE!</v>
      </c>
      <c r="HS11" t="e">
        <f>AND('Printable Sheets'!O57,"AAAAAD73n+I=")</f>
        <v>#VALUE!</v>
      </c>
      <c r="HT11" t="e">
        <f>AND('Printable Sheets'!P57,"AAAAAD73n+M=")</f>
        <v>#VALUE!</v>
      </c>
      <c r="HU11" t="e">
        <f>AND('Printable Sheets'!Q57,"AAAAAD73n+Q=")</f>
        <v>#VALUE!</v>
      </c>
      <c r="HV11" t="e">
        <f>AND('Printable Sheets'!R57,"AAAAAD73n+U=")</f>
        <v>#VALUE!</v>
      </c>
      <c r="HW11" t="e">
        <f>AND('Printable Sheets'!S57,"AAAAAD73n+Y=")</f>
        <v>#VALUE!</v>
      </c>
      <c r="HX11" t="e">
        <f>AND('Printable Sheets'!T57,"AAAAAD73n+c=")</f>
        <v>#VALUE!</v>
      </c>
      <c r="HY11" t="e">
        <f>AND('Printable Sheets'!U57,"AAAAAD73n+g=")</f>
        <v>#VALUE!</v>
      </c>
      <c r="HZ11" t="e">
        <f>AND('Printable Sheets'!V57,"AAAAAD73n+k=")</f>
        <v>#VALUE!</v>
      </c>
      <c r="IA11" t="e">
        <f>AND('Printable Sheets'!W57,"AAAAAD73n+o=")</f>
        <v>#VALUE!</v>
      </c>
      <c r="IB11" t="e">
        <f>AND('Printable Sheets'!X57,"AAAAAD73n+s=")</f>
        <v>#VALUE!</v>
      </c>
      <c r="IC11" t="e">
        <f>AND('Printable Sheets'!Y57,"AAAAAD73n+w=")</f>
        <v>#VALUE!</v>
      </c>
      <c r="ID11" t="e">
        <f>AND('Printable Sheets'!Z57,"AAAAAD73n+0=")</f>
        <v>#VALUE!</v>
      </c>
      <c r="IE11" t="e">
        <f>AND('Printable Sheets'!AA57,"AAAAAD73n+4=")</f>
        <v>#VALUE!</v>
      </c>
      <c r="IF11" t="e">
        <f>AND('Printable Sheets'!AB57,"AAAAAD73n+8=")</f>
        <v>#VALUE!</v>
      </c>
      <c r="IG11" t="e">
        <f>AND('Printable Sheets'!AC57,"AAAAAD73n/A=")</f>
        <v>#VALUE!</v>
      </c>
      <c r="IH11" t="e">
        <f>AND('Printable Sheets'!AD57,"AAAAAD73n/E=")</f>
        <v>#VALUE!</v>
      </c>
      <c r="II11">
        <f>IF('Printable Sheets'!58:58,"AAAAAD73n/I=",0)</f>
        <v>0</v>
      </c>
      <c r="IJ11" t="e">
        <f>AND('Printable Sheets'!A58,"AAAAAD73n/M=")</f>
        <v>#VALUE!</v>
      </c>
      <c r="IK11" t="e">
        <f>AND('Printable Sheets'!B58,"AAAAAD73n/Q=")</f>
        <v>#VALUE!</v>
      </c>
      <c r="IL11" t="e">
        <f>AND('Printable Sheets'!C58,"AAAAAD73n/U=")</f>
        <v>#VALUE!</v>
      </c>
      <c r="IM11" t="e">
        <f>AND('Printable Sheets'!D58,"AAAAAD73n/Y=")</f>
        <v>#VALUE!</v>
      </c>
      <c r="IN11" t="e">
        <f>AND('Printable Sheets'!E58,"AAAAAD73n/c=")</f>
        <v>#VALUE!</v>
      </c>
      <c r="IO11" t="e">
        <f>AND('Printable Sheets'!F58,"AAAAAD73n/g=")</f>
        <v>#VALUE!</v>
      </c>
      <c r="IP11" t="e">
        <f>AND('Printable Sheets'!G58,"AAAAAD73n/k=")</f>
        <v>#VALUE!</v>
      </c>
      <c r="IQ11" t="e">
        <f>AND('Printable Sheets'!H58,"AAAAAD73n/o=")</f>
        <v>#VALUE!</v>
      </c>
      <c r="IR11" t="e">
        <f>AND('Printable Sheets'!I58,"AAAAAD73n/s=")</f>
        <v>#VALUE!</v>
      </c>
      <c r="IS11" t="e">
        <f>AND('Printable Sheets'!J58,"AAAAAD73n/w=")</f>
        <v>#VALUE!</v>
      </c>
      <c r="IT11" t="e">
        <f>AND('Printable Sheets'!K58,"AAAAAD73n/0=")</f>
        <v>#VALUE!</v>
      </c>
      <c r="IU11" t="e">
        <f>AND('Printable Sheets'!L58,"AAAAAD73n/4=")</f>
        <v>#VALUE!</v>
      </c>
      <c r="IV11" t="e">
        <f>AND('Printable Sheets'!M58,"AAAAAD73n/8=")</f>
        <v>#VALUE!</v>
      </c>
    </row>
    <row r="12" spans="1:256" x14ac:dyDescent="0.2">
      <c r="A12" t="e">
        <f>AND('Printable Sheets'!N58,"AAAAAF+79QA=")</f>
        <v>#VALUE!</v>
      </c>
      <c r="B12" t="e">
        <f>AND('Printable Sheets'!O58,"AAAAAF+79QE=")</f>
        <v>#VALUE!</v>
      </c>
      <c r="C12" t="e">
        <f>AND('Printable Sheets'!P58,"AAAAAF+79QI=")</f>
        <v>#VALUE!</v>
      </c>
      <c r="D12" t="e">
        <f>AND('Printable Sheets'!Q58,"AAAAAF+79QM=")</f>
        <v>#VALUE!</v>
      </c>
      <c r="E12" t="e">
        <f>AND('Printable Sheets'!R58,"AAAAAF+79QQ=")</f>
        <v>#VALUE!</v>
      </c>
      <c r="F12" t="e">
        <f>AND('Printable Sheets'!S58,"AAAAAF+79QU=")</f>
        <v>#VALUE!</v>
      </c>
      <c r="G12" t="e">
        <f>AND('Printable Sheets'!T58,"AAAAAF+79QY=")</f>
        <v>#VALUE!</v>
      </c>
      <c r="H12" t="e">
        <f>AND('Printable Sheets'!U58,"AAAAAF+79Qc=")</f>
        <v>#VALUE!</v>
      </c>
      <c r="I12" t="e">
        <f>AND('Printable Sheets'!V58,"AAAAAF+79Qg=")</f>
        <v>#VALUE!</v>
      </c>
      <c r="J12" t="e">
        <f>AND('Printable Sheets'!W58,"AAAAAF+79Qk=")</f>
        <v>#VALUE!</v>
      </c>
      <c r="K12" t="e">
        <f>AND('Printable Sheets'!X58,"AAAAAF+79Qo=")</f>
        <v>#VALUE!</v>
      </c>
      <c r="L12" t="e">
        <f>AND('Printable Sheets'!Y58,"AAAAAF+79Qs=")</f>
        <v>#VALUE!</v>
      </c>
      <c r="M12" t="e">
        <f>AND('Printable Sheets'!Z58,"AAAAAF+79Qw=")</f>
        <v>#VALUE!</v>
      </c>
      <c r="N12" t="e">
        <f>AND('Printable Sheets'!AA58,"AAAAAF+79Q0=")</f>
        <v>#VALUE!</v>
      </c>
      <c r="O12" t="e">
        <f>AND('Printable Sheets'!AB58,"AAAAAF+79Q4=")</f>
        <v>#VALUE!</v>
      </c>
      <c r="P12" t="e">
        <f>AND('Printable Sheets'!AC58,"AAAAAF+79Q8=")</f>
        <v>#VALUE!</v>
      </c>
      <c r="Q12" t="e">
        <f>AND('Printable Sheets'!AD58,"AAAAAF+79RA=")</f>
        <v>#VALUE!</v>
      </c>
      <c r="R12">
        <f>IF('Printable Sheets'!A:A,"AAAAAF+79RE=",0)</f>
        <v>0</v>
      </c>
      <c r="S12">
        <f>IF('Printable Sheets'!B:B,"AAAAAF+79RI=",0)</f>
        <v>0</v>
      </c>
      <c r="T12" t="e">
        <f>IF('Printable Sheets'!C:C,"AAAAAF+79RM=",0)</f>
        <v>#VALUE!</v>
      </c>
      <c r="U12">
        <f>IF('Printable Sheets'!D:D,"AAAAAF+79RQ=",0)</f>
        <v>0</v>
      </c>
      <c r="V12">
        <f>IF('Printable Sheets'!E:E,"AAAAAF+79RU=",0)</f>
        <v>0</v>
      </c>
      <c r="W12" t="e">
        <f>IF('Printable Sheets'!F:F,"AAAAAF+79RY=",0)</f>
        <v>#VALUE!</v>
      </c>
      <c r="X12">
        <f>IF('Printable Sheets'!G:G,"AAAAAF+79Rc=",0)</f>
        <v>0</v>
      </c>
      <c r="Y12">
        <f>IF('Printable Sheets'!H:H,"AAAAAF+79Rg=",0)</f>
        <v>0</v>
      </c>
      <c r="Z12" t="e">
        <f>IF('Printable Sheets'!I:I,"AAAAAF+79Rk=",0)</f>
        <v>#VALUE!</v>
      </c>
      <c r="AA12">
        <f>IF('Printable Sheets'!J:J,"AAAAAF+79Ro=",0)</f>
        <v>0</v>
      </c>
      <c r="AB12">
        <f>IF('Printable Sheets'!K:K,"AAAAAF+79Rs=",0)</f>
        <v>0</v>
      </c>
      <c r="AC12">
        <f>IF('Printable Sheets'!L:L,"AAAAAF+79Rw=",0)</f>
        <v>0</v>
      </c>
      <c r="AD12">
        <f>IF('Printable Sheets'!M:M,"AAAAAF+79R0=",0)</f>
        <v>0</v>
      </c>
      <c r="AE12">
        <f>IF('Printable Sheets'!N:N,"AAAAAF+79R4=",0)</f>
        <v>0</v>
      </c>
      <c r="AF12" t="e">
        <f>IF('Printable Sheets'!O:O,"AAAAAF+79R8=",0)</f>
        <v>#VALUE!</v>
      </c>
      <c r="AG12">
        <f>IF('Printable Sheets'!P:P,"AAAAAF+79SA=",0)</f>
        <v>0</v>
      </c>
      <c r="AH12">
        <f>IF('Printable Sheets'!Q:Q,"AAAAAF+79SE=",0)</f>
        <v>0</v>
      </c>
      <c r="AI12" t="e">
        <f>IF('Printable Sheets'!R:R,"AAAAAF+79SI=",0)</f>
        <v>#VALUE!</v>
      </c>
      <c r="AJ12">
        <f>IF('Printable Sheets'!S:S,"AAAAAF+79SM=",0)</f>
        <v>0</v>
      </c>
      <c r="AK12">
        <f>IF('Printable Sheets'!T:T,"AAAAAF+79SQ=",0)</f>
        <v>0</v>
      </c>
      <c r="AL12" t="e">
        <f>IF('Printable Sheets'!U:U,"AAAAAF+79SU=",0)</f>
        <v>#VALUE!</v>
      </c>
      <c r="AM12">
        <f>IF('Printable Sheets'!V:V,"AAAAAF+79SY=",0)</f>
        <v>0</v>
      </c>
      <c r="AN12">
        <f>IF('Printable Sheets'!W:W,"AAAAAF+79Sc=",0)</f>
        <v>0</v>
      </c>
      <c r="AO12">
        <f>IF('Printable Sheets'!X:X,"AAAAAF+79Sg=",0)</f>
        <v>0</v>
      </c>
      <c r="AP12">
        <f>IF('Printable Sheets'!Y:Y,"AAAAAF+79Sk=",0)</f>
        <v>0</v>
      </c>
      <c r="AQ12">
        <f>IF('Printable Sheets'!Z:Z,"AAAAAF+79So=",0)</f>
        <v>0</v>
      </c>
      <c r="AR12">
        <f>IF('Printable Sheets'!AA:AA,"AAAAAF+79Ss=",0)</f>
        <v>0</v>
      </c>
      <c r="AS12">
        <f>IF('Printable Sheets'!AB:AB,"AAAAAF+79Sw=",0)</f>
        <v>0</v>
      </c>
      <c r="AT12">
        <f>IF('Printable Sheets'!AC:AC,"AAAAAF+79S0=",0)</f>
        <v>0</v>
      </c>
      <c r="AU12">
        <f>IF('Printable Sheets'!AD:AD,"AAAAAF+79S4=",0)</f>
        <v>0</v>
      </c>
      <c r="AV12">
        <f>IF('Scout Data Input'!1:1,"AAAAAF+79S8=",0)</f>
        <v>0</v>
      </c>
      <c r="AW12" t="e">
        <f>AND('Scout Data Input'!A1,"AAAAAF+79TA=")</f>
        <v>#VALUE!</v>
      </c>
      <c r="AX12" t="e">
        <f>AND('Scout Data Input'!B1,"AAAAAF+79TE=")</f>
        <v>#VALUE!</v>
      </c>
      <c r="AY12" t="e">
        <f>AND('Scout Data Input'!C1,"AAAAAF+79TI=")</f>
        <v>#VALUE!</v>
      </c>
      <c r="AZ12" t="e">
        <f>AND('Scout Data Input'!D1,"AAAAAF+79TM=")</f>
        <v>#VALUE!</v>
      </c>
      <c r="BA12" t="e">
        <f>AND('Scout Data Input'!E1,"AAAAAF+79TQ=")</f>
        <v>#VALUE!</v>
      </c>
      <c r="BB12" t="e">
        <f>AND('Scout Data Input'!F1,"AAAAAF+79TU=")</f>
        <v>#VALUE!</v>
      </c>
      <c r="BC12" t="e">
        <f>AND('Scout Data Input'!G1,"AAAAAF+79TY=")</f>
        <v>#VALUE!</v>
      </c>
      <c r="BD12" t="e">
        <f>AND('Scout Data Input'!H1,"AAAAAF+79Tc=")</f>
        <v>#VALUE!</v>
      </c>
      <c r="BE12" t="e">
        <f>AND('Scout Data Input'!I1,"AAAAAF+79Tg=")</f>
        <v>#VALUE!</v>
      </c>
      <c r="BF12" t="e">
        <f>AND('Scout Data Input'!J1,"AAAAAF+79Tk=")</f>
        <v>#VALUE!</v>
      </c>
      <c r="BG12" t="e">
        <f>AND('Scout Data Input'!K1,"AAAAAF+79To=")</f>
        <v>#VALUE!</v>
      </c>
      <c r="BH12" t="e">
        <f>AND('Scout Data Input'!L1,"AAAAAF+79Ts=")</f>
        <v>#VALUE!</v>
      </c>
      <c r="BI12" t="e">
        <f>AND('Scout Data Input'!M1,"AAAAAF+79Tw=")</f>
        <v>#VALUE!</v>
      </c>
      <c r="BJ12" t="e">
        <f>AND('Scout Data Input'!N1,"AAAAAF+79T0=")</f>
        <v>#VALUE!</v>
      </c>
      <c r="BK12" t="e">
        <f>AND('Scout Data Input'!O1,"AAAAAF+79T4=")</f>
        <v>#VALUE!</v>
      </c>
      <c r="BL12" t="e">
        <f>AND('Scout Data Input'!P1,"AAAAAF+79T8=")</f>
        <v>#VALUE!</v>
      </c>
      <c r="BM12" t="e">
        <f>AND('Scout Data Input'!Q1,"AAAAAF+79UA=")</f>
        <v>#VALUE!</v>
      </c>
      <c r="BN12" t="e">
        <f>AND('Scout Data Input'!R1,"AAAAAF+79UE=")</f>
        <v>#VALUE!</v>
      </c>
      <c r="BO12" t="e">
        <f>AND('Scout Data Input'!S1,"AAAAAF+79UI=")</f>
        <v>#VALUE!</v>
      </c>
      <c r="BP12">
        <f>IF('Scout Data Input'!2:2,"AAAAAF+79UM=",0)</f>
        <v>0</v>
      </c>
      <c r="BQ12" t="e">
        <f>AND('Scout Data Input'!A2,"AAAAAF+79UQ=")</f>
        <v>#VALUE!</v>
      </c>
      <c r="BR12" t="e">
        <f>AND('Scout Data Input'!B2,"AAAAAF+79UU=")</f>
        <v>#VALUE!</v>
      </c>
      <c r="BS12" t="e">
        <f>AND('Scout Data Input'!C2,"AAAAAF+79UY=")</f>
        <v>#VALUE!</v>
      </c>
      <c r="BT12" t="e">
        <f>AND('Scout Data Input'!D2,"AAAAAF+79Uc=")</f>
        <v>#VALUE!</v>
      </c>
      <c r="BU12" t="e">
        <f>AND('Scout Data Input'!E2,"AAAAAF+79Ug=")</f>
        <v>#VALUE!</v>
      </c>
      <c r="BV12" t="e">
        <f>AND('Scout Data Input'!F2,"AAAAAF+79Uk=")</f>
        <v>#VALUE!</v>
      </c>
      <c r="BW12" t="e">
        <f>AND('Scout Data Input'!G2,"AAAAAF+79Uo=")</f>
        <v>#VALUE!</v>
      </c>
      <c r="BX12" t="e">
        <f>AND('Scout Data Input'!H2,"AAAAAF+79Us=")</f>
        <v>#VALUE!</v>
      </c>
      <c r="BY12" t="e">
        <f>AND('Scout Data Input'!I2,"AAAAAF+79Uw=")</f>
        <v>#VALUE!</v>
      </c>
      <c r="BZ12" t="e">
        <f>AND('Scout Data Input'!J2,"AAAAAF+79U0=")</f>
        <v>#VALUE!</v>
      </c>
      <c r="CA12" t="e">
        <f>AND('Scout Data Input'!K2,"AAAAAF+79U4=")</f>
        <v>#VALUE!</v>
      </c>
      <c r="CB12" t="e">
        <f>AND('Scout Data Input'!L2,"AAAAAF+79U8=")</f>
        <v>#VALUE!</v>
      </c>
      <c r="CC12" t="e">
        <f>AND('Scout Data Input'!M2,"AAAAAF+79VA=")</f>
        <v>#VALUE!</v>
      </c>
      <c r="CD12" t="e">
        <f>AND('Scout Data Input'!N2,"AAAAAF+79VE=")</f>
        <v>#VALUE!</v>
      </c>
      <c r="CE12" t="e">
        <f>AND('Scout Data Input'!O2,"AAAAAF+79VI=")</f>
        <v>#VALUE!</v>
      </c>
      <c r="CF12" t="e">
        <f>AND('Scout Data Input'!P2,"AAAAAF+79VM=")</f>
        <v>#VALUE!</v>
      </c>
      <c r="CG12" t="e">
        <f>AND('Scout Data Input'!Q2,"AAAAAF+79VQ=")</f>
        <v>#VALUE!</v>
      </c>
      <c r="CH12" t="e">
        <f>AND('Scout Data Input'!R2,"AAAAAF+79VU=")</f>
        <v>#VALUE!</v>
      </c>
      <c r="CI12" t="e">
        <f>AND('Scout Data Input'!S2,"AAAAAF+79VY=")</f>
        <v>#VALUE!</v>
      </c>
      <c r="CJ12">
        <f>IF('Scout Data Input'!3:3,"AAAAAF+79Vc=",0)</f>
        <v>0</v>
      </c>
      <c r="CK12" t="e">
        <f>AND('Scout Data Input'!A3,"AAAAAF+79Vg=")</f>
        <v>#VALUE!</v>
      </c>
      <c r="CL12" t="e">
        <f>AND('Scout Data Input'!B3,"AAAAAF+79Vk=")</f>
        <v>#VALUE!</v>
      </c>
      <c r="CM12" t="e">
        <f>AND('Scout Data Input'!C3,"AAAAAF+79Vo=")</f>
        <v>#VALUE!</v>
      </c>
      <c r="CN12" t="e">
        <f>AND('Scout Data Input'!D3,"AAAAAF+79Vs=")</f>
        <v>#VALUE!</v>
      </c>
      <c r="CO12" t="e">
        <f>AND('Scout Data Input'!E3,"AAAAAF+79Vw=")</f>
        <v>#VALUE!</v>
      </c>
      <c r="CP12" t="e">
        <f>AND('Scout Data Input'!F3,"AAAAAF+79V0=")</f>
        <v>#VALUE!</v>
      </c>
      <c r="CQ12" t="e">
        <f>AND('Scout Data Input'!G3,"AAAAAF+79V4=")</f>
        <v>#VALUE!</v>
      </c>
      <c r="CR12" t="e">
        <f>AND('Scout Data Input'!H3,"AAAAAF+79V8=")</f>
        <v>#VALUE!</v>
      </c>
      <c r="CS12" t="e">
        <f>AND('Scout Data Input'!I3,"AAAAAF+79WA=")</f>
        <v>#VALUE!</v>
      </c>
      <c r="CT12" t="e">
        <f>AND('Scout Data Input'!J3,"AAAAAF+79WE=")</f>
        <v>#VALUE!</v>
      </c>
      <c r="CU12" t="e">
        <f>AND('Scout Data Input'!K3,"AAAAAF+79WI=")</f>
        <v>#VALUE!</v>
      </c>
      <c r="CV12" t="e">
        <f>AND('Scout Data Input'!L3,"AAAAAF+79WM=")</f>
        <v>#VALUE!</v>
      </c>
      <c r="CW12" t="e">
        <f>AND('Scout Data Input'!M3,"AAAAAF+79WQ=")</f>
        <v>#VALUE!</v>
      </c>
      <c r="CX12" t="e">
        <f>AND('Scout Data Input'!N3,"AAAAAF+79WU=")</f>
        <v>#VALUE!</v>
      </c>
      <c r="CY12" t="e">
        <f>AND('Scout Data Input'!O3,"AAAAAF+79WY=")</f>
        <v>#VALUE!</v>
      </c>
      <c r="CZ12" t="e">
        <f>AND('Scout Data Input'!P3,"AAAAAF+79Wc=")</f>
        <v>#VALUE!</v>
      </c>
      <c r="DA12" t="e">
        <f>AND('Scout Data Input'!Q3,"AAAAAF+79Wg=")</f>
        <v>#VALUE!</v>
      </c>
      <c r="DB12" t="e">
        <f>AND('Scout Data Input'!R3,"AAAAAF+79Wk=")</f>
        <v>#VALUE!</v>
      </c>
      <c r="DC12" t="e">
        <f>AND('Scout Data Input'!S3,"AAAAAF+79Wo=")</f>
        <v>#VALUE!</v>
      </c>
      <c r="DD12">
        <f>IF('Scout Data Input'!4:4,"AAAAAF+79Ws=",0)</f>
        <v>0</v>
      </c>
      <c r="DE12" t="e">
        <f>AND('Scout Data Input'!A4,"AAAAAF+79Ww=")</f>
        <v>#VALUE!</v>
      </c>
      <c r="DF12" t="e">
        <f>AND('Scout Data Input'!B4,"AAAAAF+79W0=")</f>
        <v>#VALUE!</v>
      </c>
      <c r="DG12" t="e">
        <f>AND('Scout Data Input'!C4,"AAAAAF+79W4=")</f>
        <v>#VALUE!</v>
      </c>
      <c r="DH12" t="e">
        <f>AND('Scout Data Input'!D4,"AAAAAF+79W8=")</f>
        <v>#VALUE!</v>
      </c>
      <c r="DI12" t="e">
        <f>AND('Scout Data Input'!E4,"AAAAAF+79XA=")</f>
        <v>#VALUE!</v>
      </c>
      <c r="DJ12" t="e">
        <f>AND('Scout Data Input'!F4,"AAAAAF+79XE=")</f>
        <v>#VALUE!</v>
      </c>
      <c r="DK12" t="e">
        <f>AND('Scout Data Input'!G4,"AAAAAF+79XI=")</f>
        <v>#VALUE!</v>
      </c>
      <c r="DL12" t="e">
        <f>AND('Scout Data Input'!H4,"AAAAAF+79XM=")</f>
        <v>#VALUE!</v>
      </c>
      <c r="DM12" t="e">
        <f>AND('Scout Data Input'!I4,"AAAAAF+79XQ=")</f>
        <v>#VALUE!</v>
      </c>
      <c r="DN12" t="e">
        <f>AND('Scout Data Input'!J4,"AAAAAF+79XU=")</f>
        <v>#VALUE!</v>
      </c>
      <c r="DO12" t="e">
        <f>AND('Scout Data Input'!K4,"AAAAAF+79XY=")</f>
        <v>#VALUE!</v>
      </c>
      <c r="DP12" t="e">
        <f>AND('Scout Data Input'!L4,"AAAAAF+79Xc=")</f>
        <v>#VALUE!</v>
      </c>
      <c r="DQ12" t="e">
        <f>AND('Scout Data Input'!M4,"AAAAAF+79Xg=")</f>
        <v>#VALUE!</v>
      </c>
      <c r="DR12" t="e">
        <f>AND('Scout Data Input'!N4,"AAAAAF+79Xk=")</f>
        <v>#VALUE!</v>
      </c>
      <c r="DS12" t="e">
        <f>AND('Scout Data Input'!O4,"AAAAAF+79Xo=")</f>
        <v>#VALUE!</v>
      </c>
      <c r="DT12" t="e">
        <f>AND('Scout Data Input'!P4,"AAAAAF+79Xs=")</f>
        <v>#VALUE!</v>
      </c>
      <c r="DU12" t="e">
        <f>AND('Scout Data Input'!Q4,"AAAAAF+79Xw=")</f>
        <v>#VALUE!</v>
      </c>
      <c r="DV12" t="e">
        <f>AND('Scout Data Input'!R4,"AAAAAF+79X0=")</f>
        <v>#VALUE!</v>
      </c>
      <c r="DW12" t="e">
        <f>AND('Scout Data Input'!S4,"AAAAAF+79X4=")</f>
        <v>#VALUE!</v>
      </c>
      <c r="DX12">
        <f>IF('Scout Data Input'!5:5,"AAAAAF+79X8=",0)</f>
        <v>0</v>
      </c>
      <c r="DY12" t="e">
        <f>AND('Scout Data Input'!A5,"AAAAAF+79YA=")</f>
        <v>#VALUE!</v>
      </c>
      <c r="DZ12" t="e">
        <f>AND('Scout Data Input'!B5,"AAAAAF+79YE=")</f>
        <v>#VALUE!</v>
      </c>
      <c r="EA12" t="e">
        <f>AND('Scout Data Input'!C5,"AAAAAF+79YI=")</f>
        <v>#VALUE!</v>
      </c>
      <c r="EB12" t="e">
        <f>AND('Scout Data Input'!D5,"AAAAAF+79YM=")</f>
        <v>#VALUE!</v>
      </c>
      <c r="EC12" t="e">
        <f>AND('Scout Data Input'!E5,"AAAAAF+79YQ=")</f>
        <v>#VALUE!</v>
      </c>
      <c r="ED12" t="e">
        <f>AND('Scout Data Input'!F5,"AAAAAF+79YU=")</f>
        <v>#VALUE!</v>
      </c>
      <c r="EE12" t="e">
        <f>AND('Scout Data Input'!G5,"AAAAAF+79YY=")</f>
        <v>#VALUE!</v>
      </c>
      <c r="EF12" t="e">
        <f>AND('Scout Data Input'!H5,"AAAAAF+79Yc=")</f>
        <v>#VALUE!</v>
      </c>
      <c r="EG12" t="e">
        <f>AND('Scout Data Input'!I5,"AAAAAF+79Yg=")</f>
        <v>#VALUE!</v>
      </c>
      <c r="EH12" t="e">
        <f>AND('Scout Data Input'!J5,"AAAAAF+79Yk=")</f>
        <v>#VALUE!</v>
      </c>
      <c r="EI12" t="e">
        <f>AND('Scout Data Input'!K5,"AAAAAF+79Yo=")</f>
        <v>#VALUE!</v>
      </c>
      <c r="EJ12" t="e">
        <f>AND('Scout Data Input'!L5,"AAAAAF+79Ys=")</f>
        <v>#VALUE!</v>
      </c>
      <c r="EK12" t="e">
        <f>AND('Scout Data Input'!M5,"AAAAAF+79Yw=")</f>
        <v>#VALUE!</v>
      </c>
      <c r="EL12" t="e">
        <f>AND('Scout Data Input'!N5,"AAAAAF+79Y0=")</f>
        <v>#VALUE!</v>
      </c>
      <c r="EM12" t="e">
        <f>AND('Scout Data Input'!O5,"AAAAAF+79Y4=")</f>
        <v>#VALUE!</v>
      </c>
      <c r="EN12" t="e">
        <f>AND('Scout Data Input'!P5,"AAAAAF+79Y8=")</f>
        <v>#VALUE!</v>
      </c>
      <c r="EO12" t="e">
        <f>AND('Scout Data Input'!Q5,"AAAAAF+79ZA=")</f>
        <v>#VALUE!</v>
      </c>
      <c r="EP12" t="e">
        <f>AND('Scout Data Input'!R5,"AAAAAF+79ZE=")</f>
        <v>#VALUE!</v>
      </c>
      <c r="EQ12" t="e">
        <f>AND('Scout Data Input'!S5,"AAAAAF+79ZI=")</f>
        <v>#VALUE!</v>
      </c>
      <c r="ER12">
        <f>IF('Scout Data Input'!6:6,"AAAAAF+79ZM=",0)</f>
        <v>0</v>
      </c>
      <c r="ES12" t="e">
        <f>AND('Scout Data Input'!A6,"AAAAAF+79ZQ=")</f>
        <v>#VALUE!</v>
      </c>
      <c r="ET12" t="e">
        <f>AND('Scout Data Input'!B6,"AAAAAF+79ZU=")</f>
        <v>#VALUE!</v>
      </c>
      <c r="EU12" t="e">
        <f>AND('Scout Data Input'!C6,"AAAAAF+79ZY=")</f>
        <v>#VALUE!</v>
      </c>
      <c r="EV12" t="e">
        <f>AND('Scout Data Input'!D6,"AAAAAF+79Zc=")</f>
        <v>#VALUE!</v>
      </c>
      <c r="EW12" t="e">
        <f>AND('Scout Data Input'!E6,"AAAAAF+79Zg=")</f>
        <v>#VALUE!</v>
      </c>
      <c r="EX12" t="e">
        <f>AND('Scout Data Input'!F6,"AAAAAF+79Zk=")</f>
        <v>#VALUE!</v>
      </c>
      <c r="EY12" t="e">
        <f>AND('Scout Data Input'!G6,"AAAAAF+79Zo=")</f>
        <v>#VALUE!</v>
      </c>
      <c r="EZ12" t="e">
        <f>AND('Scout Data Input'!H6,"AAAAAF+79Zs=")</f>
        <v>#VALUE!</v>
      </c>
      <c r="FA12" t="e">
        <f>AND('Scout Data Input'!I6,"AAAAAF+79Zw=")</f>
        <v>#VALUE!</v>
      </c>
      <c r="FB12" t="e">
        <f>AND('Scout Data Input'!J6,"AAAAAF+79Z0=")</f>
        <v>#VALUE!</v>
      </c>
      <c r="FC12" t="e">
        <f>AND('Scout Data Input'!K6,"AAAAAF+79Z4=")</f>
        <v>#VALUE!</v>
      </c>
      <c r="FD12" t="e">
        <f>AND('Scout Data Input'!L6,"AAAAAF+79Z8=")</f>
        <v>#VALUE!</v>
      </c>
      <c r="FE12" t="e">
        <f>AND('Scout Data Input'!M6,"AAAAAF+79aA=")</f>
        <v>#VALUE!</v>
      </c>
      <c r="FF12" t="e">
        <f>AND('Scout Data Input'!N6,"AAAAAF+79aE=")</f>
        <v>#VALUE!</v>
      </c>
      <c r="FG12" t="e">
        <f>AND('Scout Data Input'!O6,"AAAAAF+79aI=")</f>
        <v>#VALUE!</v>
      </c>
      <c r="FH12" t="e">
        <f>AND('Scout Data Input'!P6,"AAAAAF+79aM=")</f>
        <v>#VALUE!</v>
      </c>
      <c r="FI12" t="e">
        <f>AND('Scout Data Input'!Q6,"AAAAAF+79aQ=")</f>
        <v>#VALUE!</v>
      </c>
      <c r="FJ12" t="e">
        <f>AND('Scout Data Input'!R6,"AAAAAF+79aU=")</f>
        <v>#VALUE!</v>
      </c>
      <c r="FK12" t="e">
        <f>AND('Scout Data Input'!S6,"AAAAAF+79aY=")</f>
        <v>#VALUE!</v>
      </c>
      <c r="FL12">
        <f>IF('Scout Data Input'!7:7,"AAAAAF+79ac=",0)</f>
        <v>0</v>
      </c>
      <c r="FM12" t="e">
        <f>AND('Scout Data Input'!A7,"AAAAAF+79ag=")</f>
        <v>#VALUE!</v>
      </c>
      <c r="FN12" t="e">
        <f>AND('Scout Data Input'!B7,"AAAAAF+79ak=")</f>
        <v>#VALUE!</v>
      </c>
      <c r="FO12" t="e">
        <f>AND('Scout Data Input'!C7,"AAAAAF+79ao=")</f>
        <v>#VALUE!</v>
      </c>
      <c r="FP12" t="e">
        <f>AND('Scout Data Input'!D7,"AAAAAF+79as=")</f>
        <v>#VALUE!</v>
      </c>
      <c r="FQ12" t="e">
        <f>AND('Scout Data Input'!E7,"AAAAAF+79aw=")</f>
        <v>#VALUE!</v>
      </c>
      <c r="FR12" t="e">
        <f>AND('Scout Data Input'!F7,"AAAAAF+79a0=")</f>
        <v>#VALUE!</v>
      </c>
      <c r="FS12" t="e">
        <f>AND('Scout Data Input'!G7,"AAAAAF+79a4=")</f>
        <v>#VALUE!</v>
      </c>
      <c r="FT12" t="e">
        <f>AND('Scout Data Input'!H7,"AAAAAF+79a8=")</f>
        <v>#VALUE!</v>
      </c>
      <c r="FU12" t="e">
        <f>AND('Scout Data Input'!I7,"AAAAAF+79bA=")</f>
        <v>#VALUE!</v>
      </c>
      <c r="FV12" t="e">
        <f>AND('Scout Data Input'!J7,"AAAAAF+79bE=")</f>
        <v>#VALUE!</v>
      </c>
      <c r="FW12" t="e">
        <f>AND('Scout Data Input'!K7,"AAAAAF+79bI=")</f>
        <v>#VALUE!</v>
      </c>
      <c r="FX12" t="e">
        <f>AND('Scout Data Input'!L7,"AAAAAF+79bM=")</f>
        <v>#VALUE!</v>
      </c>
      <c r="FY12" t="e">
        <f>AND('Scout Data Input'!M7,"AAAAAF+79bQ=")</f>
        <v>#VALUE!</v>
      </c>
      <c r="FZ12" t="e">
        <f>AND('Scout Data Input'!N7,"AAAAAF+79bU=")</f>
        <v>#VALUE!</v>
      </c>
      <c r="GA12" t="e">
        <f>AND('Scout Data Input'!O7,"AAAAAF+79bY=")</f>
        <v>#VALUE!</v>
      </c>
      <c r="GB12" t="e">
        <f>AND('Scout Data Input'!P7,"AAAAAF+79bc=")</f>
        <v>#VALUE!</v>
      </c>
      <c r="GC12" t="e">
        <f>AND('Scout Data Input'!Q7,"AAAAAF+79bg=")</f>
        <v>#VALUE!</v>
      </c>
      <c r="GD12" t="e">
        <f>AND('Scout Data Input'!R7,"AAAAAF+79bk=")</f>
        <v>#VALUE!</v>
      </c>
      <c r="GE12" t="e">
        <f>AND('Scout Data Input'!S7,"AAAAAF+79bo=")</f>
        <v>#VALUE!</v>
      </c>
      <c r="GF12">
        <f>IF('Scout Data Input'!8:8,"AAAAAF+79bs=",0)</f>
        <v>0</v>
      </c>
      <c r="GG12" t="e">
        <f>AND('Scout Data Input'!A8,"AAAAAF+79bw=")</f>
        <v>#VALUE!</v>
      </c>
      <c r="GH12" t="e">
        <f>AND('Scout Data Input'!B8,"AAAAAF+79b0=")</f>
        <v>#VALUE!</v>
      </c>
      <c r="GI12" t="e">
        <f>AND('Scout Data Input'!C8,"AAAAAF+79b4=")</f>
        <v>#VALUE!</v>
      </c>
      <c r="GJ12" t="e">
        <f>AND('Scout Data Input'!D8,"AAAAAF+79b8=")</f>
        <v>#VALUE!</v>
      </c>
      <c r="GK12" t="e">
        <f>AND('Scout Data Input'!E8,"AAAAAF+79cA=")</f>
        <v>#VALUE!</v>
      </c>
      <c r="GL12" t="e">
        <f>AND('Scout Data Input'!F8,"AAAAAF+79cE=")</f>
        <v>#VALUE!</v>
      </c>
      <c r="GM12" t="e">
        <f>AND('Scout Data Input'!G8,"AAAAAF+79cI=")</f>
        <v>#VALUE!</v>
      </c>
      <c r="GN12" t="e">
        <f>AND('Scout Data Input'!H8,"AAAAAF+79cM=")</f>
        <v>#VALUE!</v>
      </c>
      <c r="GO12" t="e">
        <f>AND('Scout Data Input'!I8,"AAAAAF+79cQ=")</f>
        <v>#VALUE!</v>
      </c>
      <c r="GP12" t="e">
        <f>AND('Scout Data Input'!J8,"AAAAAF+79cU=")</f>
        <v>#VALUE!</v>
      </c>
      <c r="GQ12" t="e">
        <f>AND('Scout Data Input'!K8,"AAAAAF+79cY=")</f>
        <v>#VALUE!</v>
      </c>
      <c r="GR12" t="e">
        <f>AND('Scout Data Input'!L8,"AAAAAF+79cc=")</f>
        <v>#VALUE!</v>
      </c>
      <c r="GS12" t="e">
        <f>AND('Scout Data Input'!M8,"AAAAAF+79cg=")</f>
        <v>#VALUE!</v>
      </c>
      <c r="GT12" t="e">
        <f>AND('Scout Data Input'!N8,"AAAAAF+79ck=")</f>
        <v>#VALUE!</v>
      </c>
      <c r="GU12" t="e">
        <f>AND('Scout Data Input'!O8,"AAAAAF+79co=")</f>
        <v>#VALUE!</v>
      </c>
      <c r="GV12" t="e">
        <f>AND('Scout Data Input'!P8,"AAAAAF+79cs=")</f>
        <v>#VALUE!</v>
      </c>
      <c r="GW12" t="e">
        <f>AND('Scout Data Input'!Q8,"AAAAAF+79cw=")</f>
        <v>#VALUE!</v>
      </c>
      <c r="GX12" t="e">
        <f>AND('Scout Data Input'!R8,"AAAAAF+79c0=")</f>
        <v>#VALUE!</v>
      </c>
      <c r="GY12" t="e">
        <f>AND('Scout Data Input'!S8,"AAAAAF+79c4=")</f>
        <v>#VALUE!</v>
      </c>
      <c r="GZ12">
        <f>IF('Scout Data Input'!9:9,"AAAAAF+79c8=",0)</f>
        <v>0</v>
      </c>
      <c r="HA12" t="e">
        <f>AND('Scout Data Input'!A9,"AAAAAF+79dA=")</f>
        <v>#VALUE!</v>
      </c>
      <c r="HB12" t="e">
        <f>AND('Scout Data Input'!B9,"AAAAAF+79dE=")</f>
        <v>#VALUE!</v>
      </c>
      <c r="HC12" t="e">
        <f>AND('Scout Data Input'!C9,"AAAAAF+79dI=")</f>
        <v>#VALUE!</v>
      </c>
      <c r="HD12" t="e">
        <f>AND('Scout Data Input'!D9,"AAAAAF+79dM=")</f>
        <v>#VALUE!</v>
      </c>
      <c r="HE12" t="e">
        <f>AND('Scout Data Input'!E9,"AAAAAF+79dQ=")</f>
        <v>#VALUE!</v>
      </c>
      <c r="HF12" t="e">
        <f>AND('Scout Data Input'!F9,"AAAAAF+79dU=")</f>
        <v>#VALUE!</v>
      </c>
      <c r="HG12" t="e">
        <f>AND('Scout Data Input'!G9,"AAAAAF+79dY=")</f>
        <v>#VALUE!</v>
      </c>
      <c r="HH12" t="e">
        <f>AND('Scout Data Input'!H9,"AAAAAF+79dc=")</f>
        <v>#VALUE!</v>
      </c>
      <c r="HI12" t="e">
        <f>AND('Scout Data Input'!I9,"AAAAAF+79dg=")</f>
        <v>#VALUE!</v>
      </c>
      <c r="HJ12" t="e">
        <f>AND('Scout Data Input'!J9,"AAAAAF+79dk=")</f>
        <v>#VALUE!</v>
      </c>
      <c r="HK12" t="e">
        <f>AND('Scout Data Input'!K9,"AAAAAF+79do=")</f>
        <v>#VALUE!</v>
      </c>
      <c r="HL12" t="e">
        <f>AND('Scout Data Input'!L9,"AAAAAF+79ds=")</f>
        <v>#VALUE!</v>
      </c>
      <c r="HM12" t="e">
        <f>AND('Scout Data Input'!M9,"AAAAAF+79dw=")</f>
        <v>#VALUE!</v>
      </c>
      <c r="HN12" t="e">
        <f>AND('Scout Data Input'!N9,"AAAAAF+79d0=")</f>
        <v>#VALUE!</v>
      </c>
      <c r="HO12" t="e">
        <f>AND('Scout Data Input'!O9,"AAAAAF+79d4=")</f>
        <v>#VALUE!</v>
      </c>
      <c r="HP12" t="e">
        <f>AND('Scout Data Input'!P9,"AAAAAF+79d8=")</f>
        <v>#VALUE!</v>
      </c>
      <c r="HQ12" t="e">
        <f>AND('Scout Data Input'!Q9,"AAAAAF+79eA=")</f>
        <v>#VALUE!</v>
      </c>
      <c r="HR12" t="e">
        <f>AND('Scout Data Input'!R9,"AAAAAF+79eE=")</f>
        <v>#VALUE!</v>
      </c>
      <c r="HS12" t="e">
        <f>AND('Scout Data Input'!S9,"AAAAAF+79eI=")</f>
        <v>#VALUE!</v>
      </c>
      <c r="HT12">
        <f>IF('Scout Data Input'!10:10,"AAAAAF+79eM=",0)</f>
        <v>0</v>
      </c>
      <c r="HU12" t="e">
        <f>AND('Scout Data Input'!A10,"AAAAAF+79eQ=")</f>
        <v>#VALUE!</v>
      </c>
      <c r="HV12" t="e">
        <f>AND('Scout Data Input'!B10,"AAAAAF+79eU=")</f>
        <v>#VALUE!</v>
      </c>
      <c r="HW12" t="e">
        <f>AND('Scout Data Input'!C10,"AAAAAF+79eY=")</f>
        <v>#VALUE!</v>
      </c>
      <c r="HX12" t="e">
        <f>AND('Scout Data Input'!D10,"AAAAAF+79ec=")</f>
        <v>#VALUE!</v>
      </c>
      <c r="HY12" t="e">
        <f>AND('Scout Data Input'!E10,"AAAAAF+79eg=")</f>
        <v>#VALUE!</v>
      </c>
      <c r="HZ12" t="e">
        <f>AND('Scout Data Input'!F10,"AAAAAF+79ek=")</f>
        <v>#VALUE!</v>
      </c>
      <c r="IA12" t="e">
        <f>AND('Scout Data Input'!G10,"AAAAAF+79eo=")</f>
        <v>#VALUE!</v>
      </c>
      <c r="IB12" t="e">
        <f>AND('Scout Data Input'!H10,"AAAAAF+79es=")</f>
        <v>#VALUE!</v>
      </c>
      <c r="IC12" t="e">
        <f>AND('Scout Data Input'!I10,"AAAAAF+79ew=")</f>
        <v>#VALUE!</v>
      </c>
      <c r="ID12" t="e">
        <f>AND('Scout Data Input'!J10,"AAAAAF+79e0=")</f>
        <v>#VALUE!</v>
      </c>
      <c r="IE12" t="e">
        <f>AND('Scout Data Input'!K10,"AAAAAF+79e4=")</f>
        <v>#VALUE!</v>
      </c>
      <c r="IF12" t="e">
        <f>AND('Scout Data Input'!L10,"AAAAAF+79e8=")</f>
        <v>#VALUE!</v>
      </c>
      <c r="IG12" t="e">
        <f>AND('Scout Data Input'!M10,"AAAAAF+79fA=")</f>
        <v>#VALUE!</v>
      </c>
      <c r="IH12" t="e">
        <f>AND('Scout Data Input'!N10,"AAAAAF+79fE=")</f>
        <v>#VALUE!</v>
      </c>
      <c r="II12" t="e">
        <f>AND('Scout Data Input'!O10,"AAAAAF+79fI=")</f>
        <v>#VALUE!</v>
      </c>
      <c r="IJ12" t="e">
        <f>AND('Scout Data Input'!P10,"AAAAAF+79fM=")</f>
        <v>#VALUE!</v>
      </c>
      <c r="IK12" t="e">
        <f>AND('Scout Data Input'!Q10,"AAAAAF+79fQ=")</f>
        <v>#VALUE!</v>
      </c>
      <c r="IL12" t="e">
        <f>AND('Scout Data Input'!R10,"AAAAAF+79fU=")</f>
        <v>#VALUE!</v>
      </c>
      <c r="IM12" t="e">
        <f>AND('Scout Data Input'!S10,"AAAAAF+79fY=")</f>
        <v>#VALUE!</v>
      </c>
      <c r="IN12">
        <f>IF('Scout Data Input'!11:11,"AAAAAF+79fc=",0)</f>
        <v>0</v>
      </c>
      <c r="IO12" t="e">
        <f>AND('Scout Data Input'!A11,"AAAAAF+79fg=")</f>
        <v>#VALUE!</v>
      </c>
      <c r="IP12" t="e">
        <f>AND('Scout Data Input'!B11,"AAAAAF+79fk=")</f>
        <v>#VALUE!</v>
      </c>
      <c r="IQ12" t="e">
        <f>AND('Scout Data Input'!C11,"AAAAAF+79fo=")</f>
        <v>#VALUE!</v>
      </c>
      <c r="IR12" t="e">
        <f>AND('Scout Data Input'!D11,"AAAAAF+79fs=")</f>
        <v>#VALUE!</v>
      </c>
      <c r="IS12" t="e">
        <f>AND('Scout Data Input'!E11,"AAAAAF+79fw=")</f>
        <v>#VALUE!</v>
      </c>
      <c r="IT12" t="e">
        <f>AND('Scout Data Input'!F11,"AAAAAF+79f0=")</f>
        <v>#VALUE!</v>
      </c>
      <c r="IU12" t="e">
        <f>AND('Scout Data Input'!G11,"AAAAAF+79f4=")</f>
        <v>#VALUE!</v>
      </c>
      <c r="IV12" t="e">
        <f>AND('Scout Data Input'!H11,"AAAAAF+79f8=")</f>
        <v>#VALUE!</v>
      </c>
    </row>
    <row r="13" spans="1:256" x14ac:dyDescent="0.2">
      <c r="A13" t="e">
        <f>AND('Scout Data Input'!I11,"AAAAAHm7fwA=")</f>
        <v>#VALUE!</v>
      </c>
      <c r="B13" t="e">
        <f>AND('Scout Data Input'!J11,"AAAAAHm7fwE=")</f>
        <v>#VALUE!</v>
      </c>
      <c r="C13" t="e">
        <f>AND('Scout Data Input'!K11,"AAAAAHm7fwI=")</f>
        <v>#VALUE!</v>
      </c>
      <c r="D13" t="e">
        <f>AND('Scout Data Input'!L11,"AAAAAHm7fwM=")</f>
        <v>#VALUE!</v>
      </c>
      <c r="E13" t="e">
        <f>AND('Scout Data Input'!M11,"AAAAAHm7fwQ=")</f>
        <v>#VALUE!</v>
      </c>
      <c r="F13" t="e">
        <f>AND('Scout Data Input'!N11,"AAAAAHm7fwU=")</f>
        <v>#VALUE!</v>
      </c>
      <c r="G13" t="e">
        <f>AND('Scout Data Input'!O11,"AAAAAHm7fwY=")</f>
        <v>#VALUE!</v>
      </c>
      <c r="H13" t="e">
        <f>AND('Scout Data Input'!P11,"AAAAAHm7fwc=")</f>
        <v>#VALUE!</v>
      </c>
      <c r="I13" t="e">
        <f>AND('Scout Data Input'!Q11,"AAAAAHm7fwg=")</f>
        <v>#VALUE!</v>
      </c>
      <c r="J13" t="e">
        <f>AND('Scout Data Input'!R11,"AAAAAHm7fwk=")</f>
        <v>#VALUE!</v>
      </c>
      <c r="K13" t="e">
        <f>AND('Scout Data Input'!S11,"AAAAAHm7fwo=")</f>
        <v>#VALUE!</v>
      </c>
      <c r="L13">
        <f>IF('Scout Data Input'!12:12,"AAAAAHm7fws=",0)</f>
        <v>0</v>
      </c>
      <c r="M13" t="e">
        <f>AND('Scout Data Input'!A12,"AAAAAHm7fww=")</f>
        <v>#VALUE!</v>
      </c>
      <c r="N13" t="e">
        <f>AND('Scout Data Input'!B12,"AAAAAHm7fw0=")</f>
        <v>#VALUE!</v>
      </c>
      <c r="O13" t="e">
        <f>AND('Scout Data Input'!C12,"AAAAAHm7fw4=")</f>
        <v>#VALUE!</v>
      </c>
      <c r="P13" t="e">
        <f>AND('Scout Data Input'!D12,"AAAAAHm7fw8=")</f>
        <v>#VALUE!</v>
      </c>
      <c r="Q13" t="e">
        <f>AND('Scout Data Input'!E12,"AAAAAHm7fxA=")</f>
        <v>#VALUE!</v>
      </c>
      <c r="R13" t="e">
        <f>AND('Scout Data Input'!F12,"AAAAAHm7fxE=")</f>
        <v>#VALUE!</v>
      </c>
      <c r="S13" t="e">
        <f>AND('Scout Data Input'!G12,"AAAAAHm7fxI=")</f>
        <v>#VALUE!</v>
      </c>
      <c r="T13" t="e">
        <f>AND('Scout Data Input'!H12,"AAAAAHm7fxM=")</f>
        <v>#VALUE!</v>
      </c>
      <c r="U13" t="e">
        <f>AND('Scout Data Input'!I12,"AAAAAHm7fxQ=")</f>
        <v>#VALUE!</v>
      </c>
      <c r="V13" t="e">
        <f>AND('Scout Data Input'!J12,"AAAAAHm7fxU=")</f>
        <v>#VALUE!</v>
      </c>
      <c r="W13" t="e">
        <f>AND('Scout Data Input'!K12,"AAAAAHm7fxY=")</f>
        <v>#VALUE!</v>
      </c>
      <c r="X13" t="e">
        <f>AND('Scout Data Input'!L12,"AAAAAHm7fxc=")</f>
        <v>#VALUE!</v>
      </c>
      <c r="Y13" t="e">
        <f>AND('Scout Data Input'!M12,"AAAAAHm7fxg=")</f>
        <v>#VALUE!</v>
      </c>
      <c r="Z13" t="e">
        <f>AND('Scout Data Input'!N12,"AAAAAHm7fxk=")</f>
        <v>#VALUE!</v>
      </c>
      <c r="AA13" t="e">
        <f>AND('Scout Data Input'!O12,"AAAAAHm7fxo=")</f>
        <v>#VALUE!</v>
      </c>
      <c r="AB13" t="e">
        <f>AND('Scout Data Input'!P12,"AAAAAHm7fxs=")</f>
        <v>#VALUE!</v>
      </c>
      <c r="AC13" t="e">
        <f>AND('Scout Data Input'!Q12,"AAAAAHm7fxw=")</f>
        <v>#VALUE!</v>
      </c>
      <c r="AD13" t="e">
        <f>AND('Scout Data Input'!R12,"AAAAAHm7fx0=")</f>
        <v>#VALUE!</v>
      </c>
      <c r="AE13" t="e">
        <f>AND('Scout Data Input'!S12,"AAAAAHm7fx4=")</f>
        <v>#VALUE!</v>
      </c>
      <c r="AF13">
        <f>IF('Scout Data Input'!13:13,"AAAAAHm7fx8=",0)</f>
        <v>0</v>
      </c>
      <c r="AG13" t="e">
        <f>AND('Scout Data Input'!A13,"AAAAAHm7fyA=")</f>
        <v>#VALUE!</v>
      </c>
      <c r="AH13" t="e">
        <f>AND('Scout Data Input'!B13,"AAAAAHm7fyE=")</f>
        <v>#VALUE!</v>
      </c>
      <c r="AI13" t="e">
        <f>AND('Scout Data Input'!C13,"AAAAAHm7fyI=")</f>
        <v>#VALUE!</v>
      </c>
      <c r="AJ13" t="e">
        <f>AND('Scout Data Input'!D13,"AAAAAHm7fyM=")</f>
        <v>#VALUE!</v>
      </c>
      <c r="AK13" t="e">
        <f>AND('Scout Data Input'!E13,"AAAAAHm7fyQ=")</f>
        <v>#VALUE!</v>
      </c>
      <c r="AL13" t="e">
        <f>AND('Scout Data Input'!F13,"AAAAAHm7fyU=")</f>
        <v>#VALUE!</v>
      </c>
      <c r="AM13" t="e">
        <f>AND('Scout Data Input'!G13,"AAAAAHm7fyY=")</f>
        <v>#VALUE!</v>
      </c>
      <c r="AN13" t="e">
        <f>AND('Scout Data Input'!H13,"AAAAAHm7fyc=")</f>
        <v>#VALUE!</v>
      </c>
      <c r="AO13" t="e">
        <f>AND('Scout Data Input'!I13,"AAAAAHm7fyg=")</f>
        <v>#VALUE!</v>
      </c>
      <c r="AP13" t="e">
        <f>AND('Scout Data Input'!J13,"AAAAAHm7fyk=")</f>
        <v>#VALUE!</v>
      </c>
      <c r="AQ13" t="e">
        <f>AND('Scout Data Input'!K13,"AAAAAHm7fyo=")</f>
        <v>#VALUE!</v>
      </c>
      <c r="AR13" t="e">
        <f>AND('Scout Data Input'!L13,"AAAAAHm7fys=")</f>
        <v>#VALUE!</v>
      </c>
      <c r="AS13" t="e">
        <f>AND('Scout Data Input'!M13,"AAAAAHm7fyw=")</f>
        <v>#VALUE!</v>
      </c>
      <c r="AT13" t="e">
        <f>AND('Scout Data Input'!N13,"AAAAAHm7fy0=")</f>
        <v>#VALUE!</v>
      </c>
      <c r="AU13" t="e">
        <f>AND('Scout Data Input'!O13,"AAAAAHm7fy4=")</f>
        <v>#VALUE!</v>
      </c>
      <c r="AV13" t="e">
        <f>AND('Scout Data Input'!P13,"AAAAAHm7fy8=")</f>
        <v>#VALUE!</v>
      </c>
      <c r="AW13" t="e">
        <f>AND('Scout Data Input'!Q13,"AAAAAHm7fzA=")</f>
        <v>#VALUE!</v>
      </c>
      <c r="AX13" t="e">
        <f>AND('Scout Data Input'!R13,"AAAAAHm7fzE=")</f>
        <v>#VALUE!</v>
      </c>
      <c r="AY13" t="e">
        <f>AND('Scout Data Input'!S13,"AAAAAHm7fzI=")</f>
        <v>#VALUE!</v>
      </c>
      <c r="AZ13">
        <f>IF('Scout Data Input'!14:14,"AAAAAHm7fzM=",0)</f>
        <v>0</v>
      </c>
      <c r="BA13" t="e">
        <f>AND('Scout Data Input'!A14,"AAAAAHm7fzQ=")</f>
        <v>#VALUE!</v>
      </c>
      <c r="BB13" t="e">
        <f>AND('Scout Data Input'!B14,"AAAAAHm7fzU=")</f>
        <v>#VALUE!</v>
      </c>
      <c r="BC13" t="e">
        <f>AND('Scout Data Input'!C14,"AAAAAHm7fzY=")</f>
        <v>#VALUE!</v>
      </c>
      <c r="BD13" t="e">
        <f>AND('Scout Data Input'!D14,"AAAAAHm7fzc=")</f>
        <v>#VALUE!</v>
      </c>
      <c r="BE13" t="e">
        <f>AND('Scout Data Input'!E14,"AAAAAHm7fzg=")</f>
        <v>#VALUE!</v>
      </c>
      <c r="BF13" t="e">
        <f>AND('Scout Data Input'!F14,"AAAAAHm7fzk=")</f>
        <v>#VALUE!</v>
      </c>
      <c r="BG13" t="e">
        <f>AND('Scout Data Input'!G14,"AAAAAHm7fzo=")</f>
        <v>#VALUE!</v>
      </c>
      <c r="BH13" t="e">
        <f>AND('Scout Data Input'!H14,"AAAAAHm7fzs=")</f>
        <v>#VALUE!</v>
      </c>
      <c r="BI13" t="e">
        <f>AND('Scout Data Input'!I14,"AAAAAHm7fzw=")</f>
        <v>#VALUE!</v>
      </c>
      <c r="BJ13" t="e">
        <f>AND('Scout Data Input'!J14,"AAAAAHm7fz0=")</f>
        <v>#VALUE!</v>
      </c>
      <c r="BK13" t="e">
        <f>AND('Scout Data Input'!K14,"AAAAAHm7fz4=")</f>
        <v>#VALUE!</v>
      </c>
      <c r="BL13" t="e">
        <f>AND('Scout Data Input'!L14,"AAAAAHm7fz8=")</f>
        <v>#VALUE!</v>
      </c>
      <c r="BM13" t="e">
        <f>AND('Scout Data Input'!M14,"AAAAAHm7f0A=")</f>
        <v>#VALUE!</v>
      </c>
      <c r="BN13" t="e">
        <f>AND('Scout Data Input'!N14,"AAAAAHm7f0E=")</f>
        <v>#VALUE!</v>
      </c>
      <c r="BO13" t="e">
        <f>AND('Scout Data Input'!O14,"AAAAAHm7f0I=")</f>
        <v>#VALUE!</v>
      </c>
      <c r="BP13" t="e">
        <f>AND('Scout Data Input'!P14,"AAAAAHm7f0M=")</f>
        <v>#VALUE!</v>
      </c>
      <c r="BQ13" t="e">
        <f>AND('Scout Data Input'!Q14,"AAAAAHm7f0Q=")</f>
        <v>#VALUE!</v>
      </c>
      <c r="BR13" t="e">
        <f>AND('Scout Data Input'!R14,"AAAAAHm7f0U=")</f>
        <v>#VALUE!</v>
      </c>
      <c r="BS13" t="e">
        <f>AND('Scout Data Input'!S14,"AAAAAHm7f0Y=")</f>
        <v>#VALUE!</v>
      </c>
      <c r="BT13">
        <f>IF('Scout Data Input'!15:15,"AAAAAHm7f0c=",0)</f>
        <v>0</v>
      </c>
      <c r="BU13" t="e">
        <f>AND('Scout Data Input'!A15,"AAAAAHm7f0g=")</f>
        <v>#VALUE!</v>
      </c>
      <c r="BV13" t="e">
        <f>AND('Scout Data Input'!B15,"AAAAAHm7f0k=")</f>
        <v>#VALUE!</v>
      </c>
      <c r="BW13" t="e">
        <f>AND('Scout Data Input'!C15,"AAAAAHm7f0o=")</f>
        <v>#VALUE!</v>
      </c>
      <c r="BX13" t="e">
        <f>AND('Scout Data Input'!D15,"AAAAAHm7f0s=")</f>
        <v>#VALUE!</v>
      </c>
      <c r="BY13" t="e">
        <f>AND('Scout Data Input'!E15,"AAAAAHm7f0w=")</f>
        <v>#VALUE!</v>
      </c>
      <c r="BZ13" t="e">
        <f>AND('Scout Data Input'!F15,"AAAAAHm7f00=")</f>
        <v>#VALUE!</v>
      </c>
      <c r="CA13" t="e">
        <f>AND('Scout Data Input'!G15,"AAAAAHm7f04=")</f>
        <v>#VALUE!</v>
      </c>
      <c r="CB13" t="e">
        <f>AND('Scout Data Input'!H15,"AAAAAHm7f08=")</f>
        <v>#VALUE!</v>
      </c>
      <c r="CC13" t="e">
        <f>AND('Scout Data Input'!I15,"AAAAAHm7f1A=")</f>
        <v>#VALUE!</v>
      </c>
      <c r="CD13" t="e">
        <f>AND('Scout Data Input'!J15,"AAAAAHm7f1E=")</f>
        <v>#VALUE!</v>
      </c>
      <c r="CE13" t="e">
        <f>AND('Scout Data Input'!K15,"AAAAAHm7f1I=")</f>
        <v>#VALUE!</v>
      </c>
      <c r="CF13" t="e">
        <f>AND('Scout Data Input'!L15,"AAAAAHm7f1M=")</f>
        <v>#VALUE!</v>
      </c>
      <c r="CG13" t="e">
        <f>AND('Scout Data Input'!M15,"AAAAAHm7f1Q=")</f>
        <v>#VALUE!</v>
      </c>
      <c r="CH13" t="e">
        <f>AND('Scout Data Input'!N15,"AAAAAHm7f1U=")</f>
        <v>#VALUE!</v>
      </c>
      <c r="CI13" t="e">
        <f>AND('Scout Data Input'!O15,"AAAAAHm7f1Y=")</f>
        <v>#VALUE!</v>
      </c>
      <c r="CJ13" t="e">
        <f>AND('Scout Data Input'!P15,"AAAAAHm7f1c=")</f>
        <v>#VALUE!</v>
      </c>
      <c r="CK13" t="e">
        <f>AND('Scout Data Input'!Q15,"AAAAAHm7f1g=")</f>
        <v>#VALUE!</v>
      </c>
      <c r="CL13" t="e">
        <f>AND('Scout Data Input'!R15,"AAAAAHm7f1k=")</f>
        <v>#VALUE!</v>
      </c>
      <c r="CM13" t="e">
        <f>AND('Scout Data Input'!S15,"AAAAAHm7f1o=")</f>
        <v>#VALUE!</v>
      </c>
      <c r="CN13">
        <f>IF('Scout Data Input'!16:16,"AAAAAHm7f1s=",0)</f>
        <v>0</v>
      </c>
      <c r="CO13" t="e">
        <f>AND('Scout Data Input'!A16,"AAAAAHm7f1w=")</f>
        <v>#VALUE!</v>
      </c>
      <c r="CP13" t="e">
        <f>AND('Scout Data Input'!B16,"AAAAAHm7f10=")</f>
        <v>#VALUE!</v>
      </c>
      <c r="CQ13" t="e">
        <f>AND('Scout Data Input'!C16,"AAAAAHm7f14=")</f>
        <v>#VALUE!</v>
      </c>
      <c r="CR13" t="e">
        <f>AND('Scout Data Input'!D16,"AAAAAHm7f18=")</f>
        <v>#VALUE!</v>
      </c>
      <c r="CS13" t="e">
        <f>AND('Scout Data Input'!E16,"AAAAAHm7f2A=")</f>
        <v>#VALUE!</v>
      </c>
      <c r="CT13" t="e">
        <f>AND('Scout Data Input'!F16,"AAAAAHm7f2E=")</f>
        <v>#VALUE!</v>
      </c>
      <c r="CU13" t="e">
        <f>AND('Scout Data Input'!G16,"AAAAAHm7f2I=")</f>
        <v>#VALUE!</v>
      </c>
      <c r="CV13" t="e">
        <f>AND('Scout Data Input'!H16,"AAAAAHm7f2M=")</f>
        <v>#VALUE!</v>
      </c>
      <c r="CW13" t="e">
        <f>AND('Scout Data Input'!I16,"AAAAAHm7f2Q=")</f>
        <v>#VALUE!</v>
      </c>
      <c r="CX13" t="e">
        <f>AND('Scout Data Input'!J16,"AAAAAHm7f2U=")</f>
        <v>#VALUE!</v>
      </c>
      <c r="CY13" t="e">
        <f>AND('Scout Data Input'!K16,"AAAAAHm7f2Y=")</f>
        <v>#VALUE!</v>
      </c>
      <c r="CZ13" t="e">
        <f>AND('Scout Data Input'!L16,"AAAAAHm7f2c=")</f>
        <v>#VALUE!</v>
      </c>
      <c r="DA13" t="e">
        <f>AND('Scout Data Input'!M16,"AAAAAHm7f2g=")</f>
        <v>#VALUE!</v>
      </c>
      <c r="DB13" t="e">
        <f>AND('Scout Data Input'!N16,"AAAAAHm7f2k=")</f>
        <v>#VALUE!</v>
      </c>
      <c r="DC13" t="e">
        <f>AND('Scout Data Input'!O16,"AAAAAHm7f2o=")</f>
        <v>#VALUE!</v>
      </c>
      <c r="DD13" t="e">
        <f>AND('Scout Data Input'!P16,"AAAAAHm7f2s=")</f>
        <v>#VALUE!</v>
      </c>
      <c r="DE13" t="e">
        <f>AND('Scout Data Input'!Q16,"AAAAAHm7f2w=")</f>
        <v>#VALUE!</v>
      </c>
      <c r="DF13" t="e">
        <f>AND('Scout Data Input'!R16,"AAAAAHm7f20=")</f>
        <v>#VALUE!</v>
      </c>
      <c r="DG13" t="e">
        <f>AND('Scout Data Input'!S16,"AAAAAHm7f24=")</f>
        <v>#VALUE!</v>
      </c>
      <c r="DH13">
        <f>IF('Scout Data Input'!17:17,"AAAAAHm7f28=",0)</f>
        <v>0</v>
      </c>
      <c r="DI13" t="e">
        <f>AND('Scout Data Input'!A17,"AAAAAHm7f3A=")</f>
        <v>#VALUE!</v>
      </c>
      <c r="DJ13" t="e">
        <f>AND('Scout Data Input'!B17,"AAAAAHm7f3E=")</f>
        <v>#VALUE!</v>
      </c>
      <c r="DK13" t="e">
        <f>AND('Scout Data Input'!C17,"AAAAAHm7f3I=")</f>
        <v>#VALUE!</v>
      </c>
      <c r="DL13" t="e">
        <f>AND('Scout Data Input'!D17,"AAAAAHm7f3M=")</f>
        <v>#VALUE!</v>
      </c>
      <c r="DM13" t="e">
        <f>AND('Scout Data Input'!E17,"AAAAAHm7f3Q=")</f>
        <v>#VALUE!</v>
      </c>
      <c r="DN13" t="e">
        <f>AND('Scout Data Input'!F17,"AAAAAHm7f3U=")</f>
        <v>#VALUE!</v>
      </c>
      <c r="DO13" t="e">
        <f>AND('Scout Data Input'!G17,"AAAAAHm7f3Y=")</f>
        <v>#VALUE!</v>
      </c>
      <c r="DP13" t="e">
        <f>AND('Scout Data Input'!H17,"AAAAAHm7f3c=")</f>
        <v>#VALUE!</v>
      </c>
      <c r="DQ13" t="e">
        <f>AND('Scout Data Input'!I17,"AAAAAHm7f3g=")</f>
        <v>#VALUE!</v>
      </c>
      <c r="DR13" t="e">
        <f>AND('Scout Data Input'!J17,"AAAAAHm7f3k=")</f>
        <v>#VALUE!</v>
      </c>
      <c r="DS13" t="e">
        <f>AND('Scout Data Input'!K17,"AAAAAHm7f3o=")</f>
        <v>#VALUE!</v>
      </c>
      <c r="DT13" t="e">
        <f>AND('Scout Data Input'!L17,"AAAAAHm7f3s=")</f>
        <v>#VALUE!</v>
      </c>
      <c r="DU13" t="e">
        <f>AND('Scout Data Input'!M17,"AAAAAHm7f3w=")</f>
        <v>#VALUE!</v>
      </c>
      <c r="DV13" t="e">
        <f>AND('Scout Data Input'!N17,"AAAAAHm7f30=")</f>
        <v>#VALUE!</v>
      </c>
      <c r="DW13" t="e">
        <f>AND('Scout Data Input'!O17,"AAAAAHm7f34=")</f>
        <v>#VALUE!</v>
      </c>
      <c r="DX13" t="e">
        <f>AND('Scout Data Input'!P17,"AAAAAHm7f38=")</f>
        <v>#VALUE!</v>
      </c>
      <c r="DY13" t="e">
        <f>AND('Scout Data Input'!Q17,"AAAAAHm7f4A=")</f>
        <v>#VALUE!</v>
      </c>
      <c r="DZ13" t="e">
        <f>AND('Scout Data Input'!R17,"AAAAAHm7f4E=")</f>
        <v>#VALUE!</v>
      </c>
      <c r="EA13" t="e">
        <f>AND('Scout Data Input'!S17,"AAAAAHm7f4I=")</f>
        <v>#VALUE!</v>
      </c>
      <c r="EB13">
        <f>IF('Scout Data Input'!18:18,"AAAAAHm7f4M=",0)</f>
        <v>0</v>
      </c>
      <c r="EC13" t="e">
        <f>AND('Scout Data Input'!A18,"AAAAAHm7f4Q=")</f>
        <v>#VALUE!</v>
      </c>
      <c r="ED13" t="e">
        <f>AND('Scout Data Input'!B18,"AAAAAHm7f4U=")</f>
        <v>#VALUE!</v>
      </c>
      <c r="EE13" t="e">
        <f>AND('Scout Data Input'!C18,"AAAAAHm7f4Y=")</f>
        <v>#VALUE!</v>
      </c>
      <c r="EF13" t="e">
        <f>AND('Scout Data Input'!D18,"AAAAAHm7f4c=")</f>
        <v>#VALUE!</v>
      </c>
      <c r="EG13" t="e">
        <f>AND('Scout Data Input'!E18,"AAAAAHm7f4g=")</f>
        <v>#VALUE!</v>
      </c>
      <c r="EH13" t="e">
        <f>AND('Scout Data Input'!F18,"AAAAAHm7f4k=")</f>
        <v>#VALUE!</v>
      </c>
      <c r="EI13" t="e">
        <f>AND('Scout Data Input'!G18,"AAAAAHm7f4o=")</f>
        <v>#VALUE!</v>
      </c>
      <c r="EJ13" t="e">
        <f>AND('Scout Data Input'!H18,"AAAAAHm7f4s=")</f>
        <v>#VALUE!</v>
      </c>
      <c r="EK13" t="e">
        <f>AND('Scout Data Input'!I18,"AAAAAHm7f4w=")</f>
        <v>#VALUE!</v>
      </c>
      <c r="EL13" t="e">
        <f>AND('Scout Data Input'!J18,"AAAAAHm7f40=")</f>
        <v>#VALUE!</v>
      </c>
      <c r="EM13" t="e">
        <f>AND('Scout Data Input'!K18,"AAAAAHm7f44=")</f>
        <v>#VALUE!</v>
      </c>
      <c r="EN13" t="e">
        <f>AND('Scout Data Input'!L18,"AAAAAHm7f48=")</f>
        <v>#VALUE!</v>
      </c>
      <c r="EO13" t="e">
        <f>AND('Scout Data Input'!M18,"AAAAAHm7f5A=")</f>
        <v>#VALUE!</v>
      </c>
      <c r="EP13" t="e">
        <f>AND('Scout Data Input'!N18,"AAAAAHm7f5E=")</f>
        <v>#VALUE!</v>
      </c>
      <c r="EQ13" t="e">
        <f>AND('Scout Data Input'!O18,"AAAAAHm7f5I=")</f>
        <v>#VALUE!</v>
      </c>
      <c r="ER13" t="e">
        <f>AND('Scout Data Input'!P18,"AAAAAHm7f5M=")</f>
        <v>#VALUE!</v>
      </c>
      <c r="ES13" t="e">
        <f>AND('Scout Data Input'!Q18,"AAAAAHm7f5Q=")</f>
        <v>#VALUE!</v>
      </c>
      <c r="ET13" t="e">
        <f>AND('Scout Data Input'!R18,"AAAAAHm7f5U=")</f>
        <v>#VALUE!</v>
      </c>
      <c r="EU13" t="e">
        <f>AND('Scout Data Input'!S18,"AAAAAHm7f5Y=")</f>
        <v>#VALUE!</v>
      </c>
      <c r="EV13">
        <f>IF('Scout Data Input'!19:19,"AAAAAHm7f5c=",0)</f>
        <v>0</v>
      </c>
      <c r="EW13" t="e">
        <f>AND('Scout Data Input'!A19,"AAAAAHm7f5g=")</f>
        <v>#VALUE!</v>
      </c>
      <c r="EX13" t="e">
        <f>AND('Scout Data Input'!B19,"AAAAAHm7f5k=")</f>
        <v>#VALUE!</v>
      </c>
      <c r="EY13" t="e">
        <f>AND('Scout Data Input'!C19,"AAAAAHm7f5o=")</f>
        <v>#VALUE!</v>
      </c>
      <c r="EZ13" t="e">
        <f>AND('Scout Data Input'!D19,"AAAAAHm7f5s=")</f>
        <v>#VALUE!</v>
      </c>
      <c r="FA13" t="e">
        <f>AND('Scout Data Input'!E19,"AAAAAHm7f5w=")</f>
        <v>#VALUE!</v>
      </c>
      <c r="FB13" t="e">
        <f>AND('Scout Data Input'!F19,"AAAAAHm7f50=")</f>
        <v>#VALUE!</v>
      </c>
      <c r="FC13" t="e">
        <f>AND('Scout Data Input'!G19,"AAAAAHm7f54=")</f>
        <v>#VALUE!</v>
      </c>
      <c r="FD13" t="e">
        <f>AND('Scout Data Input'!H19,"AAAAAHm7f58=")</f>
        <v>#VALUE!</v>
      </c>
      <c r="FE13" t="e">
        <f>AND('Scout Data Input'!I19,"AAAAAHm7f6A=")</f>
        <v>#VALUE!</v>
      </c>
      <c r="FF13" t="e">
        <f>AND('Scout Data Input'!J19,"AAAAAHm7f6E=")</f>
        <v>#VALUE!</v>
      </c>
      <c r="FG13" t="e">
        <f>AND('Scout Data Input'!K19,"AAAAAHm7f6I=")</f>
        <v>#VALUE!</v>
      </c>
      <c r="FH13" t="e">
        <f>AND('Scout Data Input'!L19,"AAAAAHm7f6M=")</f>
        <v>#VALUE!</v>
      </c>
      <c r="FI13" t="e">
        <f>AND('Scout Data Input'!M19,"AAAAAHm7f6Q=")</f>
        <v>#VALUE!</v>
      </c>
      <c r="FJ13" t="e">
        <f>AND('Scout Data Input'!N19,"AAAAAHm7f6U=")</f>
        <v>#VALUE!</v>
      </c>
      <c r="FK13" t="e">
        <f>AND('Scout Data Input'!O19,"AAAAAHm7f6Y=")</f>
        <v>#VALUE!</v>
      </c>
      <c r="FL13" t="e">
        <f>AND('Scout Data Input'!P19,"AAAAAHm7f6c=")</f>
        <v>#VALUE!</v>
      </c>
      <c r="FM13" t="e">
        <f>AND('Scout Data Input'!Q19,"AAAAAHm7f6g=")</f>
        <v>#VALUE!</v>
      </c>
      <c r="FN13" t="e">
        <f>AND('Scout Data Input'!R19,"AAAAAHm7f6k=")</f>
        <v>#VALUE!</v>
      </c>
      <c r="FO13" t="e">
        <f>AND('Scout Data Input'!S19,"AAAAAHm7f6o=")</f>
        <v>#VALUE!</v>
      </c>
      <c r="FP13">
        <f>IF('Scout Data Input'!20:20,"AAAAAHm7f6s=",0)</f>
        <v>0</v>
      </c>
      <c r="FQ13" t="e">
        <f>AND('Scout Data Input'!A20,"AAAAAHm7f6w=")</f>
        <v>#VALUE!</v>
      </c>
      <c r="FR13" t="e">
        <f>AND('Scout Data Input'!B20,"AAAAAHm7f60=")</f>
        <v>#VALUE!</v>
      </c>
      <c r="FS13" t="e">
        <f>AND('Scout Data Input'!C20,"AAAAAHm7f64=")</f>
        <v>#VALUE!</v>
      </c>
      <c r="FT13" t="e">
        <f>AND('Scout Data Input'!D20,"AAAAAHm7f68=")</f>
        <v>#VALUE!</v>
      </c>
      <c r="FU13" t="e">
        <f>AND('Scout Data Input'!E20,"AAAAAHm7f7A=")</f>
        <v>#VALUE!</v>
      </c>
      <c r="FV13" t="e">
        <f>AND('Scout Data Input'!F20,"AAAAAHm7f7E=")</f>
        <v>#VALUE!</v>
      </c>
      <c r="FW13" t="e">
        <f>AND('Scout Data Input'!G20,"AAAAAHm7f7I=")</f>
        <v>#VALUE!</v>
      </c>
      <c r="FX13" t="e">
        <f>AND('Scout Data Input'!H20,"AAAAAHm7f7M=")</f>
        <v>#VALUE!</v>
      </c>
      <c r="FY13" t="e">
        <f>AND('Scout Data Input'!I20,"AAAAAHm7f7Q=")</f>
        <v>#VALUE!</v>
      </c>
      <c r="FZ13" t="e">
        <f>AND('Scout Data Input'!J20,"AAAAAHm7f7U=")</f>
        <v>#VALUE!</v>
      </c>
      <c r="GA13" t="e">
        <f>AND('Scout Data Input'!K20,"AAAAAHm7f7Y=")</f>
        <v>#VALUE!</v>
      </c>
      <c r="GB13" t="e">
        <f>AND('Scout Data Input'!L20,"AAAAAHm7f7c=")</f>
        <v>#VALUE!</v>
      </c>
      <c r="GC13" t="e">
        <f>AND('Scout Data Input'!M20,"AAAAAHm7f7g=")</f>
        <v>#VALUE!</v>
      </c>
      <c r="GD13" t="e">
        <f>AND('Scout Data Input'!N20,"AAAAAHm7f7k=")</f>
        <v>#VALUE!</v>
      </c>
      <c r="GE13" t="e">
        <f>AND('Scout Data Input'!O20,"AAAAAHm7f7o=")</f>
        <v>#VALUE!</v>
      </c>
      <c r="GF13" t="e">
        <f>AND('Scout Data Input'!P20,"AAAAAHm7f7s=")</f>
        <v>#VALUE!</v>
      </c>
      <c r="GG13" t="e">
        <f>AND('Scout Data Input'!Q20,"AAAAAHm7f7w=")</f>
        <v>#VALUE!</v>
      </c>
      <c r="GH13" t="e">
        <f>AND('Scout Data Input'!R20,"AAAAAHm7f70=")</f>
        <v>#VALUE!</v>
      </c>
      <c r="GI13" t="e">
        <f>AND('Scout Data Input'!S20,"AAAAAHm7f74=")</f>
        <v>#VALUE!</v>
      </c>
      <c r="GJ13">
        <f>IF('Scout Data Input'!21:21,"AAAAAHm7f78=",0)</f>
        <v>0</v>
      </c>
      <c r="GK13" t="e">
        <f>AND('Scout Data Input'!A21,"AAAAAHm7f8A=")</f>
        <v>#VALUE!</v>
      </c>
      <c r="GL13" t="e">
        <f>AND('Scout Data Input'!B21,"AAAAAHm7f8E=")</f>
        <v>#VALUE!</v>
      </c>
      <c r="GM13" t="e">
        <f>AND('Scout Data Input'!C21,"AAAAAHm7f8I=")</f>
        <v>#VALUE!</v>
      </c>
      <c r="GN13" t="e">
        <f>AND('Scout Data Input'!D21,"AAAAAHm7f8M=")</f>
        <v>#VALUE!</v>
      </c>
      <c r="GO13" t="e">
        <f>AND('Scout Data Input'!E21,"AAAAAHm7f8Q=")</f>
        <v>#VALUE!</v>
      </c>
      <c r="GP13" t="e">
        <f>AND('Scout Data Input'!F21,"AAAAAHm7f8U=")</f>
        <v>#VALUE!</v>
      </c>
      <c r="GQ13" t="e">
        <f>AND('Scout Data Input'!G21,"AAAAAHm7f8Y=")</f>
        <v>#VALUE!</v>
      </c>
      <c r="GR13" t="e">
        <f>AND('Scout Data Input'!H21,"AAAAAHm7f8c=")</f>
        <v>#VALUE!</v>
      </c>
      <c r="GS13" t="e">
        <f>AND('Scout Data Input'!I21,"AAAAAHm7f8g=")</f>
        <v>#VALUE!</v>
      </c>
      <c r="GT13" t="e">
        <f>AND('Scout Data Input'!J21,"AAAAAHm7f8k=")</f>
        <v>#VALUE!</v>
      </c>
      <c r="GU13" t="e">
        <f>AND('Scout Data Input'!K21,"AAAAAHm7f8o=")</f>
        <v>#VALUE!</v>
      </c>
      <c r="GV13" t="e">
        <f>AND('Scout Data Input'!L21,"AAAAAHm7f8s=")</f>
        <v>#VALUE!</v>
      </c>
      <c r="GW13" t="e">
        <f>AND('Scout Data Input'!M21,"AAAAAHm7f8w=")</f>
        <v>#VALUE!</v>
      </c>
      <c r="GX13" t="e">
        <f>AND('Scout Data Input'!N21,"AAAAAHm7f80=")</f>
        <v>#VALUE!</v>
      </c>
      <c r="GY13" t="e">
        <f>AND('Scout Data Input'!O21,"AAAAAHm7f84=")</f>
        <v>#VALUE!</v>
      </c>
      <c r="GZ13" t="e">
        <f>AND('Scout Data Input'!P21,"AAAAAHm7f88=")</f>
        <v>#VALUE!</v>
      </c>
      <c r="HA13" t="e">
        <f>AND('Scout Data Input'!Q21,"AAAAAHm7f9A=")</f>
        <v>#VALUE!</v>
      </c>
      <c r="HB13" t="e">
        <f>AND('Scout Data Input'!R21,"AAAAAHm7f9E=")</f>
        <v>#VALUE!</v>
      </c>
      <c r="HC13" t="e">
        <f>AND('Scout Data Input'!S21,"AAAAAHm7f9I=")</f>
        <v>#VALUE!</v>
      </c>
      <c r="HD13">
        <f>IF('Scout Data Input'!22:22,"AAAAAHm7f9M=",0)</f>
        <v>0</v>
      </c>
      <c r="HE13" t="e">
        <f>AND('Scout Data Input'!A22,"AAAAAHm7f9Q=")</f>
        <v>#VALUE!</v>
      </c>
      <c r="HF13" t="e">
        <f>AND('Scout Data Input'!B22,"AAAAAHm7f9U=")</f>
        <v>#VALUE!</v>
      </c>
      <c r="HG13" t="e">
        <f>AND('Scout Data Input'!C22,"AAAAAHm7f9Y=")</f>
        <v>#VALUE!</v>
      </c>
      <c r="HH13" t="e">
        <f>AND('Scout Data Input'!D22,"AAAAAHm7f9c=")</f>
        <v>#VALUE!</v>
      </c>
      <c r="HI13" t="e">
        <f>AND('Scout Data Input'!E22,"AAAAAHm7f9g=")</f>
        <v>#VALUE!</v>
      </c>
      <c r="HJ13" t="e">
        <f>AND('Scout Data Input'!F22,"AAAAAHm7f9k=")</f>
        <v>#VALUE!</v>
      </c>
      <c r="HK13" t="e">
        <f>AND('Scout Data Input'!G22,"AAAAAHm7f9o=")</f>
        <v>#VALUE!</v>
      </c>
      <c r="HL13" t="e">
        <f>AND('Scout Data Input'!H22,"AAAAAHm7f9s=")</f>
        <v>#VALUE!</v>
      </c>
      <c r="HM13" t="e">
        <f>AND('Scout Data Input'!I22,"AAAAAHm7f9w=")</f>
        <v>#VALUE!</v>
      </c>
      <c r="HN13" t="e">
        <f>AND('Scout Data Input'!J22,"AAAAAHm7f90=")</f>
        <v>#VALUE!</v>
      </c>
      <c r="HO13" t="e">
        <f>AND('Scout Data Input'!K22,"AAAAAHm7f94=")</f>
        <v>#VALUE!</v>
      </c>
      <c r="HP13" t="e">
        <f>AND('Scout Data Input'!L22,"AAAAAHm7f98=")</f>
        <v>#VALUE!</v>
      </c>
      <c r="HQ13" t="e">
        <f>AND('Scout Data Input'!M22,"AAAAAHm7f+A=")</f>
        <v>#VALUE!</v>
      </c>
      <c r="HR13" t="e">
        <f>AND('Scout Data Input'!N22,"AAAAAHm7f+E=")</f>
        <v>#VALUE!</v>
      </c>
      <c r="HS13" t="e">
        <f>AND('Scout Data Input'!O22,"AAAAAHm7f+I=")</f>
        <v>#VALUE!</v>
      </c>
      <c r="HT13" t="e">
        <f>AND('Scout Data Input'!P22,"AAAAAHm7f+M=")</f>
        <v>#VALUE!</v>
      </c>
      <c r="HU13" t="e">
        <f>AND('Scout Data Input'!Q22,"AAAAAHm7f+Q=")</f>
        <v>#VALUE!</v>
      </c>
      <c r="HV13" t="e">
        <f>AND('Scout Data Input'!R22,"AAAAAHm7f+U=")</f>
        <v>#VALUE!</v>
      </c>
      <c r="HW13" t="e">
        <f>AND('Scout Data Input'!S22,"AAAAAHm7f+Y=")</f>
        <v>#VALUE!</v>
      </c>
      <c r="HX13">
        <f>IF('Scout Data Input'!23:23,"AAAAAHm7f+c=",0)</f>
        <v>0</v>
      </c>
      <c r="HY13" t="e">
        <f>AND('Scout Data Input'!A23,"AAAAAHm7f+g=")</f>
        <v>#VALUE!</v>
      </c>
      <c r="HZ13" t="e">
        <f>AND('Scout Data Input'!B23,"AAAAAHm7f+k=")</f>
        <v>#VALUE!</v>
      </c>
      <c r="IA13" t="e">
        <f>AND('Scout Data Input'!C23,"AAAAAHm7f+o=")</f>
        <v>#VALUE!</v>
      </c>
      <c r="IB13" t="e">
        <f>AND('Scout Data Input'!D23,"AAAAAHm7f+s=")</f>
        <v>#VALUE!</v>
      </c>
      <c r="IC13" t="e">
        <f>AND('Scout Data Input'!E23,"AAAAAHm7f+w=")</f>
        <v>#VALUE!</v>
      </c>
      <c r="ID13" t="e">
        <f>AND('Scout Data Input'!F23,"AAAAAHm7f+0=")</f>
        <v>#VALUE!</v>
      </c>
      <c r="IE13" t="e">
        <f>AND('Scout Data Input'!G23,"AAAAAHm7f+4=")</f>
        <v>#VALUE!</v>
      </c>
      <c r="IF13" t="e">
        <f>AND('Scout Data Input'!H23,"AAAAAHm7f+8=")</f>
        <v>#VALUE!</v>
      </c>
      <c r="IG13" t="e">
        <f>AND('Scout Data Input'!I23,"AAAAAHm7f/A=")</f>
        <v>#VALUE!</v>
      </c>
      <c r="IH13" t="e">
        <f>AND('Scout Data Input'!J23,"AAAAAHm7f/E=")</f>
        <v>#VALUE!</v>
      </c>
      <c r="II13" t="e">
        <f>AND('Scout Data Input'!K23,"AAAAAHm7f/I=")</f>
        <v>#VALUE!</v>
      </c>
      <c r="IJ13" t="e">
        <f>AND('Scout Data Input'!L23,"AAAAAHm7f/M=")</f>
        <v>#VALUE!</v>
      </c>
      <c r="IK13" t="e">
        <f>AND('Scout Data Input'!M23,"AAAAAHm7f/Q=")</f>
        <v>#VALUE!</v>
      </c>
      <c r="IL13" t="e">
        <f>AND('Scout Data Input'!N23,"AAAAAHm7f/U=")</f>
        <v>#VALUE!</v>
      </c>
      <c r="IM13" t="e">
        <f>AND('Scout Data Input'!O23,"AAAAAHm7f/Y=")</f>
        <v>#VALUE!</v>
      </c>
      <c r="IN13" t="e">
        <f>AND('Scout Data Input'!P23,"AAAAAHm7f/c=")</f>
        <v>#VALUE!</v>
      </c>
      <c r="IO13" t="e">
        <f>AND('Scout Data Input'!Q23,"AAAAAHm7f/g=")</f>
        <v>#VALUE!</v>
      </c>
      <c r="IP13" t="e">
        <f>AND('Scout Data Input'!R23,"AAAAAHm7f/k=")</f>
        <v>#VALUE!</v>
      </c>
      <c r="IQ13" t="e">
        <f>AND('Scout Data Input'!S23,"AAAAAHm7f/o=")</f>
        <v>#VALUE!</v>
      </c>
      <c r="IR13">
        <f>IF('Scout Data Input'!24:24,"AAAAAHm7f/s=",0)</f>
        <v>0</v>
      </c>
      <c r="IS13" t="e">
        <f>AND('Scout Data Input'!A24,"AAAAAHm7f/w=")</f>
        <v>#VALUE!</v>
      </c>
      <c r="IT13" t="e">
        <f>AND('Scout Data Input'!B24,"AAAAAHm7f/0=")</f>
        <v>#VALUE!</v>
      </c>
      <c r="IU13" t="e">
        <f>AND('Scout Data Input'!C24,"AAAAAHm7f/4=")</f>
        <v>#VALUE!</v>
      </c>
      <c r="IV13" t="e">
        <f>AND('Scout Data Input'!D24,"AAAAAHm7f/8=")</f>
        <v>#VALUE!</v>
      </c>
    </row>
    <row r="14" spans="1:256" x14ac:dyDescent="0.2">
      <c r="A14" t="e">
        <f>AND('Scout Data Input'!E24,"AAAAAB/5/wA=")</f>
        <v>#VALUE!</v>
      </c>
      <c r="B14" t="e">
        <f>AND('Scout Data Input'!F24,"AAAAAB/5/wE=")</f>
        <v>#VALUE!</v>
      </c>
      <c r="C14" t="e">
        <f>AND('Scout Data Input'!G24,"AAAAAB/5/wI=")</f>
        <v>#VALUE!</v>
      </c>
      <c r="D14" t="e">
        <f>AND('Scout Data Input'!H24,"AAAAAB/5/wM=")</f>
        <v>#VALUE!</v>
      </c>
      <c r="E14" t="e">
        <f>AND('Scout Data Input'!I24,"AAAAAB/5/wQ=")</f>
        <v>#VALUE!</v>
      </c>
      <c r="F14" t="e">
        <f>AND('Scout Data Input'!J24,"AAAAAB/5/wU=")</f>
        <v>#VALUE!</v>
      </c>
      <c r="G14" t="e">
        <f>AND('Scout Data Input'!K24,"AAAAAB/5/wY=")</f>
        <v>#VALUE!</v>
      </c>
      <c r="H14" t="e">
        <f>AND('Scout Data Input'!L24,"AAAAAB/5/wc=")</f>
        <v>#VALUE!</v>
      </c>
      <c r="I14" t="e">
        <f>AND('Scout Data Input'!M24,"AAAAAB/5/wg=")</f>
        <v>#VALUE!</v>
      </c>
      <c r="J14" t="e">
        <f>AND('Scout Data Input'!N24,"AAAAAB/5/wk=")</f>
        <v>#VALUE!</v>
      </c>
      <c r="K14" t="e">
        <f>AND('Scout Data Input'!O24,"AAAAAB/5/wo=")</f>
        <v>#VALUE!</v>
      </c>
      <c r="L14" t="e">
        <f>AND('Scout Data Input'!P24,"AAAAAB/5/ws=")</f>
        <v>#VALUE!</v>
      </c>
      <c r="M14" t="e">
        <f>AND('Scout Data Input'!Q24,"AAAAAB/5/ww=")</f>
        <v>#VALUE!</v>
      </c>
      <c r="N14" t="e">
        <f>AND('Scout Data Input'!R24,"AAAAAB/5/w0=")</f>
        <v>#VALUE!</v>
      </c>
      <c r="O14" t="e">
        <f>AND('Scout Data Input'!S24,"AAAAAB/5/w4=")</f>
        <v>#VALUE!</v>
      </c>
      <c r="P14">
        <f>IF('Scout Data Input'!25:25,"AAAAAB/5/w8=",0)</f>
        <v>0</v>
      </c>
      <c r="Q14" t="e">
        <f>AND('Scout Data Input'!A25,"AAAAAB/5/xA=")</f>
        <v>#VALUE!</v>
      </c>
      <c r="R14" t="e">
        <f>AND('Scout Data Input'!B25,"AAAAAB/5/xE=")</f>
        <v>#VALUE!</v>
      </c>
      <c r="S14" t="e">
        <f>AND('Scout Data Input'!C25,"AAAAAB/5/xI=")</f>
        <v>#VALUE!</v>
      </c>
      <c r="T14" t="e">
        <f>AND('Scout Data Input'!D25,"AAAAAB/5/xM=")</f>
        <v>#VALUE!</v>
      </c>
      <c r="U14" t="e">
        <f>AND('Scout Data Input'!E25,"AAAAAB/5/xQ=")</f>
        <v>#VALUE!</v>
      </c>
      <c r="V14" t="e">
        <f>AND('Scout Data Input'!F25,"AAAAAB/5/xU=")</f>
        <v>#VALUE!</v>
      </c>
      <c r="W14" t="e">
        <f>AND('Scout Data Input'!G25,"AAAAAB/5/xY=")</f>
        <v>#VALUE!</v>
      </c>
      <c r="X14" t="e">
        <f>AND('Scout Data Input'!H25,"AAAAAB/5/xc=")</f>
        <v>#VALUE!</v>
      </c>
      <c r="Y14" t="e">
        <f>AND('Scout Data Input'!I25,"AAAAAB/5/xg=")</f>
        <v>#VALUE!</v>
      </c>
      <c r="Z14" t="e">
        <f>AND('Scout Data Input'!J25,"AAAAAB/5/xk=")</f>
        <v>#VALUE!</v>
      </c>
      <c r="AA14" t="e">
        <f>AND('Scout Data Input'!K25,"AAAAAB/5/xo=")</f>
        <v>#VALUE!</v>
      </c>
      <c r="AB14" t="e">
        <f>AND('Scout Data Input'!L25,"AAAAAB/5/xs=")</f>
        <v>#VALUE!</v>
      </c>
      <c r="AC14" t="e">
        <f>AND('Scout Data Input'!M25,"AAAAAB/5/xw=")</f>
        <v>#VALUE!</v>
      </c>
      <c r="AD14" t="e">
        <f>AND('Scout Data Input'!N25,"AAAAAB/5/x0=")</f>
        <v>#VALUE!</v>
      </c>
      <c r="AE14" t="e">
        <f>AND('Scout Data Input'!O25,"AAAAAB/5/x4=")</f>
        <v>#VALUE!</v>
      </c>
      <c r="AF14" t="e">
        <f>AND('Scout Data Input'!P25,"AAAAAB/5/x8=")</f>
        <v>#VALUE!</v>
      </c>
      <c r="AG14" t="e">
        <f>AND('Scout Data Input'!Q25,"AAAAAB/5/yA=")</f>
        <v>#VALUE!</v>
      </c>
      <c r="AH14" t="e">
        <f>AND('Scout Data Input'!R25,"AAAAAB/5/yE=")</f>
        <v>#VALUE!</v>
      </c>
      <c r="AI14" t="e">
        <f>AND('Scout Data Input'!S25,"AAAAAB/5/yI=")</f>
        <v>#VALUE!</v>
      </c>
      <c r="AJ14">
        <f>IF('Scout Data Input'!26:26,"AAAAAB/5/yM=",0)</f>
        <v>0</v>
      </c>
      <c r="AK14" t="e">
        <f>AND('Scout Data Input'!A26,"AAAAAB/5/yQ=")</f>
        <v>#VALUE!</v>
      </c>
      <c r="AL14" t="e">
        <f>AND('Scout Data Input'!B26,"AAAAAB/5/yU=")</f>
        <v>#VALUE!</v>
      </c>
      <c r="AM14" t="e">
        <f>AND('Scout Data Input'!C26,"AAAAAB/5/yY=")</f>
        <v>#VALUE!</v>
      </c>
      <c r="AN14" t="e">
        <f>AND('Scout Data Input'!D26,"AAAAAB/5/yc=")</f>
        <v>#VALUE!</v>
      </c>
      <c r="AO14" t="e">
        <f>AND('Scout Data Input'!E26,"AAAAAB/5/yg=")</f>
        <v>#VALUE!</v>
      </c>
      <c r="AP14" t="e">
        <f>AND('Scout Data Input'!F26,"AAAAAB/5/yk=")</f>
        <v>#VALUE!</v>
      </c>
      <c r="AQ14" t="e">
        <f>AND('Scout Data Input'!G26,"AAAAAB/5/yo=")</f>
        <v>#VALUE!</v>
      </c>
      <c r="AR14" t="e">
        <f>AND('Scout Data Input'!H26,"AAAAAB/5/ys=")</f>
        <v>#VALUE!</v>
      </c>
      <c r="AS14" t="e">
        <f>AND('Scout Data Input'!I26,"AAAAAB/5/yw=")</f>
        <v>#VALUE!</v>
      </c>
      <c r="AT14" t="e">
        <f>AND('Scout Data Input'!J26,"AAAAAB/5/y0=")</f>
        <v>#VALUE!</v>
      </c>
      <c r="AU14" t="e">
        <f>AND('Scout Data Input'!K26,"AAAAAB/5/y4=")</f>
        <v>#VALUE!</v>
      </c>
      <c r="AV14" t="e">
        <f>AND('Scout Data Input'!L26,"AAAAAB/5/y8=")</f>
        <v>#VALUE!</v>
      </c>
      <c r="AW14" t="e">
        <f>AND('Scout Data Input'!M26,"AAAAAB/5/zA=")</f>
        <v>#VALUE!</v>
      </c>
      <c r="AX14" t="e">
        <f>AND('Scout Data Input'!N26,"AAAAAB/5/zE=")</f>
        <v>#VALUE!</v>
      </c>
      <c r="AY14" t="e">
        <f>AND('Scout Data Input'!O26,"AAAAAB/5/zI=")</f>
        <v>#VALUE!</v>
      </c>
      <c r="AZ14" t="e">
        <f>AND('Scout Data Input'!P26,"AAAAAB/5/zM=")</f>
        <v>#VALUE!</v>
      </c>
      <c r="BA14" t="e">
        <f>AND('Scout Data Input'!Q26,"AAAAAB/5/zQ=")</f>
        <v>#VALUE!</v>
      </c>
      <c r="BB14" t="e">
        <f>AND('Scout Data Input'!R26,"AAAAAB/5/zU=")</f>
        <v>#VALUE!</v>
      </c>
      <c r="BC14" t="e">
        <f>AND('Scout Data Input'!S26,"AAAAAB/5/zY=")</f>
        <v>#VALUE!</v>
      </c>
      <c r="BD14">
        <f>IF('Scout Data Input'!27:27,"AAAAAB/5/zc=",0)</f>
        <v>0</v>
      </c>
      <c r="BE14" t="e">
        <f>AND('Scout Data Input'!A27,"AAAAAB/5/zg=")</f>
        <v>#VALUE!</v>
      </c>
      <c r="BF14" t="e">
        <f>AND('Scout Data Input'!B27,"AAAAAB/5/zk=")</f>
        <v>#VALUE!</v>
      </c>
      <c r="BG14" t="e">
        <f>AND('Scout Data Input'!C27,"AAAAAB/5/zo=")</f>
        <v>#VALUE!</v>
      </c>
      <c r="BH14" t="e">
        <f>AND('Scout Data Input'!D27,"AAAAAB/5/zs=")</f>
        <v>#VALUE!</v>
      </c>
      <c r="BI14" t="e">
        <f>AND('Scout Data Input'!E27,"AAAAAB/5/zw=")</f>
        <v>#VALUE!</v>
      </c>
      <c r="BJ14" t="e">
        <f>AND('Scout Data Input'!F27,"AAAAAB/5/z0=")</f>
        <v>#VALUE!</v>
      </c>
      <c r="BK14" t="e">
        <f>AND('Scout Data Input'!G27,"AAAAAB/5/z4=")</f>
        <v>#VALUE!</v>
      </c>
      <c r="BL14" t="e">
        <f>AND('Scout Data Input'!H27,"AAAAAB/5/z8=")</f>
        <v>#VALUE!</v>
      </c>
      <c r="BM14" t="e">
        <f>AND('Scout Data Input'!I27,"AAAAAB/5/0A=")</f>
        <v>#VALUE!</v>
      </c>
      <c r="BN14" t="e">
        <f>AND('Scout Data Input'!J27,"AAAAAB/5/0E=")</f>
        <v>#VALUE!</v>
      </c>
      <c r="BO14" t="e">
        <f>AND('Scout Data Input'!K27,"AAAAAB/5/0I=")</f>
        <v>#VALUE!</v>
      </c>
      <c r="BP14" t="e">
        <f>AND('Scout Data Input'!L27,"AAAAAB/5/0M=")</f>
        <v>#VALUE!</v>
      </c>
      <c r="BQ14" t="e">
        <f>AND('Scout Data Input'!M27,"AAAAAB/5/0Q=")</f>
        <v>#VALUE!</v>
      </c>
      <c r="BR14" t="e">
        <f>AND('Scout Data Input'!N27,"AAAAAB/5/0U=")</f>
        <v>#VALUE!</v>
      </c>
      <c r="BS14" t="e">
        <f>AND('Scout Data Input'!O27,"AAAAAB/5/0Y=")</f>
        <v>#VALUE!</v>
      </c>
      <c r="BT14" t="e">
        <f>AND('Scout Data Input'!P27,"AAAAAB/5/0c=")</f>
        <v>#VALUE!</v>
      </c>
      <c r="BU14" t="e">
        <f>AND('Scout Data Input'!Q27,"AAAAAB/5/0g=")</f>
        <v>#VALUE!</v>
      </c>
      <c r="BV14" t="e">
        <f>AND('Scout Data Input'!R27,"AAAAAB/5/0k=")</f>
        <v>#VALUE!</v>
      </c>
      <c r="BW14" t="e">
        <f>AND('Scout Data Input'!S27,"AAAAAB/5/0o=")</f>
        <v>#VALUE!</v>
      </c>
      <c r="BX14">
        <f>IF('Scout Data Input'!28:28,"AAAAAB/5/0s=",0)</f>
        <v>0</v>
      </c>
      <c r="BY14" t="e">
        <f>AND('Scout Data Input'!A28,"AAAAAB/5/0w=")</f>
        <v>#VALUE!</v>
      </c>
      <c r="BZ14" t="e">
        <f>AND('Scout Data Input'!B28,"AAAAAB/5/00=")</f>
        <v>#VALUE!</v>
      </c>
      <c r="CA14" t="e">
        <f>AND('Scout Data Input'!C28,"AAAAAB/5/04=")</f>
        <v>#VALUE!</v>
      </c>
      <c r="CB14" t="e">
        <f>AND('Scout Data Input'!D28,"AAAAAB/5/08=")</f>
        <v>#VALUE!</v>
      </c>
      <c r="CC14" t="e">
        <f>AND('Scout Data Input'!E28,"AAAAAB/5/1A=")</f>
        <v>#VALUE!</v>
      </c>
      <c r="CD14" t="e">
        <f>AND('Scout Data Input'!F28,"AAAAAB/5/1E=")</f>
        <v>#VALUE!</v>
      </c>
      <c r="CE14" t="e">
        <f>AND('Scout Data Input'!G28,"AAAAAB/5/1I=")</f>
        <v>#VALUE!</v>
      </c>
      <c r="CF14" t="e">
        <f>AND('Scout Data Input'!H28,"AAAAAB/5/1M=")</f>
        <v>#VALUE!</v>
      </c>
      <c r="CG14" t="e">
        <f>AND('Scout Data Input'!I28,"AAAAAB/5/1Q=")</f>
        <v>#VALUE!</v>
      </c>
      <c r="CH14" t="e">
        <f>AND('Scout Data Input'!J28,"AAAAAB/5/1U=")</f>
        <v>#VALUE!</v>
      </c>
      <c r="CI14" t="e">
        <f>AND('Scout Data Input'!K28,"AAAAAB/5/1Y=")</f>
        <v>#VALUE!</v>
      </c>
      <c r="CJ14" t="e">
        <f>AND('Scout Data Input'!L28,"AAAAAB/5/1c=")</f>
        <v>#VALUE!</v>
      </c>
      <c r="CK14" t="e">
        <f>AND('Scout Data Input'!M28,"AAAAAB/5/1g=")</f>
        <v>#VALUE!</v>
      </c>
      <c r="CL14" t="e">
        <f>AND('Scout Data Input'!N28,"AAAAAB/5/1k=")</f>
        <v>#VALUE!</v>
      </c>
      <c r="CM14" t="e">
        <f>AND('Scout Data Input'!O28,"AAAAAB/5/1o=")</f>
        <v>#VALUE!</v>
      </c>
      <c r="CN14" t="e">
        <f>AND('Scout Data Input'!P28,"AAAAAB/5/1s=")</f>
        <v>#VALUE!</v>
      </c>
      <c r="CO14" t="e">
        <f>AND('Scout Data Input'!Q28,"AAAAAB/5/1w=")</f>
        <v>#VALUE!</v>
      </c>
      <c r="CP14" t="e">
        <f>AND('Scout Data Input'!R28,"AAAAAB/5/10=")</f>
        <v>#VALUE!</v>
      </c>
      <c r="CQ14" t="e">
        <f>AND('Scout Data Input'!S28,"AAAAAB/5/14=")</f>
        <v>#VALUE!</v>
      </c>
      <c r="CR14">
        <f>IF('Scout Data Input'!29:29,"AAAAAB/5/18=",0)</f>
        <v>0</v>
      </c>
      <c r="CS14" t="e">
        <f>AND('Scout Data Input'!A29,"AAAAAB/5/2A=")</f>
        <v>#VALUE!</v>
      </c>
      <c r="CT14" t="e">
        <f>AND('Scout Data Input'!B29,"AAAAAB/5/2E=")</f>
        <v>#VALUE!</v>
      </c>
      <c r="CU14" t="e">
        <f>AND('Scout Data Input'!C29,"AAAAAB/5/2I=")</f>
        <v>#VALUE!</v>
      </c>
      <c r="CV14" t="e">
        <f>AND('Scout Data Input'!D29,"AAAAAB/5/2M=")</f>
        <v>#VALUE!</v>
      </c>
      <c r="CW14" t="e">
        <f>AND('Scout Data Input'!E29,"AAAAAB/5/2Q=")</f>
        <v>#VALUE!</v>
      </c>
      <c r="CX14" t="e">
        <f>AND('Scout Data Input'!F29,"AAAAAB/5/2U=")</f>
        <v>#VALUE!</v>
      </c>
      <c r="CY14" t="e">
        <f>AND('Scout Data Input'!G29,"AAAAAB/5/2Y=")</f>
        <v>#VALUE!</v>
      </c>
      <c r="CZ14" t="e">
        <f>AND('Scout Data Input'!H29,"AAAAAB/5/2c=")</f>
        <v>#VALUE!</v>
      </c>
      <c r="DA14" t="e">
        <f>AND('Scout Data Input'!I29,"AAAAAB/5/2g=")</f>
        <v>#VALUE!</v>
      </c>
      <c r="DB14" t="e">
        <f>AND('Scout Data Input'!J29,"AAAAAB/5/2k=")</f>
        <v>#VALUE!</v>
      </c>
      <c r="DC14" t="e">
        <f>AND('Scout Data Input'!K29,"AAAAAB/5/2o=")</f>
        <v>#VALUE!</v>
      </c>
      <c r="DD14" t="e">
        <f>AND('Scout Data Input'!L29,"AAAAAB/5/2s=")</f>
        <v>#VALUE!</v>
      </c>
      <c r="DE14" t="e">
        <f>AND('Scout Data Input'!M29,"AAAAAB/5/2w=")</f>
        <v>#VALUE!</v>
      </c>
      <c r="DF14" t="e">
        <f>AND('Scout Data Input'!N29,"AAAAAB/5/20=")</f>
        <v>#VALUE!</v>
      </c>
      <c r="DG14" t="e">
        <f>AND('Scout Data Input'!O29,"AAAAAB/5/24=")</f>
        <v>#VALUE!</v>
      </c>
      <c r="DH14" t="e">
        <f>AND('Scout Data Input'!P29,"AAAAAB/5/28=")</f>
        <v>#VALUE!</v>
      </c>
      <c r="DI14" t="e">
        <f>AND('Scout Data Input'!Q29,"AAAAAB/5/3A=")</f>
        <v>#VALUE!</v>
      </c>
      <c r="DJ14" t="e">
        <f>AND('Scout Data Input'!R29,"AAAAAB/5/3E=")</f>
        <v>#VALUE!</v>
      </c>
      <c r="DK14" t="e">
        <f>AND('Scout Data Input'!S29,"AAAAAB/5/3I=")</f>
        <v>#VALUE!</v>
      </c>
      <c r="DL14">
        <f>IF('Scout Data Input'!30:30,"AAAAAB/5/3M=",0)</f>
        <v>0</v>
      </c>
      <c r="DM14" t="e">
        <f>AND('Scout Data Input'!A30,"AAAAAB/5/3Q=")</f>
        <v>#VALUE!</v>
      </c>
      <c r="DN14" t="e">
        <f>AND('Scout Data Input'!B30,"AAAAAB/5/3U=")</f>
        <v>#VALUE!</v>
      </c>
      <c r="DO14" t="e">
        <f>AND('Scout Data Input'!C30,"AAAAAB/5/3Y=")</f>
        <v>#VALUE!</v>
      </c>
      <c r="DP14" t="e">
        <f>AND('Scout Data Input'!D30,"AAAAAB/5/3c=")</f>
        <v>#VALUE!</v>
      </c>
      <c r="DQ14" t="e">
        <f>AND('Scout Data Input'!E30,"AAAAAB/5/3g=")</f>
        <v>#VALUE!</v>
      </c>
      <c r="DR14" t="e">
        <f>AND('Scout Data Input'!F30,"AAAAAB/5/3k=")</f>
        <v>#VALUE!</v>
      </c>
      <c r="DS14" t="e">
        <f>AND('Scout Data Input'!G30,"AAAAAB/5/3o=")</f>
        <v>#VALUE!</v>
      </c>
      <c r="DT14" t="e">
        <f>AND('Scout Data Input'!H30,"AAAAAB/5/3s=")</f>
        <v>#VALUE!</v>
      </c>
      <c r="DU14" t="e">
        <f>AND('Scout Data Input'!I30,"AAAAAB/5/3w=")</f>
        <v>#VALUE!</v>
      </c>
      <c r="DV14" t="e">
        <f>AND('Scout Data Input'!J30,"AAAAAB/5/30=")</f>
        <v>#VALUE!</v>
      </c>
      <c r="DW14" t="e">
        <f>AND('Scout Data Input'!K30,"AAAAAB/5/34=")</f>
        <v>#VALUE!</v>
      </c>
      <c r="DX14" t="e">
        <f>AND('Scout Data Input'!L30,"AAAAAB/5/38=")</f>
        <v>#VALUE!</v>
      </c>
      <c r="DY14" t="e">
        <f>AND('Scout Data Input'!M30,"AAAAAB/5/4A=")</f>
        <v>#VALUE!</v>
      </c>
      <c r="DZ14" t="e">
        <f>AND('Scout Data Input'!N30,"AAAAAB/5/4E=")</f>
        <v>#VALUE!</v>
      </c>
      <c r="EA14" t="e">
        <f>AND('Scout Data Input'!O30,"AAAAAB/5/4I=")</f>
        <v>#VALUE!</v>
      </c>
      <c r="EB14" t="e">
        <f>AND('Scout Data Input'!P30,"AAAAAB/5/4M=")</f>
        <v>#VALUE!</v>
      </c>
      <c r="EC14" t="e">
        <f>AND('Scout Data Input'!Q30,"AAAAAB/5/4Q=")</f>
        <v>#VALUE!</v>
      </c>
      <c r="ED14" t="e">
        <f>AND('Scout Data Input'!R30,"AAAAAB/5/4U=")</f>
        <v>#VALUE!</v>
      </c>
      <c r="EE14" t="e">
        <f>AND('Scout Data Input'!S30,"AAAAAB/5/4Y=")</f>
        <v>#VALUE!</v>
      </c>
      <c r="EF14">
        <f>IF('Scout Data Input'!31:31,"AAAAAB/5/4c=",0)</f>
        <v>0</v>
      </c>
      <c r="EG14" t="e">
        <f>AND('Scout Data Input'!A31,"AAAAAB/5/4g=")</f>
        <v>#VALUE!</v>
      </c>
      <c r="EH14" t="e">
        <f>AND('Scout Data Input'!B31,"AAAAAB/5/4k=")</f>
        <v>#VALUE!</v>
      </c>
      <c r="EI14" t="e">
        <f>AND('Scout Data Input'!C31,"AAAAAB/5/4o=")</f>
        <v>#VALUE!</v>
      </c>
      <c r="EJ14" t="e">
        <f>AND('Scout Data Input'!D31,"AAAAAB/5/4s=")</f>
        <v>#VALUE!</v>
      </c>
      <c r="EK14" t="e">
        <f>AND('Scout Data Input'!E31,"AAAAAB/5/4w=")</f>
        <v>#VALUE!</v>
      </c>
      <c r="EL14" t="e">
        <f>AND('Scout Data Input'!F31,"AAAAAB/5/40=")</f>
        <v>#VALUE!</v>
      </c>
      <c r="EM14" t="e">
        <f>AND('Scout Data Input'!G31,"AAAAAB/5/44=")</f>
        <v>#VALUE!</v>
      </c>
      <c r="EN14" t="e">
        <f>AND('Scout Data Input'!H31,"AAAAAB/5/48=")</f>
        <v>#VALUE!</v>
      </c>
      <c r="EO14" t="e">
        <f>AND('Scout Data Input'!I31,"AAAAAB/5/5A=")</f>
        <v>#VALUE!</v>
      </c>
      <c r="EP14" t="e">
        <f>AND('Scout Data Input'!J31,"AAAAAB/5/5E=")</f>
        <v>#VALUE!</v>
      </c>
      <c r="EQ14" t="e">
        <f>AND('Scout Data Input'!K31,"AAAAAB/5/5I=")</f>
        <v>#VALUE!</v>
      </c>
      <c r="ER14" t="e">
        <f>AND('Scout Data Input'!L31,"AAAAAB/5/5M=")</f>
        <v>#VALUE!</v>
      </c>
      <c r="ES14" t="e">
        <f>AND('Scout Data Input'!M31,"AAAAAB/5/5Q=")</f>
        <v>#VALUE!</v>
      </c>
      <c r="ET14" t="e">
        <f>AND('Scout Data Input'!N31,"AAAAAB/5/5U=")</f>
        <v>#VALUE!</v>
      </c>
      <c r="EU14" t="e">
        <f>AND('Scout Data Input'!O31,"AAAAAB/5/5Y=")</f>
        <v>#VALUE!</v>
      </c>
      <c r="EV14" t="e">
        <f>AND('Scout Data Input'!P31,"AAAAAB/5/5c=")</f>
        <v>#VALUE!</v>
      </c>
      <c r="EW14" t="e">
        <f>AND('Scout Data Input'!Q31,"AAAAAB/5/5g=")</f>
        <v>#VALUE!</v>
      </c>
      <c r="EX14" t="e">
        <f>AND('Scout Data Input'!R31,"AAAAAB/5/5k=")</f>
        <v>#VALUE!</v>
      </c>
      <c r="EY14" t="e">
        <f>AND('Scout Data Input'!S31,"AAAAAB/5/5o=")</f>
        <v>#VALUE!</v>
      </c>
      <c r="EZ14">
        <f>IF('Scout Data Input'!32:32,"AAAAAB/5/5s=",0)</f>
        <v>0</v>
      </c>
      <c r="FA14" t="e">
        <f>AND('Scout Data Input'!A32,"AAAAAB/5/5w=")</f>
        <v>#VALUE!</v>
      </c>
      <c r="FB14" t="e">
        <f>AND('Scout Data Input'!B32,"AAAAAB/5/50=")</f>
        <v>#VALUE!</v>
      </c>
      <c r="FC14" t="e">
        <f>AND('Scout Data Input'!C32,"AAAAAB/5/54=")</f>
        <v>#VALUE!</v>
      </c>
      <c r="FD14" t="e">
        <f>AND('Scout Data Input'!D32,"AAAAAB/5/58=")</f>
        <v>#VALUE!</v>
      </c>
      <c r="FE14" t="e">
        <f>AND('Scout Data Input'!E32,"AAAAAB/5/6A=")</f>
        <v>#VALUE!</v>
      </c>
      <c r="FF14" t="e">
        <f>AND('Scout Data Input'!F32,"AAAAAB/5/6E=")</f>
        <v>#VALUE!</v>
      </c>
      <c r="FG14" t="e">
        <f>AND('Scout Data Input'!G32,"AAAAAB/5/6I=")</f>
        <v>#VALUE!</v>
      </c>
      <c r="FH14" t="e">
        <f>AND('Scout Data Input'!H32,"AAAAAB/5/6M=")</f>
        <v>#VALUE!</v>
      </c>
      <c r="FI14" t="e">
        <f>AND('Scout Data Input'!I32,"AAAAAB/5/6Q=")</f>
        <v>#VALUE!</v>
      </c>
      <c r="FJ14" t="e">
        <f>AND('Scout Data Input'!J32,"AAAAAB/5/6U=")</f>
        <v>#VALUE!</v>
      </c>
      <c r="FK14" t="e">
        <f>AND('Scout Data Input'!K32,"AAAAAB/5/6Y=")</f>
        <v>#VALUE!</v>
      </c>
      <c r="FL14" t="e">
        <f>AND('Scout Data Input'!L32,"AAAAAB/5/6c=")</f>
        <v>#VALUE!</v>
      </c>
      <c r="FM14" t="e">
        <f>AND('Scout Data Input'!M32,"AAAAAB/5/6g=")</f>
        <v>#VALUE!</v>
      </c>
      <c r="FN14" t="e">
        <f>AND('Scout Data Input'!N32,"AAAAAB/5/6k=")</f>
        <v>#VALUE!</v>
      </c>
      <c r="FO14" t="e">
        <f>AND('Scout Data Input'!O32,"AAAAAB/5/6o=")</f>
        <v>#VALUE!</v>
      </c>
      <c r="FP14" t="e">
        <f>AND('Scout Data Input'!P32,"AAAAAB/5/6s=")</f>
        <v>#VALUE!</v>
      </c>
      <c r="FQ14" t="e">
        <f>AND('Scout Data Input'!Q32,"AAAAAB/5/6w=")</f>
        <v>#VALUE!</v>
      </c>
      <c r="FR14" t="e">
        <f>AND('Scout Data Input'!R32,"AAAAAB/5/60=")</f>
        <v>#VALUE!</v>
      </c>
      <c r="FS14" t="e">
        <f>AND('Scout Data Input'!S32,"AAAAAB/5/64=")</f>
        <v>#VALUE!</v>
      </c>
      <c r="FT14">
        <f>IF('Scout Data Input'!33:33,"AAAAAB/5/68=",0)</f>
        <v>0</v>
      </c>
      <c r="FU14" t="e">
        <f>AND('Scout Data Input'!A33,"AAAAAB/5/7A=")</f>
        <v>#VALUE!</v>
      </c>
      <c r="FV14" t="e">
        <f>AND('Scout Data Input'!B33,"AAAAAB/5/7E=")</f>
        <v>#VALUE!</v>
      </c>
      <c r="FW14" t="e">
        <f>AND('Scout Data Input'!C33,"AAAAAB/5/7I=")</f>
        <v>#VALUE!</v>
      </c>
      <c r="FX14" t="e">
        <f>AND('Scout Data Input'!D33,"AAAAAB/5/7M=")</f>
        <v>#VALUE!</v>
      </c>
      <c r="FY14" t="e">
        <f>AND('Scout Data Input'!E33,"AAAAAB/5/7Q=")</f>
        <v>#VALUE!</v>
      </c>
      <c r="FZ14" t="e">
        <f>AND('Scout Data Input'!F33,"AAAAAB/5/7U=")</f>
        <v>#VALUE!</v>
      </c>
      <c r="GA14" t="e">
        <f>AND('Scout Data Input'!G33,"AAAAAB/5/7Y=")</f>
        <v>#VALUE!</v>
      </c>
      <c r="GB14" t="e">
        <f>AND('Scout Data Input'!H33,"AAAAAB/5/7c=")</f>
        <v>#VALUE!</v>
      </c>
      <c r="GC14" t="e">
        <f>AND('Scout Data Input'!I33,"AAAAAB/5/7g=")</f>
        <v>#VALUE!</v>
      </c>
      <c r="GD14" t="e">
        <f>AND('Scout Data Input'!J33,"AAAAAB/5/7k=")</f>
        <v>#VALUE!</v>
      </c>
      <c r="GE14" t="e">
        <f>AND('Scout Data Input'!K33,"AAAAAB/5/7o=")</f>
        <v>#VALUE!</v>
      </c>
      <c r="GF14" t="e">
        <f>AND('Scout Data Input'!L33,"AAAAAB/5/7s=")</f>
        <v>#VALUE!</v>
      </c>
      <c r="GG14" t="e">
        <f>AND('Scout Data Input'!M33,"AAAAAB/5/7w=")</f>
        <v>#VALUE!</v>
      </c>
      <c r="GH14" t="e">
        <f>AND('Scout Data Input'!N33,"AAAAAB/5/70=")</f>
        <v>#VALUE!</v>
      </c>
      <c r="GI14" t="e">
        <f>AND('Scout Data Input'!O33,"AAAAAB/5/74=")</f>
        <v>#VALUE!</v>
      </c>
      <c r="GJ14" t="e">
        <f>AND('Scout Data Input'!P33,"AAAAAB/5/78=")</f>
        <v>#VALUE!</v>
      </c>
      <c r="GK14" t="e">
        <f>AND('Scout Data Input'!Q33,"AAAAAB/5/8A=")</f>
        <v>#VALUE!</v>
      </c>
      <c r="GL14" t="e">
        <f>AND('Scout Data Input'!R33,"AAAAAB/5/8E=")</f>
        <v>#VALUE!</v>
      </c>
      <c r="GM14" t="e">
        <f>AND('Scout Data Input'!S33,"AAAAAB/5/8I=")</f>
        <v>#VALUE!</v>
      </c>
      <c r="GN14">
        <f>IF('Scout Data Input'!34:34,"AAAAAB/5/8M=",0)</f>
        <v>0</v>
      </c>
      <c r="GO14" t="e">
        <f>AND('Scout Data Input'!A34,"AAAAAB/5/8Q=")</f>
        <v>#VALUE!</v>
      </c>
      <c r="GP14" t="e">
        <f>AND('Scout Data Input'!B34,"AAAAAB/5/8U=")</f>
        <v>#VALUE!</v>
      </c>
      <c r="GQ14" t="e">
        <f>AND('Scout Data Input'!C34,"AAAAAB/5/8Y=")</f>
        <v>#VALUE!</v>
      </c>
      <c r="GR14" t="e">
        <f>AND('Scout Data Input'!D34,"AAAAAB/5/8c=")</f>
        <v>#VALUE!</v>
      </c>
      <c r="GS14" t="e">
        <f>AND('Scout Data Input'!E34,"AAAAAB/5/8g=")</f>
        <v>#VALUE!</v>
      </c>
      <c r="GT14" t="e">
        <f>AND('Scout Data Input'!F34,"AAAAAB/5/8k=")</f>
        <v>#VALUE!</v>
      </c>
      <c r="GU14" t="e">
        <f>AND('Scout Data Input'!G34,"AAAAAB/5/8o=")</f>
        <v>#VALUE!</v>
      </c>
      <c r="GV14" t="e">
        <f>AND('Scout Data Input'!H34,"AAAAAB/5/8s=")</f>
        <v>#VALUE!</v>
      </c>
      <c r="GW14" t="e">
        <f>AND('Scout Data Input'!I34,"AAAAAB/5/8w=")</f>
        <v>#VALUE!</v>
      </c>
      <c r="GX14" t="e">
        <f>AND('Scout Data Input'!J34,"AAAAAB/5/80=")</f>
        <v>#VALUE!</v>
      </c>
      <c r="GY14" t="e">
        <f>AND('Scout Data Input'!K34,"AAAAAB/5/84=")</f>
        <v>#VALUE!</v>
      </c>
      <c r="GZ14" t="e">
        <f>AND('Scout Data Input'!L34,"AAAAAB/5/88=")</f>
        <v>#VALUE!</v>
      </c>
      <c r="HA14" t="e">
        <f>AND('Scout Data Input'!M34,"AAAAAB/5/9A=")</f>
        <v>#VALUE!</v>
      </c>
      <c r="HB14" t="e">
        <f>AND('Scout Data Input'!N34,"AAAAAB/5/9E=")</f>
        <v>#VALUE!</v>
      </c>
      <c r="HC14" t="e">
        <f>AND('Scout Data Input'!O34,"AAAAAB/5/9I=")</f>
        <v>#VALUE!</v>
      </c>
      <c r="HD14" t="e">
        <f>AND('Scout Data Input'!P34,"AAAAAB/5/9M=")</f>
        <v>#VALUE!</v>
      </c>
      <c r="HE14" t="e">
        <f>AND('Scout Data Input'!Q34,"AAAAAB/5/9Q=")</f>
        <v>#VALUE!</v>
      </c>
      <c r="HF14" t="e">
        <f>AND('Scout Data Input'!R34,"AAAAAB/5/9U=")</f>
        <v>#VALUE!</v>
      </c>
      <c r="HG14" t="e">
        <f>AND('Scout Data Input'!S34,"AAAAAB/5/9Y=")</f>
        <v>#VALUE!</v>
      </c>
      <c r="HH14">
        <f>IF('Scout Data Input'!35:35,"AAAAAB/5/9c=",0)</f>
        <v>0</v>
      </c>
      <c r="HI14" t="e">
        <f>AND('Scout Data Input'!A35,"AAAAAB/5/9g=")</f>
        <v>#VALUE!</v>
      </c>
      <c r="HJ14" t="e">
        <f>AND('Scout Data Input'!B35,"AAAAAB/5/9k=")</f>
        <v>#VALUE!</v>
      </c>
      <c r="HK14" t="e">
        <f>AND('Scout Data Input'!C35,"AAAAAB/5/9o=")</f>
        <v>#VALUE!</v>
      </c>
      <c r="HL14" t="e">
        <f>AND('Scout Data Input'!D35,"AAAAAB/5/9s=")</f>
        <v>#VALUE!</v>
      </c>
      <c r="HM14" t="e">
        <f>AND('Scout Data Input'!E35,"AAAAAB/5/9w=")</f>
        <v>#VALUE!</v>
      </c>
      <c r="HN14" t="e">
        <f>AND('Scout Data Input'!F35,"AAAAAB/5/90=")</f>
        <v>#VALUE!</v>
      </c>
      <c r="HO14" t="e">
        <f>AND('Scout Data Input'!G35,"AAAAAB/5/94=")</f>
        <v>#VALUE!</v>
      </c>
      <c r="HP14" t="e">
        <f>AND('Scout Data Input'!H35,"AAAAAB/5/98=")</f>
        <v>#VALUE!</v>
      </c>
      <c r="HQ14" t="e">
        <f>AND('Scout Data Input'!I35,"AAAAAB/5/+A=")</f>
        <v>#VALUE!</v>
      </c>
      <c r="HR14" t="e">
        <f>AND('Scout Data Input'!J35,"AAAAAB/5/+E=")</f>
        <v>#VALUE!</v>
      </c>
      <c r="HS14" t="e">
        <f>AND('Scout Data Input'!K35,"AAAAAB/5/+I=")</f>
        <v>#VALUE!</v>
      </c>
      <c r="HT14" t="e">
        <f>AND('Scout Data Input'!L35,"AAAAAB/5/+M=")</f>
        <v>#VALUE!</v>
      </c>
      <c r="HU14" t="e">
        <f>AND('Scout Data Input'!M35,"AAAAAB/5/+Q=")</f>
        <v>#VALUE!</v>
      </c>
      <c r="HV14" t="e">
        <f>AND('Scout Data Input'!N35,"AAAAAB/5/+U=")</f>
        <v>#VALUE!</v>
      </c>
      <c r="HW14" t="e">
        <f>AND('Scout Data Input'!O35,"AAAAAB/5/+Y=")</f>
        <v>#VALUE!</v>
      </c>
      <c r="HX14" t="e">
        <f>AND('Scout Data Input'!P35,"AAAAAB/5/+c=")</f>
        <v>#VALUE!</v>
      </c>
      <c r="HY14" t="e">
        <f>AND('Scout Data Input'!Q35,"AAAAAB/5/+g=")</f>
        <v>#VALUE!</v>
      </c>
      <c r="HZ14" t="e">
        <f>AND('Scout Data Input'!R35,"AAAAAB/5/+k=")</f>
        <v>#VALUE!</v>
      </c>
      <c r="IA14" t="e">
        <f>AND('Scout Data Input'!S35,"AAAAAB/5/+o=")</f>
        <v>#VALUE!</v>
      </c>
      <c r="IB14">
        <f>IF('Scout Data Input'!36:36,"AAAAAB/5/+s=",0)</f>
        <v>0</v>
      </c>
      <c r="IC14" t="e">
        <f>AND('Scout Data Input'!A36,"AAAAAB/5/+w=")</f>
        <v>#VALUE!</v>
      </c>
      <c r="ID14" t="e">
        <f>AND('Scout Data Input'!B36,"AAAAAB/5/+0=")</f>
        <v>#VALUE!</v>
      </c>
      <c r="IE14" t="e">
        <f>AND('Scout Data Input'!C36,"AAAAAB/5/+4=")</f>
        <v>#VALUE!</v>
      </c>
      <c r="IF14" t="e">
        <f>AND('Scout Data Input'!D36,"AAAAAB/5/+8=")</f>
        <v>#VALUE!</v>
      </c>
      <c r="IG14" t="e">
        <f>AND('Scout Data Input'!E36,"AAAAAB/5//A=")</f>
        <v>#VALUE!</v>
      </c>
      <c r="IH14" t="e">
        <f>AND('Scout Data Input'!F36,"AAAAAB/5//E=")</f>
        <v>#VALUE!</v>
      </c>
      <c r="II14" t="e">
        <f>AND('Scout Data Input'!G36,"AAAAAB/5//I=")</f>
        <v>#VALUE!</v>
      </c>
      <c r="IJ14" t="e">
        <f>AND('Scout Data Input'!H36,"AAAAAB/5//M=")</f>
        <v>#VALUE!</v>
      </c>
      <c r="IK14" t="e">
        <f>AND('Scout Data Input'!I36,"AAAAAB/5//Q=")</f>
        <v>#VALUE!</v>
      </c>
      <c r="IL14" t="e">
        <f>AND('Scout Data Input'!J36,"AAAAAB/5//U=")</f>
        <v>#VALUE!</v>
      </c>
      <c r="IM14" t="e">
        <f>AND('Scout Data Input'!K36,"AAAAAB/5//Y=")</f>
        <v>#VALUE!</v>
      </c>
      <c r="IN14" t="e">
        <f>AND('Scout Data Input'!L36,"AAAAAB/5//c=")</f>
        <v>#VALUE!</v>
      </c>
      <c r="IO14" t="e">
        <f>AND('Scout Data Input'!M36,"AAAAAB/5//g=")</f>
        <v>#VALUE!</v>
      </c>
      <c r="IP14" t="e">
        <f>AND('Scout Data Input'!N36,"AAAAAB/5//k=")</f>
        <v>#VALUE!</v>
      </c>
      <c r="IQ14" t="e">
        <f>AND('Scout Data Input'!O36,"AAAAAB/5//o=")</f>
        <v>#VALUE!</v>
      </c>
      <c r="IR14" t="e">
        <f>AND('Scout Data Input'!P36,"AAAAAB/5//s=")</f>
        <v>#VALUE!</v>
      </c>
      <c r="IS14" t="e">
        <f>AND('Scout Data Input'!Q36,"AAAAAB/5//w=")</f>
        <v>#VALUE!</v>
      </c>
      <c r="IT14" t="e">
        <f>AND('Scout Data Input'!R36,"AAAAAB/5//0=")</f>
        <v>#VALUE!</v>
      </c>
      <c r="IU14" t="e">
        <f>AND('Scout Data Input'!S36,"AAAAAB/5//4=")</f>
        <v>#VALUE!</v>
      </c>
      <c r="IV14">
        <f>IF('Scout Data Input'!37:37,"AAAAAB/5//8=",0)</f>
        <v>0</v>
      </c>
    </row>
    <row r="15" spans="1:256" x14ac:dyDescent="0.2">
      <c r="A15" t="e">
        <f>AND('Scout Data Input'!A37,"AAAAAF/v3wA=")</f>
        <v>#VALUE!</v>
      </c>
      <c r="B15" t="e">
        <f>AND('Scout Data Input'!B37,"AAAAAF/v3wE=")</f>
        <v>#VALUE!</v>
      </c>
      <c r="C15" t="e">
        <f>AND('Scout Data Input'!C37,"AAAAAF/v3wI=")</f>
        <v>#VALUE!</v>
      </c>
      <c r="D15" t="e">
        <f>AND('Scout Data Input'!D37,"AAAAAF/v3wM=")</f>
        <v>#VALUE!</v>
      </c>
      <c r="E15" t="e">
        <f>AND('Scout Data Input'!E37,"AAAAAF/v3wQ=")</f>
        <v>#VALUE!</v>
      </c>
      <c r="F15" t="e">
        <f>AND('Scout Data Input'!F37,"AAAAAF/v3wU=")</f>
        <v>#VALUE!</v>
      </c>
      <c r="G15" t="e">
        <f>AND('Scout Data Input'!G37,"AAAAAF/v3wY=")</f>
        <v>#VALUE!</v>
      </c>
      <c r="H15" t="e">
        <f>AND('Scout Data Input'!H37,"AAAAAF/v3wc=")</f>
        <v>#VALUE!</v>
      </c>
      <c r="I15" t="e">
        <f>AND('Scout Data Input'!I37,"AAAAAF/v3wg=")</f>
        <v>#VALUE!</v>
      </c>
      <c r="J15" t="e">
        <f>AND('Scout Data Input'!J37,"AAAAAF/v3wk=")</f>
        <v>#VALUE!</v>
      </c>
      <c r="K15" t="e">
        <f>AND('Scout Data Input'!K37,"AAAAAF/v3wo=")</f>
        <v>#VALUE!</v>
      </c>
      <c r="L15" t="e">
        <f>AND('Scout Data Input'!L37,"AAAAAF/v3ws=")</f>
        <v>#VALUE!</v>
      </c>
      <c r="M15" t="e">
        <f>AND('Scout Data Input'!M37,"AAAAAF/v3ww=")</f>
        <v>#VALUE!</v>
      </c>
      <c r="N15" t="e">
        <f>AND('Scout Data Input'!N37,"AAAAAF/v3w0=")</f>
        <v>#VALUE!</v>
      </c>
      <c r="O15" t="e">
        <f>AND('Scout Data Input'!O37,"AAAAAF/v3w4=")</f>
        <v>#VALUE!</v>
      </c>
      <c r="P15" t="e">
        <f>AND('Scout Data Input'!P37,"AAAAAF/v3w8=")</f>
        <v>#VALUE!</v>
      </c>
      <c r="Q15" t="e">
        <f>AND('Scout Data Input'!Q37,"AAAAAF/v3xA=")</f>
        <v>#VALUE!</v>
      </c>
      <c r="R15" t="e">
        <f>AND('Scout Data Input'!R37,"AAAAAF/v3xE=")</f>
        <v>#VALUE!</v>
      </c>
      <c r="S15" t="e">
        <f>AND('Scout Data Input'!S37,"AAAAAF/v3xI=")</f>
        <v>#VALUE!</v>
      </c>
      <c r="T15">
        <f>IF('Scout Data Input'!38:38,"AAAAAF/v3xM=",0)</f>
        <v>0</v>
      </c>
      <c r="U15" t="e">
        <f>AND('Scout Data Input'!A38,"AAAAAF/v3xQ=")</f>
        <v>#VALUE!</v>
      </c>
      <c r="V15" t="e">
        <f>AND('Scout Data Input'!B38,"AAAAAF/v3xU=")</f>
        <v>#VALUE!</v>
      </c>
      <c r="W15" t="e">
        <f>AND('Scout Data Input'!C38,"AAAAAF/v3xY=")</f>
        <v>#VALUE!</v>
      </c>
      <c r="X15" t="e">
        <f>AND('Scout Data Input'!D38,"AAAAAF/v3xc=")</f>
        <v>#VALUE!</v>
      </c>
      <c r="Y15" t="e">
        <f>AND('Scout Data Input'!E38,"AAAAAF/v3xg=")</f>
        <v>#VALUE!</v>
      </c>
      <c r="Z15" t="e">
        <f>AND('Scout Data Input'!F38,"AAAAAF/v3xk=")</f>
        <v>#VALUE!</v>
      </c>
      <c r="AA15" t="e">
        <f>AND('Scout Data Input'!G38,"AAAAAF/v3xo=")</f>
        <v>#VALUE!</v>
      </c>
      <c r="AB15" t="e">
        <f>AND('Scout Data Input'!H38,"AAAAAF/v3xs=")</f>
        <v>#VALUE!</v>
      </c>
      <c r="AC15" t="e">
        <f>AND('Scout Data Input'!I38,"AAAAAF/v3xw=")</f>
        <v>#VALUE!</v>
      </c>
      <c r="AD15" t="e">
        <f>AND('Scout Data Input'!J38,"AAAAAF/v3x0=")</f>
        <v>#VALUE!</v>
      </c>
      <c r="AE15" t="e">
        <f>AND('Scout Data Input'!K38,"AAAAAF/v3x4=")</f>
        <v>#VALUE!</v>
      </c>
      <c r="AF15" t="e">
        <f>AND('Scout Data Input'!L38,"AAAAAF/v3x8=")</f>
        <v>#VALUE!</v>
      </c>
      <c r="AG15" t="e">
        <f>AND('Scout Data Input'!M38,"AAAAAF/v3yA=")</f>
        <v>#VALUE!</v>
      </c>
      <c r="AH15" t="e">
        <f>AND('Scout Data Input'!N38,"AAAAAF/v3yE=")</f>
        <v>#VALUE!</v>
      </c>
      <c r="AI15" t="e">
        <f>AND('Scout Data Input'!O38,"AAAAAF/v3yI=")</f>
        <v>#VALUE!</v>
      </c>
      <c r="AJ15" t="e">
        <f>AND('Scout Data Input'!P38,"AAAAAF/v3yM=")</f>
        <v>#VALUE!</v>
      </c>
      <c r="AK15" t="e">
        <f>AND('Scout Data Input'!Q38,"AAAAAF/v3yQ=")</f>
        <v>#VALUE!</v>
      </c>
      <c r="AL15" t="e">
        <f>AND('Scout Data Input'!R38,"AAAAAF/v3yU=")</f>
        <v>#VALUE!</v>
      </c>
      <c r="AM15" t="e">
        <f>AND('Scout Data Input'!S38,"AAAAAF/v3yY=")</f>
        <v>#VALUE!</v>
      </c>
      <c r="AN15">
        <f>IF('Scout Data Input'!39:39,"AAAAAF/v3yc=",0)</f>
        <v>0</v>
      </c>
      <c r="AO15" t="e">
        <f>AND('Scout Data Input'!A39,"AAAAAF/v3yg=")</f>
        <v>#VALUE!</v>
      </c>
      <c r="AP15" t="e">
        <f>AND('Scout Data Input'!B39,"AAAAAF/v3yk=")</f>
        <v>#VALUE!</v>
      </c>
      <c r="AQ15" t="e">
        <f>AND('Scout Data Input'!C39,"AAAAAF/v3yo=")</f>
        <v>#VALUE!</v>
      </c>
      <c r="AR15" t="e">
        <f>AND('Scout Data Input'!D39,"AAAAAF/v3ys=")</f>
        <v>#VALUE!</v>
      </c>
      <c r="AS15" t="e">
        <f>AND('Scout Data Input'!E39,"AAAAAF/v3yw=")</f>
        <v>#VALUE!</v>
      </c>
      <c r="AT15" t="e">
        <f>AND('Scout Data Input'!F39,"AAAAAF/v3y0=")</f>
        <v>#VALUE!</v>
      </c>
      <c r="AU15" t="e">
        <f>AND('Scout Data Input'!G39,"AAAAAF/v3y4=")</f>
        <v>#VALUE!</v>
      </c>
      <c r="AV15" t="e">
        <f>AND('Scout Data Input'!H39,"AAAAAF/v3y8=")</f>
        <v>#VALUE!</v>
      </c>
      <c r="AW15" t="e">
        <f>AND('Scout Data Input'!I39,"AAAAAF/v3zA=")</f>
        <v>#VALUE!</v>
      </c>
      <c r="AX15" t="e">
        <f>AND('Scout Data Input'!J39,"AAAAAF/v3zE=")</f>
        <v>#VALUE!</v>
      </c>
      <c r="AY15" t="e">
        <f>AND('Scout Data Input'!K39,"AAAAAF/v3zI=")</f>
        <v>#VALUE!</v>
      </c>
      <c r="AZ15" t="e">
        <f>AND('Scout Data Input'!L39,"AAAAAF/v3zM=")</f>
        <v>#VALUE!</v>
      </c>
      <c r="BA15" t="e">
        <f>AND('Scout Data Input'!M39,"AAAAAF/v3zQ=")</f>
        <v>#VALUE!</v>
      </c>
      <c r="BB15" t="e">
        <f>AND('Scout Data Input'!N39,"AAAAAF/v3zU=")</f>
        <v>#VALUE!</v>
      </c>
      <c r="BC15" t="e">
        <f>AND('Scout Data Input'!O39,"AAAAAF/v3zY=")</f>
        <v>#VALUE!</v>
      </c>
      <c r="BD15" t="e">
        <f>AND('Scout Data Input'!P39,"AAAAAF/v3zc=")</f>
        <v>#VALUE!</v>
      </c>
      <c r="BE15" t="e">
        <f>AND('Scout Data Input'!Q39,"AAAAAF/v3zg=")</f>
        <v>#VALUE!</v>
      </c>
      <c r="BF15" t="e">
        <f>AND('Scout Data Input'!R39,"AAAAAF/v3zk=")</f>
        <v>#VALUE!</v>
      </c>
      <c r="BG15" t="e">
        <f>AND('Scout Data Input'!S39,"AAAAAF/v3zo=")</f>
        <v>#VALUE!</v>
      </c>
      <c r="BH15">
        <f>IF('Scout Data Input'!40:40,"AAAAAF/v3zs=",0)</f>
        <v>0</v>
      </c>
      <c r="BI15" t="e">
        <f>AND('Scout Data Input'!A40,"AAAAAF/v3zw=")</f>
        <v>#VALUE!</v>
      </c>
      <c r="BJ15" t="e">
        <f>AND('Scout Data Input'!B40,"AAAAAF/v3z0=")</f>
        <v>#VALUE!</v>
      </c>
      <c r="BK15" t="e">
        <f>AND('Scout Data Input'!C40,"AAAAAF/v3z4=")</f>
        <v>#VALUE!</v>
      </c>
      <c r="BL15" t="e">
        <f>AND('Scout Data Input'!D40,"AAAAAF/v3z8=")</f>
        <v>#VALUE!</v>
      </c>
      <c r="BM15" t="e">
        <f>AND('Scout Data Input'!E40,"AAAAAF/v30A=")</f>
        <v>#VALUE!</v>
      </c>
      <c r="BN15" t="e">
        <f>AND('Scout Data Input'!F40,"AAAAAF/v30E=")</f>
        <v>#VALUE!</v>
      </c>
      <c r="BO15" t="e">
        <f>AND('Scout Data Input'!G40,"AAAAAF/v30I=")</f>
        <v>#VALUE!</v>
      </c>
      <c r="BP15" t="e">
        <f>AND('Scout Data Input'!H40,"AAAAAF/v30M=")</f>
        <v>#VALUE!</v>
      </c>
      <c r="BQ15" t="e">
        <f>AND('Scout Data Input'!I40,"AAAAAF/v30Q=")</f>
        <v>#VALUE!</v>
      </c>
      <c r="BR15" t="e">
        <f>AND('Scout Data Input'!J40,"AAAAAF/v30U=")</f>
        <v>#VALUE!</v>
      </c>
      <c r="BS15" t="e">
        <f>AND('Scout Data Input'!K40,"AAAAAF/v30Y=")</f>
        <v>#VALUE!</v>
      </c>
      <c r="BT15" t="e">
        <f>AND('Scout Data Input'!L40,"AAAAAF/v30c=")</f>
        <v>#VALUE!</v>
      </c>
      <c r="BU15" t="e">
        <f>AND('Scout Data Input'!M40,"AAAAAF/v30g=")</f>
        <v>#VALUE!</v>
      </c>
      <c r="BV15" t="e">
        <f>AND('Scout Data Input'!N40,"AAAAAF/v30k=")</f>
        <v>#VALUE!</v>
      </c>
      <c r="BW15" t="e">
        <f>AND('Scout Data Input'!O40,"AAAAAF/v30o=")</f>
        <v>#VALUE!</v>
      </c>
      <c r="BX15" t="e">
        <f>AND('Scout Data Input'!P40,"AAAAAF/v30s=")</f>
        <v>#VALUE!</v>
      </c>
      <c r="BY15" t="e">
        <f>AND('Scout Data Input'!Q40,"AAAAAF/v30w=")</f>
        <v>#VALUE!</v>
      </c>
      <c r="BZ15" t="e">
        <f>AND('Scout Data Input'!R40,"AAAAAF/v300=")</f>
        <v>#VALUE!</v>
      </c>
      <c r="CA15" t="e">
        <f>AND('Scout Data Input'!S40,"AAAAAF/v304=")</f>
        <v>#VALUE!</v>
      </c>
      <c r="CB15">
        <f>IF('Scout Data Input'!41:41,"AAAAAF/v308=",0)</f>
        <v>0</v>
      </c>
      <c r="CC15" t="e">
        <f>AND('Scout Data Input'!A41,"AAAAAF/v31A=")</f>
        <v>#VALUE!</v>
      </c>
      <c r="CD15" t="e">
        <f>AND('Scout Data Input'!B41,"AAAAAF/v31E=")</f>
        <v>#VALUE!</v>
      </c>
      <c r="CE15" t="e">
        <f>AND('Scout Data Input'!C41,"AAAAAF/v31I=")</f>
        <v>#VALUE!</v>
      </c>
      <c r="CF15" t="e">
        <f>AND('Scout Data Input'!D41,"AAAAAF/v31M=")</f>
        <v>#VALUE!</v>
      </c>
      <c r="CG15" t="e">
        <f>AND('Scout Data Input'!E41,"AAAAAF/v31Q=")</f>
        <v>#VALUE!</v>
      </c>
      <c r="CH15" t="e">
        <f>AND('Scout Data Input'!F41,"AAAAAF/v31U=")</f>
        <v>#VALUE!</v>
      </c>
      <c r="CI15" t="e">
        <f>AND('Scout Data Input'!G41,"AAAAAF/v31Y=")</f>
        <v>#VALUE!</v>
      </c>
      <c r="CJ15" t="e">
        <f>AND('Scout Data Input'!H41,"AAAAAF/v31c=")</f>
        <v>#VALUE!</v>
      </c>
      <c r="CK15" t="e">
        <f>AND('Scout Data Input'!I41,"AAAAAF/v31g=")</f>
        <v>#VALUE!</v>
      </c>
      <c r="CL15" t="e">
        <f>AND('Scout Data Input'!J41,"AAAAAF/v31k=")</f>
        <v>#VALUE!</v>
      </c>
      <c r="CM15" t="e">
        <f>AND('Scout Data Input'!K41,"AAAAAF/v31o=")</f>
        <v>#VALUE!</v>
      </c>
      <c r="CN15" t="e">
        <f>AND('Scout Data Input'!L41,"AAAAAF/v31s=")</f>
        <v>#VALUE!</v>
      </c>
      <c r="CO15" t="e">
        <f>AND('Scout Data Input'!M41,"AAAAAF/v31w=")</f>
        <v>#VALUE!</v>
      </c>
      <c r="CP15" t="e">
        <f>AND('Scout Data Input'!N41,"AAAAAF/v310=")</f>
        <v>#VALUE!</v>
      </c>
      <c r="CQ15" t="e">
        <f>AND('Scout Data Input'!O41,"AAAAAF/v314=")</f>
        <v>#VALUE!</v>
      </c>
      <c r="CR15" t="e">
        <f>AND('Scout Data Input'!P41,"AAAAAF/v318=")</f>
        <v>#VALUE!</v>
      </c>
      <c r="CS15" t="e">
        <f>AND('Scout Data Input'!Q41,"AAAAAF/v32A=")</f>
        <v>#VALUE!</v>
      </c>
      <c r="CT15" t="e">
        <f>AND('Scout Data Input'!R41,"AAAAAF/v32E=")</f>
        <v>#VALUE!</v>
      </c>
      <c r="CU15" t="e">
        <f>AND('Scout Data Input'!S41,"AAAAAF/v32I=")</f>
        <v>#VALUE!</v>
      </c>
      <c r="CV15">
        <f>IF('Scout Data Input'!42:42,"AAAAAF/v32M=",0)</f>
        <v>0</v>
      </c>
      <c r="CW15" t="e">
        <f>AND('Scout Data Input'!A42,"AAAAAF/v32Q=")</f>
        <v>#VALUE!</v>
      </c>
      <c r="CX15" t="e">
        <f>AND('Scout Data Input'!B42,"AAAAAF/v32U=")</f>
        <v>#VALUE!</v>
      </c>
      <c r="CY15" t="e">
        <f>AND('Scout Data Input'!C42,"AAAAAF/v32Y=")</f>
        <v>#VALUE!</v>
      </c>
      <c r="CZ15" t="e">
        <f>AND('Scout Data Input'!D42,"AAAAAF/v32c=")</f>
        <v>#VALUE!</v>
      </c>
      <c r="DA15" t="e">
        <f>AND('Scout Data Input'!E42,"AAAAAF/v32g=")</f>
        <v>#VALUE!</v>
      </c>
      <c r="DB15" t="e">
        <f>AND('Scout Data Input'!F42,"AAAAAF/v32k=")</f>
        <v>#VALUE!</v>
      </c>
      <c r="DC15" t="e">
        <f>AND('Scout Data Input'!G42,"AAAAAF/v32o=")</f>
        <v>#VALUE!</v>
      </c>
      <c r="DD15" t="e">
        <f>AND('Scout Data Input'!H42,"AAAAAF/v32s=")</f>
        <v>#VALUE!</v>
      </c>
      <c r="DE15" t="e">
        <f>AND('Scout Data Input'!I42,"AAAAAF/v32w=")</f>
        <v>#VALUE!</v>
      </c>
      <c r="DF15" t="e">
        <f>AND('Scout Data Input'!J42,"AAAAAF/v320=")</f>
        <v>#VALUE!</v>
      </c>
      <c r="DG15" t="e">
        <f>AND('Scout Data Input'!K42,"AAAAAF/v324=")</f>
        <v>#VALUE!</v>
      </c>
      <c r="DH15" t="e">
        <f>AND('Scout Data Input'!L42,"AAAAAF/v328=")</f>
        <v>#VALUE!</v>
      </c>
      <c r="DI15" t="e">
        <f>AND('Scout Data Input'!M42,"AAAAAF/v33A=")</f>
        <v>#VALUE!</v>
      </c>
      <c r="DJ15" t="e">
        <f>AND('Scout Data Input'!N42,"AAAAAF/v33E=")</f>
        <v>#VALUE!</v>
      </c>
      <c r="DK15" t="e">
        <f>AND('Scout Data Input'!O42,"AAAAAF/v33I=")</f>
        <v>#VALUE!</v>
      </c>
      <c r="DL15" t="e">
        <f>AND('Scout Data Input'!P42,"AAAAAF/v33M=")</f>
        <v>#VALUE!</v>
      </c>
      <c r="DM15" t="e">
        <f>AND('Scout Data Input'!Q42,"AAAAAF/v33Q=")</f>
        <v>#VALUE!</v>
      </c>
      <c r="DN15" t="e">
        <f>AND('Scout Data Input'!R42,"AAAAAF/v33U=")</f>
        <v>#VALUE!</v>
      </c>
      <c r="DO15" t="e">
        <f>AND('Scout Data Input'!S42,"AAAAAF/v33Y=")</f>
        <v>#VALUE!</v>
      </c>
      <c r="DP15">
        <f>IF('Scout Data Input'!43:43,"AAAAAF/v33c=",0)</f>
        <v>0</v>
      </c>
      <c r="DQ15" t="e">
        <f>AND('Scout Data Input'!A43,"AAAAAF/v33g=")</f>
        <v>#VALUE!</v>
      </c>
      <c r="DR15" t="e">
        <f>AND('Scout Data Input'!B43,"AAAAAF/v33k=")</f>
        <v>#VALUE!</v>
      </c>
      <c r="DS15" t="e">
        <f>AND('Scout Data Input'!C43,"AAAAAF/v33o=")</f>
        <v>#VALUE!</v>
      </c>
      <c r="DT15" t="e">
        <f>AND('Scout Data Input'!D43,"AAAAAF/v33s=")</f>
        <v>#VALUE!</v>
      </c>
      <c r="DU15" t="e">
        <f>AND('Scout Data Input'!E43,"AAAAAF/v33w=")</f>
        <v>#VALUE!</v>
      </c>
      <c r="DV15" t="e">
        <f>AND('Scout Data Input'!F43,"AAAAAF/v330=")</f>
        <v>#VALUE!</v>
      </c>
      <c r="DW15" t="e">
        <f>AND('Scout Data Input'!G43,"AAAAAF/v334=")</f>
        <v>#VALUE!</v>
      </c>
      <c r="DX15" t="e">
        <f>AND('Scout Data Input'!H43,"AAAAAF/v338=")</f>
        <v>#VALUE!</v>
      </c>
      <c r="DY15" t="e">
        <f>AND('Scout Data Input'!I43,"AAAAAF/v34A=")</f>
        <v>#VALUE!</v>
      </c>
      <c r="DZ15" t="e">
        <f>AND('Scout Data Input'!J43,"AAAAAF/v34E=")</f>
        <v>#VALUE!</v>
      </c>
      <c r="EA15" t="e">
        <f>AND('Scout Data Input'!K43,"AAAAAF/v34I=")</f>
        <v>#VALUE!</v>
      </c>
      <c r="EB15" t="e">
        <f>AND('Scout Data Input'!L43,"AAAAAF/v34M=")</f>
        <v>#VALUE!</v>
      </c>
      <c r="EC15" t="e">
        <f>AND('Scout Data Input'!M43,"AAAAAF/v34Q=")</f>
        <v>#VALUE!</v>
      </c>
      <c r="ED15" t="e">
        <f>AND('Scout Data Input'!N43,"AAAAAF/v34U=")</f>
        <v>#VALUE!</v>
      </c>
      <c r="EE15" t="e">
        <f>AND('Scout Data Input'!O43,"AAAAAF/v34Y=")</f>
        <v>#VALUE!</v>
      </c>
      <c r="EF15" t="e">
        <f>AND('Scout Data Input'!P43,"AAAAAF/v34c=")</f>
        <v>#VALUE!</v>
      </c>
      <c r="EG15" t="e">
        <f>AND('Scout Data Input'!Q43,"AAAAAF/v34g=")</f>
        <v>#VALUE!</v>
      </c>
      <c r="EH15" t="e">
        <f>AND('Scout Data Input'!R43,"AAAAAF/v34k=")</f>
        <v>#VALUE!</v>
      </c>
      <c r="EI15" t="e">
        <f>AND('Scout Data Input'!S43,"AAAAAF/v34o=")</f>
        <v>#VALUE!</v>
      </c>
      <c r="EJ15">
        <f>IF('Scout Data Input'!44:44,"AAAAAF/v34s=",0)</f>
        <v>0</v>
      </c>
      <c r="EK15" t="e">
        <f>AND('Scout Data Input'!A44,"AAAAAF/v34w=")</f>
        <v>#VALUE!</v>
      </c>
      <c r="EL15" t="e">
        <f>AND('Scout Data Input'!B44,"AAAAAF/v340=")</f>
        <v>#VALUE!</v>
      </c>
      <c r="EM15" t="e">
        <f>AND('Scout Data Input'!C44,"AAAAAF/v344=")</f>
        <v>#VALUE!</v>
      </c>
      <c r="EN15" t="e">
        <f>AND('Scout Data Input'!D44,"AAAAAF/v348=")</f>
        <v>#VALUE!</v>
      </c>
      <c r="EO15" t="e">
        <f>AND('Scout Data Input'!E44,"AAAAAF/v35A=")</f>
        <v>#VALUE!</v>
      </c>
      <c r="EP15" t="e">
        <f>AND('Scout Data Input'!F44,"AAAAAF/v35E=")</f>
        <v>#VALUE!</v>
      </c>
      <c r="EQ15" t="e">
        <f>AND('Scout Data Input'!G44,"AAAAAF/v35I=")</f>
        <v>#VALUE!</v>
      </c>
      <c r="ER15" t="e">
        <f>AND('Scout Data Input'!H44,"AAAAAF/v35M=")</f>
        <v>#VALUE!</v>
      </c>
      <c r="ES15" t="e">
        <f>AND('Scout Data Input'!I44,"AAAAAF/v35Q=")</f>
        <v>#VALUE!</v>
      </c>
      <c r="ET15" t="e">
        <f>AND('Scout Data Input'!J44,"AAAAAF/v35U=")</f>
        <v>#VALUE!</v>
      </c>
      <c r="EU15" t="e">
        <f>AND('Scout Data Input'!K44,"AAAAAF/v35Y=")</f>
        <v>#VALUE!</v>
      </c>
      <c r="EV15" t="e">
        <f>AND('Scout Data Input'!L44,"AAAAAF/v35c=")</f>
        <v>#VALUE!</v>
      </c>
      <c r="EW15" t="e">
        <f>AND('Scout Data Input'!M44,"AAAAAF/v35g=")</f>
        <v>#VALUE!</v>
      </c>
      <c r="EX15" t="e">
        <f>AND('Scout Data Input'!N44,"AAAAAF/v35k=")</f>
        <v>#VALUE!</v>
      </c>
      <c r="EY15" t="e">
        <f>AND('Scout Data Input'!O44,"AAAAAF/v35o=")</f>
        <v>#VALUE!</v>
      </c>
      <c r="EZ15" t="e">
        <f>AND('Scout Data Input'!P44,"AAAAAF/v35s=")</f>
        <v>#VALUE!</v>
      </c>
      <c r="FA15" t="e">
        <f>AND('Scout Data Input'!Q44,"AAAAAF/v35w=")</f>
        <v>#VALUE!</v>
      </c>
      <c r="FB15" t="e">
        <f>AND('Scout Data Input'!R44,"AAAAAF/v350=")</f>
        <v>#VALUE!</v>
      </c>
      <c r="FC15" t="e">
        <f>AND('Scout Data Input'!S44,"AAAAAF/v354=")</f>
        <v>#VALUE!</v>
      </c>
      <c r="FD15">
        <f>IF('Scout Data Input'!45:45,"AAAAAF/v358=",0)</f>
        <v>0</v>
      </c>
      <c r="FE15" t="e">
        <f>AND('Scout Data Input'!A45,"AAAAAF/v36A=")</f>
        <v>#VALUE!</v>
      </c>
      <c r="FF15" t="e">
        <f>AND('Scout Data Input'!B45,"AAAAAF/v36E=")</f>
        <v>#VALUE!</v>
      </c>
      <c r="FG15" t="e">
        <f>AND('Scout Data Input'!C45,"AAAAAF/v36I=")</f>
        <v>#VALUE!</v>
      </c>
      <c r="FH15" t="e">
        <f>AND('Scout Data Input'!D45,"AAAAAF/v36M=")</f>
        <v>#VALUE!</v>
      </c>
      <c r="FI15" t="e">
        <f>AND('Scout Data Input'!E45,"AAAAAF/v36Q=")</f>
        <v>#VALUE!</v>
      </c>
      <c r="FJ15" t="e">
        <f>AND('Scout Data Input'!F45,"AAAAAF/v36U=")</f>
        <v>#VALUE!</v>
      </c>
      <c r="FK15" t="e">
        <f>AND('Scout Data Input'!G45,"AAAAAF/v36Y=")</f>
        <v>#VALUE!</v>
      </c>
      <c r="FL15" t="e">
        <f>AND('Scout Data Input'!H45,"AAAAAF/v36c=")</f>
        <v>#VALUE!</v>
      </c>
      <c r="FM15" t="e">
        <f>AND('Scout Data Input'!I45,"AAAAAF/v36g=")</f>
        <v>#VALUE!</v>
      </c>
      <c r="FN15" t="e">
        <f>AND('Scout Data Input'!J45,"AAAAAF/v36k=")</f>
        <v>#VALUE!</v>
      </c>
      <c r="FO15" t="e">
        <f>AND('Scout Data Input'!K45,"AAAAAF/v36o=")</f>
        <v>#VALUE!</v>
      </c>
      <c r="FP15" t="e">
        <f>AND('Scout Data Input'!L45,"AAAAAF/v36s=")</f>
        <v>#VALUE!</v>
      </c>
      <c r="FQ15" t="e">
        <f>AND('Scout Data Input'!M45,"AAAAAF/v36w=")</f>
        <v>#VALUE!</v>
      </c>
      <c r="FR15" t="e">
        <f>AND('Scout Data Input'!N45,"AAAAAF/v360=")</f>
        <v>#VALUE!</v>
      </c>
      <c r="FS15" t="e">
        <f>AND('Scout Data Input'!O45,"AAAAAF/v364=")</f>
        <v>#VALUE!</v>
      </c>
      <c r="FT15" t="e">
        <f>AND('Scout Data Input'!P45,"AAAAAF/v368=")</f>
        <v>#VALUE!</v>
      </c>
      <c r="FU15" t="e">
        <f>AND('Scout Data Input'!Q45,"AAAAAF/v37A=")</f>
        <v>#VALUE!</v>
      </c>
      <c r="FV15" t="e">
        <f>AND('Scout Data Input'!R45,"AAAAAF/v37E=")</f>
        <v>#VALUE!</v>
      </c>
      <c r="FW15" t="e">
        <f>AND('Scout Data Input'!S45,"AAAAAF/v37I=")</f>
        <v>#VALUE!</v>
      </c>
      <c r="FX15">
        <f>IF('Scout Data Input'!46:46,"AAAAAF/v37M=",0)</f>
        <v>0</v>
      </c>
      <c r="FY15" t="e">
        <f>AND('Scout Data Input'!A46,"AAAAAF/v37Q=")</f>
        <v>#VALUE!</v>
      </c>
      <c r="FZ15" t="e">
        <f>AND('Scout Data Input'!B46,"AAAAAF/v37U=")</f>
        <v>#VALUE!</v>
      </c>
      <c r="GA15" t="e">
        <f>AND('Scout Data Input'!C46,"AAAAAF/v37Y=")</f>
        <v>#VALUE!</v>
      </c>
      <c r="GB15" t="e">
        <f>AND('Scout Data Input'!D46,"AAAAAF/v37c=")</f>
        <v>#VALUE!</v>
      </c>
      <c r="GC15" t="e">
        <f>AND('Scout Data Input'!E46,"AAAAAF/v37g=")</f>
        <v>#VALUE!</v>
      </c>
      <c r="GD15" t="e">
        <f>AND('Scout Data Input'!F46,"AAAAAF/v37k=")</f>
        <v>#VALUE!</v>
      </c>
      <c r="GE15" t="e">
        <f>AND('Scout Data Input'!G46,"AAAAAF/v37o=")</f>
        <v>#VALUE!</v>
      </c>
      <c r="GF15" t="e">
        <f>AND('Scout Data Input'!H46,"AAAAAF/v37s=")</f>
        <v>#VALUE!</v>
      </c>
      <c r="GG15" t="e">
        <f>AND('Scout Data Input'!I46,"AAAAAF/v37w=")</f>
        <v>#VALUE!</v>
      </c>
      <c r="GH15" t="e">
        <f>AND('Scout Data Input'!J46,"AAAAAF/v370=")</f>
        <v>#VALUE!</v>
      </c>
      <c r="GI15" t="e">
        <f>AND('Scout Data Input'!K46,"AAAAAF/v374=")</f>
        <v>#VALUE!</v>
      </c>
      <c r="GJ15" t="e">
        <f>AND('Scout Data Input'!L46,"AAAAAF/v378=")</f>
        <v>#VALUE!</v>
      </c>
      <c r="GK15" t="e">
        <f>AND('Scout Data Input'!M46,"AAAAAF/v38A=")</f>
        <v>#VALUE!</v>
      </c>
      <c r="GL15" t="e">
        <f>AND('Scout Data Input'!N46,"AAAAAF/v38E=")</f>
        <v>#VALUE!</v>
      </c>
      <c r="GM15" t="e">
        <f>AND('Scout Data Input'!O46,"AAAAAF/v38I=")</f>
        <v>#VALUE!</v>
      </c>
      <c r="GN15" t="e">
        <f>AND('Scout Data Input'!P46,"AAAAAF/v38M=")</f>
        <v>#VALUE!</v>
      </c>
      <c r="GO15" t="e">
        <f>AND('Scout Data Input'!Q46,"AAAAAF/v38Q=")</f>
        <v>#VALUE!</v>
      </c>
      <c r="GP15" t="e">
        <f>AND('Scout Data Input'!R46,"AAAAAF/v38U=")</f>
        <v>#VALUE!</v>
      </c>
      <c r="GQ15" t="e">
        <f>AND('Scout Data Input'!S46,"AAAAAF/v38Y=")</f>
        <v>#VALUE!</v>
      </c>
      <c r="GR15">
        <f>IF('Scout Data Input'!47:47,"AAAAAF/v38c=",0)</f>
        <v>0</v>
      </c>
      <c r="GS15" t="e">
        <f>AND('Scout Data Input'!A47,"AAAAAF/v38g=")</f>
        <v>#VALUE!</v>
      </c>
      <c r="GT15" t="e">
        <f>AND('Scout Data Input'!B47,"AAAAAF/v38k=")</f>
        <v>#VALUE!</v>
      </c>
      <c r="GU15" t="e">
        <f>AND('Scout Data Input'!C47,"AAAAAF/v38o=")</f>
        <v>#VALUE!</v>
      </c>
      <c r="GV15" t="e">
        <f>AND('Scout Data Input'!D47,"AAAAAF/v38s=")</f>
        <v>#VALUE!</v>
      </c>
      <c r="GW15" t="e">
        <f>AND('Scout Data Input'!E47,"AAAAAF/v38w=")</f>
        <v>#VALUE!</v>
      </c>
      <c r="GX15" t="e">
        <f>AND('Scout Data Input'!F47,"AAAAAF/v380=")</f>
        <v>#VALUE!</v>
      </c>
      <c r="GY15" t="e">
        <f>AND('Scout Data Input'!G47,"AAAAAF/v384=")</f>
        <v>#VALUE!</v>
      </c>
      <c r="GZ15" t="e">
        <f>AND('Scout Data Input'!H47,"AAAAAF/v388=")</f>
        <v>#VALUE!</v>
      </c>
      <c r="HA15" t="e">
        <f>AND('Scout Data Input'!I47,"AAAAAF/v39A=")</f>
        <v>#VALUE!</v>
      </c>
      <c r="HB15" t="e">
        <f>AND('Scout Data Input'!J47,"AAAAAF/v39E=")</f>
        <v>#VALUE!</v>
      </c>
      <c r="HC15" t="e">
        <f>AND('Scout Data Input'!K47,"AAAAAF/v39I=")</f>
        <v>#VALUE!</v>
      </c>
      <c r="HD15" t="e">
        <f>AND('Scout Data Input'!L47,"AAAAAF/v39M=")</f>
        <v>#VALUE!</v>
      </c>
      <c r="HE15" t="e">
        <f>AND('Scout Data Input'!M47,"AAAAAF/v39Q=")</f>
        <v>#VALUE!</v>
      </c>
      <c r="HF15" t="e">
        <f>AND('Scout Data Input'!N47,"AAAAAF/v39U=")</f>
        <v>#VALUE!</v>
      </c>
      <c r="HG15" t="e">
        <f>AND('Scout Data Input'!O47,"AAAAAF/v39Y=")</f>
        <v>#VALUE!</v>
      </c>
      <c r="HH15" t="e">
        <f>AND('Scout Data Input'!P47,"AAAAAF/v39c=")</f>
        <v>#VALUE!</v>
      </c>
      <c r="HI15" t="e">
        <f>AND('Scout Data Input'!Q47,"AAAAAF/v39g=")</f>
        <v>#VALUE!</v>
      </c>
      <c r="HJ15" t="e">
        <f>AND('Scout Data Input'!R47,"AAAAAF/v39k=")</f>
        <v>#VALUE!</v>
      </c>
      <c r="HK15" t="e">
        <f>AND('Scout Data Input'!S47,"AAAAAF/v39o=")</f>
        <v>#VALUE!</v>
      </c>
      <c r="HL15">
        <f>IF('Scout Data Input'!48:48,"AAAAAF/v39s=",0)</f>
        <v>0</v>
      </c>
      <c r="HM15" t="e">
        <f>AND('Scout Data Input'!A48,"AAAAAF/v39w=")</f>
        <v>#VALUE!</v>
      </c>
      <c r="HN15" t="e">
        <f>AND('Scout Data Input'!B48,"AAAAAF/v390=")</f>
        <v>#VALUE!</v>
      </c>
      <c r="HO15" t="e">
        <f>AND('Scout Data Input'!C48,"AAAAAF/v394=")</f>
        <v>#VALUE!</v>
      </c>
      <c r="HP15" t="e">
        <f>AND('Scout Data Input'!D48,"AAAAAF/v398=")</f>
        <v>#VALUE!</v>
      </c>
      <c r="HQ15" t="e">
        <f>AND('Scout Data Input'!E48,"AAAAAF/v3+A=")</f>
        <v>#VALUE!</v>
      </c>
      <c r="HR15" t="e">
        <f>AND('Scout Data Input'!F48,"AAAAAF/v3+E=")</f>
        <v>#VALUE!</v>
      </c>
      <c r="HS15" t="e">
        <f>AND('Scout Data Input'!G48,"AAAAAF/v3+I=")</f>
        <v>#VALUE!</v>
      </c>
      <c r="HT15" t="e">
        <f>AND('Scout Data Input'!H48,"AAAAAF/v3+M=")</f>
        <v>#VALUE!</v>
      </c>
      <c r="HU15" t="e">
        <f>AND('Scout Data Input'!I48,"AAAAAF/v3+Q=")</f>
        <v>#VALUE!</v>
      </c>
      <c r="HV15" t="e">
        <f>AND('Scout Data Input'!J48,"AAAAAF/v3+U=")</f>
        <v>#VALUE!</v>
      </c>
      <c r="HW15" t="e">
        <f>AND('Scout Data Input'!K48,"AAAAAF/v3+Y=")</f>
        <v>#VALUE!</v>
      </c>
      <c r="HX15" t="e">
        <f>AND('Scout Data Input'!L48,"AAAAAF/v3+c=")</f>
        <v>#VALUE!</v>
      </c>
      <c r="HY15" t="e">
        <f>AND('Scout Data Input'!M48,"AAAAAF/v3+g=")</f>
        <v>#VALUE!</v>
      </c>
      <c r="HZ15" t="e">
        <f>AND('Scout Data Input'!N48,"AAAAAF/v3+k=")</f>
        <v>#VALUE!</v>
      </c>
      <c r="IA15" t="e">
        <f>AND('Scout Data Input'!O48,"AAAAAF/v3+o=")</f>
        <v>#VALUE!</v>
      </c>
      <c r="IB15" t="e">
        <f>AND('Scout Data Input'!P48,"AAAAAF/v3+s=")</f>
        <v>#VALUE!</v>
      </c>
      <c r="IC15" t="e">
        <f>AND('Scout Data Input'!Q48,"AAAAAF/v3+w=")</f>
        <v>#VALUE!</v>
      </c>
      <c r="ID15" t="e">
        <f>AND('Scout Data Input'!R48,"AAAAAF/v3+0=")</f>
        <v>#VALUE!</v>
      </c>
      <c r="IE15" t="e">
        <f>AND('Scout Data Input'!S48,"AAAAAF/v3+4=")</f>
        <v>#VALUE!</v>
      </c>
      <c r="IF15">
        <f>IF('Scout Data Input'!49:49,"AAAAAF/v3+8=",0)</f>
        <v>0</v>
      </c>
      <c r="IG15" t="e">
        <f>AND('Scout Data Input'!A49,"AAAAAF/v3/A=")</f>
        <v>#VALUE!</v>
      </c>
      <c r="IH15" t="e">
        <f>AND('Scout Data Input'!B49,"AAAAAF/v3/E=")</f>
        <v>#VALUE!</v>
      </c>
      <c r="II15" t="e">
        <f>AND('Scout Data Input'!C49,"AAAAAF/v3/I=")</f>
        <v>#VALUE!</v>
      </c>
      <c r="IJ15" t="e">
        <f>AND('Scout Data Input'!D49,"AAAAAF/v3/M=")</f>
        <v>#VALUE!</v>
      </c>
      <c r="IK15" t="e">
        <f>AND('Scout Data Input'!E49,"AAAAAF/v3/Q=")</f>
        <v>#VALUE!</v>
      </c>
      <c r="IL15" t="e">
        <f>AND('Scout Data Input'!F49,"AAAAAF/v3/U=")</f>
        <v>#VALUE!</v>
      </c>
      <c r="IM15" t="e">
        <f>AND('Scout Data Input'!G49,"AAAAAF/v3/Y=")</f>
        <v>#VALUE!</v>
      </c>
      <c r="IN15" t="e">
        <f>AND('Scout Data Input'!H49,"AAAAAF/v3/c=")</f>
        <v>#VALUE!</v>
      </c>
      <c r="IO15" t="e">
        <f>AND('Scout Data Input'!I49,"AAAAAF/v3/g=")</f>
        <v>#VALUE!</v>
      </c>
      <c r="IP15" t="e">
        <f>AND('Scout Data Input'!J49,"AAAAAF/v3/k=")</f>
        <v>#VALUE!</v>
      </c>
      <c r="IQ15" t="e">
        <f>AND('Scout Data Input'!K49,"AAAAAF/v3/o=")</f>
        <v>#VALUE!</v>
      </c>
      <c r="IR15" t="e">
        <f>AND('Scout Data Input'!L49,"AAAAAF/v3/s=")</f>
        <v>#VALUE!</v>
      </c>
      <c r="IS15" t="e">
        <f>AND('Scout Data Input'!M49,"AAAAAF/v3/w=")</f>
        <v>#VALUE!</v>
      </c>
      <c r="IT15" t="e">
        <f>AND('Scout Data Input'!N49,"AAAAAF/v3/0=")</f>
        <v>#VALUE!</v>
      </c>
      <c r="IU15" t="e">
        <f>AND('Scout Data Input'!O49,"AAAAAF/v3/4=")</f>
        <v>#VALUE!</v>
      </c>
      <c r="IV15" t="e">
        <f>AND('Scout Data Input'!P49,"AAAAAF/v3/8=")</f>
        <v>#VALUE!</v>
      </c>
    </row>
    <row r="16" spans="1:256" x14ac:dyDescent="0.2">
      <c r="A16" t="e">
        <f>AND('Scout Data Input'!Q49,"AAAAAHrX/gA=")</f>
        <v>#VALUE!</v>
      </c>
      <c r="B16" t="e">
        <f>AND('Scout Data Input'!R49,"AAAAAHrX/gE=")</f>
        <v>#VALUE!</v>
      </c>
      <c r="C16" t="e">
        <f>AND('Scout Data Input'!S49,"AAAAAHrX/gI=")</f>
        <v>#VALUE!</v>
      </c>
      <c r="D16">
        <f>IF('Scout Data Input'!50:50,"AAAAAHrX/gM=",0)</f>
        <v>0</v>
      </c>
      <c r="E16" t="e">
        <f>AND('Scout Data Input'!A50,"AAAAAHrX/gQ=")</f>
        <v>#VALUE!</v>
      </c>
      <c r="F16" t="e">
        <f>AND('Scout Data Input'!B50,"AAAAAHrX/gU=")</f>
        <v>#VALUE!</v>
      </c>
      <c r="G16" t="e">
        <f>AND('Scout Data Input'!C50,"AAAAAHrX/gY=")</f>
        <v>#VALUE!</v>
      </c>
      <c r="H16" t="e">
        <f>AND('Scout Data Input'!D50,"AAAAAHrX/gc=")</f>
        <v>#VALUE!</v>
      </c>
      <c r="I16" t="e">
        <f>AND('Scout Data Input'!E50,"AAAAAHrX/gg=")</f>
        <v>#VALUE!</v>
      </c>
      <c r="J16" t="e">
        <f>AND('Scout Data Input'!F50,"AAAAAHrX/gk=")</f>
        <v>#VALUE!</v>
      </c>
      <c r="K16" t="e">
        <f>AND('Scout Data Input'!G50,"AAAAAHrX/go=")</f>
        <v>#VALUE!</v>
      </c>
      <c r="L16" t="e">
        <f>AND('Scout Data Input'!H50,"AAAAAHrX/gs=")</f>
        <v>#VALUE!</v>
      </c>
      <c r="M16" t="e">
        <f>AND('Scout Data Input'!I50,"AAAAAHrX/gw=")</f>
        <v>#VALUE!</v>
      </c>
      <c r="N16" t="e">
        <f>AND('Scout Data Input'!J50,"AAAAAHrX/g0=")</f>
        <v>#VALUE!</v>
      </c>
      <c r="O16" t="e">
        <f>AND('Scout Data Input'!K50,"AAAAAHrX/g4=")</f>
        <v>#VALUE!</v>
      </c>
      <c r="P16" t="e">
        <f>AND('Scout Data Input'!L50,"AAAAAHrX/g8=")</f>
        <v>#VALUE!</v>
      </c>
      <c r="Q16" t="e">
        <f>AND('Scout Data Input'!M50,"AAAAAHrX/hA=")</f>
        <v>#VALUE!</v>
      </c>
      <c r="R16" t="e">
        <f>AND('Scout Data Input'!N50,"AAAAAHrX/hE=")</f>
        <v>#VALUE!</v>
      </c>
      <c r="S16" t="e">
        <f>AND('Scout Data Input'!O50,"AAAAAHrX/hI=")</f>
        <v>#VALUE!</v>
      </c>
      <c r="T16" t="e">
        <f>AND('Scout Data Input'!P50,"AAAAAHrX/hM=")</f>
        <v>#VALUE!</v>
      </c>
      <c r="U16" t="e">
        <f>AND('Scout Data Input'!Q50,"AAAAAHrX/hQ=")</f>
        <v>#VALUE!</v>
      </c>
      <c r="V16" t="e">
        <f>AND('Scout Data Input'!R50,"AAAAAHrX/hU=")</f>
        <v>#VALUE!</v>
      </c>
      <c r="W16" t="e">
        <f>AND('Scout Data Input'!S50,"AAAAAHrX/hY=")</f>
        <v>#VALUE!</v>
      </c>
      <c r="X16">
        <f>IF('Scout Data Input'!51:51,"AAAAAHrX/hc=",0)</f>
        <v>0</v>
      </c>
      <c r="Y16" t="e">
        <f>AND('Scout Data Input'!A51,"AAAAAHrX/hg=")</f>
        <v>#VALUE!</v>
      </c>
      <c r="Z16" t="e">
        <f>AND('Scout Data Input'!B51,"AAAAAHrX/hk=")</f>
        <v>#VALUE!</v>
      </c>
      <c r="AA16" t="e">
        <f>AND('Scout Data Input'!C51,"AAAAAHrX/ho=")</f>
        <v>#VALUE!</v>
      </c>
      <c r="AB16" t="e">
        <f>AND('Scout Data Input'!D51,"AAAAAHrX/hs=")</f>
        <v>#VALUE!</v>
      </c>
      <c r="AC16" t="e">
        <f>AND('Scout Data Input'!E51,"AAAAAHrX/hw=")</f>
        <v>#VALUE!</v>
      </c>
      <c r="AD16" t="e">
        <f>AND('Scout Data Input'!F51,"AAAAAHrX/h0=")</f>
        <v>#VALUE!</v>
      </c>
      <c r="AE16" t="e">
        <f>AND('Scout Data Input'!G51,"AAAAAHrX/h4=")</f>
        <v>#VALUE!</v>
      </c>
      <c r="AF16" t="e">
        <f>AND('Scout Data Input'!H51,"AAAAAHrX/h8=")</f>
        <v>#VALUE!</v>
      </c>
      <c r="AG16" t="e">
        <f>AND('Scout Data Input'!I51,"AAAAAHrX/iA=")</f>
        <v>#VALUE!</v>
      </c>
      <c r="AH16" t="e">
        <f>AND('Scout Data Input'!J51,"AAAAAHrX/iE=")</f>
        <v>#VALUE!</v>
      </c>
      <c r="AI16" t="e">
        <f>AND('Scout Data Input'!K51,"AAAAAHrX/iI=")</f>
        <v>#VALUE!</v>
      </c>
      <c r="AJ16" t="e">
        <f>AND('Scout Data Input'!L51,"AAAAAHrX/iM=")</f>
        <v>#VALUE!</v>
      </c>
      <c r="AK16" t="e">
        <f>AND('Scout Data Input'!M51,"AAAAAHrX/iQ=")</f>
        <v>#VALUE!</v>
      </c>
      <c r="AL16" t="e">
        <f>AND('Scout Data Input'!N51,"AAAAAHrX/iU=")</f>
        <v>#VALUE!</v>
      </c>
      <c r="AM16" t="e">
        <f>AND('Scout Data Input'!O51,"AAAAAHrX/iY=")</f>
        <v>#VALUE!</v>
      </c>
      <c r="AN16" t="e">
        <f>AND('Scout Data Input'!P51,"AAAAAHrX/ic=")</f>
        <v>#VALUE!</v>
      </c>
      <c r="AO16" t="e">
        <f>AND('Scout Data Input'!Q51,"AAAAAHrX/ig=")</f>
        <v>#VALUE!</v>
      </c>
      <c r="AP16" t="e">
        <f>AND('Scout Data Input'!R51,"AAAAAHrX/ik=")</f>
        <v>#VALUE!</v>
      </c>
      <c r="AQ16" t="e">
        <f>AND('Scout Data Input'!S51,"AAAAAHrX/io=")</f>
        <v>#VALUE!</v>
      </c>
      <c r="AR16">
        <f>IF('Scout Data Input'!52:52,"AAAAAHrX/is=",0)</f>
        <v>0</v>
      </c>
      <c r="AS16" t="e">
        <f>AND('Scout Data Input'!A52,"AAAAAHrX/iw=")</f>
        <v>#VALUE!</v>
      </c>
      <c r="AT16" t="e">
        <f>AND('Scout Data Input'!B52,"AAAAAHrX/i0=")</f>
        <v>#VALUE!</v>
      </c>
      <c r="AU16" t="e">
        <f>AND('Scout Data Input'!C52,"AAAAAHrX/i4=")</f>
        <v>#VALUE!</v>
      </c>
      <c r="AV16" t="e">
        <f>AND('Scout Data Input'!D52,"AAAAAHrX/i8=")</f>
        <v>#VALUE!</v>
      </c>
      <c r="AW16" t="e">
        <f>AND('Scout Data Input'!E52,"AAAAAHrX/jA=")</f>
        <v>#VALUE!</v>
      </c>
      <c r="AX16" t="e">
        <f>AND('Scout Data Input'!F52,"AAAAAHrX/jE=")</f>
        <v>#VALUE!</v>
      </c>
      <c r="AY16" t="e">
        <f>AND('Scout Data Input'!G52,"AAAAAHrX/jI=")</f>
        <v>#VALUE!</v>
      </c>
      <c r="AZ16" t="e">
        <f>AND('Scout Data Input'!H52,"AAAAAHrX/jM=")</f>
        <v>#VALUE!</v>
      </c>
      <c r="BA16" t="e">
        <f>AND('Scout Data Input'!I52,"AAAAAHrX/jQ=")</f>
        <v>#VALUE!</v>
      </c>
      <c r="BB16" t="e">
        <f>AND('Scout Data Input'!J52,"AAAAAHrX/jU=")</f>
        <v>#VALUE!</v>
      </c>
      <c r="BC16" t="e">
        <f>AND('Scout Data Input'!K52,"AAAAAHrX/jY=")</f>
        <v>#VALUE!</v>
      </c>
      <c r="BD16" t="e">
        <f>AND('Scout Data Input'!L52,"AAAAAHrX/jc=")</f>
        <v>#VALUE!</v>
      </c>
      <c r="BE16" t="e">
        <f>AND('Scout Data Input'!M52,"AAAAAHrX/jg=")</f>
        <v>#VALUE!</v>
      </c>
      <c r="BF16" t="e">
        <f>AND('Scout Data Input'!N52,"AAAAAHrX/jk=")</f>
        <v>#VALUE!</v>
      </c>
      <c r="BG16" t="e">
        <f>AND('Scout Data Input'!O52,"AAAAAHrX/jo=")</f>
        <v>#VALUE!</v>
      </c>
      <c r="BH16" t="e">
        <f>AND('Scout Data Input'!P52,"AAAAAHrX/js=")</f>
        <v>#VALUE!</v>
      </c>
      <c r="BI16" t="e">
        <f>AND('Scout Data Input'!Q52,"AAAAAHrX/jw=")</f>
        <v>#VALUE!</v>
      </c>
      <c r="BJ16" t="e">
        <f>AND('Scout Data Input'!R52,"AAAAAHrX/j0=")</f>
        <v>#VALUE!</v>
      </c>
      <c r="BK16" t="e">
        <f>AND('Scout Data Input'!S52,"AAAAAHrX/j4=")</f>
        <v>#VALUE!</v>
      </c>
      <c r="BL16">
        <f>IF('Scout Data Input'!53:53,"AAAAAHrX/j8=",0)</f>
        <v>0</v>
      </c>
      <c r="BM16">
        <f>IF('Scout Data Input'!54:54,"AAAAAHrX/kA=",0)</f>
        <v>0</v>
      </c>
      <c r="BN16">
        <f>IF('Scout Data Input'!55:55,"AAAAAHrX/kE=",0)</f>
        <v>0</v>
      </c>
      <c r="BO16">
        <f>IF('Scout Data Input'!56:56,"AAAAAHrX/kI=",0)</f>
        <v>0</v>
      </c>
      <c r="BP16">
        <f>IF('Scout Data Input'!57:57,"AAAAAHrX/kM=",0)</f>
        <v>0</v>
      </c>
      <c r="BQ16">
        <f>IF('Scout Data Input'!58:58,"AAAAAHrX/kQ=",0)</f>
        <v>0</v>
      </c>
      <c r="BR16">
        <f>IF('Scout Data Input'!59:59,"AAAAAHrX/kU=",0)</f>
        <v>0</v>
      </c>
      <c r="BS16">
        <f>IF('Scout Data Input'!60:60,"AAAAAHrX/kY=",0)</f>
        <v>0</v>
      </c>
      <c r="BT16">
        <f>IF('Scout Data Input'!61:61,"AAAAAHrX/kc=",0)</f>
        <v>0</v>
      </c>
      <c r="BU16">
        <f>IF('Scout Data Input'!A:A,"AAAAAHrX/kg=",0)</f>
        <v>0</v>
      </c>
      <c r="BV16" t="e">
        <f>IF('Scout Data Input'!B:B,"AAAAAHrX/kk=",0)</f>
        <v>#VALUE!</v>
      </c>
      <c r="BW16">
        <f>IF('Scout Data Input'!C:C,"AAAAAHrX/ko=",0)</f>
        <v>0</v>
      </c>
      <c r="BX16">
        <f>IF('Scout Data Input'!D:D,"AAAAAHrX/ks=",0)</f>
        <v>0</v>
      </c>
      <c r="BY16">
        <f>IF('Scout Data Input'!E:E,"AAAAAHrX/kw=",0)</f>
        <v>0</v>
      </c>
      <c r="BZ16">
        <f>IF('Scout Data Input'!F:F,"AAAAAHrX/k0=",0)</f>
        <v>0</v>
      </c>
      <c r="CA16">
        <f>IF('Scout Data Input'!G:G,"AAAAAHrX/k4=",0)</f>
        <v>0</v>
      </c>
      <c r="CB16">
        <f>IF('Scout Data Input'!H:H,"AAAAAHrX/k8=",0)</f>
        <v>0</v>
      </c>
      <c r="CC16">
        <f>IF('Scout Data Input'!I:I,"AAAAAHrX/lA=",0)</f>
        <v>0</v>
      </c>
      <c r="CD16">
        <f>IF('Scout Data Input'!J:J,"AAAAAHrX/lE=",0)</f>
        <v>0</v>
      </c>
      <c r="CE16">
        <f>IF('Scout Data Input'!K:K,"AAAAAHrX/lI=",0)</f>
        <v>0</v>
      </c>
      <c r="CF16" t="e">
        <f>IF('Scout Data Input'!L:L,"AAAAAHrX/lM=",0)</f>
        <v>#VALUE!</v>
      </c>
      <c r="CG16">
        <f>IF('Scout Data Input'!M:M,"AAAAAHrX/lQ=",0)</f>
        <v>0</v>
      </c>
      <c r="CH16" t="e">
        <f>IF('Scout Data Input'!N:N,"AAAAAHrX/lU=",0)</f>
        <v>#VALUE!</v>
      </c>
      <c r="CI16">
        <f>IF('Scout Data Input'!O:O,"AAAAAHrX/lY=",0)</f>
        <v>0</v>
      </c>
      <c r="CJ16">
        <f>IF('Scout Data Input'!P:P,"AAAAAHrX/lc=",0)</f>
        <v>0</v>
      </c>
      <c r="CK16">
        <f>IF('Scout Data Input'!Q:Q,"AAAAAHrX/lg=",0)</f>
        <v>0</v>
      </c>
      <c r="CL16">
        <f>IF('Scout Data Input'!R:R,"AAAAAHrX/lk=",0)</f>
        <v>0</v>
      </c>
      <c r="CM16">
        <f>IF('Scout Data Input'!S:S,"AAAAAHrX/lo=",0)</f>
        <v>0</v>
      </c>
      <c r="CN16">
        <f>IF('Team Template'!1:1,"AAAAAHrX/ls=",0)</f>
        <v>0</v>
      </c>
      <c r="CO16" t="e">
        <f>AND('Team Template'!A1,"AAAAAHrX/lw=")</f>
        <v>#VALUE!</v>
      </c>
      <c r="CP16" t="e">
        <f>AND('Team Template'!B1,"AAAAAHrX/l0=")</f>
        <v>#VALUE!</v>
      </c>
      <c r="CQ16" t="e">
        <f>AND('Team Template'!C1,"AAAAAHrX/l4=")</f>
        <v>#VALUE!</v>
      </c>
      <c r="CR16" t="e">
        <f>AND('Team Template'!D1,"AAAAAHrX/l8=")</f>
        <v>#VALUE!</v>
      </c>
      <c r="CS16" t="e">
        <f>AND('Team Template'!E1,"AAAAAHrX/mA=")</f>
        <v>#VALUE!</v>
      </c>
      <c r="CT16" t="e">
        <f>AND('Team Template'!F1,"AAAAAHrX/mE=")</f>
        <v>#VALUE!</v>
      </c>
      <c r="CU16" t="e">
        <f>AND('Team Template'!G1,"AAAAAHrX/mI=")</f>
        <v>#VALUE!</v>
      </c>
      <c r="CV16" t="e">
        <f>AND('Team Template'!H1,"AAAAAHrX/mM=")</f>
        <v>#VALUE!</v>
      </c>
      <c r="CW16" t="e">
        <f>AND('Team Template'!I1,"AAAAAHrX/mQ=")</f>
        <v>#VALUE!</v>
      </c>
      <c r="CX16" t="e">
        <f>AND('Team Template'!J1,"AAAAAHrX/mU=")</f>
        <v>#VALUE!</v>
      </c>
      <c r="CY16" t="e">
        <f>AND('Team Template'!K1,"AAAAAHrX/mY=")</f>
        <v>#VALUE!</v>
      </c>
      <c r="CZ16" t="e">
        <f>AND('Team Template'!L1,"AAAAAHrX/mc=")</f>
        <v>#VALUE!</v>
      </c>
      <c r="DA16" t="e">
        <f>AND('Team Template'!M1,"AAAAAHrX/mg=")</f>
        <v>#VALUE!</v>
      </c>
      <c r="DB16" t="e">
        <f>AND('Team Template'!N1,"AAAAAHrX/mk=")</f>
        <v>#VALUE!</v>
      </c>
      <c r="DC16" t="e">
        <f>AND('Team Template'!O1,"AAAAAHrX/mo=")</f>
        <v>#VALUE!</v>
      </c>
      <c r="DD16" t="e">
        <f>AND('Team Template'!P1,"AAAAAHrX/ms=")</f>
        <v>#VALUE!</v>
      </c>
      <c r="DE16" t="e">
        <f>AND('Team Template'!Q1,"AAAAAHrX/mw=")</f>
        <v>#VALUE!</v>
      </c>
      <c r="DF16" t="e">
        <f>AND('Team Template'!R1,"AAAAAHrX/m0=")</f>
        <v>#VALUE!</v>
      </c>
      <c r="DG16" t="e">
        <f>AND('Team Template'!S1,"AAAAAHrX/m4=")</f>
        <v>#VALUE!</v>
      </c>
      <c r="DH16" t="e">
        <f>AND('Team Template'!T1,"AAAAAHrX/m8=")</f>
        <v>#VALUE!</v>
      </c>
      <c r="DI16" t="e">
        <f>AND('Team Template'!U1,"AAAAAHrX/nA=")</f>
        <v>#VALUE!</v>
      </c>
      <c r="DJ16" t="e">
        <f>AND('Team Template'!V1,"AAAAAHrX/nE=")</f>
        <v>#VALUE!</v>
      </c>
      <c r="DK16">
        <f>IF('Team Template'!2:2,"AAAAAHrX/nI=",0)</f>
        <v>0</v>
      </c>
      <c r="DL16" t="e">
        <f>AND('Team Template'!A2,"AAAAAHrX/nM=")</f>
        <v>#VALUE!</v>
      </c>
      <c r="DM16" t="e">
        <f>AND('Team Template'!B2,"AAAAAHrX/nQ=")</f>
        <v>#VALUE!</v>
      </c>
      <c r="DN16" t="e">
        <f>AND('Team Template'!C2,"AAAAAHrX/nU=")</f>
        <v>#VALUE!</v>
      </c>
      <c r="DO16" t="e">
        <f>AND('Team Template'!D2,"AAAAAHrX/nY=")</f>
        <v>#VALUE!</v>
      </c>
      <c r="DP16" t="e">
        <f>AND('Team Template'!E2,"AAAAAHrX/nc=")</f>
        <v>#VALUE!</v>
      </c>
      <c r="DQ16" t="e">
        <f>AND('Team Template'!F2,"AAAAAHrX/ng=")</f>
        <v>#VALUE!</v>
      </c>
      <c r="DR16" t="e">
        <f>AND('Team Template'!G2,"AAAAAHrX/nk=")</f>
        <v>#VALUE!</v>
      </c>
      <c r="DS16" t="e">
        <f>AND('Team Template'!H2,"AAAAAHrX/no=")</f>
        <v>#VALUE!</v>
      </c>
      <c r="DT16" t="e">
        <f>AND('Team Template'!I2,"AAAAAHrX/ns=")</f>
        <v>#VALUE!</v>
      </c>
      <c r="DU16" t="e">
        <f>AND('Team Template'!J2,"AAAAAHrX/nw=")</f>
        <v>#VALUE!</v>
      </c>
      <c r="DV16" t="e">
        <f>AND('Team Template'!K2,"AAAAAHrX/n0=")</f>
        <v>#VALUE!</v>
      </c>
      <c r="DW16" t="e">
        <f>AND('Team Template'!L2,"AAAAAHrX/n4=")</f>
        <v>#VALUE!</v>
      </c>
      <c r="DX16" t="e">
        <f>AND('Team Template'!M2,"AAAAAHrX/n8=")</f>
        <v>#VALUE!</v>
      </c>
      <c r="DY16" t="e">
        <f>AND('Team Template'!N2,"AAAAAHrX/oA=")</f>
        <v>#VALUE!</v>
      </c>
      <c r="DZ16" t="e">
        <f>AND('Team Template'!O2,"AAAAAHrX/oE=")</f>
        <v>#VALUE!</v>
      </c>
      <c r="EA16" t="e">
        <f>AND('Team Template'!P2,"AAAAAHrX/oI=")</f>
        <v>#VALUE!</v>
      </c>
      <c r="EB16" t="e">
        <f>AND('Team Template'!Q2,"AAAAAHrX/oM=")</f>
        <v>#VALUE!</v>
      </c>
      <c r="EC16" t="e">
        <f>AND('Team Template'!R2,"AAAAAHrX/oQ=")</f>
        <v>#VALUE!</v>
      </c>
      <c r="ED16" t="e">
        <f>AND('Team Template'!S2,"AAAAAHrX/oU=")</f>
        <v>#VALUE!</v>
      </c>
      <c r="EE16" t="e">
        <f>AND('Team Template'!T2,"AAAAAHrX/oY=")</f>
        <v>#VALUE!</v>
      </c>
      <c r="EF16" t="e">
        <f>AND('Team Template'!U2,"AAAAAHrX/oc=")</f>
        <v>#VALUE!</v>
      </c>
      <c r="EG16" t="e">
        <f>AND('Team Template'!V2,"AAAAAHrX/og=")</f>
        <v>#VALUE!</v>
      </c>
      <c r="EH16">
        <f>IF('Team Template'!3:3,"AAAAAHrX/ok=",0)</f>
        <v>0</v>
      </c>
      <c r="EI16" t="e">
        <f>AND('Team Template'!A3,"AAAAAHrX/oo=")</f>
        <v>#VALUE!</v>
      </c>
      <c r="EJ16" t="e">
        <f>AND('Team Template'!B3,"AAAAAHrX/os=")</f>
        <v>#VALUE!</v>
      </c>
      <c r="EK16" t="e">
        <f>AND('Team Template'!C3,"AAAAAHrX/ow=")</f>
        <v>#VALUE!</v>
      </c>
      <c r="EL16" t="e">
        <f>AND('Team Template'!D3,"AAAAAHrX/o0=")</f>
        <v>#VALUE!</v>
      </c>
      <c r="EM16" t="e">
        <f>AND('Team Template'!E3,"AAAAAHrX/o4=")</f>
        <v>#VALUE!</v>
      </c>
      <c r="EN16" t="e">
        <f>AND('Team Template'!F3,"AAAAAHrX/o8=")</f>
        <v>#VALUE!</v>
      </c>
      <c r="EO16" t="e">
        <f>AND('Team Template'!G3,"AAAAAHrX/pA=")</f>
        <v>#VALUE!</v>
      </c>
      <c r="EP16" t="e">
        <f>AND('Team Template'!H3,"AAAAAHrX/pE=")</f>
        <v>#VALUE!</v>
      </c>
      <c r="EQ16" t="e">
        <f>AND('Team Template'!I3,"AAAAAHrX/pI=")</f>
        <v>#VALUE!</v>
      </c>
      <c r="ER16" t="e">
        <f>AND('Team Template'!J3,"AAAAAHrX/pM=")</f>
        <v>#VALUE!</v>
      </c>
      <c r="ES16" t="e">
        <f>AND('Team Template'!K3,"AAAAAHrX/pQ=")</f>
        <v>#VALUE!</v>
      </c>
      <c r="ET16" t="e">
        <f>AND('Team Template'!L3,"AAAAAHrX/pU=")</f>
        <v>#VALUE!</v>
      </c>
      <c r="EU16" t="e">
        <f>AND('Team Template'!M3,"AAAAAHrX/pY=")</f>
        <v>#VALUE!</v>
      </c>
      <c r="EV16" t="e">
        <f>AND('Team Template'!N3,"AAAAAHrX/pc=")</f>
        <v>#VALUE!</v>
      </c>
      <c r="EW16" t="e">
        <f>AND('Team Template'!O3,"AAAAAHrX/pg=")</f>
        <v>#VALUE!</v>
      </c>
      <c r="EX16" t="e">
        <f>AND('Team Template'!P3,"AAAAAHrX/pk=")</f>
        <v>#VALUE!</v>
      </c>
      <c r="EY16" t="e">
        <f>AND('Team Template'!Q3,"AAAAAHrX/po=")</f>
        <v>#VALUE!</v>
      </c>
      <c r="EZ16" t="e">
        <f>AND('Team Template'!R3,"AAAAAHrX/ps=")</f>
        <v>#VALUE!</v>
      </c>
      <c r="FA16" t="e">
        <f>AND('Team Template'!S3,"AAAAAHrX/pw=")</f>
        <v>#VALUE!</v>
      </c>
      <c r="FB16" t="e">
        <f>AND('Team Template'!T3,"AAAAAHrX/p0=")</f>
        <v>#VALUE!</v>
      </c>
      <c r="FC16" t="e">
        <f>AND('Team Template'!U3,"AAAAAHrX/p4=")</f>
        <v>#VALUE!</v>
      </c>
      <c r="FD16" t="e">
        <f>AND('Team Template'!V3,"AAAAAHrX/p8=")</f>
        <v>#VALUE!</v>
      </c>
      <c r="FE16">
        <f>IF('Team Template'!4:4,"AAAAAHrX/qA=",0)</f>
        <v>0</v>
      </c>
      <c r="FF16" t="e">
        <f>AND('Team Template'!A4,"AAAAAHrX/qE=")</f>
        <v>#VALUE!</v>
      </c>
      <c r="FG16" t="e">
        <f>AND('Team Template'!B4,"AAAAAHrX/qI=")</f>
        <v>#VALUE!</v>
      </c>
      <c r="FH16" t="e">
        <f>AND('Team Template'!C4,"AAAAAHrX/qM=")</f>
        <v>#VALUE!</v>
      </c>
      <c r="FI16" t="e">
        <f>AND('Team Template'!D4,"AAAAAHrX/qQ=")</f>
        <v>#VALUE!</v>
      </c>
      <c r="FJ16" t="e">
        <f>AND('Team Template'!E4,"AAAAAHrX/qU=")</f>
        <v>#VALUE!</v>
      </c>
      <c r="FK16" t="e">
        <f>AND('Team Template'!F4,"AAAAAHrX/qY=")</f>
        <v>#VALUE!</v>
      </c>
      <c r="FL16" t="e">
        <f>AND('Team Template'!G4,"AAAAAHrX/qc=")</f>
        <v>#VALUE!</v>
      </c>
      <c r="FM16" t="e">
        <f>AND('Team Template'!H4,"AAAAAHrX/qg=")</f>
        <v>#VALUE!</v>
      </c>
      <c r="FN16" t="e">
        <f>AND('Team Template'!I4,"AAAAAHrX/qk=")</f>
        <v>#VALUE!</v>
      </c>
      <c r="FO16" t="e">
        <f>AND('Team Template'!J4,"AAAAAHrX/qo=")</f>
        <v>#VALUE!</v>
      </c>
      <c r="FP16" t="e">
        <f>AND('Team Template'!K4,"AAAAAHrX/qs=")</f>
        <v>#VALUE!</v>
      </c>
      <c r="FQ16" t="e">
        <f>AND('Team Template'!L4,"AAAAAHrX/qw=")</f>
        <v>#VALUE!</v>
      </c>
      <c r="FR16" t="e">
        <f>AND('Team Template'!M4,"AAAAAHrX/q0=")</f>
        <v>#VALUE!</v>
      </c>
      <c r="FS16" t="e">
        <f>AND('Team Template'!N4,"AAAAAHrX/q4=")</f>
        <v>#VALUE!</v>
      </c>
      <c r="FT16" t="e">
        <f>AND('Team Template'!O4,"AAAAAHrX/q8=")</f>
        <v>#VALUE!</v>
      </c>
      <c r="FU16" t="e">
        <f>AND('Team Template'!P4,"AAAAAHrX/rA=")</f>
        <v>#VALUE!</v>
      </c>
      <c r="FV16" t="e">
        <f>AND('Team Template'!Q4,"AAAAAHrX/rE=")</f>
        <v>#VALUE!</v>
      </c>
      <c r="FW16" t="e">
        <f>AND('Team Template'!R4,"AAAAAHrX/rI=")</f>
        <v>#VALUE!</v>
      </c>
      <c r="FX16" t="e">
        <f>AND('Team Template'!S4,"AAAAAHrX/rM=")</f>
        <v>#VALUE!</v>
      </c>
      <c r="FY16" t="e">
        <f>AND('Team Template'!T4,"AAAAAHrX/rQ=")</f>
        <v>#VALUE!</v>
      </c>
      <c r="FZ16" t="e">
        <f>AND('Team Template'!U4,"AAAAAHrX/rU=")</f>
        <v>#VALUE!</v>
      </c>
      <c r="GA16" t="e">
        <f>AND('Team Template'!V4,"AAAAAHrX/rY=")</f>
        <v>#VALUE!</v>
      </c>
      <c r="GB16">
        <f>IF('Team Template'!5:5,"AAAAAHrX/rc=",0)</f>
        <v>0</v>
      </c>
      <c r="GC16" t="e">
        <f>AND('Team Template'!A5,"AAAAAHrX/rg=")</f>
        <v>#VALUE!</v>
      </c>
      <c r="GD16" t="e">
        <f>AND('Team Template'!B5,"AAAAAHrX/rk=")</f>
        <v>#VALUE!</v>
      </c>
      <c r="GE16" t="e">
        <f>AND('Team Template'!C5,"AAAAAHrX/ro=")</f>
        <v>#VALUE!</v>
      </c>
      <c r="GF16" t="e">
        <f>AND('Team Template'!D5,"AAAAAHrX/rs=")</f>
        <v>#VALUE!</v>
      </c>
      <c r="GG16" t="e">
        <f>AND('Team Template'!E5,"AAAAAHrX/rw=")</f>
        <v>#VALUE!</v>
      </c>
      <c r="GH16" t="e">
        <f>AND('Team Template'!F5,"AAAAAHrX/r0=")</f>
        <v>#VALUE!</v>
      </c>
      <c r="GI16" t="e">
        <f>AND('Team Template'!G5,"AAAAAHrX/r4=")</f>
        <v>#VALUE!</v>
      </c>
      <c r="GJ16" t="e">
        <f>AND('Team Template'!H5,"AAAAAHrX/r8=")</f>
        <v>#VALUE!</v>
      </c>
      <c r="GK16" t="e">
        <f>AND('Team Template'!I5,"AAAAAHrX/sA=")</f>
        <v>#VALUE!</v>
      </c>
      <c r="GL16" t="e">
        <f>AND('Team Template'!J5,"AAAAAHrX/sE=")</f>
        <v>#VALUE!</v>
      </c>
      <c r="GM16" t="e">
        <f>AND('Team Template'!K5,"AAAAAHrX/sI=")</f>
        <v>#VALUE!</v>
      </c>
      <c r="GN16" t="e">
        <f>AND('Team Template'!L5,"AAAAAHrX/sM=")</f>
        <v>#VALUE!</v>
      </c>
      <c r="GO16" t="e">
        <f>AND('Team Template'!M5,"AAAAAHrX/sQ=")</f>
        <v>#VALUE!</v>
      </c>
      <c r="GP16" t="e">
        <f>AND('Team Template'!N5,"AAAAAHrX/sU=")</f>
        <v>#VALUE!</v>
      </c>
      <c r="GQ16" t="e">
        <f>AND('Team Template'!O5,"AAAAAHrX/sY=")</f>
        <v>#VALUE!</v>
      </c>
      <c r="GR16" t="e">
        <f>AND('Team Template'!P5,"AAAAAHrX/sc=")</f>
        <v>#VALUE!</v>
      </c>
      <c r="GS16" t="e">
        <f>AND('Team Template'!Q5,"AAAAAHrX/sg=")</f>
        <v>#VALUE!</v>
      </c>
      <c r="GT16" t="e">
        <f>AND('Team Template'!R5,"AAAAAHrX/sk=")</f>
        <v>#VALUE!</v>
      </c>
      <c r="GU16" t="e">
        <f>AND('Team Template'!S5,"AAAAAHrX/so=")</f>
        <v>#VALUE!</v>
      </c>
      <c r="GV16" t="e">
        <f>AND('Team Template'!T5,"AAAAAHrX/ss=")</f>
        <v>#VALUE!</v>
      </c>
      <c r="GW16" t="e">
        <f>AND('Team Template'!U5,"AAAAAHrX/sw=")</f>
        <v>#VALUE!</v>
      </c>
      <c r="GX16" t="e">
        <f>AND('Team Template'!V5,"AAAAAHrX/s0=")</f>
        <v>#VALUE!</v>
      </c>
      <c r="GY16">
        <f>IF('Team Template'!6:6,"AAAAAHrX/s4=",0)</f>
        <v>0</v>
      </c>
      <c r="GZ16" t="e">
        <f>AND('Team Template'!A6,"AAAAAHrX/s8=")</f>
        <v>#VALUE!</v>
      </c>
      <c r="HA16" t="e">
        <f>AND('Team Template'!B6,"AAAAAHrX/tA=")</f>
        <v>#VALUE!</v>
      </c>
      <c r="HB16" t="e">
        <f>AND('Team Template'!C6,"AAAAAHrX/tE=")</f>
        <v>#VALUE!</v>
      </c>
      <c r="HC16" t="e">
        <f>AND('Team Template'!D6,"AAAAAHrX/tI=")</f>
        <v>#VALUE!</v>
      </c>
      <c r="HD16" t="e">
        <f>AND('Team Template'!E6,"AAAAAHrX/tM=")</f>
        <v>#VALUE!</v>
      </c>
      <c r="HE16" t="e">
        <f>AND('Team Template'!F6,"AAAAAHrX/tQ=")</f>
        <v>#VALUE!</v>
      </c>
      <c r="HF16" t="e">
        <f>AND('Team Template'!G6,"AAAAAHrX/tU=")</f>
        <v>#VALUE!</v>
      </c>
      <c r="HG16" t="e">
        <f>AND('Team Template'!H6,"AAAAAHrX/tY=")</f>
        <v>#VALUE!</v>
      </c>
      <c r="HH16" t="e">
        <f>AND('Team Template'!I6,"AAAAAHrX/tc=")</f>
        <v>#VALUE!</v>
      </c>
      <c r="HI16" t="e">
        <f>AND('Team Template'!J6,"AAAAAHrX/tg=")</f>
        <v>#VALUE!</v>
      </c>
      <c r="HJ16" t="e">
        <f>AND('Team Template'!K6,"AAAAAHrX/tk=")</f>
        <v>#VALUE!</v>
      </c>
      <c r="HK16" t="e">
        <f>AND('Team Template'!L6,"AAAAAHrX/to=")</f>
        <v>#VALUE!</v>
      </c>
      <c r="HL16" t="e">
        <f>AND('Team Template'!M6,"AAAAAHrX/ts=")</f>
        <v>#VALUE!</v>
      </c>
      <c r="HM16" t="e">
        <f>AND('Team Template'!N6,"AAAAAHrX/tw=")</f>
        <v>#VALUE!</v>
      </c>
      <c r="HN16" t="e">
        <f>AND('Team Template'!O6,"AAAAAHrX/t0=")</f>
        <v>#VALUE!</v>
      </c>
      <c r="HO16" t="e">
        <f>AND('Team Template'!P6,"AAAAAHrX/t4=")</f>
        <v>#VALUE!</v>
      </c>
      <c r="HP16" t="e">
        <f>AND('Team Template'!Q6,"AAAAAHrX/t8=")</f>
        <v>#VALUE!</v>
      </c>
      <c r="HQ16" t="e">
        <f>AND('Team Template'!R6,"AAAAAHrX/uA=")</f>
        <v>#VALUE!</v>
      </c>
      <c r="HR16" t="e">
        <f>AND('Team Template'!S6,"AAAAAHrX/uE=")</f>
        <v>#VALUE!</v>
      </c>
      <c r="HS16" t="e">
        <f>AND('Team Template'!T6,"AAAAAHrX/uI=")</f>
        <v>#VALUE!</v>
      </c>
      <c r="HT16" t="e">
        <f>AND('Team Template'!U6,"AAAAAHrX/uM=")</f>
        <v>#VALUE!</v>
      </c>
      <c r="HU16" t="e">
        <f>AND('Team Template'!V6,"AAAAAHrX/uQ=")</f>
        <v>#VALUE!</v>
      </c>
      <c r="HV16">
        <f>IF('Team Template'!7:7,"AAAAAHrX/uU=",0)</f>
        <v>0</v>
      </c>
      <c r="HW16" t="e">
        <f>AND('Team Template'!A7,"AAAAAHrX/uY=")</f>
        <v>#VALUE!</v>
      </c>
      <c r="HX16" t="e">
        <f>AND('Team Template'!B7,"AAAAAHrX/uc=")</f>
        <v>#VALUE!</v>
      </c>
      <c r="HY16" t="e">
        <f>AND('Team Template'!C7,"AAAAAHrX/ug=")</f>
        <v>#VALUE!</v>
      </c>
      <c r="HZ16" t="e">
        <f>AND('Team Template'!D7,"AAAAAHrX/uk=")</f>
        <v>#VALUE!</v>
      </c>
      <c r="IA16" t="e">
        <f>AND('Team Template'!E7,"AAAAAHrX/uo=")</f>
        <v>#VALUE!</v>
      </c>
      <c r="IB16" t="e">
        <f>AND('Team Template'!F7,"AAAAAHrX/us=")</f>
        <v>#VALUE!</v>
      </c>
      <c r="IC16" t="e">
        <f>AND('Team Template'!G7,"AAAAAHrX/uw=")</f>
        <v>#VALUE!</v>
      </c>
      <c r="ID16" t="e">
        <f>AND('Team Template'!H7,"AAAAAHrX/u0=")</f>
        <v>#VALUE!</v>
      </c>
      <c r="IE16" t="e">
        <f>AND('Team Template'!I7,"AAAAAHrX/u4=")</f>
        <v>#VALUE!</v>
      </c>
      <c r="IF16" t="e">
        <f>AND('Team Template'!J7,"AAAAAHrX/u8=")</f>
        <v>#VALUE!</v>
      </c>
      <c r="IG16" t="e">
        <f>AND('Team Template'!K7,"AAAAAHrX/vA=")</f>
        <v>#VALUE!</v>
      </c>
      <c r="IH16" t="e">
        <f>AND('Team Template'!L7,"AAAAAHrX/vE=")</f>
        <v>#VALUE!</v>
      </c>
      <c r="II16" t="e">
        <f>AND('Team Template'!M7,"AAAAAHrX/vI=")</f>
        <v>#VALUE!</v>
      </c>
      <c r="IJ16" t="e">
        <f>AND('Team Template'!N7,"AAAAAHrX/vM=")</f>
        <v>#VALUE!</v>
      </c>
      <c r="IK16" t="e">
        <f>AND('Team Template'!O7,"AAAAAHrX/vQ=")</f>
        <v>#VALUE!</v>
      </c>
      <c r="IL16" t="e">
        <f>AND('Team Template'!P7,"AAAAAHrX/vU=")</f>
        <v>#VALUE!</v>
      </c>
      <c r="IM16" t="e">
        <f>AND('Team Template'!Q7,"AAAAAHrX/vY=")</f>
        <v>#VALUE!</v>
      </c>
      <c r="IN16" t="e">
        <f>AND('Team Template'!R7,"AAAAAHrX/vc=")</f>
        <v>#VALUE!</v>
      </c>
      <c r="IO16" t="e">
        <f>AND('Team Template'!S7,"AAAAAHrX/vg=")</f>
        <v>#VALUE!</v>
      </c>
      <c r="IP16" t="e">
        <f>AND('Team Template'!T7,"AAAAAHrX/vk=")</f>
        <v>#VALUE!</v>
      </c>
      <c r="IQ16" t="e">
        <f>AND('Team Template'!U7,"AAAAAHrX/vo=")</f>
        <v>#VALUE!</v>
      </c>
      <c r="IR16" t="e">
        <f>AND('Team Template'!V7,"AAAAAHrX/vs=")</f>
        <v>#VALUE!</v>
      </c>
      <c r="IS16">
        <f>IF('Team Template'!8:8,"AAAAAHrX/vw=",0)</f>
        <v>0</v>
      </c>
      <c r="IT16" t="e">
        <f>AND('Team Template'!A8,"AAAAAHrX/v0=")</f>
        <v>#VALUE!</v>
      </c>
      <c r="IU16" t="e">
        <f>AND('Team Template'!B8,"AAAAAHrX/v4=")</f>
        <v>#VALUE!</v>
      </c>
      <c r="IV16" t="e">
        <f>AND('Team Template'!C8,"AAAAAHrX/v8=")</f>
        <v>#VALUE!</v>
      </c>
    </row>
    <row r="17" spans="1:256" x14ac:dyDescent="0.2">
      <c r="A17" t="e">
        <f>AND('Team Template'!D8,"AAAAAD+e/QA=")</f>
        <v>#VALUE!</v>
      </c>
      <c r="B17" t="e">
        <f>AND('Team Template'!E8,"AAAAAD+e/QE=")</f>
        <v>#VALUE!</v>
      </c>
      <c r="C17" t="e">
        <f>AND('Team Template'!F8,"AAAAAD+e/QI=")</f>
        <v>#VALUE!</v>
      </c>
      <c r="D17" t="e">
        <f>AND('Team Template'!G8,"AAAAAD+e/QM=")</f>
        <v>#VALUE!</v>
      </c>
      <c r="E17" t="e">
        <f>AND('Team Template'!H8,"AAAAAD+e/QQ=")</f>
        <v>#VALUE!</v>
      </c>
      <c r="F17" t="e">
        <f>AND('Team Template'!I8,"AAAAAD+e/QU=")</f>
        <v>#VALUE!</v>
      </c>
      <c r="G17" t="e">
        <f>AND('Team Template'!J8,"AAAAAD+e/QY=")</f>
        <v>#VALUE!</v>
      </c>
      <c r="H17" t="e">
        <f>AND('Team Template'!K8,"AAAAAD+e/Qc=")</f>
        <v>#VALUE!</v>
      </c>
      <c r="I17" t="e">
        <f>AND('Team Template'!L8,"AAAAAD+e/Qg=")</f>
        <v>#VALUE!</v>
      </c>
      <c r="J17" t="e">
        <f>AND('Team Template'!M8,"AAAAAD+e/Qk=")</f>
        <v>#VALUE!</v>
      </c>
      <c r="K17" t="e">
        <f>AND('Team Template'!N8,"AAAAAD+e/Qo=")</f>
        <v>#VALUE!</v>
      </c>
      <c r="L17" t="e">
        <f>AND('Team Template'!O8,"AAAAAD+e/Qs=")</f>
        <v>#VALUE!</v>
      </c>
      <c r="M17" t="e">
        <f>AND('Team Template'!P8,"AAAAAD+e/Qw=")</f>
        <v>#VALUE!</v>
      </c>
      <c r="N17" t="e">
        <f>AND('Team Template'!Q8,"AAAAAD+e/Q0=")</f>
        <v>#VALUE!</v>
      </c>
      <c r="O17" t="e">
        <f>AND('Team Template'!R8,"AAAAAD+e/Q4=")</f>
        <v>#VALUE!</v>
      </c>
      <c r="P17" t="e">
        <f>AND('Team Template'!S8,"AAAAAD+e/Q8=")</f>
        <v>#VALUE!</v>
      </c>
      <c r="Q17" t="e">
        <f>AND('Team Template'!T8,"AAAAAD+e/RA=")</f>
        <v>#VALUE!</v>
      </c>
      <c r="R17" t="e">
        <f>AND('Team Template'!U8,"AAAAAD+e/RE=")</f>
        <v>#VALUE!</v>
      </c>
      <c r="S17" t="e">
        <f>AND('Team Template'!V8,"AAAAAD+e/RI=")</f>
        <v>#VALUE!</v>
      </c>
      <c r="T17">
        <f>IF('Team Template'!9:9,"AAAAAD+e/RM=",0)</f>
        <v>0</v>
      </c>
      <c r="U17" t="e">
        <f>AND('Team Template'!A9,"AAAAAD+e/RQ=")</f>
        <v>#VALUE!</v>
      </c>
      <c r="V17" t="e">
        <f>AND('Team Template'!B9,"AAAAAD+e/RU=")</f>
        <v>#VALUE!</v>
      </c>
      <c r="W17" t="e">
        <f>AND('Team Template'!C9,"AAAAAD+e/RY=")</f>
        <v>#VALUE!</v>
      </c>
      <c r="X17" t="e">
        <f>AND('Team Template'!D9,"AAAAAD+e/Rc=")</f>
        <v>#VALUE!</v>
      </c>
      <c r="Y17" t="e">
        <f>AND('Team Template'!E9,"AAAAAD+e/Rg=")</f>
        <v>#VALUE!</v>
      </c>
      <c r="Z17" t="e">
        <f>AND('Team Template'!F9,"AAAAAD+e/Rk=")</f>
        <v>#VALUE!</v>
      </c>
      <c r="AA17" t="e">
        <f>AND('Team Template'!G9,"AAAAAD+e/Ro=")</f>
        <v>#VALUE!</v>
      </c>
      <c r="AB17" t="e">
        <f>AND('Team Template'!H9,"AAAAAD+e/Rs=")</f>
        <v>#VALUE!</v>
      </c>
      <c r="AC17" t="e">
        <f>AND('Team Template'!I9,"AAAAAD+e/Rw=")</f>
        <v>#VALUE!</v>
      </c>
      <c r="AD17" t="e">
        <f>AND('Team Template'!J9,"AAAAAD+e/R0=")</f>
        <v>#VALUE!</v>
      </c>
      <c r="AE17" t="e">
        <f>AND('Team Template'!K9,"AAAAAD+e/R4=")</f>
        <v>#VALUE!</v>
      </c>
      <c r="AF17" t="e">
        <f>AND('Team Template'!L9,"AAAAAD+e/R8=")</f>
        <v>#VALUE!</v>
      </c>
      <c r="AG17" t="e">
        <f>AND('Team Template'!M9,"AAAAAD+e/SA=")</f>
        <v>#VALUE!</v>
      </c>
      <c r="AH17" t="e">
        <f>AND('Team Template'!N9,"AAAAAD+e/SE=")</f>
        <v>#VALUE!</v>
      </c>
      <c r="AI17" t="e">
        <f>AND('Team Template'!O9,"AAAAAD+e/SI=")</f>
        <v>#VALUE!</v>
      </c>
      <c r="AJ17" t="e">
        <f>AND('Team Template'!P9,"AAAAAD+e/SM=")</f>
        <v>#VALUE!</v>
      </c>
      <c r="AK17" t="e">
        <f>AND('Team Template'!Q9,"AAAAAD+e/SQ=")</f>
        <v>#VALUE!</v>
      </c>
      <c r="AL17" t="e">
        <f>AND('Team Template'!R9,"AAAAAD+e/SU=")</f>
        <v>#VALUE!</v>
      </c>
      <c r="AM17" t="e">
        <f>AND('Team Template'!S9,"AAAAAD+e/SY=")</f>
        <v>#VALUE!</v>
      </c>
      <c r="AN17" t="e">
        <f>AND('Team Template'!T9,"AAAAAD+e/Sc=")</f>
        <v>#VALUE!</v>
      </c>
      <c r="AO17" t="e">
        <f>AND('Team Template'!U9,"AAAAAD+e/Sg=")</f>
        <v>#VALUE!</v>
      </c>
      <c r="AP17" t="e">
        <f>AND('Team Template'!V9,"AAAAAD+e/Sk=")</f>
        <v>#VALUE!</v>
      </c>
      <c r="AQ17">
        <f>IF('Team Template'!10:10,"AAAAAD+e/So=",0)</f>
        <v>0</v>
      </c>
      <c r="AR17" t="e">
        <f>AND('Team Template'!A10,"AAAAAD+e/Ss=")</f>
        <v>#VALUE!</v>
      </c>
      <c r="AS17" t="e">
        <f>AND('Team Template'!B10,"AAAAAD+e/Sw=")</f>
        <v>#VALUE!</v>
      </c>
      <c r="AT17" t="e">
        <f>AND('Team Template'!C10,"AAAAAD+e/S0=")</f>
        <v>#VALUE!</v>
      </c>
      <c r="AU17" t="e">
        <f>AND('Team Template'!D10,"AAAAAD+e/S4=")</f>
        <v>#VALUE!</v>
      </c>
      <c r="AV17" t="e">
        <f>AND('Team Template'!E10,"AAAAAD+e/S8=")</f>
        <v>#VALUE!</v>
      </c>
      <c r="AW17" t="e">
        <f>AND('Team Template'!F10,"AAAAAD+e/TA=")</f>
        <v>#VALUE!</v>
      </c>
      <c r="AX17" t="e">
        <f>AND('Team Template'!G10,"AAAAAD+e/TE=")</f>
        <v>#VALUE!</v>
      </c>
      <c r="AY17" t="e">
        <f>AND('Team Template'!H10,"AAAAAD+e/TI=")</f>
        <v>#VALUE!</v>
      </c>
      <c r="AZ17" t="e">
        <f>AND('Team Template'!I10,"AAAAAD+e/TM=")</f>
        <v>#VALUE!</v>
      </c>
      <c r="BA17" t="e">
        <f>AND('Team Template'!J10,"AAAAAD+e/TQ=")</f>
        <v>#VALUE!</v>
      </c>
      <c r="BB17" t="e">
        <f>AND('Team Template'!K10,"AAAAAD+e/TU=")</f>
        <v>#VALUE!</v>
      </c>
      <c r="BC17" t="e">
        <f>AND('Team Template'!L10,"AAAAAD+e/TY=")</f>
        <v>#VALUE!</v>
      </c>
      <c r="BD17" t="e">
        <f>AND('Team Template'!M10,"AAAAAD+e/Tc=")</f>
        <v>#VALUE!</v>
      </c>
      <c r="BE17" t="e">
        <f>AND('Team Template'!N10,"AAAAAD+e/Tg=")</f>
        <v>#VALUE!</v>
      </c>
      <c r="BF17" t="e">
        <f>AND('Team Template'!O10,"AAAAAD+e/Tk=")</f>
        <v>#VALUE!</v>
      </c>
      <c r="BG17" t="e">
        <f>AND('Team Template'!P10,"AAAAAD+e/To=")</f>
        <v>#VALUE!</v>
      </c>
      <c r="BH17" t="e">
        <f>AND('Team Template'!Q10,"AAAAAD+e/Ts=")</f>
        <v>#VALUE!</v>
      </c>
      <c r="BI17" t="e">
        <f>AND('Team Template'!R10,"AAAAAD+e/Tw=")</f>
        <v>#VALUE!</v>
      </c>
      <c r="BJ17" t="e">
        <f>AND('Team Template'!S10,"AAAAAD+e/T0=")</f>
        <v>#VALUE!</v>
      </c>
      <c r="BK17" t="e">
        <f>AND('Team Template'!T10,"AAAAAD+e/T4=")</f>
        <v>#VALUE!</v>
      </c>
      <c r="BL17" t="e">
        <f>AND('Team Template'!U10,"AAAAAD+e/T8=")</f>
        <v>#VALUE!</v>
      </c>
      <c r="BM17" t="e">
        <f>AND('Team Template'!V10,"AAAAAD+e/UA=")</f>
        <v>#VALUE!</v>
      </c>
      <c r="BN17">
        <f>IF('Team Template'!11:11,"AAAAAD+e/UE=",0)</f>
        <v>0</v>
      </c>
      <c r="BO17" t="e">
        <f>AND('Team Template'!A11,"AAAAAD+e/UI=")</f>
        <v>#VALUE!</v>
      </c>
      <c r="BP17" t="e">
        <f>AND('Team Template'!B11,"AAAAAD+e/UM=")</f>
        <v>#VALUE!</v>
      </c>
      <c r="BQ17" t="e">
        <f>AND('Team Template'!C11,"AAAAAD+e/UQ=")</f>
        <v>#VALUE!</v>
      </c>
      <c r="BR17" t="e">
        <f>AND('Team Template'!D11,"AAAAAD+e/UU=")</f>
        <v>#VALUE!</v>
      </c>
      <c r="BS17" t="e">
        <f>AND('Team Template'!E11,"AAAAAD+e/UY=")</f>
        <v>#VALUE!</v>
      </c>
      <c r="BT17" t="e">
        <f>AND('Team Template'!F11,"AAAAAD+e/Uc=")</f>
        <v>#VALUE!</v>
      </c>
      <c r="BU17" t="e">
        <f>AND('Team Template'!G11,"AAAAAD+e/Ug=")</f>
        <v>#VALUE!</v>
      </c>
      <c r="BV17" t="e">
        <f>AND('Team Template'!H11,"AAAAAD+e/Uk=")</f>
        <v>#VALUE!</v>
      </c>
      <c r="BW17" t="e">
        <f>AND('Team Template'!I11,"AAAAAD+e/Uo=")</f>
        <v>#VALUE!</v>
      </c>
      <c r="BX17" t="e">
        <f>AND('Team Template'!J11,"AAAAAD+e/Us=")</f>
        <v>#VALUE!</v>
      </c>
      <c r="BY17" t="e">
        <f>AND('Team Template'!K11,"AAAAAD+e/Uw=")</f>
        <v>#VALUE!</v>
      </c>
      <c r="BZ17" t="e">
        <f>AND('Team Template'!L11,"AAAAAD+e/U0=")</f>
        <v>#VALUE!</v>
      </c>
      <c r="CA17" t="e">
        <f>AND('Team Template'!M11,"AAAAAD+e/U4=")</f>
        <v>#VALUE!</v>
      </c>
      <c r="CB17" t="e">
        <f>AND('Team Template'!N11,"AAAAAD+e/U8=")</f>
        <v>#VALUE!</v>
      </c>
      <c r="CC17" t="e">
        <f>AND('Team Template'!O11,"AAAAAD+e/VA=")</f>
        <v>#VALUE!</v>
      </c>
      <c r="CD17" t="e">
        <f>AND('Team Template'!P11,"AAAAAD+e/VE=")</f>
        <v>#VALUE!</v>
      </c>
      <c r="CE17" t="e">
        <f>AND('Team Template'!Q11,"AAAAAD+e/VI=")</f>
        <v>#VALUE!</v>
      </c>
      <c r="CF17" t="e">
        <f>AND('Team Template'!R11,"AAAAAD+e/VM=")</f>
        <v>#VALUE!</v>
      </c>
      <c r="CG17" t="e">
        <f>AND('Team Template'!S11,"AAAAAD+e/VQ=")</f>
        <v>#VALUE!</v>
      </c>
      <c r="CH17" t="e">
        <f>AND('Team Template'!T11,"AAAAAD+e/VU=")</f>
        <v>#VALUE!</v>
      </c>
      <c r="CI17" t="e">
        <f>AND('Team Template'!U11,"AAAAAD+e/VY=")</f>
        <v>#VALUE!</v>
      </c>
      <c r="CJ17" t="e">
        <f>AND('Team Template'!V11,"AAAAAD+e/Vc=")</f>
        <v>#VALUE!</v>
      </c>
      <c r="CK17">
        <f>IF('Team Template'!12:12,"AAAAAD+e/Vg=",0)</f>
        <v>0</v>
      </c>
      <c r="CL17" t="e">
        <f>AND('Team Template'!A12,"AAAAAD+e/Vk=")</f>
        <v>#VALUE!</v>
      </c>
      <c r="CM17" t="e">
        <f>AND('Team Template'!B12,"AAAAAD+e/Vo=")</f>
        <v>#VALUE!</v>
      </c>
      <c r="CN17" t="e">
        <f>AND('Team Template'!C12,"AAAAAD+e/Vs=")</f>
        <v>#VALUE!</v>
      </c>
      <c r="CO17" t="e">
        <f>AND('Team Template'!D12,"AAAAAD+e/Vw=")</f>
        <v>#VALUE!</v>
      </c>
      <c r="CP17" t="e">
        <f>AND('Team Template'!E12,"AAAAAD+e/V0=")</f>
        <v>#VALUE!</v>
      </c>
      <c r="CQ17" t="e">
        <f>AND('Team Template'!F12,"AAAAAD+e/V4=")</f>
        <v>#VALUE!</v>
      </c>
      <c r="CR17" t="e">
        <f>AND('Team Template'!G12,"AAAAAD+e/V8=")</f>
        <v>#VALUE!</v>
      </c>
      <c r="CS17" t="e">
        <f>AND('Team Template'!H12,"AAAAAD+e/WA=")</f>
        <v>#VALUE!</v>
      </c>
      <c r="CT17" t="e">
        <f>AND('Team Template'!I12,"AAAAAD+e/WE=")</f>
        <v>#VALUE!</v>
      </c>
      <c r="CU17" t="e">
        <f>AND('Team Template'!J12,"AAAAAD+e/WI=")</f>
        <v>#VALUE!</v>
      </c>
      <c r="CV17" t="e">
        <f>AND('Team Template'!K12,"AAAAAD+e/WM=")</f>
        <v>#VALUE!</v>
      </c>
      <c r="CW17" t="e">
        <f>AND('Team Template'!L12,"AAAAAD+e/WQ=")</f>
        <v>#VALUE!</v>
      </c>
      <c r="CX17" t="e">
        <f>AND('Team Template'!M12,"AAAAAD+e/WU=")</f>
        <v>#VALUE!</v>
      </c>
      <c r="CY17" t="e">
        <f>AND('Team Template'!N12,"AAAAAD+e/WY=")</f>
        <v>#VALUE!</v>
      </c>
      <c r="CZ17" t="e">
        <f>AND('Team Template'!O12,"AAAAAD+e/Wc=")</f>
        <v>#VALUE!</v>
      </c>
      <c r="DA17" t="e">
        <f>AND('Team Template'!P12,"AAAAAD+e/Wg=")</f>
        <v>#VALUE!</v>
      </c>
      <c r="DB17" t="e">
        <f>AND('Team Template'!Q12,"AAAAAD+e/Wk=")</f>
        <v>#VALUE!</v>
      </c>
      <c r="DC17" t="e">
        <f>AND('Team Template'!R12,"AAAAAD+e/Wo=")</f>
        <v>#VALUE!</v>
      </c>
      <c r="DD17" t="e">
        <f>AND('Team Template'!S12,"AAAAAD+e/Ws=")</f>
        <v>#VALUE!</v>
      </c>
      <c r="DE17" t="e">
        <f>AND('Team Template'!T12,"AAAAAD+e/Ww=")</f>
        <v>#VALUE!</v>
      </c>
      <c r="DF17" t="e">
        <f>AND('Team Template'!U12,"AAAAAD+e/W0=")</f>
        <v>#VALUE!</v>
      </c>
      <c r="DG17" t="e">
        <f>AND('Team Template'!V12,"AAAAAD+e/W4=")</f>
        <v>#VALUE!</v>
      </c>
      <c r="DH17">
        <f>IF('Team Template'!13:13,"AAAAAD+e/W8=",0)</f>
        <v>0</v>
      </c>
      <c r="DI17" t="e">
        <f>AND('Team Template'!A13,"AAAAAD+e/XA=")</f>
        <v>#VALUE!</v>
      </c>
      <c r="DJ17" t="e">
        <f>AND('Team Template'!B13,"AAAAAD+e/XE=")</f>
        <v>#VALUE!</v>
      </c>
      <c r="DK17" t="e">
        <f>AND('Team Template'!C13,"AAAAAD+e/XI=")</f>
        <v>#VALUE!</v>
      </c>
      <c r="DL17" t="e">
        <f>AND('Team Template'!D13,"AAAAAD+e/XM=")</f>
        <v>#VALUE!</v>
      </c>
      <c r="DM17" t="e">
        <f>AND('Team Template'!E13,"AAAAAD+e/XQ=")</f>
        <v>#VALUE!</v>
      </c>
      <c r="DN17" t="e">
        <f>AND('Team Template'!F13,"AAAAAD+e/XU=")</f>
        <v>#VALUE!</v>
      </c>
      <c r="DO17" t="e">
        <f>AND('Team Template'!G13,"AAAAAD+e/XY=")</f>
        <v>#VALUE!</v>
      </c>
      <c r="DP17" t="e">
        <f>AND('Team Template'!H13,"AAAAAD+e/Xc=")</f>
        <v>#VALUE!</v>
      </c>
      <c r="DQ17" t="e">
        <f>AND('Team Template'!I13,"AAAAAD+e/Xg=")</f>
        <v>#VALUE!</v>
      </c>
      <c r="DR17" t="e">
        <f>AND('Team Template'!J13,"AAAAAD+e/Xk=")</f>
        <v>#VALUE!</v>
      </c>
      <c r="DS17" t="e">
        <f>AND('Team Template'!K13,"AAAAAD+e/Xo=")</f>
        <v>#VALUE!</v>
      </c>
      <c r="DT17" t="e">
        <f>AND('Team Template'!L13,"AAAAAD+e/Xs=")</f>
        <v>#VALUE!</v>
      </c>
      <c r="DU17" t="e">
        <f>AND('Team Template'!M13,"AAAAAD+e/Xw=")</f>
        <v>#VALUE!</v>
      </c>
      <c r="DV17" t="e">
        <f>AND('Team Template'!N13,"AAAAAD+e/X0=")</f>
        <v>#VALUE!</v>
      </c>
      <c r="DW17" t="e">
        <f>AND('Team Template'!O13,"AAAAAD+e/X4=")</f>
        <v>#VALUE!</v>
      </c>
      <c r="DX17" t="e">
        <f>AND('Team Template'!P13,"AAAAAD+e/X8=")</f>
        <v>#VALUE!</v>
      </c>
      <c r="DY17" t="e">
        <f>AND('Team Template'!Q13,"AAAAAD+e/YA=")</f>
        <v>#VALUE!</v>
      </c>
      <c r="DZ17" t="e">
        <f>AND('Team Template'!R13,"AAAAAD+e/YE=")</f>
        <v>#VALUE!</v>
      </c>
      <c r="EA17" t="e">
        <f>AND('Team Template'!S13,"AAAAAD+e/YI=")</f>
        <v>#VALUE!</v>
      </c>
      <c r="EB17" t="e">
        <f>AND('Team Template'!T13,"AAAAAD+e/YM=")</f>
        <v>#VALUE!</v>
      </c>
      <c r="EC17" t="e">
        <f>AND('Team Template'!U13,"AAAAAD+e/YQ=")</f>
        <v>#VALUE!</v>
      </c>
      <c r="ED17" t="e">
        <f>AND('Team Template'!V13,"AAAAAD+e/YU=")</f>
        <v>#VALUE!</v>
      </c>
      <c r="EE17">
        <f>IF('Team Template'!14:14,"AAAAAD+e/YY=",0)</f>
        <v>0</v>
      </c>
      <c r="EF17" t="e">
        <f>AND('Team Template'!A14,"AAAAAD+e/Yc=")</f>
        <v>#VALUE!</v>
      </c>
      <c r="EG17" t="e">
        <f>AND('Team Template'!B14,"AAAAAD+e/Yg=")</f>
        <v>#VALUE!</v>
      </c>
      <c r="EH17" t="e">
        <f>AND('Team Template'!C14,"AAAAAD+e/Yk=")</f>
        <v>#VALUE!</v>
      </c>
      <c r="EI17" t="e">
        <f>AND('Team Template'!D14,"AAAAAD+e/Yo=")</f>
        <v>#VALUE!</v>
      </c>
      <c r="EJ17" t="e">
        <f>AND('Team Template'!E14,"AAAAAD+e/Ys=")</f>
        <v>#VALUE!</v>
      </c>
      <c r="EK17" t="e">
        <f>AND('Team Template'!F14,"AAAAAD+e/Yw=")</f>
        <v>#VALUE!</v>
      </c>
      <c r="EL17" t="e">
        <f>AND('Team Template'!G14,"AAAAAD+e/Y0=")</f>
        <v>#VALUE!</v>
      </c>
      <c r="EM17" t="e">
        <f>AND('Team Template'!H14,"AAAAAD+e/Y4=")</f>
        <v>#VALUE!</v>
      </c>
      <c r="EN17" t="e">
        <f>AND('Team Template'!I14,"AAAAAD+e/Y8=")</f>
        <v>#VALUE!</v>
      </c>
      <c r="EO17" t="e">
        <f>AND('Team Template'!J14,"AAAAAD+e/ZA=")</f>
        <v>#VALUE!</v>
      </c>
      <c r="EP17" t="e">
        <f>AND('Team Template'!K14,"AAAAAD+e/ZE=")</f>
        <v>#VALUE!</v>
      </c>
      <c r="EQ17" t="e">
        <f>AND('Team Template'!L14,"AAAAAD+e/ZI=")</f>
        <v>#VALUE!</v>
      </c>
      <c r="ER17" t="e">
        <f>AND('Team Template'!M14,"AAAAAD+e/ZM=")</f>
        <v>#VALUE!</v>
      </c>
      <c r="ES17" t="e">
        <f>AND('Team Template'!N14,"AAAAAD+e/ZQ=")</f>
        <v>#VALUE!</v>
      </c>
      <c r="ET17" t="e">
        <f>AND('Team Template'!O14,"AAAAAD+e/ZU=")</f>
        <v>#VALUE!</v>
      </c>
      <c r="EU17" t="e">
        <f>AND('Team Template'!P14,"AAAAAD+e/ZY=")</f>
        <v>#VALUE!</v>
      </c>
      <c r="EV17" t="e">
        <f>AND('Team Template'!Q14,"AAAAAD+e/Zc=")</f>
        <v>#VALUE!</v>
      </c>
      <c r="EW17" t="e">
        <f>AND('Team Template'!R14,"AAAAAD+e/Zg=")</f>
        <v>#VALUE!</v>
      </c>
      <c r="EX17" t="e">
        <f>AND('Team Template'!S14,"AAAAAD+e/Zk=")</f>
        <v>#VALUE!</v>
      </c>
      <c r="EY17" t="e">
        <f>AND('Team Template'!T14,"AAAAAD+e/Zo=")</f>
        <v>#VALUE!</v>
      </c>
      <c r="EZ17" t="e">
        <f>AND('Team Template'!U14,"AAAAAD+e/Zs=")</f>
        <v>#VALUE!</v>
      </c>
      <c r="FA17" t="e">
        <f>AND('Team Template'!V14,"AAAAAD+e/Zw=")</f>
        <v>#VALUE!</v>
      </c>
      <c r="FB17">
        <f>IF('Team Template'!15:15,"AAAAAD+e/Z0=",0)</f>
        <v>0</v>
      </c>
      <c r="FC17" t="e">
        <f>AND('Team Template'!A15,"AAAAAD+e/Z4=")</f>
        <v>#VALUE!</v>
      </c>
      <c r="FD17" t="e">
        <f>AND('Team Template'!B15,"AAAAAD+e/Z8=")</f>
        <v>#VALUE!</v>
      </c>
      <c r="FE17" t="e">
        <f>AND('Team Template'!C15,"AAAAAD+e/aA=")</f>
        <v>#VALUE!</v>
      </c>
      <c r="FF17" t="e">
        <f>AND('Team Template'!D15,"AAAAAD+e/aE=")</f>
        <v>#VALUE!</v>
      </c>
      <c r="FG17" t="e">
        <f>AND('Team Template'!E15,"AAAAAD+e/aI=")</f>
        <v>#VALUE!</v>
      </c>
      <c r="FH17" t="e">
        <f>AND('Team Template'!F15,"AAAAAD+e/aM=")</f>
        <v>#VALUE!</v>
      </c>
      <c r="FI17" t="e">
        <f>AND('Team Template'!G15,"AAAAAD+e/aQ=")</f>
        <v>#VALUE!</v>
      </c>
      <c r="FJ17" t="e">
        <f>AND('Team Template'!H15,"AAAAAD+e/aU=")</f>
        <v>#VALUE!</v>
      </c>
      <c r="FK17" t="e">
        <f>AND('Team Template'!I15,"AAAAAD+e/aY=")</f>
        <v>#VALUE!</v>
      </c>
      <c r="FL17" t="e">
        <f>AND('Team Template'!J15,"AAAAAD+e/ac=")</f>
        <v>#VALUE!</v>
      </c>
      <c r="FM17" t="e">
        <f>AND('Team Template'!K15,"AAAAAD+e/ag=")</f>
        <v>#VALUE!</v>
      </c>
      <c r="FN17" t="e">
        <f>AND('Team Template'!L15,"AAAAAD+e/ak=")</f>
        <v>#VALUE!</v>
      </c>
      <c r="FO17" t="e">
        <f>AND('Team Template'!M15,"AAAAAD+e/ao=")</f>
        <v>#VALUE!</v>
      </c>
      <c r="FP17" t="e">
        <f>AND('Team Template'!N15,"AAAAAD+e/as=")</f>
        <v>#VALUE!</v>
      </c>
      <c r="FQ17" t="e">
        <f>AND('Team Template'!O15,"AAAAAD+e/aw=")</f>
        <v>#VALUE!</v>
      </c>
      <c r="FR17" t="e">
        <f>AND('Team Template'!P15,"AAAAAD+e/a0=")</f>
        <v>#VALUE!</v>
      </c>
      <c r="FS17" t="e">
        <f>AND('Team Template'!Q15,"AAAAAD+e/a4=")</f>
        <v>#VALUE!</v>
      </c>
      <c r="FT17" t="e">
        <f>AND('Team Template'!R15,"AAAAAD+e/a8=")</f>
        <v>#VALUE!</v>
      </c>
      <c r="FU17" t="e">
        <f>AND('Team Template'!S15,"AAAAAD+e/bA=")</f>
        <v>#VALUE!</v>
      </c>
      <c r="FV17" t="e">
        <f>AND('Team Template'!T15,"AAAAAD+e/bE=")</f>
        <v>#VALUE!</v>
      </c>
      <c r="FW17" t="e">
        <f>AND('Team Template'!U15,"AAAAAD+e/bI=")</f>
        <v>#VALUE!</v>
      </c>
      <c r="FX17" t="e">
        <f>AND('Team Template'!V15,"AAAAAD+e/bM=")</f>
        <v>#VALUE!</v>
      </c>
      <c r="FY17">
        <f>IF('Team Template'!16:16,"AAAAAD+e/bQ=",0)</f>
        <v>0</v>
      </c>
      <c r="FZ17" t="e">
        <f>AND('Team Template'!A16,"AAAAAD+e/bU=")</f>
        <v>#VALUE!</v>
      </c>
      <c r="GA17" t="e">
        <f>AND('Team Template'!B16,"AAAAAD+e/bY=")</f>
        <v>#VALUE!</v>
      </c>
      <c r="GB17" t="e">
        <f>AND('Team Template'!C16,"AAAAAD+e/bc=")</f>
        <v>#VALUE!</v>
      </c>
      <c r="GC17" t="e">
        <f>AND('Team Template'!D16,"AAAAAD+e/bg=")</f>
        <v>#VALUE!</v>
      </c>
      <c r="GD17" t="e">
        <f>AND('Team Template'!E16,"AAAAAD+e/bk=")</f>
        <v>#VALUE!</v>
      </c>
      <c r="GE17" t="e">
        <f>AND('Team Template'!F16,"AAAAAD+e/bo=")</f>
        <v>#VALUE!</v>
      </c>
      <c r="GF17" t="e">
        <f>AND('Team Template'!G16,"AAAAAD+e/bs=")</f>
        <v>#VALUE!</v>
      </c>
      <c r="GG17" t="e">
        <f>AND('Team Template'!H16,"AAAAAD+e/bw=")</f>
        <v>#VALUE!</v>
      </c>
      <c r="GH17" t="e">
        <f>AND('Team Template'!I16,"AAAAAD+e/b0=")</f>
        <v>#VALUE!</v>
      </c>
      <c r="GI17" t="e">
        <f>AND('Team Template'!J16,"AAAAAD+e/b4=")</f>
        <v>#VALUE!</v>
      </c>
      <c r="GJ17" t="e">
        <f>AND('Team Template'!K16,"AAAAAD+e/b8=")</f>
        <v>#VALUE!</v>
      </c>
      <c r="GK17" t="e">
        <f>AND('Team Template'!L16,"AAAAAD+e/cA=")</f>
        <v>#VALUE!</v>
      </c>
      <c r="GL17" t="e">
        <f>AND('Team Template'!M16,"AAAAAD+e/cE=")</f>
        <v>#VALUE!</v>
      </c>
      <c r="GM17" t="e">
        <f>AND('Team Template'!N16,"AAAAAD+e/cI=")</f>
        <v>#VALUE!</v>
      </c>
      <c r="GN17" t="e">
        <f>AND('Team Template'!O16,"AAAAAD+e/cM=")</f>
        <v>#VALUE!</v>
      </c>
      <c r="GO17" t="e">
        <f>AND('Team Template'!P16,"AAAAAD+e/cQ=")</f>
        <v>#VALUE!</v>
      </c>
      <c r="GP17" t="e">
        <f>AND('Team Template'!Q16,"AAAAAD+e/cU=")</f>
        <v>#VALUE!</v>
      </c>
      <c r="GQ17" t="e">
        <f>AND('Team Template'!R16,"AAAAAD+e/cY=")</f>
        <v>#VALUE!</v>
      </c>
      <c r="GR17" t="e">
        <f>AND('Team Template'!S16,"AAAAAD+e/cc=")</f>
        <v>#VALUE!</v>
      </c>
      <c r="GS17" t="e">
        <f>AND('Team Template'!T16,"AAAAAD+e/cg=")</f>
        <v>#VALUE!</v>
      </c>
      <c r="GT17" t="e">
        <f>AND('Team Template'!U16,"AAAAAD+e/ck=")</f>
        <v>#VALUE!</v>
      </c>
      <c r="GU17" t="e">
        <f>AND('Team Template'!V16,"AAAAAD+e/co=")</f>
        <v>#VALUE!</v>
      </c>
      <c r="GV17">
        <f>IF('Team Template'!17:17,"AAAAAD+e/cs=",0)</f>
        <v>0</v>
      </c>
      <c r="GW17" t="e">
        <f>AND('Team Template'!A17,"AAAAAD+e/cw=")</f>
        <v>#VALUE!</v>
      </c>
      <c r="GX17" t="e">
        <f>AND('Team Template'!B17,"AAAAAD+e/c0=")</f>
        <v>#VALUE!</v>
      </c>
      <c r="GY17" t="e">
        <f>AND('Team Template'!C17,"AAAAAD+e/c4=")</f>
        <v>#VALUE!</v>
      </c>
      <c r="GZ17" t="e">
        <f>AND('Team Template'!D17,"AAAAAD+e/c8=")</f>
        <v>#VALUE!</v>
      </c>
      <c r="HA17" t="e">
        <f>AND('Team Template'!E17,"AAAAAD+e/dA=")</f>
        <v>#VALUE!</v>
      </c>
      <c r="HB17" t="e">
        <f>AND('Team Template'!F17,"AAAAAD+e/dE=")</f>
        <v>#VALUE!</v>
      </c>
      <c r="HC17" t="e">
        <f>AND('Team Template'!G17,"AAAAAD+e/dI=")</f>
        <v>#VALUE!</v>
      </c>
      <c r="HD17" t="e">
        <f>AND('Team Template'!H17,"AAAAAD+e/dM=")</f>
        <v>#VALUE!</v>
      </c>
      <c r="HE17" t="e">
        <f>AND('Team Template'!I17,"AAAAAD+e/dQ=")</f>
        <v>#VALUE!</v>
      </c>
      <c r="HF17" t="e">
        <f>AND('Team Template'!J17,"AAAAAD+e/dU=")</f>
        <v>#VALUE!</v>
      </c>
      <c r="HG17" t="e">
        <f>AND('Team Template'!K17,"AAAAAD+e/dY=")</f>
        <v>#VALUE!</v>
      </c>
      <c r="HH17" t="e">
        <f>AND('Team Template'!L17,"AAAAAD+e/dc=")</f>
        <v>#VALUE!</v>
      </c>
      <c r="HI17" t="e">
        <f>AND('Team Template'!M17,"AAAAAD+e/dg=")</f>
        <v>#VALUE!</v>
      </c>
      <c r="HJ17" t="e">
        <f>AND('Team Template'!N17,"AAAAAD+e/dk=")</f>
        <v>#VALUE!</v>
      </c>
      <c r="HK17" t="e">
        <f>AND('Team Template'!O17,"AAAAAD+e/do=")</f>
        <v>#VALUE!</v>
      </c>
      <c r="HL17" t="e">
        <f>AND('Team Template'!P17,"AAAAAD+e/ds=")</f>
        <v>#VALUE!</v>
      </c>
      <c r="HM17" t="e">
        <f>AND('Team Template'!Q17,"AAAAAD+e/dw=")</f>
        <v>#VALUE!</v>
      </c>
      <c r="HN17" t="e">
        <f>AND('Team Template'!R17,"AAAAAD+e/d0=")</f>
        <v>#VALUE!</v>
      </c>
      <c r="HO17" t="e">
        <f>AND('Team Template'!S17,"AAAAAD+e/d4=")</f>
        <v>#VALUE!</v>
      </c>
      <c r="HP17" t="e">
        <f>AND('Team Template'!T17,"AAAAAD+e/d8=")</f>
        <v>#VALUE!</v>
      </c>
      <c r="HQ17" t="e">
        <f>AND('Team Template'!U17,"AAAAAD+e/eA=")</f>
        <v>#VALUE!</v>
      </c>
      <c r="HR17" t="e">
        <f>AND('Team Template'!V17,"AAAAAD+e/eE=")</f>
        <v>#VALUE!</v>
      </c>
      <c r="HS17">
        <f>IF('Team Template'!18:18,"AAAAAD+e/eI=",0)</f>
        <v>0</v>
      </c>
      <c r="HT17" t="e">
        <f>AND('Team Template'!A18,"AAAAAD+e/eM=")</f>
        <v>#VALUE!</v>
      </c>
      <c r="HU17" t="e">
        <f>AND('Team Template'!B18,"AAAAAD+e/eQ=")</f>
        <v>#VALUE!</v>
      </c>
      <c r="HV17" t="e">
        <f>AND('Team Template'!C18,"AAAAAD+e/eU=")</f>
        <v>#VALUE!</v>
      </c>
      <c r="HW17" t="e">
        <f>AND('Team Template'!D18,"AAAAAD+e/eY=")</f>
        <v>#VALUE!</v>
      </c>
      <c r="HX17" t="e">
        <f>AND('Team Template'!E18,"AAAAAD+e/ec=")</f>
        <v>#VALUE!</v>
      </c>
      <c r="HY17" t="e">
        <f>AND('Team Template'!F18,"AAAAAD+e/eg=")</f>
        <v>#VALUE!</v>
      </c>
      <c r="HZ17" t="e">
        <f>AND('Team Template'!G18,"AAAAAD+e/ek=")</f>
        <v>#VALUE!</v>
      </c>
      <c r="IA17" t="e">
        <f>AND('Team Template'!H18,"AAAAAD+e/eo=")</f>
        <v>#VALUE!</v>
      </c>
      <c r="IB17" t="e">
        <f>AND('Team Template'!I18,"AAAAAD+e/es=")</f>
        <v>#VALUE!</v>
      </c>
      <c r="IC17" t="e">
        <f>AND('Team Template'!J18,"AAAAAD+e/ew=")</f>
        <v>#VALUE!</v>
      </c>
      <c r="ID17" t="e">
        <f>AND('Team Template'!K18,"AAAAAD+e/e0=")</f>
        <v>#VALUE!</v>
      </c>
      <c r="IE17" t="e">
        <f>AND('Team Template'!L18,"AAAAAD+e/e4=")</f>
        <v>#VALUE!</v>
      </c>
      <c r="IF17" t="e">
        <f>AND('Team Template'!M18,"AAAAAD+e/e8=")</f>
        <v>#VALUE!</v>
      </c>
      <c r="IG17" t="e">
        <f>AND('Team Template'!N18,"AAAAAD+e/fA=")</f>
        <v>#VALUE!</v>
      </c>
      <c r="IH17" t="e">
        <f>AND('Team Template'!O18,"AAAAAD+e/fE=")</f>
        <v>#VALUE!</v>
      </c>
      <c r="II17" t="e">
        <f>AND('Team Template'!P18,"AAAAAD+e/fI=")</f>
        <v>#VALUE!</v>
      </c>
      <c r="IJ17" t="e">
        <f>AND('Team Template'!Q18,"AAAAAD+e/fM=")</f>
        <v>#VALUE!</v>
      </c>
      <c r="IK17" t="e">
        <f>AND('Team Template'!R18,"AAAAAD+e/fQ=")</f>
        <v>#VALUE!</v>
      </c>
      <c r="IL17" t="e">
        <f>AND('Team Template'!S18,"AAAAAD+e/fU=")</f>
        <v>#VALUE!</v>
      </c>
      <c r="IM17" t="e">
        <f>AND('Team Template'!T18,"AAAAAD+e/fY=")</f>
        <v>#VALUE!</v>
      </c>
      <c r="IN17" t="e">
        <f>AND('Team Template'!U18,"AAAAAD+e/fc=")</f>
        <v>#VALUE!</v>
      </c>
      <c r="IO17" t="e">
        <f>AND('Team Template'!V18,"AAAAAD+e/fg=")</f>
        <v>#VALUE!</v>
      </c>
      <c r="IP17">
        <f>IF('Team Template'!19:19,"AAAAAD+e/fk=",0)</f>
        <v>0</v>
      </c>
      <c r="IQ17" t="e">
        <f>AND('Team Template'!A19,"AAAAAD+e/fo=")</f>
        <v>#VALUE!</v>
      </c>
      <c r="IR17" t="e">
        <f>AND('Team Template'!B19,"AAAAAD+e/fs=")</f>
        <v>#VALUE!</v>
      </c>
      <c r="IS17" t="e">
        <f>AND('Team Template'!C19,"AAAAAD+e/fw=")</f>
        <v>#VALUE!</v>
      </c>
      <c r="IT17" t="e">
        <f>AND('Team Template'!D19,"AAAAAD+e/f0=")</f>
        <v>#VALUE!</v>
      </c>
      <c r="IU17" t="e">
        <f>AND('Team Template'!E19,"AAAAAD+e/f4=")</f>
        <v>#VALUE!</v>
      </c>
      <c r="IV17" t="e">
        <f>AND('Team Template'!F19,"AAAAAD+e/f8=")</f>
        <v>#VALUE!</v>
      </c>
    </row>
    <row r="18" spans="1:256" x14ac:dyDescent="0.2">
      <c r="A18" t="e">
        <f>AND('Team Template'!G19,"AAAAAD/r0QA=")</f>
        <v>#VALUE!</v>
      </c>
      <c r="B18" t="e">
        <f>AND('Team Template'!H19,"AAAAAD/r0QE=")</f>
        <v>#VALUE!</v>
      </c>
      <c r="C18" t="e">
        <f>AND('Team Template'!I19,"AAAAAD/r0QI=")</f>
        <v>#VALUE!</v>
      </c>
      <c r="D18" t="e">
        <f>AND('Team Template'!J19,"AAAAAD/r0QM=")</f>
        <v>#VALUE!</v>
      </c>
      <c r="E18" t="e">
        <f>AND('Team Template'!K19,"AAAAAD/r0QQ=")</f>
        <v>#VALUE!</v>
      </c>
      <c r="F18" t="e">
        <f>AND('Team Template'!L19,"AAAAAD/r0QU=")</f>
        <v>#VALUE!</v>
      </c>
      <c r="G18" t="e">
        <f>AND('Team Template'!M19,"AAAAAD/r0QY=")</f>
        <v>#VALUE!</v>
      </c>
      <c r="H18" t="e">
        <f>AND('Team Template'!N19,"AAAAAD/r0Qc=")</f>
        <v>#VALUE!</v>
      </c>
      <c r="I18" t="e">
        <f>AND('Team Template'!O19,"AAAAAD/r0Qg=")</f>
        <v>#VALUE!</v>
      </c>
      <c r="J18" t="e">
        <f>AND('Team Template'!P19,"AAAAAD/r0Qk=")</f>
        <v>#VALUE!</v>
      </c>
      <c r="K18" t="e">
        <f>AND('Team Template'!Q19,"AAAAAD/r0Qo=")</f>
        <v>#VALUE!</v>
      </c>
      <c r="L18" t="e">
        <f>AND('Team Template'!R19,"AAAAAD/r0Qs=")</f>
        <v>#VALUE!</v>
      </c>
      <c r="M18" t="e">
        <f>AND('Team Template'!S19,"AAAAAD/r0Qw=")</f>
        <v>#VALUE!</v>
      </c>
      <c r="N18" t="e">
        <f>AND('Team Template'!T19,"AAAAAD/r0Q0=")</f>
        <v>#VALUE!</v>
      </c>
      <c r="O18" t="e">
        <f>AND('Team Template'!U19,"AAAAAD/r0Q4=")</f>
        <v>#VALUE!</v>
      </c>
      <c r="P18" t="e">
        <f>AND('Team Template'!V19,"AAAAAD/r0Q8=")</f>
        <v>#VALUE!</v>
      </c>
      <c r="Q18">
        <f>IF('Team Template'!20:20,"AAAAAD/r0RA=",0)</f>
        <v>0</v>
      </c>
      <c r="R18" t="e">
        <f>AND('Team Template'!A20,"AAAAAD/r0RE=")</f>
        <v>#VALUE!</v>
      </c>
      <c r="S18" t="e">
        <f>AND('Team Template'!B20,"AAAAAD/r0RI=")</f>
        <v>#VALUE!</v>
      </c>
      <c r="T18" t="e">
        <f>AND('Team Template'!C20,"AAAAAD/r0RM=")</f>
        <v>#VALUE!</v>
      </c>
      <c r="U18" t="e">
        <f>AND('Team Template'!D20,"AAAAAD/r0RQ=")</f>
        <v>#VALUE!</v>
      </c>
      <c r="V18" t="e">
        <f>AND('Team Template'!E20,"AAAAAD/r0RU=")</f>
        <v>#VALUE!</v>
      </c>
      <c r="W18" t="e">
        <f>AND('Team Template'!F20,"AAAAAD/r0RY=")</f>
        <v>#VALUE!</v>
      </c>
      <c r="X18" t="e">
        <f>AND('Team Template'!G20,"AAAAAD/r0Rc=")</f>
        <v>#VALUE!</v>
      </c>
      <c r="Y18" t="e">
        <f>AND('Team Template'!H20,"AAAAAD/r0Rg=")</f>
        <v>#VALUE!</v>
      </c>
      <c r="Z18" t="e">
        <f>AND('Team Template'!I20,"AAAAAD/r0Rk=")</f>
        <v>#VALUE!</v>
      </c>
      <c r="AA18" t="e">
        <f>AND('Team Template'!J20,"AAAAAD/r0Ro=")</f>
        <v>#VALUE!</v>
      </c>
      <c r="AB18" t="e">
        <f>AND('Team Template'!K20,"AAAAAD/r0Rs=")</f>
        <v>#VALUE!</v>
      </c>
      <c r="AC18" t="e">
        <f>AND('Team Template'!L20,"AAAAAD/r0Rw=")</f>
        <v>#VALUE!</v>
      </c>
      <c r="AD18" t="e">
        <f>AND('Team Template'!M20,"AAAAAD/r0R0=")</f>
        <v>#VALUE!</v>
      </c>
      <c r="AE18" t="e">
        <f>AND('Team Template'!N20,"AAAAAD/r0R4=")</f>
        <v>#VALUE!</v>
      </c>
      <c r="AF18" t="e">
        <f>AND('Team Template'!O20,"AAAAAD/r0R8=")</f>
        <v>#VALUE!</v>
      </c>
      <c r="AG18" t="e">
        <f>AND('Team Template'!P20,"AAAAAD/r0SA=")</f>
        <v>#VALUE!</v>
      </c>
      <c r="AH18" t="e">
        <f>AND('Team Template'!Q20,"AAAAAD/r0SE=")</f>
        <v>#VALUE!</v>
      </c>
      <c r="AI18" t="e">
        <f>AND('Team Template'!R20,"AAAAAD/r0SI=")</f>
        <v>#VALUE!</v>
      </c>
      <c r="AJ18" t="e">
        <f>AND('Team Template'!S20,"AAAAAD/r0SM=")</f>
        <v>#VALUE!</v>
      </c>
      <c r="AK18" t="e">
        <f>AND('Team Template'!T20,"AAAAAD/r0SQ=")</f>
        <v>#VALUE!</v>
      </c>
      <c r="AL18" t="e">
        <f>AND('Team Template'!U20,"AAAAAD/r0SU=")</f>
        <v>#VALUE!</v>
      </c>
      <c r="AM18" t="e">
        <f>AND('Team Template'!V20,"AAAAAD/r0SY=")</f>
        <v>#VALUE!</v>
      </c>
      <c r="AN18">
        <f>IF('Team Template'!21:21,"AAAAAD/r0Sc=",0)</f>
        <v>0</v>
      </c>
      <c r="AO18" t="e">
        <f>AND('Team Template'!A21,"AAAAAD/r0Sg=")</f>
        <v>#VALUE!</v>
      </c>
      <c r="AP18" t="e">
        <f>AND('Team Template'!B21,"AAAAAD/r0Sk=")</f>
        <v>#VALUE!</v>
      </c>
      <c r="AQ18" t="e">
        <f>AND('Team Template'!C21,"AAAAAD/r0So=")</f>
        <v>#VALUE!</v>
      </c>
      <c r="AR18" t="e">
        <f>AND('Team Template'!D21,"AAAAAD/r0Ss=")</f>
        <v>#VALUE!</v>
      </c>
      <c r="AS18" t="e">
        <f>AND('Team Template'!E21,"AAAAAD/r0Sw=")</f>
        <v>#VALUE!</v>
      </c>
      <c r="AT18" t="e">
        <f>AND('Team Template'!F21,"AAAAAD/r0S0=")</f>
        <v>#VALUE!</v>
      </c>
      <c r="AU18" t="e">
        <f>AND('Team Template'!G21,"AAAAAD/r0S4=")</f>
        <v>#VALUE!</v>
      </c>
      <c r="AV18" t="e">
        <f>AND('Team Template'!H21,"AAAAAD/r0S8=")</f>
        <v>#VALUE!</v>
      </c>
      <c r="AW18" t="e">
        <f>AND('Team Template'!I21,"AAAAAD/r0TA=")</f>
        <v>#VALUE!</v>
      </c>
      <c r="AX18" t="e">
        <f>AND('Team Template'!J21,"AAAAAD/r0TE=")</f>
        <v>#VALUE!</v>
      </c>
      <c r="AY18" t="e">
        <f>AND('Team Template'!K21,"AAAAAD/r0TI=")</f>
        <v>#VALUE!</v>
      </c>
      <c r="AZ18" t="e">
        <f>AND('Team Template'!L21,"AAAAAD/r0TM=")</f>
        <v>#VALUE!</v>
      </c>
      <c r="BA18" t="e">
        <f>AND('Team Template'!M21,"AAAAAD/r0TQ=")</f>
        <v>#VALUE!</v>
      </c>
      <c r="BB18" t="e">
        <f>AND('Team Template'!N21,"AAAAAD/r0TU=")</f>
        <v>#VALUE!</v>
      </c>
      <c r="BC18" t="e">
        <f>AND('Team Template'!O21,"AAAAAD/r0TY=")</f>
        <v>#VALUE!</v>
      </c>
      <c r="BD18" t="e">
        <f>AND('Team Template'!P21,"AAAAAD/r0Tc=")</f>
        <v>#VALUE!</v>
      </c>
      <c r="BE18" t="e">
        <f>AND('Team Template'!Q21,"AAAAAD/r0Tg=")</f>
        <v>#VALUE!</v>
      </c>
      <c r="BF18" t="e">
        <f>AND('Team Template'!R21,"AAAAAD/r0Tk=")</f>
        <v>#VALUE!</v>
      </c>
      <c r="BG18" t="e">
        <f>AND('Team Template'!S21,"AAAAAD/r0To=")</f>
        <v>#VALUE!</v>
      </c>
      <c r="BH18" t="e">
        <f>AND('Team Template'!T21,"AAAAAD/r0Ts=")</f>
        <v>#VALUE!</v>
      </c>
      <c r="BI18" t="e">
        <f>AND('Team Template'!U21,"AAAAAD/r0Tw=")</f>
        <v>#VALUE!</v>
      </c>
      <c r="BJ18" t="e">
        <f>AND('Team Template'!V21,"AAAAAD/r0T0=")</f>
        <v>#VALUE!</v>
      </c>
      <c r="BK18">
        <f>IF('Team Template'!22:22,"AAAAAD/r0T4=",0)</f>
        <v>0</v>
      </c>
      <c r="BL18" t="e">
        <f>AND('Team Template'!A22,"AAAAAD/r0T8=")</f>
        <v>#VALUE!</v>
      </c>
      <c r="BM18" t="e">
        <f>AND('Team Template'!B22,"AAAAAD/r0UA=")</f>
        <v>#VALUE!</v>
      </c>
      <c r="BN18" t="e">
        <f>AND('Team Template'!C22,"AAAAAD/r0UE=")</f>
        <v>#VALUE!</v>
      </c>
      <c r="BO18" t="e">
        <f>AND('Team Template'!D22,"AAAAAD/r0UI=")</f>
        <v>#VALUE!</v>
      </c>
      <c r="BP18" t="e">
        <f>AND('Team Template'!E22,"AAAAAD/r0UM=")</f>
        <v>#VALUE!</v>
      </c>
      <c r="BQ18" t="e">
        <f>AND('Team Template'!F22,"AAAAAD/r0UQ=")</f>
        <v>#VALUE!</v>
      </c>
      <c r="BR18" t="e">
        <f>AND('Team Template'!G22,"AAAAAD/r0UU=")</f>
        <v>#VALUE!</v>
      </c>
      <c r="BS18" t="e">
        <f>AND('Team Template'!H22,"AAAAAD/r0UY=")</f>
        <v>#VALUE!</v>
      </c>
      <c r="BT18" t="e">
        <f>AND('Team Template'!I22,"AAAAAD/r0Uc=")</f>
        <v>#VALUE!</v>
      </c>
      <c r="BU18" t="e">
        <f>AND('Team Template'!J22,"AAAAAD/r0Ug=")</f>
        <v>#VALUE!</v>
      </c>
      <c r="BV18" t="e">
        <f>AND('Team Template'!K22,"AAAAAD/r0Uk=")</f>
        <v>#VALUE!</v>
      </c>
      <c r="BW18" t="e">
        <f>AND('Team Template'!L22,"AAAAAD/r0Uo=")</f>
        <v>#VALUE!</v>
      </c>
      <c r="BX18" t="e">
        <f>AND('Team Template'!M22,"AAAAAD/r0Us=")</f>
        <v>#VALUE!</v>
      </c>
      <c r="BY18" t="e">
        <f>AND('Team Template'!N22,"AAAAAD/r0Uw=")</f>
        <v>#VALUE!</v>
      </c>
      <c r="BZ18" t="e">
        <f>AND('Team Template'!O22,"AAAAAD/r0U0=")</f>
        <v>#VALUE!</v>
      </c>
      <c r="CA18" t="e">
        <f>AND('Team Template'!P22,"AAAAAD/r0U4=")</f>
        <v>#VALUE!</v>
      </c>
      <c r="CB18" t="e">
        <f>AND('Team Template'!Q22,"AAAAAD/r0U8=")</f>
        <v>#VALUE!</v>
      </c>
      <c r="CC18" t="e">
        <f>AND('Team Template'!R22,"AAAAAD/r0VA=")</f>
        <v>#VALUE!</v>
      </c>
      <c r="CD18" t="e">
        <f>AND('Team Template'!S22,"AAAAAD/r0VE=")</f>
        <v>#VALUE!</v>
      </c>
      <c r="CE18" t="e">
        <f>AND('Team Template'!T22,"AAAAAD/r0VI=")</f>
        <v>#VALUE!</v>
      </c>
      <c r="CF18" t="e">
        <f>AND('Team Template'!U22,"AAAAAD/r0VM=")</f>
        <v>#VALUE!</v>
      </c>
      <c r="CG18" t="e">
        <f>AND('Team Template'!V22,"AAAAAD/r0VQ=")</f>
        <v>#VALUE!</v>
      </c>
      <c r="CH18">
        <f>IF('Team Template'!23:23,"AAAAAD/r0VU=",0)</f>
        <v>0</v>
      </c>
      <c r="CI18" t="e">
        <f>AND('Team Template'!A23,"AAAAAD/r0VY=")</f>
        <v>#VALUE!</v>
      </c>
      <c r="CJ18" t="e">
        <f>AND('Team Template'!B23,"AAAAAD/r0Vc=")</f>
        <v>#VALUE!</v>
      </c>
      <c r="CK18" t="e">
        <f>AND('Team Template'!C23,"AAAAAD/r0Vg=")</f>
        <v>#VALUE!</v>
      </c>
      <c r="CL18" t="e">
        <f>AND('Team Template'!D23,"AAAAAD/r0Vk=")</f>
        <v>#VALUE!</v>
      </c>
      <c r="CM18" t="e">
        <f>AND('Team Template'!E23,"AAAAAD/r0Vo=")</f>
        <v>#VALUE!</v>
      </c>
      <c r="CN18" t="e">
        <f>AND('Team Template'!F23,"AAAAAD/r0Vs=")</f>
        <v>#VALUE!</v>
      </c>
      <c r="CO18" t="e">
        <f>AND('Team Template'!G23,"AAAAAD/r0Vw=")</f>
        <v>#VALUE!</v>
      </c>
      <c r="CP18" t="e">
        <f>AND('Team Template'!H23,"AAAAAD/r0V0=")</f>
        <v>#VALUE!</v>
      </c>
      <c r="CQ18" t="e">
        <f>AND('Team Template'!I23,"AAAAAD/r0V4=")</f>
        <v>#VALUE!</v>
      </c>
      <c r="CR18" t="e">
        <f>AND('Team Template'!J23,"AAAAAD/r0V8=")</f>
        <v>#VALUE!</v>
      </c>
      <c r="CS18" t="e">
        <f>AND('Team Template'!K23,"AAAAAD/r0WA=")</f>
        <v>#VALUE!</v>
      </c>
      <c r="CT18" t="e">
        <f>AND('Team Template'!L23,"AAAAAD/r0WE=")</f>
        <v>#VALUE!</v>
      </c>
      <c r="CU18" t="e">
        <f>AND('Team Template'!M23,"AAAAAD/r0WI=")</f>
        <v>#VALUE!</v>
      </c>
      <c r="CV18" t="e">
        <f>AND('Team Template'!N23,"AAAAAD/r0WM=")</f>
        <v>#VALUE!</v>
      </c>
      <c r="CW18" t="e">
        <f>AND('Team Template'!O23,"AAAAAD/r0WQ=")</f>
        <v>#VALUE!</v>
      </c>
      <c r="CX18" t="e">
        <f>AND('Team Template'!P23,"AAAAAD/r0WU=")</f>
        <v>#VALUE!</v>
      </c>
      <c r="CY18" t="e">
        <f>AND('Team Template'!Q23,"AAAAAD/r0WY=")</f>
        <v>#VALUE!</v>
      </c>
      <c r="CZ18" t="e">
        <f>AND('Team Template'!R23,"AAAAAD/r0Wc=")</f>
        <v>#VALUE!</v>
      </c>
      <c r="DA18" t="e">
        <f>AND('Team Template'!S23,"AAAAAD/r0Wg=")</f>
        <v>#VALUE!</v>
      </c>
      <c r="DB18" t="e">
        <f>AND('Team Template'!T23,"AAAAAD/r0Wk=")</f>
        <v>#VALUE!</v>
      </c>
      <c r="DC18" t="e">
        <f>AND('Team Template'!U23,"AAAAAD/r0Wo=")</f>
        <v>#VALUE!</v>
      </c>
      <c r="DD18" t="e">
        <f>AND('Team Template'!V23,"AAAAAD/r0Ws=")</f>
        <v>#VALUE!</v>
      </c>
      <c r="DE18">
        <f>IF('Team Template'!24:24,"AAAAAD/r0Ww=",0)</f>
        <v>0</v>
      </c>
      <c r="DF18" t="e">
        <f>AND('Team Template'!A24,"AAAAAD/r0W0=")</f>
        <v>#VALUE!</v>
      </c>
      <c r="DG18" t="e">
        <f>AND('Team Template'!B24,"AAAAAD/r0W4=")</f>
        <v>#VALUE!</v>
      </c>
      <c r="DH18" t="e">
        <f>AND('Team Template'!C24,"AAAAAD/r0W8=")</f>
        <v>#VALUE!</v>
      </c>
      <c r="DI18" t="e">
        <f>AND('Team Template'!D24,"AAAAAD/r0XA=")</f>
        <v>#VALUE!</v>
      </c>
      <c r="DJ18" t="e">
        <f>AND('Team Template'!E24,"AAAAAD/r0XE=")</f>
        <v>#VALUE!</v>
      </c>
      <c r="DK18" t="e">
        <f>AND('Team Template'!F24,"AAAAAD/r0XI=")</f>
        <v>#VALUE!</v>
      </c>
      <c r="DL18" t="e">
        <f>AND('Team Template'!G24,"AAAAAD/r0XM=")</f>
        <v>#VALUE!</v>
      </c>
      <c r="DM18" t="e">
        <f>AND('Team Template'!H24,"AAAAAD/r0XQ=")</f>
        <v>#VALUE!</v>
      </c>
      <c r="DN18" t="e">
        <f>AND('Team Template'!I24,"AAAAAD/r0XU=")</f>
        <v>#VALUE!</v>
      </c>
      <c r="DO18" t="e">
        <f>AND('Team Template'!J24,"AAAAAD/r0XY=")</f>
        <v>#VALUE!</v>
      </c>
      <c r="DP18" t="e">
        <f>AND('Team Template'!K24,"AAAAAD/r0Xc=")</f>
        <v>#VALUE!</v>
      </c>
      <c r="DQ18" t="e">
        <f>AND('Team Template'!L24,"AAAAAD/r0Xg=")</f>
        <v>#VALUE!</v>
      </c>
      <c r="DR18" t="e">
        <f>AND('Team Template'!M24,"AAAAAD/r0Xk=")</f>
        <v>#VALUE!</v>
      </c>
      <c r="DS18" t="e">
        <f>AND('Team Template'!N24,"AAAAAD/r0Xo=")</f>
        <v>#VALUE!</v>
      </c>
      <c r="DT18" t="e">
        <f>AND('Team Template'!O24,"AAAAAD/r0Xs=")</f>
        <v>#VALUE!</v>
      </c>
      <c r="DU18" t="e">
        <f>AND('Team Template'!P24,"AAAAAD/r0Xw=")</f>
        <v>#VALUE!</v>
      </c>
      <c r="DV18" t="e">
        <f>AND('Team Template'!Q24,"AAAAAD/r0X0=")</f>
        <v>#VALUE!</v>
      </c>
      <c r="DW18" t="e">
        <f>AND('Team Template'!R24,"AAAAAD/r0X4=")</f>
        <v>#VALUE!</v>
      </c>
      <c r="DX18" t="e">
        <f>AND('Team Template'!S24,"AAAAAD/r0X8=")</f>
        <v>#VALUE!</v>
      </c>
      <c r="DY18" t="e">
        <f>AND('Team Template'!T24,"AAAAAD/r0YA=")</f>
        <v>#VALUE!</v>
      </c>
      <c r="DZ18" t="e">
        <f>AND('Team Template'!U24,"AAAAAD/r0YE=")</f>
        <v>#VALUE!</v>
      </c>
      <c r="EA18" t="e">
        <f>AND('Team Template'!V24,"AAAAAD/r0YI=")</f>
        <v>#VALUE!</v>
      </c>
      <c r="EB18">
        <f>IF('Team Template'!25:25,"AAAAAD/r0YM=",0)</f>
        <v>0</v>
      </c>
      <c r="EC18" t="e">
        <f>AND('Team Template'!A25,"AAAAAD/r0YQ=")</f>
        <v>#VALUE!</v>
      </c>
      <c r="ED18" t="e">
        <f>AND('Team Template'!B25,"AAAAAD/r0YU=")</f>
        <v>#VALUE!</v>
      </c>
      <c r="EE18" t="e">
        <f>AND('Team Template'!C25,"AAAAAD/r0YY=")</f>
        <v>#VALUE!</v>
      </c>
      <c r="EF18" t="e">
        <f>AND('Team Template'!D25,"AAAAAD/r0Yc=")</f>
        <v>#VALUE!</v>
      </c>
      <c r="EG18" t="e">
        <f>AND('Team Template'!E25,"AAAAAD/r0Yg=")</f>
        <v>#VALUE!</v>
      </c>
      <c r="EH18" t="e">
        <f>AND('Team Template'!F25,"AAAAAD/r0Yk=")</f>
        <v>#VALUE!</v>
      </c>
      <c r="EI18" t="e">
        <f>AND('Team Template'!G25,"AAAAAD/r0Yo=")</f>
        <v>#VALUE!</v>
      </c>
      <c r="EJ18" t="e">
        <f>AND('Team Template'!H25,"AAAAAD/r0Ys=")</f>
        <v>#VALUE!</v>
      </c>
      <c r="EK18" t="e">
        <f>AND('Team Template'!I25,"AAAAAD/r0Yw=")</f>
        <v>#VALUE!</v>
      </c>
      <c r="EL18" t="e">
        <f>AND('Team Template'!J25,"AAAAAD/r0Y0=")</f>
        <v>#VALUE!</v>
      </c>
      <c r="EM18" t="e">
        <f>AND('Team Template'!K25,"AAAAAD/r0Y4=")</f>
        <v>#VALUE!</v>
      </c>
      <c r="EN18" t="e">
        <f>AND('Team Template'!L25,"AAAAAD/r0Y8=")</f>
        <v>#VALUE!</v>
      </c>
      <c r="EO18" t="e">
        <f>AND('Team Template'!M25,"AAAAAD/r0ZA=")</f>
        <v>#VALUE!</v>
      </c>
      <c r="EP18" t="e">
        <f>AND('Team Template'!N25,"AAAAAD/r0ZE=")</f>
        <v>#VALUE!</v>
      </c>
      <c r="EQ18" t="e">
        <f>AND('Team Template'!O25,"AAAAAD/r0ZI=")</f>
        <v>#VALUE!</v>
      </c>
      <c r="ER18" t="e">
        <f>AND('Team Template'!P25,"AAAAAD/r0ZM=")</f>
        <v>#VALUE!</v>
      </c>
      <c r="ES18" t="e">
        <f>AND('Team Template'!Q25,"AAAAAD/r0ZQ=")</f>
        <v>#VALUE!</v>
      </c>
      <c r="ET18" t="e">
        <f>AND('Team Template'!R25,"AAAAAD/r0ZU=")</f>
        <v>#VALUE!</v>
      </c>
      <c r="EU18" t="e">
        <f>AND('Team Template'!S25,"AAAAAD/r0ZY=")</f>
        <v>#VALUE!</v>
      </c>
      <c r="EV18" t="e">
        <f>AND('Team Template'!T25,"AAAAAD/r0Zc=")</f>
        <v>#VALUE!</v>
      </c>
      <c r="EW18" t="e">
        <f>AND('Team Template'!U25,"AAAAAD/r0Zg=")</f>
        <v>#VALUE!</v>
      </c>
      <c r="EX18" t="e">
        <f>AND('Team Template'!V25,"AAAAAD/r0Zk=")</f>
        <v>#VALUE!</v>
      </c>
      <c r="EY18">
        <f>IF('Team Template'!26:26,"AAAAAD/r0Zo=",0)</f>
        <v>0</v>
      </c>
      <c r="EZ18" t="e">
        <f>AND('Team Template'!A26,"AAAAAD/r0Zs=")</f>
        <v>#VALUE!</v>
      </c>
      <c r="FA18" t="e">
        <f>AND('Team Template'!B26,"AAAAAD/r0Zw=")</f>
        <v>#VALUE!</v>
      </c>
      <c r="FB18" t="e">
        <f>AND('Team Template'!C26,"AAAAAD/r0Z0=")</f>
        <v>#VALUE!</v>
      </c>
      <c r="FC18" t="e">
        <f>AND('Team Template'!D26,"AAAAAD/r0Z4=")</f>
        <v>#VALUE!</v>
      </c>
      <c r="FD18" t="e">
        <f>AND('Team Template'!E26,"AAAAAD/r0Z8=")</f>
        <v>#VALUE!</v>
      </c>
      <c r="FE18" t="e">
        <f>AND('Team Template'!F26,"AAAAAD/r0aA=")</f>
        <v>#VALUE!</v>
      </c>
      <c r="FF18" t="e">
        <f>AND('Team Template'!G26,"AAAAAD/r0aE=")</f>
        <v>#VALUE!</v>
      </c>
      <c r="FG18" t="e">
        <f>AND('Team Template'!H26,"AAAAAD/r0aI=")</f>
        <v>#VALUE!</v>
      </c>
      <c r="FH18" t="e">
        <f>AND('Team Template'!I26,"AAAAAD/r0aM=")</f>
        <v>#VALUE!</v>
      </c>
      <c r="FI18" t="e">
        <f>AND('Team Template'!J26,"AAAAAD/r0aQ=")</f>
        <v>#VALUE!</v>
      </c>
      <c r="FJ18" t="e">
        <f>AND('Team Template'!K26,"AAAAAD/r0aU=")</f>
        <v>#VALUE!</v>
      </c>
      <c r="FK18" t="e">
        <f>AND('Team Template'!L26,"AAAAAD/r0aY=")</f>
        <v>#VALUE!</v>
      </c>
      <c r="FL18" t="e">
        <f>AND('Team Template'!M26,"AAAAAD/r0ac=")</f>
        <v>#VALUE!</v>
      </c>
      <c r="FM18" t="e">
        <f>AND('Team Template'!N26,"AAAAAD/r0ag=")</f>
        <v>#VALUE!</v>
      </c>
      <c r="FN18" t="e">
        <f>AND('Team Template'!O26,"AAAAAD/r0ak=")</f>
        <v>#VALUE!</v>
      </c>
      <c r="FO18" t="e">
        <f>AND('Team Template'!P26,"AAAAAD/r0ao=")</f>
        <v>#VALUE!</v>
      </c>
      <c r="FP18" t="e">
        <f>AND('Team Template'!Q26,"AAAAAD/r0as=")</f>
        <v>#VALUE!</v>
      </c>
      <c r="FQ18" t="e">
        <f>AND('Team Template'!R26,"AAAAAD/r0aw=")</f>
        <v>#VALUE!</v>
      </c>
      <c r="FR18" t="e">
        <f>AND('Team Template'!S26,"AAAAAD/r0a0=")</f>
        <v>#VALUE!</v>
      </c>
      <c r="FS18" t="e">
        <f>AND('Team Template'!T26,"AAAAAD/r0a4=")</f>
        <v>#VALUE!</v>
      </c>
      <c r="FT18" t="e">
        <f>AND('Team Template'!U26,"AAAAAD/r0a8=")</f>
        <v>#VALUE!</v>
      </c>
      <c r="FU18" t="e">
        <f>AND('Team Template'!V26,"AAAAAD/r0bA=")</f>
        <v>#VALUE!</v>
      </c>
      <c r="FV18">
        <f>IF('Team Template'!27:27,"AAAAAD/r0bE=",0)</f>
        <v>0</v>
      </c>
      <c r="FW18" t="e">
        <f>AND('Team Template'!A27,"AAAAAD/r0bI=")</f>
        <v>#VALUE!</v>
      </c>
      <c r="FX18" t="e">
        <f>AND('Team Template'!B27,"AAAAAD/r0bM=")</f>
        <v>#VALUE!</v>
      </c>
      <c r="FY18" t="e">
        <f>AND('Team Template'!C27,"AAAAAD/r0bQ=")</f>
        <v>#VALUE!</v>
      </c>
      <c r="FZ18" t="e">
        <f>AND('Team Template'!D27,"AAAAAD/r0bU=")</f>
        <v>#VALUE!</v>
      </c>
      <c r="GA18" t="e">
        <f>AND('Team Template'!E27,"AAAAAD/r0bY=")</f>
        <v>#VALUE!</v>
      </c>
      <c r="GB18" t="e">
        <f>AND('Team Template'!F27,"AAAAAD/r0bc=")</f>
        <v>#VALUE!</v>
      </c>
      <c r="GC18" t="e">
        <f>AND('Team Template'!G27,"AAAAAD/r0bg=")</f>
        <v>#VALUE!</v>
      </c>
      <c r="GD18" t="e">
        <f>AND('Team Template'!H27,"AAAAAD/r0bk=")</f>
        <v>#VALUE!</v>
      </c>
      <c r="GE18" t="e">
        <f>AND('Team Template'!I27,"AAAAAD/r0bo=")</f>
        <v>#VALUE!</v>
      </c>
      <c r="GF18" t="e">
        <f>AND('Team Template'!J27,"AAAAAD/r0bs=")</f>
        <v>#VALUE!</v>
      </c>
      <c r="GG18" t="e">
        <f>AND('Team Template'!K27,"AAAAAD/r0bw=")</f>
        <v>#VALUE!</v>
      </c>
      <c r="GH18" t="e">
        <f>AND('Team Template'!L27,"AAAAAD/r0b0=")</f>
        <v>#VALUE!</v>
      </c>
      <c r="GI18" t="e">
        <f>AND('Team Template'!M27,"AAAAAD/r0b4=")</f>
        <v>#VALUE!</v>
      </c>
      <c r="GJ18" t="e">
        <f>AND('Team Template'!N27,"AAAAAD/r0b8=")</f>
        <v>#VALUE!</v>
      </c>
      <c r="GK18" t="e">
        <f>AND('Team Template'!O27,"AAAAAD/r0cA=")</f>
        <v>#VALUE!</v>
      </c>
      <c r="GL18" t="e">
        <f>AND('Team Template'!P27,"AAAAAD/r0cE=")</f>
        <v>#VALUE!</v>
      </c>
      <c r="GM18" t="e">
        <f>AND('Team Template'!Q27,"AAAAAD/r0cI=")</f>
        <v>#VALUE!</v>
      </c>
      <c r="GN18" t="e">
        <f>AND('Team Template'!R27,"AAAAAD/r0cM=")</f>
        <v>#VALUE!</v>
      </c>
      <c r="GO18" t="e">
        <f>AND('Team Template'!S27,"AAAAAD/r0cQ=")</f>
        <v>#VALUE!</v>
      </c>
      <c r="GP18" t="e">
        <f>AND('Team Template'!T27,"AAAAAD/r0cU=")</f>
        <v>#VALUE!</v>
      </c>
      <c r="GQ18" t="e">
        <f>AND('Team Template'!U27,"AAAAAD/r0cY=")</f>
        <v>#VALUE!</v>
      </c>
      <c r="GR18" t="e">
        <f>AND('Team Template'!V27,"AAAAAD/r0cc=")</f>
        <v>#VALUE!</v>
      </c>
      <c r="GS18">
        <f>IF('Team Template'!28:28,"AAAAAD/r0cg=",0)</f>
        <v>0</v>
      </c>
      <c r="GT18" t="e">
        <f>AND('Team Template'!A28,"AAAAAD/r0ck=")</f>
        <v>#VALUE!</v>
      </c>
      <c r="GU18" t="e">
        <f>AND('Team Template'!B28,"AAAAAD/r0co=")</f>
        <v>#VALUE!</v>
      </c>
      <c r="GV18" t="e">
        <f>AND('Team Template'!C28,"AAAAAD/r0cs=")</f>
        <v>#VALUE!</v>
      </c>
      <c r="GW18" t="e">
        <f>AND('Team Template'!D28,"AAAAAD/r0cw=")</f>
        <v>#VALUE!</v>
      </c>
      <c r="GX18" t="e">
        <f>AND('Team Template'!E28,"AAAAAD/r0c0=")</f>
        <v>#VALUE!</v>
      </c>
      <c r="GY18" t="e">
        <f>AND('Team Template'!F28,"AAAAAD/r0c4=")</f>
        <v>#VALUE!</v>
      </c>
      <c r="GZ18" t="e">
        <f>AND('Team Template'!G28,"AAAAAD/r0c8=")</f>
        <v>#VALUE!</v>
      </c>
      <c r="HA18" t="e">
        <f>AND('Team Template'!H28,"AAAAAD/r0dA=")</f>
        <v>#VALUE!</v>
      </c>
      <c r="HB18" t="e">
        <f>AND('Team Template'!I28,"AAAAAD/r0dE=")</f>
        <v>#VALUE!</v>
      </c>
      <c r="HC18" t="e">
        <f>AND('Team Template'!J28,"AAAAAD/r0dI=")</f>
        <v>#VALUE!</v>
      </c>
      <c r="HD18" t="e">
        <f>AND('Team Template'!K28,"AAAAAD/r0dM=")</f>
        <v>#VALUE!</v>
      </c>
      <c r="HE18" t="e">
        <f>AND('Team Template'!L28,"AAAAAD/r0dQ=")</f>
        <v>#VALUE!</v>
      </c>
      <c r="HF18" t="e">
        <f>AND('Team Template'!M28,"AAAAAD/r0dU=")</f>
        <v>#VALUE!</v>
      </c>
      <c r="HG18" t="e">
        <f>AND('Team Template'!N28,"AAAAAD/r0dY=")</f>
        <v>#VALUE!</v>
      </c>
      <c r="HH18" t="e">
        <f>AND('Team Template'!O28,"AAAAAD/r0dc=")</f>
        <v>#VALUE!</v>
      </c>
      <c r="HI18" t="e">
        <f>AND('Team Template'!P28,"AAAAAD/r0dg=")</f>
        <v>#VALUE!</v>
      </c>
      <c r="HJ18" t="e">
        <f>AND('Team Template'!Q28,"AAAAAD/r0dk=")</f>
        <v>#VALUE!</v>
      </c>
      <c r="HK18" t="e">
        <f>AND('Team Template'!R28,"AAAAAD/r0do=")</f>
        <v>#VALUE!</v>
      </c>
      <c r="HL18" t="e">
        <f>AND('Team Template'!S28,"AAAAAD/r0ds=")</f>
        <v>#VALUE!</v>
      </c>
      <c r="HM18" t="e">
        <f>AND('Team Template'!T28,"AAAAAD/r0dw=")</f>
        <v>#VALUE!</v>
      </c>
      <c r="HN18" t="e">
        <f>AND('Team Template'!U28,"AAAAAD/r0d0=")</f>
        <v>#VALUE!</v>
      </c>
      <c r="HO18" t="e">
        <f>AND('Team Template'!V28,"AAAAAD/r0d4=")</f>
        <v>#VALUE!</v>
      </c>
      <c r="HP18">
        <f>IF('Team Template'!29:29,"AAAAAD/r0d8=",0)</f>
        <v>0</v>
      </c>
      <c r="HQ18" t="e">
        <f>AND('Team Template'!A29,"AAAAAD/r0eA=")</f>
        <v>#VALUE!</v>
      </c>
      <c r="HR18" t="e">
        <f>AND('Team Template'!B29,"AAAAAD/r0eE=")</f>
        <v>#VALUE!</v>
      </c>
      <c r="HS18" t="e">
        <f>AND('Team Template'!C29,"AAAAAD/r0eI=")</f>
        <v>#VALUE!</v>
      </c>
      <c r="HT18" t="e">
        <f>AND('Team Template'!D29,"AAAAAD/r0eM=")</f>
        <v>#VALUE!</v>
      </c>
      <c r="HU18" t="e">
        <f>AND('Team Template'!E29,"AAAAAD/r0eQ=")</f>
        <v>#VALUE!</v>
      </c>
      <c r="HV18" t="e">
        <f>AND('Team Template'!F29,"AAAAAD/r0eU=")</f>
        <v>#VALUE!</v>
      </c>
      <c r="HW18" t="e">
        <f>AND('Team Template'!G29,"AAAAAD/r0eY=")</f>
        <v>#VALUE!</v>
      </c>
      <c r="HX18" t="e">
        <f>AND('Team Template'!H29,"AAAAAD/r0ec=")</f>
        <v>#VALUE!</v>
      </c>
      <c r="HY18" t="e">
        <f>AND('Team Template'!I29,"AAAAAD/r0eg=")</f>
        <v>#VALUE!</v>
      </c>
      <c r="HZ18" t="e">
        <f>AND('Team Template'!J29,"AAAAAD/r0ek=")</f>
        <v>#VALUE!</v>
      </c>
      <c r="IA18" t="e">
        <f>AND('Team Template'!K29,"AAAAAD/r0eo=")</f>
        <v>#VALUE!</v>
      </c>
      <c r="IB18" t="e">
        <f>AND('Team Template'!L29,"AAAAAD/r0es=")</f>
        <v>#VALUE!</v>
      </c>
      <c r="IC18" t="e">
        <f>AND('Team Template'!M29,"AAAAAD/r0ew=")</f>
        <v>#VALUE!</v>
      </c>
      <c r="ID18" t="e">
        <f>AND('Team Template'!N29,"AAAAAD/r0e0=")</f>
        <v>#VALUE!</v>
      </c>
      <c r="IE18" t="e">
        <f>AND('Team Template'!O29,"AAAAAD/r0e4=")</f>
        <v>#VALUE!</v>
      </c>
      <c r="IF18" t="e">
        <f>AND('Team Template'!P29,"AAAAAD/r0e8=")</f>
        <v>#VALUE!</v>
      </c>
      <c r="IG18" t="e">
        <f>AND('Team Template'!Q29,"AAAAAD/r0fA=")</f>
        <v>#VALUE!</v>
      </c>
      <c r="IH18" t="e">
        <f>AND('Team Template'!R29,"AAAAAD/r0fE=")</f>
        <v>#VALUE!</v>
      </c>
      <c r="II18" t="e">
        <f>AND('Team Template'!S29,"AAAAAD/r0fI=")</f>
        <v>#VALUE!</v>
      </c>
      <c r="IJ18" t="e">
        <f>AND('Team Template'!T29,"AAAAAD/r0fM=")</f>
        <v>#VALUE!</v>
      </c>
      <c r="IK18" t="e">
        <f>AND('Team Template'!U29,"AAAAAD/r0fQ=")</f>
        <v>#VALUE!</v>
      </c>
      <c r="IL18" t="e">
        <f>AND('Team Template'!V29,"AAAAAD/r0fU=")</f>
        <v>#VALUE!</v>
      </c>
      <c r="IM18">
        <f>IF('Team Template'!30:30,"AAAAAD/r0fY=",0)</f>
        <v>0</v>
      </c>
      <c r="IN18" t="e">
        <f>AND('Team Template'!A30,"AAAAAD/r0fc=")</f>
        <v>#VALUE!</v>
      </c>
      <c r="IO18" t="e">
        <f>AND('Team Template'!B30,"AAAAAD/r0fg=")</f>
        <v>#VALUE!</v>
      </c>
      <c r="IP18" t="e">
        <f>AND('Team Template'!C30,"AAAAAD/r0fk=")</f>
        <v>#VALUE!</v>
      </c>
      <c r="IQ18" t="e">
        <f>AND('Team Template'!D30,"AAAAAD/r0fo=")</f>
        <v>#VALUE!</v>
      </c>
      <c r="IR18" t="e">
        <f>AND('Team Template'!E30,"AAAAAD/r0fs=")</f>
        <v>#VALUE!</v>
      </c>
      <c r="IS18" t="e">
        <f>AND('Team Template'!F30,"AAAAAD/r0fw=")</f>
        <v>#VALUE!</v>
      </c>
      <c r="IT18" t="e">
        <f>AND('Team Template'!G30,"AAAAAD/r0f0=")</f>
        <v>#VALUE!</v>
      </c>
      <c r="IU18" t="e">
        <f>AND('Team Template'!H30,"AAAAAD/r0f4=")</f>
        <v>#VALUE!</v>
      </c>
      <c r="IV18" t="e">
        <f>AND('Team Template'!I30,"AAAAAD/r0f8=")</f>
        <v>#VALUE!</v>
      </c>
    </row>
    <row r="19" spans="1:256" x14ac:dyDescent="0.2">
      <c r="A19" t="e">
        <f>AND('Team Template'!J30,"AAAAACd/nwA=")</f>
        <v>#VALUE!</v>
      </c>
      <c r="B19" t="e">
        <f>AND('Team Template'!K30,"AAAAACd/nwE=")</f>
        <v>#VALUE!</v>
      </c>
      <c r="C19" t="e">
        <f>AND('Team Template'!L30,"AAAAACd/nwI=")</f>
        <v>#VALUE!</v>
      </c>
      <c r="D19" t="e">
        <f>AND('Team Template'!M30,"AAAAACd/nwM=")</f>
        <v>#VALUE!</v>
      </c>
      <c r="E19" t="e">
        <f>AND('Team Template'!N30,"AAAAACd/nwQ=")</f>
        <v>#VALUE!</v>
      </c>
      <c r="F19" t="e">
        <f>AND('Team Template'!O30,"AAAAACd/nwU=")</f>
        <v>#VALUE!</v>
      </c>
      <c r="G19" t="e">
        <f>AND('Team Template'!P30,"AAAAACd/nwY=")</f>
        <v>#VALUE!</v>
      </c>
      <c r="H19" t="e">
        <f>AND('Team Template'!Q30,"AAAAACd/nwc=")</f>
        <v>#VALUE!</v>
      </c>
      <c r="I19" t="e">
        <f>AND('Team Template'!R30,"AAAAACd/nwg=")</f>
        <v>#VALUE!</v>
      </c>
      <c r="J19" t="e">
        <f>AND('Team Template'!S30,"AAAAACd/nwk=")</f>
        <v>#VALUE!</v>
      </c>
      <c r="K19" t="e">
        <f>AND('Team Template'!T30,"AAAAACd/nwo=")</f>
        <v>#VALUE!</v>
      </c>
      <c r="L19" t="e">
        <f>AND('Team Template'!U30,"AAAAACd/nws=")</f>
        <v>#VALUE!</v>
      </c>
      <c r="M19" t="e">
        <f>AND('Team Template'!V30,"AAAAACd/nww=")</f>
        <v>#VALUE!</v>
      </c>
      <c r="N19">
        <f>IF('Team Template'!31:31,"AAAAACd/nw0=",0)</f>
        <v>0</v>
      </c>
      <c r="O19" t="e">
        <f>AND('Team Template'!A31,"AAAAACd/nw4=")</f>
        <v>#VALUE!</v>
      </c>
      <c r="P19" t="e">
        <f>AND('Team Template'!B31,"AAAAACd/nw8=")</f>
        <v>#VALUE!</v>
      </c>
      <c r="Q19" t="e">
        <f>AND('Team Template'!C31,"AAAAACd/nxA=")</f>
        <v>#VALUE!</v>
      </c>
      <c r="R19" t="e">
        <f>AND('Team Template'!D31,"AAAAACd/nxE=")</f>
        <v>#VALUE!</v>
      </c>
      <c r="S19" t="e">
        <f>AND('Team Template'!E31,"AAAAACd/nxI=")</f>
        <v>#VALUE!</v>
      </c>
      <c r="T19" t="e">
        <f>AND('Team Template'!F31,"AAAAACd/nxM=")</f>
        <v>#VALUE!</v>
      </c>
      <c r="U19" t="e">
        <f>AND('Team Template'!G31,"AAAAACd/nxQ=")</f>
        <v>#VALUE!</v>
      </c>
      <c r="V19" t="e">
        <f>AND('Team Template'!H31,"AAAAACd/nxU=")</f>
        <v>#VALUE!</v>
      </c>
      <c r="W19" t="e">
        <f>AND('Team Template'!I31,"AAAAACd/nxY=")</f>
        <v>#VALUE!</v>
      </c>
      <c r="X19" t="e">
        <f>AND('Team Template'!J31,"AAAAACd/nxc=")</f>
        <v>#VALUE!</v>
      </c>
      <c r="Y19" t="e">
        <f>AND('Team Template'!K31,"AAAAACd/nxg=")</f>
        <v>#VALUE!</v>
      </c>
      <c r="Z19" t="e">
        <f>AND('Team Template'!L31,"AAAAACd/nxk=")</f>
        <v>#VALUE!</v>
      </c>
      <c r="AA19" t="e">
        <f>AND('Team Template'!M31,"AAAAACd/nxo=")</f>
        <v>#VALUE!</v>
      </c>
      <c r="AB19" t="e">
        <f>AND('Team Template'!N31,"AAAAACd/nxs=")</f>
        <v>#VALUE!</v>
      </c>
      <c r="AC19" t="e">
        <f>AND('Team Template'!O31,"AAAAACd/nxw=")</f>
        <v>#VALUE!</v>
      </c>
      <c r="AD19" t="e">
        <f>AND('Team Template'!P31,"AAAAACd/nx0=")</f>
        <v>#VALUE!</v>
      </c>
      <c r="AE19" t="e">
        <f>AND('Team Template'!Q31,"AAAAACd/nx4=")</f>
        <v>#VALUE!</v>
      </c>
      <c r="AF19" t="e">
        <f>AND('Team Template'!R31,"AAAAACd/nx8=")</f>
        <v>#VALUE!</v>
      </c>
      <c r="AG19" t="e">
        <f>AND('Team Template'!S31,"AAAAACd/nyA=")</f>
        <v>#VALUE!</v>
      </c>
      <c r="AH19" t="e">
        <f>AND('Team Template'!T31,"AAAAACd/nyE=")</f>
        <v>#VALUE!</v>
      </c>
      <c r="AI19" t="e">
        <f>AND('Team Template'!U31,"AAAAACd/nyI=")</f>
        <v>#VALUE!</v>
      </c>
      <c r="AJ19" t="e">
        <f>AND('Team Template'!V31,"AAAAACd/nyM=")</f>
        <v>#VALUE!</v>
      </c>
      <c r="AK19">
        <f>IF('Team Template'!32:32,"AAAAACd/nyQ=",0)</f>
        <v>0</v>
      </c>
      <c r="AL19" t="e">
        <f>AND('Team Template'!A32,"AAAAACd/nyU=")</f>
        <v>#VALUE!</v>
      </c>
      <c r="AM19" t="e">
        <f>AND('Team Template'!B32,"AAAAACd/nyY=")</f>
        <v>#VALUE!</v>
      </c>
      <c r="AN19" t="e">
        <f>AND('Team Template'!C32,"AAAAACd/nyc=")</f>
        <v>#VALUE!</v>
      </c>
      <c r="AO19" t="e">
        <f>AND('Team Template'!D32,"AAAAACd/nyg=")</f>
        <v>#VALUE!</v>
      </c>
      <c r="AP19" t="e">
        <f>AND('Team Template'!E32,"AAAAACd/nyk=")</f>
        <v>#VALUE!</v>
      </c>
      <c r="AQ19" t="e">
        <f>AND('Team Template'!F32,"AAAAACd/nyo=")</f>
        <v>#VALUE!</v>
      </c>
      <c r="AR19" t="e">
        <f>AND('Team Template'!G32,"AAAAACd/nys=")</f>
        <v>#VALUE!</v>
      </c>
      <c r="AS19" t="e">
        <f>AND('Team Template'!H32,"AAAAACd/nyw=")</f>
        <v>#VALUE!</v>
      </c>
      <c r="AT19" t="e">
        <f>AND('Team Template'!I32,"AAAAACd/ny0=")</f>
        <v>#VALUE!</v>
      </c>
      <c r="AU19" t="e">
        <f>AND('Team Template'!J32,"AAAAACd/ny4=")</f>
        <v>#VALUE!</v>
      </c>
      <c r="AV19" t="e">
        <f>AND('Team Template'!K32,"AAAAACd/ny8=")</f>
        <v>#VALUE!</v>
      </c>
      <c r="AW19" t="e">
        <f>AND('Team Template'!L32,"AAAAACd/nzA=")</f>
        <v>#VALUE!</v>
      </c>
      <c r="AX19" t="e">
        <f>AND('Team Template'!M32,"AAAAACd/nzE=")</f>
        <v>#VALUE!</v>
      </c>
      <c r="AY19" t="e">
        <f>AND('Team Template'!N32,"AAAAACd/nzI=")</f>
        <v>#VALUE!</v>
      </c>
      <c r="AZ19" t="e">
        <f>AND('Team Template'!O32,"AAAAACd/nzM=")</f>
        <v>#VALUE!</v>
      </c>
      <c r="BA19" t="e">
        <f>AND('Team Template'!P32,"AAAAACd/nzQ=")</f>
        <v>#VALUE!</v>
      </c>
      <c r="BB19" t="e">
        <f>AND('Team Template'!Q32,"AAAAACd/nzU=")</f>
        <v>#VALUE!</v>
      </c>
      <c r="BC19" t="e">
        <f>AND('Team Template'!R32,"AAAAACd/nzY=")</f>
        <v>#VALUE!</v>
      </c>
      <c r="BD19" t="e">
        <f>AND('Team Template'!S32,"AAAAACd/nzc=")</f>
        <v>#VALUE!</v>
      </c>
      <c r="BE19" t="e">
        <f>AND('Team Template'!T32,"AAAAACd/nzg=")</f>
        <v>#VALUE!</v>
      </c>
      <c r="BF19" t="e">
        <f>AND('Team Template'!U32,"AAAAACd/nzk=")</f>
        <v>#VALUE!</v>
      </c>
      <c r="BG19" t="e">
        <f>AND('Team Template'!V32,"AAAAACd/nzo=")</f>
        <v>#VALUE!</v>
      </c>
      <c r="BH19">
        <f>IF('Team Template'!33:33,"AAAAACd/nzs=",0)</f>
        <v>0</v>
      </c>
      <c r="BI19" t="e">
        <f>AND('Team Template'!A33,"AAAAACd/nzw=")</f>
        <v>#VALUE!</v>
      </c>
      <c r="BJ19" t="e">
        <f>AND('Team Template'!B33,"AAAAACd/nz0=")</f>
        <v>#VALUE!</v>
      </c>
      <c r="BK19" t="e">
        <f>AND('Team Template'!C33,"AAAAACd/nz4=")</f>
        <v>#VALUE!</v>
      </c>
      <c r="BL19" t="e">
        <f>AND('Team Template'!D33,"AAAAACd/nz8=")</f>
        <v>#VALUE!</v>
      </c>
      <c r="BM19" t="e">
        <f>AND('Team Template'!E33,"AAAAACd/n0A=")</f>
        <v>#VALUE!</v>
      </c>
      <c r="BN19" t="e">
        <f>AND('Team Template'!F33,"AAAAACd/n0E=")</f>
        <v>#VALUE!</v>
      </c>
      <c r="BO19" t="e">
        <f>AND('Team Template'!G33,"AAAAACd/n0I=")</f>
        <v>#VALUE!</v>
      </c>
      <c r="BP19" t="e">
        <f>AND('Team Template'!H33,"AAAAACd/n0M=")</f>
        <v>#VALUE!</v>
      </c>
      <c r="BQ19" t="e">
        <f>AND('Team Template'!I33,"AAAAACd/n0Q=")</f>
        <v>#VALUE!</v>
      </c>
      <c r="BR19" t="e">
        <f>AND('Team Template'!J33,"AAAAACd/n0U=")</f>
        <v>#VALUE!</v>
      </c>
      <c r="BS19" t="e">
        <f>AND('Team Template'!K33,"AAAAACd/n0Y=")</f>
        <v>#VALUE!</v>
      </c>
      <c r="BT19" t="e">
        <f>AND('Team Template'!L33,"AAAAACd/n0c=")</f>
        <v>#VALUE!</v>
      </c>
      <c r="BU19" t="e">
        <f>AND('Team Template'!M33,"AAAAACd/n0g=")</f>
        <v>#VALUE!</v>
      </c>
      <c r="BV19" t="e">
        <f>AND('Team Template'!N33,"AAAAACd/n0k=")</f>
        <v>#VALUE!</v>
      </c>
      <c r="BW19" t="e">
        <f>AND('Team Template'!O33,"AAAAACd/n0o=")</f>
        <v>#VALUE!</v>
      </c>
      <c r="BX19" t="e">
        <f>AND('Team Template'!P33,"AAAAACd/n0s=")</f>
        <v>#VALUE!</v>
      </c>
      <c r="BY19" t="e">
        <f>AND('Team Template'!Q33,"AAAAACd/n0w=")</f>
        <v>#VALUE!</v>
      </c>
      <c r="BZ19" t="e">
        <f>AND('Team Template'!R33,"AAAAACd/n00=")</f>
        <v>#VALUE!</v>
      </c>
      <c r="CA19" t="e">
        <f>AND('Team Template'!S33,"AAAAACd/n04=")</f>
        <v>#VALUE!</v>
      </c>
      <c r="CB19" t="e">
        <f>AND('Team Template'!T33,"AAAAACd/n08=")</f>
        <v>#VALUE!</v>
      </c>
      <c r="CC19" t="e">
        <f>AND('Team Template'!U33,"AAAAACd/n1A=")</f>
        <v>#VALUE!</v>
      </c>
      <c r="CD19" t="e">
        <f>AND('Team Template'!V33,"AAAAACd/n1E=")</f>
        <v>#VALUE!</v>
      </c>
      <c r="CE19">
        <f>IF('Team Template'!34:34,"AAAAACd/n1I=",0)</f>
        <v>0</v>
      </c>
      <c r="CF19" t="e">
        <f>AND('Team Template'!A34,"AAAAACd/n1M=")</f>
        <v>#VALUE!</v>
      </c>
      <c r="CG19" t="e">
        <f>AND('Team Template'!B34,"AAAAACd/n1Q=")</f>
        <v>#VALUE!</v>
      </c>
      <c r="CH19" t="e">
        <f>AND('Team Template'!C34,"AAAAACd/n1U=")</f>
        <v>#VALUE!</v>
      </c>
      <c r="CI19" t="e">
        <f>AND('Team Template'!D34,"AAAAACd/n1Y=")</f>
        <v>#VALUE!</v>
      </c>
      <c r="CJ19" t="e">
        <f>AND('Team Template'!E34,"AAAAACd/n1c=")</f>
        <v>#VALUE!</v>
      </c>
      <c r="CK19" t="e">
        <f>AND('Team Template'!F34,"AAAAACd/n1g=")</f>
        <v>#VALUE!</v>
      </c>
      <c r="CL19" t="e">
        <f>AND('Team Template'!G34,"AAAAACd/n1k=")</f>
        <v>#VALUE!</v>
      </c>
      <c r="CM19" t="e">
        <f>AND('Team Template'!H34,"AAAAACd/n1o=")</f>
        <v>#VALUE!</v>
      </c>
      <c r="CN19" t="e">
        <f>AND('Team Template'!I34,"AAAAACd/n1s=")</f>
        <v>#VALUE!</v>
      </c>
      <c r="CO19" t="e">
        <f>AND('Team Template'!J34,"AAAAACd/n1w=")</f>
        <v>#VALUE!</v>
      </c>
      <c r="CP19" t="e">
        <f>AND('Team Template'!K34,"AAAAACd/n10=")</f>
        <v>#VALUE!</v>
      </c>
      <c r="CQ19" t="e">
        <f>AND('Team Template'!L34,"AAAAACd/n14=")</f>
        <v>#VALUE!</v>
      </c>
      <c r="CR19" t="e">
        <f>AND('Team Template'!M34,"AAAAACd/n18=")</f>
        <v>#VALUE!</v>
      </c>
      <c r="CS19" t="e">
        <f>AND('Team Template'!N34,"AAAAACd/n2A=")</f>
        <v>#VALUE!</v>
      </c>
      <c r="CT19" t="e">
        <f>AND('Team Template'!O34,"AAAAACd/n2E=")</f>
        <v>#VALUE!</v>
      </c>
      <c r="CU19" t="e">
        <f>AND('Team Template'!P34,"AAAAACd/n2I=")</f>
        <v>#VALUE!</v>
      </c>
      <c r="CV19" t="e">
        <f>AND('Team Template'!Q34,"AAAAACd/n2M=")</f>
        <v>#VALUE!</v>
      </c>
      <c r="CW19" t="e">
        <f>AND('Team Template'!R34,"AAAAACd/n2Q=")</f>
        <v>#VALUE!</v>
      </c>
      <c r="CX19" t="e">
        <f>AND('Team Template'!S34,"AAAAACd/n2U=")</f>
        <v>#VALUE!</v>
      </c>
      <c r="CY19" t="e">
        <f>AND('Team Template'!T34,"AAAAACd/n2Y=")</f>
        <v>#VALUE!</v>
      </c>
      <c r="CZ19" t="e">
        <f>AND('Team Template'!U34,"AAAAACd/n2c=")</f>
        <v>#VALUE!</v>
      </c>
      <c r="DA19" t="e">
        <f>AND('Team Template'!V34,"AAAAACd/n2g=")</f>
        <v>#VALUE!</v>
      </c>
      <c r="DB19">
        <f>IF('Team Template'!35:35,"AAAAACd/n2k=",0)</f>
        <v>0</v>
      </c>
      <c r="DC19" t="e">
        <f>AND('Team Template'!A35,"AAAAACd/n2o=")</f>
        <v>#VALUE!</v>
      </c>
      <c r="DD19" t="e">
        <f>AND('Team Template'!B35,"AAAAACd/n2s=")</f>
        <v>#VALUE!</v>
      </c>
      <c r="DE19" t="e">
        <f>AND('Team Template'!C35,"AAAAACd/n2w=")</f>
        <v>#VALUE!</v>
      </c>
      <c r="DF19" t="e">
        <f>AND('Team Template'!D35,"AAAAACd/n20=")</f>
        <v>#VALUE!</v>
      </c>
      <c r="DG19" t="e">
        <f>AND('Team Template'!E35,"AAAAACd/n24=")</f>
        <v>#VALUE!</v>
      </c>
      <c r="DH19" t="e">
        <f>AND('Team Template'!F35,"AAAAACd/n28=")</f>
        <v>#VALUE!</v>
      </c>
      <c r="DI19" t="e">
        <f>AND('Team Template'!G35,"AAAAACd/n3A=")</f>
        <v>#VALUE!</v>
      </c>
      <c r="DJ19" t="e">
        <f>AND('Team Template'!H35,"AAAAACd/n3E=")</f>
        <v>#VALUE!</v>
      </c>
      <c r="DK19" t="e">
        <f>AND('Team Template'!I35,"AAAAACd/n3I=")</f>
        <v>#VALUE!</v>
      </c>
      <c r="DL19" t="e">
        <f>AND('Team Template'!J35,"AAAAACd/n3M=")</f>
        <v>#VALUE!</v>
      </c>
      <c r="DM19" t="e">
        <f>AND('Team Template'!K35,"AAAAACd/n3Q=")</f>
        <v>#VALUE!</v>
      </c>
      <c r="DN19" t="e">
        <f>AND('Team Template'!L35,"AAAAACd/n3U=")</f>
        <v>#VALUE!</v>
      </c>
      <c r="DO19" t="e">
        <f>AND('Team Template'!M35,"AAAAACd/n3Y=")</f>
        <v>#VALUE!</v>
      </c>
      <c r="DP19" t="e">
        <f>AND('Team Template'!N35,"AAAAACd/n3c=")</f>
        <v>#VALUE!</v>
      </c>
      <c r="DQ19" t="e">
        <f>AND('Team Template'!O35,"AAAAACd/n3g=")</f>
        <v>#VALUE!</v>
      </c>
      <c r="DR19" t="e">
        <f>AND('Team Template'!P35,"AAAAACd/n3k=")</f>
        <v>#VALUE!</v>
      </c>
      <c r="DS19" t="e">
        <f>AND('Team Template'!Q35,"AAAAACd/n3o=")</f>
        <v>#VALUE!</v>
      </c>
      <c r="DT19" t="e">
        <f>AND('Team Template'!R35,"AAAAACd/n3s=")</f>
        <v>#VALUE!</v>
      </c>
      <c r="DU19" t="e">
        <f>AND('Team Template'!S35,"AAAAACd/n3w=")</f>
        <v>#VALUE!</v>
      </c>
      <c r="DV19" t="e">
        <f>AND('Team Template'!T35,"AAAAACd/n30=")</f>
        <v>#VALUE!</v>
      </c>
      <c r="DW19" t="e">
        <f>AND('Team Template'!U35,"AAAAACd/n34=")</f>
        <v>#VALUE!</v>
      </c>
      <c r="DX19" t="e">
        <f>AND('Team Template'!V35,"AAAAACd/n38=")</f>
        <v>#VALUE!</v>
      </c>
      <c r="DY19">
        <f>IF('Team Template'!36:36,"AAAAACd/n4A=",0)</f>
        <v>0</v>
      </c>
      <c r="DZ19" t="e">
        <f>AND('Team Template'!A36,"AAAAACd/n4E=")</f>
        <v>#VALUE!</v>
      </c>
      <c r="EA19" t="e">
        <f>AND('Team Template'!B36,"AAAAACd/n4I=")</f>
        <v>#VALUE!</v>
      </c>
      <c r="EB19" t="e">
        <f>AND('Team Template'!C36,"AAAAACd/n4M=")</f>
        <v>#VALUE!</v>
      </c>
      <c r="EC19" t="e">
        <f>AND('Team Template'!D36,"AAAAACd/n4Q=")</f>
        <v>#VALUE!</v>
      </c>
      <c r="ED19" t="e">
        <f>AND('Team Template'!E36,"AAAAACd/n4U=")</f>
        <v>#VALUE!</v>
      </c>
      <c r="EE19" t="e">
        <f>AND('Team Template'!F36,"AAAAACd/n4Y=")</f>
        <v>#VALUE!</v>
      </c>
      <c r="EF19" t="e">
        <f>AND('Team Template'!G36,"AAAAACd/n4c=")</f>
        <v>#VALUE!</v>
      </c>
      <c r="EG19" t="e">
        <f>AND('Team Template'!H36,"AAAAACd/n4g=")</f>
        <v>#VALUE!</v>
      </c>
      <c r="EH19" t="e">
        <f>AND('Team Template'!I36,"AAAAACd/n4k=")</f>
        <v>#VALUE!</v>
      </c>
      <c r="EI19" t="e">
        <f>AND('Team Template'!J36,"AAAAACd/n4o=")</f>
        <v>#VALUE!</v>
      </c>
      <c r="EJ19" t="e">
        <f>AND('Team Template'!K36,"AAAAACd/n4s=")</f>
        <v>#VALUE!</v>
      </c>
      <c r="EK19" t="e">
        <f>AND('Team Template'!L36,"AAAAACd/n4w=")</f>
        <v>#VALUE!</v>
      </c>
      <c r="EL19" t="e">
        <f>AND('Team Template'!M36,"AAAAACd/n40=")</f>
        <v>#VALUE!</v>
      </c>
      <c r="EM19" t="e">
        <f>AND('Team Template'!N36,"AAAAACd/n44=")</f>
        <v>#VALUE!</v>
      </c>
      <c r="EN19" t="e">
        <f>AND('Team Template'!O36,"AAAAACd/n48=")</f>
        <v>#VALUE!</v>
      </c>
      <c r="EO19" t="e">
        <f>AND('Team Template'!P36,"AAAAACd/n5A=")</f>
        <v>#VALUE!</v>
      </c>
      <c r="EP19" t="e">
        <f>AND('Team Template'!Q36,"AAAAACd/n5E=")</f>
        <v>#VALUE!</v>
      </c>
      <c r="EQ19" t="e">
        <f>AND('Team Template'!R36,"AAAAACd/n5I=")</f>
        <v>#VALUE!</v>
      </c>
      <c r="ER19" t="e">
        <f>AND('Team Template'!S36,"AAAAACd/n5M=")</f>
        <v>#VALUE!</v>
      </c>
      <c r="ES19" t="e">
        <f>AND('Team Template'!T36,"AAAAACd/n5Q=")</f>
        <v>#VALUE!</v>
      </c>
      <c r="ET19" t="e">
        <f>AND('Team Template'!U36,"AAAAACd/n5U=")</f>
        <v>#VALUE!</v>
      </c>
      <c r="EU19" t="e">
        <f>AND('Team Template'!V36,"AAAAACd/n5Y=")</f>
        <v>#VALUE!</v>
      </c>
      <c r="EV19">
        <f>IF('Team Template'!37:37,"AAAAACd/n5c=",0)</f>
        <v>0</v>
      </c>
      <c r="EW19" t="e">
        <f>AND('Team Template'!A37,"AAAAACd/n5g=")</f>
        <v>#VALUE!</v>
      </c>
      <c r="EX19" t="e">
        <f>AND('Team Template'!B37,"AAAAACd/n5k=")</f>
        <v>#VALUE!</v>
      </c>
      <c r="EY19" t="e">
        <f>AND('Team Template'!C37,"AAAAACd/n5o=")</f>
        <v>#VALUE!</v>
      </c>
      <c r="EZ19" t="e">
        <f>AND('Team Template'!D37,"AAAAACd/n5s=")</f>
        <v>#VALUE!</v>
      </c>
      <c r="FA19" t="e">
        <f>AND('Team Template'!E37,"AAAAACd/n5w=")</f>
        <v>#VALUE!</v>
      </c>
      <c r="FB19" t="e">
        <f>AND('Team Template'!F37,"AAAAACd/n50=")</f>
        <v>#VALUE!</v>
      </c>
      <c r="FC19" t="e">
        <f>AND('Team Template'!G37,"AAAAACd/n54=")</f>
        <v>#VALUE!</v>
      </c>
      <c r="FD19" t="e">
        <f>AND('Team Template'!H37,"AAAAACd/n58=")</f>
        <v>#VALUE!</v>
      </c>
      <c r="FE19" t="e">
        <f>AND('Team Template'!I37,"AAAAACd/n6A=")</f>
        <v>#VALUE!</v>
      </c>
      <c r="FF19" t="e">
        <f>AND('Team Template'!J37,"AAAAACd/n6E=")</f>
        <v>#VALUE!</v>
      </c>
      <c r="FG19" t="e">
        <f>AND('Team Template'!K37,"AAAAACd/n6I=")</f>
        <v>#VALUE!</v>
      </c>
      <c r="FH19" t="e">
        <f>AND('Team Template'!L37,"AAAAACd/n6M=")</f>
        <v>#VALUE!</v>
      </c>
      <c r="FI19" t="e">
        <f>AND('Team Template'!M37,"AAAAACd/n6Q=")</f>
        <v>#VALUE!</v>
      </c>
      <c r="FJ19" t="e">
        <f>AND('Team Template'!N37,"AAAAACd/n6U=")</f>
        <v>#VALUE!</v>
      </c>
      <c r="FK19" t="e">
        <f>AND('Team Template'!O37,"AAAAACd/n6Y=")</f>
        <v>#VALUE!</v>
      </c>
      <c r="FL19" t="e">
        <f>AND('Team Template'!P37,"AAAAACd/n6c=")</f>
        <v>#VALUE!</v>
      </c>
      <c r="FM19" t="e">
        <f>AND('Team Template'!Q37,"AAAAACd/n6g=")</f>
        <v>#VALUE!</v>
      </c>
      <c r="FN19" t="e">
        <f>AND('Team Template'!R37,"AAAAACd/n6k=")</f>
        <v>#VALUE!</v>
      </c>
      <c r="FO19" t="e">
        <f>AND('Team Template'!S37,"AAAAACd/n6o=")</f>
        <v>#VALUE!</v>
      </c>
      <c r="FP19" t="e">
        <f>AND('Team Template'!T37,"AAAAACd/n6s=")</f>
        <v>#VALUE!</v>
      </c>
      <c r="FQ19" t="e">
        <f>AND('Team Template'!U37,"AAAAACd/n6w=")</f>
        <v>#VALUE!</v>
      </c>
      <c r="FR19" t="e">
        <f>AND('Team Template'!V37,"AAAAACd/n60=")</f>
        <v>#VALUE!</v>
      </c>
      <c r="FS19">
        <f>IF('Team Template'!38:38,"AAAAACd/n64=",0)</f>
        <v>0</v>
      </c>
      <c r="FT19" t="e">
        <f>AND('Team Template'!A38,"AAAAACd/n68=")</f>
        <v>#VALUE!</v>
      </c>
      <c r="FU19" t="e">
        <f>AND('Team Template'!B38,"AAAAACd/n7A=")</f>
        <v>#VALUE!</v>
      </c>
      <c r="FV19" t="e">
        <f>AND('Team Template'!C38,"AAAAACd/n7E=")</f>
        <v>#VALUE!</v>
      </c>
      <c r="FW19" t="e">
        <f>AND('Team Template'!D38,"AAAAACd/n7I=")</f>
        <v>#VALUE!</v>
      </c>
      <c r="FX19" t="e">
        <f>AND('Team Template'!E38,"AAAAACd/n7M=")</f>
        <v>#VALUE!</v>
      </c>
      <c r="FY19" t="e">
        <f>AND('Team Template'!F38,"AAAAACd/n7Q=")</f>
        <v>#VALUE!</v>
      </c>
      <c r="FZ19" t="e">
        <f>AND('Team Template'!G38,"AAAAACd/n7U=")</f>
        <v>#VALUE!</v>
      </c>
      <c r="GA19" t="e">
        <f>AND('Team Template'!H38,"AAAAACd/n7Y=")</f>
        <v>#VALUE!</v>
      </c>
      <c r="GB19" t="e">
        <f>AND('Team Template'!I38,"AAAAACd/n7c=")</f>
        <v>#VALUE!</v>
      </c>
      <c r="GC19" t="e">
        <f>AND('Team Template'!J38,"AAAAACd/n7g=")</f>
        <v>#VALUE!</v>
      </c>
      <c r="GD19" t="e">
        <f>AND('Team Template'!K38,"AAAAACd/n7k=")</f>
        <v>#VALUE!</v>
      </c>
      <c r="GE19" t="e">
        <f>AND('Team Template'!L38,"AAAAACd/n7o=")</f>
        <v>#VALUE!</v>
      </c>
      <c r="GF19" t="e">
        <f>AND('Team Template'!M38,"AAAAACd/n7s=")</f>
        <v>#VALUE!</v>
      </c>
      <c r="GG19" t="e">
        <f>AND('Team Template'!N38,"AAAAACd/n7w=")</f>
        <v>#VALUE!</v>
      </c>
      <c r="GH19" t="e">
        <f>AND('Team Template'!O38,"AAAAACd/n70=")</f>
        <v>#VALUE!</v>
      </c>
      <c r="GI19" t="e">
        <f>AND('Team Template'!P38,"AAAAACd/n74=")</f>
        <v>#VALUE!</v>
      </c>
      <c r="GJ19" t="e">
        <f>AND('Team Template'!Q38,"AAAAACd/n78=")</f>
        <v>#VALUE!</v>
      </c>
      <c r="GK19" t="e">
        <f>AND('Team Template'!R38,"AAAAACd/n8A=")</f>
        <v>#VALUE!</v>
      </c>
      <c r="GL19" t="e">
        <f>AND('Team Template'!S38,"AAAAACd/n8E=")</f>
        <v>#VALUE!</v>
      </c>
      <c r="GM19" t="e">
        <f>AND('Team Template'!T38,"AAAAACd/n8I=")</f>
        <v>#VALUE!</v>
      </c>
      <c r="GN19" t="e">
        <f>AND('Team Template'!U38,"AAAAACd/n8M=")</f>
        <v>#VALUE!</v>
      </c>
      <c r="GO19" t="e">
        <f>AND('Team Template'!V38,"AAAAACd/n8Q=")</f>
        <v>#VALUE!</v>
      </c>
      <c r="GP19">
        <f>IF('Team Template'!39:39,"AAAAACd/n8U=",0)</f>
        <v>0</v>
      </c>
      <c r="GQ19" t="e">
        <f>AND('Team Template'!A39,"AAAAACd/n8Y=")</f>
        <v>#VALUE!</v>
      </c>
      <c r="GR19" t="e">
        <f>AND('Team Template'!B39,"AAAAACd/n8c=")</f>
        <v>#VALUE!</v>
      </c>
      <c r="GS19" t="e">
        <f>AND('Team Template'!C39,"AAAAACd/n8g=")</f>
        <v>#VALUE!</v>
      </c>
      <c r="GT19" t="e">
        <f>AND('Team Template'!D39,"AAAAACd/n8k=")</f>
        <v>#VALUE!</v>
      </c>
      <c r="GU19" t="e">
        <f>AND('Team Template'!E39,"AAAAACd/n8o=")</f>
        <v>#VALUE!</v>
      </c>
      <c r="GV19" t="e">
        <f>AND('Team Template'!F39,"AAAAACd/n8s=")</f>
        <v>#VALUE!</v>
      </c>
      <c r="GW19" t="e">
        <f>AND('Team Template'!G39,"AAAAACd/n8w=")</f>
        <v>#VALUE!</v>
      </c>
      <c r="GX19" t="e">
        <f>AND('Team Template'!H39,"AAAAACd/n80=")</f>
        <v>#VALUE!</v>
      </c>
      <c r="GY19" t="e">
        <f>AND('Team Template'!I39,"AAAAACd/n84=")</f>
        <v>#VALUE!</v>
      </c>
      <c r="GZ19" t="e">
        <f>AND('Team Template'!J39,"AAAAACd/n88=")</f>
        <v>#VALUE!</v>
      </c>
      <c r="HA19" t="e">
        <f>AND('Team Template'!K39,"AAAAACd/n9A=")</f>
        <v>#VALUE!</v>
      </c>
      <c r="HB19" t="e">
        <f>AND('Team Template'!L39,"AAAAACd/n9E=")</f>
        <v>#VALUE!</v>
      </c>
      <c r="HC19" t="e">
        <f>AND('Team Template'!M39,"AAAAACd/n9I=")</f>
        <v>#VALUE!</v>
      </c>
      <c r="HD19" t="e">
        <f>AND('Team Template'!N39,"AAAAACd/n9M=")</f>
        <v>#VALUE!</v>
      </c>
      <c r="HE19" t="e">
        <f>AND('Team Template'!O39,"AAAAACd/n9Q=")</f>
        <v>#VALUE!</v>
      </c>
      <c r="HF19" t="e">
        <f>AND('Team Template'!P39,"AAAAACd/n9U=")</f>
        <v>#VALUE!</v>
      </c>
      <c r="HG19" t="e">
        <f>AND('Team Template'!Q39,"AAAAACd/n9Y=")</f>
        <v>#VALUE!</v>
      </c>
      <c r="HH19" t="e">
        <f>AND('Team Template'!R39,"AAAAACd/n9c=")</f>
        <v>#VALUE!</v>
      </c>
      <c r="HI19" t="e">
        <f>AND('Team Template'!S39,"AAAAACd/n9g=")</f>
        <v>#VALUE!</v>
      </c>
      <c r="HJ19" t="e">
        <f>AND('Team Template'!T39,"AAAAACd/n9k=")</f>
        <v>#VALUE!</v>
      </c>
      <c r="HK19" t="e">
        <f>AND('Team Template'!U39,"AAAAACd/n9o=")</f>
        <v>#VALUE!</v>
      </c>
      <c r="HL19" t="e">
        <f>AND('Team Template'!V39,"AAAAACd/n9s=")</f>
        <v>#VALUE!</v>
      </c>
      <c r="HM19">
        <f>IF('Team Template'!40:40,"AAAAACd/n9w=",0)</f>
        <v>0</v>
      </c>
      <c r="HN19" t="e">
        <f>AND('Team Template'!A40,"AAAAACd/n90=")</f>
        <v>#VALUE!</v>
      </c>
      <c r="HO19" t="e">
        <f>AND('Team Template'!B40,"AAAAACd/n94=")</f>
        <v>#VALUE!</v>
      </c>
      <c r="HP19" t="e">
        <f>AND('Team Template'!C40,"AAAAACd/n98=")</f>
        <v>#VALUE!</v>
      </c>
      <c r="HQ19" t="e">
        <f>AND('Team Template'!D40,"AAAAACd/n+A=")</f>
        <v>#VALUE!</v>
      </c>
      <c r="HR19" t="e">
        <f>AND('Team Template'!E40,"AAAAACd/n+E=")</f>
        <v>#VALUE!</v>
      </c>
      <c r="HS19" t="e">
        <f>AND('Team Template'!F40,"AAAAACd/n+I=")</f>
        <v>#VALUE!</v>
      </c>
      <c r="HT19" t="e">
        <f>AND('Team Template'!G40,"AAAAACd/n+M=")</f>
        <v>#VALUE!</v>
      </c>
      <c r="HU19" t="e">
        <f>AND('Team Template'!H40,"AAAAACd/n+Q=")</f>
        <v>#VALUE!</v>
      </c>
      <c r="HV19" t="e">
        <f>AND('Team Template'!I40,"AAAAACd/n+U=")</f>
        <v>#VALUE!</v>
      </c>
      <c r="HW19" t="e">
        <f>AND('Team Template'!J40,"AAAAACd/n+Y=")</f>
        <v>#VALUE!</v>
      </c>
      <c r="HX19" t="e">
        <f>AND('Team Template'!K40,"AAAAACd/n+c=")</f>
        <v>#VALUE!</v>
      </c>
      <c r="HY19" t="e">
        <f>AND('Team Template'!L40,"AAAAACd/n+g=")</f>
        <v>#VALUE!</v>
      </c>
      <c r="HZ19" t="e">
        <f>AND('Team Template'!M40,"AAAAACd/n+k=")</f>
        <v>#VALUE!</v>
      </c>
      <c r="IA19" t="e">
        <f>AND('Team Template'!N40,"AAAAACd/n+o=")</f>
        <v>#VALUE!</v>
      </c>
      <c r="IB19" t="e">
        <f>AND('Team Template'!O40,"AAAAACd/n+s=")</f>
        <v>#VALUE!</v>
      </c>
      <c r="IC19" t="e">
        <f>AND('Team Template'!P40,"AAAAACd/n+w=")</f>
        <v>#VALUE!</v>
      </c>
      <c r="ID19" t="e">
        <f>AND('Team Template'!Q40,"AAAAACd/n+0=")</f>
        <v>#VALUE!</v>
      </c>
      <c r="IE19" t="e">
        <f>AND('Team Template'!R40,"AAAAACd/n+4=")</f>
        <v>#VALUE!</v>
      </c>
      <c r="IF19" t="e">
        <f>AND('Team Template'!S40,"AAAAACd/n+8=")</f>
        <v>#VALUE!</v>
      </c>
      <c r="IG19" t="e">
        <f>AND('Team Template'!T40,"AAAAACd/n/A=")</f>
        <v>#VALUE!</v>
      </c>
      <c r="IH19" t="e">
        <f>AND('Team Template'!U40,"AAAAACd/n/E=")</f>
        <v>#VALUE!</v>
      </c>
      <c r="II19" t="e">
        <f>AND('Team Template'!V40,"AAAAACd/n/I=")</f>
        <v>#VALUE!</v>
      </c>
      <c r="IJ19">
        <f>IF('Team Template'!41:41,"AAAAACd/n/M=",0)</f>
        <v>0</v>
      </c>
      <c r="IK19" t="e">
        <f>AND('Team Template'!A41,"AAAAACd/n/Q=")</f>
        <v>#VALUE!</v>
      </c>
      <c r="IL19" t="e">
        <f>AND('Team Template'!B41,"AAAAACd/n/U=")</f>
        <v>#VALUE!</v>
      </c>
      <c r="IM19" t="e">
        <f>AND('Team Template'!C41,"AAAAACd/n/Y=")</f>
        <v>#VALUE!</v>
      </c>
      <c r="IN19" t="e">
        <f>AND('Team Template'!D41,"AAAAACd/n/c=")</f>
        <v>#VALUE!</v>
      </c>
      <c r="IO19" t="e">
        <f>AND('Team Template'!E41,"AAAAACd/n/g=")</f>
        <v>#VALUE!</v>
      </c>
      <c r="IP19" t="e">
        <f>AND('Team Template'!F41,"AAAAACd/n/k=")</f>
        <v>#VALUE!</v>
      </c>
      <c r="IQ19" t="e">
        <f>AND('Team Template'!G41,"AAAAACd/n/o=")</f>
        <v>#VALUE!</v>
      </c>
      <c r="IR19" t="e">
        <f>AND('Team Template'!H41,"AAAAACd/n/s=")</f>
        <v>#VALUE!</v>
      </c>
      <c r="IS19" t="e">
        <f>AND('Team Template'!I41,"AAAAACd/n/w=")</f>
        <v>#VALUE!</v>
      </c>
      <c r="IT19" t="e">
        <f>AND('Team Template'!J41,"AAAAACd/n/0=")</f>
        <v>#VALUE!</v>
      </c>
      <c r="IU19" t="e">
        <f>AND('Team Template'!K41,"AAAAACd/n/4=")</f>
        <v>#VALUE!</v>
      </c>
      <c r="IV19" t="e">
        <f>AND('Team Template'!L41,"AAAAACd/n/8=")</f>
        <v>#VALUE!</v>
      </c>
    </row>
    <row r="20" spans="1:256" x14ac:dyDescent="0.2">
      <c r="A20" t="e">
        <f>AND('Team Template'!M41,"AAAAAH+zpQA=")</f>
        <v>#VALUE!</v>
      </c>
      <c r="B20" t="e">
        <f>AND('Team Template'!N41,"AAAAAH+zpQE=")</f>
        <v>#VALUE!</v>
      </c>
      <c r="C20" t="e">
        <f>AND('Team Template'!O41,"AAAAAH+zpQI=")</f>
        <v>#VALUE!</v>
      </c>
      <c r="D20" t="e">
        <f>AND('Team Template'!P41,"AAAAAH+zpQM=")</f>
        <v>#VALUE!</v>
      </c>
      <c r="E20" t="e">
        <f>AND('Team Template'!Q41,"AAAAAH+zpQQ=")</f>
        <v>#VALUE!</v>
      </c>
      <c r="F20" t="e">
        <f>AND('Team Template'!R41,"AAAAAH+zpQU=")</f>
        <v>#VALUE!</v>
      </c>
      <c r="G20" t="e">
        <f>AND('Team Template'!S41,"AAAAAH+zpQY=")</f>
        <v>#VALUE!</v>
      </c>
      <c r="H20" t="e">
        <f>AND('Team Template'!T41,"AAAAAH+zpQc=")</f>
        <v>#VALUE!</v>
      </c>
      <c r="I20" t="e">
        <f>AND('Team Template'!U41,"AAAAAH+zpQg=")</f>
        <v>#VALUE!</v>
      </c>
      <c r="J20" t="e">
        <f>AND('Team Template'!V41,"AAAAAH+zpQk=")</f>
        <v>#VALUE!</v>
      </c>
      <c r="K20">
        <f>IF('Team Template'!42:42,"AAAAAH+zpQo=",0)</f>
        <v>0</v>
      </c>
      <c r="L20" t="e">
        <f>AND('Team Template'!A42,"AAAAAH+zpQs=")</f>
        <v>#VALUE!</v>
      </c>
      <c r="M20" t="e">
        <f>AND('Team Template'!B42,"AAAAAH+zpQw=")</f>
        <v>#VALUE!</v>
      </c>
      <c r="N20" t="e">
        <f>AND('Team Template'!C42,"AAAAAH+zpQ0=")</f>
        <v>#VALUE!</v>
      </c>
      <c r="O20" t="e">
        <f>AND('Team Template'!D42,"AAAAAH+zpQ4=")</f>
        <v>#VALUE!</v>
      </c>
      <c r="P20" t="e">
        <f>AND('Team Template'!E42,"AAAAAH+zpQ8=")</f>
        <v>#VALUE!</v>
      </c>
      <c r="Q20" t="e">
        <f>AND('Team Template'!F42,"AAAAAH+zpRA=")</f>
        <v>#VALUE!</v>
      </c>
      <c r="R20" t="e">
        <f>AND('Team Template'!G42,"AAAAAH+zpRE=")</f>
        <v>#VALUE!</v>
      </c>
      <c r="S20" t="e">
        <f>AND('Team Template'!H42,"AAAAAH+zpRI=")</f>
        <v>#VALUE!</v>
      </c>
      <c r="T20" t="e">
        <f>AND('Team Template'!I42,"AAAAAH+zpRM=")</f>
        <v>#VALUE!</v>
      </c>
      <c r="U20" t="e">
        <f>AND('Team Template'!J42,"AAAAAH+zpRQ=")</f>
        <v>#VALUE!</v>
      </c>
      <c r="V20" t="e">
        <f>AND('Team Template'!K42,"AAAAAH+zpRU=")</f>
        <v>#VALUE!</v>
      </c>
      <c r="W20" t="e">
        <f>AND('Team Template'!L42,"AAAAAH+zpRY=")</f>
        <v>#VALUE!</v>
      </c>
      <c r="X20" t="e">
        <f>AND('Team Template'!M42,"AAAAAH+zpRc=")</f>
        <v>#VALUE!</v>
      </c>
      <c r="Y20" t="e">
        <f>AND('Team Template'!N42,"AAAAAH+zpRg=")</f>
        <v>#VALUE!</v>
      </c>
      <c r="Z20" t="e">
        <f>AND('Team Template'!O42,"AAAAAH+zpRk=")</f>
        <v>#VALUE!</v>
      </c>
      <c r="AA20" t="e">
        <f>AND('Team Template'!P42,"AAAAAH+zpRo=")</f>
        <v>#VALUE!</v>
      </c>
      <c r="AB20" t="e">
        <f>AND('Team Template'!Q42,"AAAAAH+zpRs=")</f>
        <v>#VALUE!</v>
      </c>
      <c r="AC20" t="e">
        <f>AND('Team Template'!R42,"AAAAAH+zpRw=")</f>
        <v>#VALUE!</v>
      </c>
      <c r="AD20" t="e">
        <f>AND('Team Template'!S42,"AAAAAH+zpR0=")</f>
        <v>#VALUE!</v>
      </c>
      <c r="AE20" t="e">
        <f>AND('Team Template'!T42,"AAAAAH+zpR4=")</f>
        <v>#VALUE!</v>
      </c>
      <c r="AF20" t="e">
        <f>AND('Team Template'!U42,"AAAAAH+zpR8=")</f>
        <v>#VALUE!</v>
      </c>
      <c r="AG20" t="e">
        <f>AND('Team Template'!V42,"AAAAAH+zpSA=")</f>
        <v>#VALUE!</v>
      </c>
      <c r="AH20">
        <f>IF('Team Template'!43:43,"AAAAAH+zpSE=",0)</f>
        <v>0</v>
      </c>
      <c r="AI20" t="e">
        <f>AND('Team Template'!A43,"AAAAAH+zpSI=")</f>
        <v>#VALUE!</v>
      </c>
      <c r="AJ20" t="e">
        <f>AND('Team Template'!B43,"AAAAAH+zpSM=")</f>
        <v>#VALUE!</v>
      </c>
      <c r="AK20" t="e">
        <f>AND('Team Template'!C43,"AAAAAH+zpSQ=")</f>
        <v>#VALUE!</v>
      </c>
      <c r="AL20" t="e">
        <f>AND('Team Template'!D43,"AAAAAH+zpSU=")</f>
        <v>#VALUE!</v>
      </c>
      <c r="AM20" t="e">
        <f>AND('Team Template'!E43,"AAAAAH+zpSY=")</f>
        <v>#VALUE!</v>
      </c>
      <c r="AN20" t="e">
        <f>AND('Team Template'!F43,"AAAAAH+zpSc=")</f>
        <v>#VALUE!</v>
      </c>
      <c r="AO20" t="e">
        <f>AND('Team Template'!G43,"AAAAAH+zpSg=")</f>
        <v>#VALUE!</v>
      </c>
      <c r="AP20" t="e">
        <f>AND('Team Template'!H43,"AAAAAH+zpSk=")</f>
        <v>#VALUE!</v>
      </c>
      <c r="AQ20" t="e">
        <f>AND('Team Template'!I43,"AAAAAH+zpSo=")</f>
        <v>#VALUE!</v>
      </c>
      <c r="AR20" t="e">
        <f>AND('Team Template'!J43,"AAAAAH+zpSs=")</f>
        <v>#VALUE!</v>
      </c>
      <c r="AS20" t="e">
        <f>AND('Team Template'!K43,"AAAAAH+zpSw=")</f>
        <v>#VALUE!</v>
      </c>
      <c r="AT20" t="e">
        <f>AND('Team Template'!L43,"AAAAAH+zpS0=")</f>
        <v>#VALUE!</v>
      </c>
      <c r="AU20" t="e">
        <f>AND('Team Template'!M43,"AAAAAH+zpS4=")</f>
        <v>#VALUE!</v>
      </c>
      <c r="AV20" t="e">
        <f>AND('Team Template'!N43,"AAAAAH+zpS8=")</f>
        <v>#VALUE!</v>
      </c>
      <c r="AW20" t="e">
        <f>AND('Team Template'!O43,"AAAAAH+zpTA=")</f>
        <v>#VALUE!</v>
      </c>
      <c r="AX20" t="e">
        <f>AND('Team Template'!P43,"AAAAAH+zpTE=")</f>
        <v>#VALUE!</v>
      </c>
      <c r="AY20" t="e">
        <f>AND('Team Template'!Q43,"AAAAAH+zpTI=")</f>
        <v>#VALUE!</v>
      </c>
      <c r="AZ20" t="e">
        <f>AND('Team Template'!R43,"AAAAAH+zpTM=")</f>
        <v>#VALUE!</v>
      </c>
      <c r="BA20" t="e">
        <f>AND('Team Template'!S43,"AAAAAH+zpTQ=")</f>
        <v>#VALUE!</v>
      </c>
      <c r="BB20" t="e">
        <f>AND('Team Template'!T43,"AAAAAH+zpTU=")</f>
        <v>#VALUE!</v>
      </c>
      <c r="BC20" t="e">
        <f>AND('Team Template'!U43,"AAAAAH+zpTY=")</f>
        <v>#VALUE!</v>
      </c>
      <c r="BD20" t="e">
        <f>AND('Team Template'!V43,"AAAAAH+zpTc=")</f>
        <v>#VALUE!</v>
      </c>
      <c r="BE20">
        <f>IF('Team Template'!44:44,"AAAAAH+zpTg=",0)</f>
        <v>0</v>
      </c>
      <c r="BF20" t="e">
        <f>AND('Team Template'!A44,"AAAAAH+zpTk=")</f>
        <v>#VALUE!</v>
      </c>
      <c r="BG20" t="e">
        <f>AND('Team Template'!B44,"AAAAAH+zpTo=")</f>
        <v>#VALUE!</v>
      </c>
      <c r="BH20" t="e">
        <f>AND('Team Template'!C44,"AAAAAH+zpTs=")</f>
        <v>#VALUE!</v>
      </c>
      <c r="BI20" t="e">
        <f>AND('Team Template'!D44,"AAAAAH+zpTw=")</f>
        <v>#VALUE!</v>
      </c>
      <c r="BJ20" t="e">
        <f>AND('Team Template'!E44,"AAAAAH+zpT0=")</f>
        <v>#VALUE!</v>
      </c>
      <c r="BK20" t="e">
        <f>AND('Team Template'!F44,"AAAAAH+zpT4=")</f>
        <v>#VALUE!</v>
      </c>
      <c r="BL20" t="e">
        <f>AND('Team Template'!G44,"AAAAAH+zpT8=")</f>
        <v>#VALUE!</v>
      </c>
      <c r="BM20" t="e">
        <f>AND('Team Template'!H44,"AAAAAH+zpUA=")</f>
        <v>#VALUE!</v>
      </c>
      <c r="BN20" t="e">
        <f>AND('Team Template'!I44,"AAAAAH+zpUE=")</f>
        <v>#VALUE!</v>
      </c>
      <c r="BO20" t="e">
        <f>AND('Team Template'!J44,"AAAAAH+zpUI=")</f>
        <v>#VALUE!</v>
      </c>
      <c r="BP20" t="e">
        <f>AND('Team Template'!K44,"AAAAAH+zpUM=")</f>
        <v>#VALUE!</v>
      </c>
      <c r="BQ20" t="e">
        <f>AND('Team Template'!L44,"AAAAAH+zpUQ=")</f>
        <v>#VALUE!</v>
      </c>
      <c r="BR20" t="e">
        <f>AND('Team Template'!M44,"AAAAAH+zpUU=")</f>
        <v>#VALUE!</v>
      </c>
      <c r="BS20" t="e">
        <f>AND('Team Template'!N44,"AAAAAH+zpUY=")</f>
        <v>#VALUE!</v>
      </c>
      <c r="BT20" t="e">
        <f>AND('Team Template'!O44,"AAAAAH+zpUc=")</f>
        <v>#VALUE!</v>
      </c>
      <c r="BU20" t="e">
        <f>AND('Team Template'!P44,"AAAAAH+zpUg=")</f>
        <v>#VALUE!</v>
      </c>
      <c r="BV20" t="e">
        <f>AND('Team Template'!Q44,"AAAAAH+zpUk=")</f>
        <v>#VALUE!</v>
      </c>
      <c r="BW20" t="e">
        <f>AND('Team Template'!R44,"AAAAAH+zpUo=")</f>
        <v>#VALUE!</v>
      </c>
      <c r="BX20" t="e">
        <f>AND('Team Template'!S44,"AAAAAH+zpUs=")</f>
        <v>#VALUE!</v>
      </c>
      <c r="BY20" t="e">
        <f>AND('Team Template'!T44,"AAAAAH+zpUw=")</f>
        <v>#VALUE!</v>
      </c>
      <c r="BZ20" t="e">
        <f>AND('Team Template'!U44,"AAAAAH+zpU0=")</f>
        <v>#VALUE!</v>
      </c>
      <c r="CA20" t="e">
        <f>AND('Team Template'!V44,"AAAAAH+zpU4=")</f>
        <v>#VALUE!</v>
      </c>
      <c r="CB20">
        <f>IF('Team Template'!45:45,"AAAAAH+zpU8=",0)</f>
        <v>0</v>
      </c>
      <c r="CC20" t="e">
        <f>AND('Team Template'!A45,"AAAAAH+zpVA=")</f>
        <v>#VALUE!</v>
      </c>
      <c r="CD20" t="e">
        <f>AND('Team Template'!B45,"AAAAAH+zpVE=")</f>
        <v>#VALUE!</v>
      </c>
      <c r="CE20" t="e">
        <f>AND('Team Template'!C45,"AAAAAH+zpVI=")</f>
        <v>#VALUE!</v>
      </c>
      <c r="CF20" t="e">
        <f>AND('Team Template'!D45,"AAAAAH+zpVM=")</f>
        <v>#VALUE!</v>
      </c>
      <c r="CG20" t="e">
        <f>AND('Team Template'!E45,"AAAAAH+zpVQ=")</f>
        <v>#VALUE!</v>
      </c>
      <c r="CH20" t="e">
        <f>AND('Team Template'!F45,"AAAAAH+zpVU=")</f>
        <v>#VALUE!</v>
      </c>
      <c r="CI20" t="e">
        <f>AND('Team Template'!G45,"AAAAAH+zpVY=")</f>
        <v>#VALUE!</v>
      </c>
      <c r="CJ20" t="e">
        <f>AND('Team Template'!H45,"AAAAAH+zpVc=")</f>
        <v>#VALUE!</v>
      </c>
      <c r="CK20" t="e">
        <f>AND('Team Template'!I45,"AAAAAH+zpVg=")</f>
        <v>#VALUE!</v>
      </c>
      <c r="CL20" t="e">
        <f>AND('Team Template'!J45,"AAAAAH+zpVk=")</f>
        <v>#VALUE!</v>
      </c>
      <c r="CM20" t="e">
        <f>AND('Team Template'!K45,"AAAAAH+zpVo=")</f>
        <v>#VALUE!</v>
      </c>
      <c r="CN20" t="e">
        <f>AND('Team Template'!L45,"AAAAAH+zpVs=")</f>
        <v>#VALUE!</v>
      </c>
      <c r="CO20" t="e">
        <f>AND('Team Template'!M45,"AAAAAH+zpVw=")</f>
        <v>#VALUE!</v>
      </c>
      <c r="CP20" t="e">
        <f>AND('Team Template'!N45,"AAAAAH+zpV0=")</f>
        <v>#VALUE!</v>
      </c>
      <c r="CQ20" t="e">
        <f>AND('Team Template'!O45,"AAAAAH+zpV4=")</f>
        <v>#VALUE!</v>
      </c>
      <c r="CR20" t="e">
        <f>AND('Team Template'!P45,"AAAAAH+zpV8=")</f>
        <v>#VALUE!</v>
      </c>
      <c r="CS20" t="e">
        <f>AND('Team Template'!Q45,"AAAAAH+zpWA=")</f>
        <v>#VALUE!</v>
      </c>
      <c r="CT20" t="e">
        <f>AND('Team Template'!R45,"AAAAAH+zpWE=")</f>
        <v>#VALUE!</v>
      </c>
      <c r="CU20" t="e">
        <f>AND('Team Template'!S45,"AAAAAH+zpWI=")</f>
        <v>#VALUE!</v>
      </c>
      <c r="CV20" t="e">
        <f>AND('Team Template'!T45,"AAAAAH+zpWM=")</f>
        <v>#VALUE!</v>
      </c>
      <c r="CW20" t="e">
        <f>AND('Team Template'!U45,"AAAAAH+zpWQ=")</f>
        <v>#VALUE!</v>
      </c>
      <c r="CX20" t="e">
        <f>AND('Team Template'!V45,"AAAAAH+zpWU=")</f>
        <v>#VALUE!</v>
      </c>
      <c r="CY20">
        <f>IF('Team Template'!46:46,"AAAAAH+zpWY=",0)</f>
        <v>0</v>
      </c>
      <c r="CZ20" t="e">
        <f>AND('Team Template'!A46,"AAAAAH+zpWc=")</f>
        <v>#VALUE!</v>
      </c>
      <c r="DA20" t="e">
        <f>AND('Team Template'!B46,"AAAAAH+zpWg=")</f>
        <v>#VALUE!</v>
      </c>
      <c r="DB20" t="e">
        <f>AND('Team Template'!C46,"AAAAAH+zpWk=")</f>
        <v>#VALUE!</v>
      </c>
      <c r="DC20" t="e">
        <f>AND('Team Template'!D46,"AAAAAH+zpWo=")</f>
        <v>#VALUE!</v>
      </c>
      <c r="DD20" t="e">
        <f>AND('Team Template'!E46,"AAAAAH+zpWs=")</f>
        <v>#VALUE!</v>
      </c>
      <c r="DE20" t="e">
        <f>AND('Team Template'!F46,"AAAAAH+zpWw=")</f>
        <v>#VALUE!</v>
      </c>
      <c r="DF20" t="e">
        <f>AND('Team Template'!G46,"AAAAAH+zpW0=")</f>
        <v>#VALUE!</v>
      </c>
      <c r="DG20" t="e">
        <f>AND('Team Template'!H46,"AAAAAH+zpW4=")</f>
        <v>#VALUE!</v>
      </c>
      <c r="DH20" t="e">
        <f>AND('Team Template'!I46,"AAAAAH+zpW8=")</f>
        <v>#VALUE!</v>
      </c>
      <c r="DI20" t="e">
        <f>AND('Team Template'!J46,"AAAAAH+zpXA=")</f>
        <v>#VALUE!</v>
      </c>
      <c r="DJ20" t="e">
        <f>AND('Team Template'!K46,"AAAAAH+zpXE=")</f>
        <v>#VALUE!</v>
      </c>
      <c r="DK20" t="e">
        <f>AND('Team Template'!L46,"AAAAAH+zpXI=")</f>
        <v>#VALUE!</v>
      </c>
      <c r="DL20" t="e">
        <f>AND('Team Template'!M46,"AAAAAH+zpXM=")</f>
        <v>#VALUE!</v>
      </c>
      <c r="DM20" t="e">
        <f>AND('Team Template'!N46,"AAAAAH+zpXQ=")</f>
        <v>#VALUE!</v>
      </c>
      <c r="DN20" t="e">
        <f>AND('Team Template'!O46,"AAAAAH+zpXU=")</f>
        <v>#VALUE!</v>
      </c>
      <c r="DO20" t="e">
        <f>AND('Team Template'!P46,"AAAAAH+zpXY=")</f>
        <v>#VALUE!</v>
      </c>
      <c r="DP20" t="e">
        <f>AND('Team Template'!Q46,"AAAAAH+zpXc=")</f>
        <v>#VALUE!</v>
      </c>
      <c r="DQ20" t="e">
        <f>AND('Team Template'!R46,"AAAAAH+zpXg=")</f>
        <v>#VALUE!</v>
      </c>
      <c r="DR20" t="e">
        <f>AND('Team Template'!S46,"AAAAAH+zpXk=")</f>
        <v>#VALUE!</v>
      </c>
      <c r="DS20" t="e">
        <f>AND('Team Template'!T46,"AAAAAH+zpXo=")</f>
        <v>#VALUE!</v>
      </c>
      <c r="DT20" t="e">
        <f>AND('Team Template'!U46,"AAAAAH+zpXs=")</f>
        <v>#VALUE!</v>
      </c>
      <c r="DU20" t="e">
        <f>AND('Team Template'!V46,"AAAAAH+zpXw=")</f>
        <v>#VALUE!</v>
      </c>
      <c r="DV20">
        <f>IF('Team Template'!47:47,"AAAAAH+zpX0=",0)</f>
        <v>0</v>
      </c>
      <c r="DW20" t="e">
        <f>AND('Team Template'!A47,"AAAAAH+zpX4=")</f>
        <v>#VALUE!</v>
      </c>
      <c r="DX20" t="e">
        <f>AND('Team Template'!B47,"AAAAAH+zpX8=")</f>
        <v>#VALUE!</v>
      </c>
      <c r="DY20" t="e">
        <f>AND('Team Template'!C47,"AAAAAH+zpYA=")</f>
        <v>#VALUE!</v>
      </c>
      <c r="DZ20" t="e">
        <f>AND('Team Template'!D47,"AAAAAH+zpYE=")</f>
        <v>#VALUE!</v>
      </c>
      <c r="EA20" t="e">
        <f>AND('Team Template'!E47,"AAAAAH+zpYI=")</f>
        <v>#VALUE!</v>
      </c>
      <c r="EB20" t="e">
        <f>AND('Team Template'!F47,"AAAAAH+zpYM=")</f>
        <v>#VALUE!</v>
      </c>
      <c r="EC20" t="e">
        <f>AND('Team Template'!G47,"AAAAAH+zpYQ=")</f>
        <v>#VALUE!</v>
      </c>
      <c r="ED20" t="e">
        <f>AND('Team Template'!H47,"AAAAAH+zpYU=")</f>
        <v>#VALUE!</v>
      </c>
      <c r="EE20" t="e">
        <f>AND('Team Template'!I47,"AAAAAH+zpYY=")</f>
        <v>#VALUE!</v>
      </c>
      <c r="EF20" t="e">
        <f>AND('Team Template'!J47,"AAAAAH+zpYc=")</f>
        <v>#VALUE!</v>
      </c>
      <c r="EG20" t="e">
        <f>AND('Team Template'!K47,"AAAAAH+zpYg=")</f>
        <v>#VALUE!</v>
      </c>
      <c r="EH20" t="e">
        <f>AND('Team Template'!L47,"AAAAAH+zpYk=")</f>
        <v>#VALUE!</v>
      </c>
      <c r="EI20" t="e">
        <f>AND('Team Template'!M47,"AAAAAH+zpYo=")</f>
        <v>#VALUE!</v>
      </c>
      <c r="EJ20" t="e">
        <f>AND('Team Template'!N47,"AAAAAH+zpYs=")</f>
        <v>#VALUE!</v>
      </c>
      <c r="EK20" t="e">
        <f>AND('Team Template'!O47,"AAAAAH+zpYw=")</f>
        <v>#VALUE!</v>
      </c>
      <c r="EL20" t="e">
        <f>AND('Team Template'!P47,"AAAAAH+zpY0=")</f>
        <v>#VALUE!</v>
      </c>
      <c r="EM20" t="e">
        <f>AND('Team Template'!Q47,"AAAAAH+zpY4=")</f>
        <v>#VALUE!</v>
      </c>
      <c r="EN20" t="e">
        <f>AND('Team Template'!R47,"AAAAAH+zpY8=")</f>
        <v>#VALUE!</v>
      </c>
      <c r="EO20" t="e">
        <f>AND('Team Template'!S47,"AAAAAH+zpZA=")</f>
        <v>#VALUE!</v>
      </c>
      <c r="EP20" t="e">
        <f>AND('Team Template'!T47,"AAAAAH+zpZE=")</f>
        <v>#VALUE!</v>
      </c>
      <c r="EQ20" t="e">
        <f>AND('Team Template'!U47,"AAAAAH+zpZI=")</f>
        <v>#VALUE!</v>
      </c>
      <c r="ER20" t="e">
        <f>AND('Team Template'!V47,"AAAAAH+zpZM=")</f>
        <v>#VALUE!</v>
      </c>
      <c r="ES20">
        <f>IF('Team Template'!48:48,"AAAAAH+zpZQ=",0)</f>
        <v>0</v>
      </c>
      <c r="ET20" t="e">
        <f>AND('Team Template'!A48,"AAAAAH+zpZU=")</f>
        <v>#VALUE!</v>
      </c>
      <c r="EU20" t="e">
        <f>AND('Team Template'!B48,"AAAAAH+zpZY=")</f>
        <v>#VALUE!</v>
      </c>
      <c r="EV20" t="e">
        <f>AND('Team Template'!C48,"AAAAAH+zpZc=")</f>
        <v>#VALUE!</v>
      </c>
      <c r="EW20" t="e">
        <f>AND('Team Template'!D48,"AAAAAH+zpZg=")</f>
        <v>#VALUE!</v>
      </c>
      <c r="EX20" t="e">
        <f>AND('Team Template'!E48,"AAAAAH+zpZk=")</f>
        <v>#VALUE!</v>
      </c>
      <c r="EY20" t="e">
        <f>AND('Team Template'!F48,"AAAAAH+zpZo=")</f>
        <v>#VALUE!</v>
      </c>
      <c r="EZ20" t="e">
        <f>AND('Team Template'!G48,"AAAAAH+zpZs=")</f>
        <v>#VALUE!</v>
      </c>
      <c r="FA20" t="e">
        <f>AND('Team Template'!H48,"AAAAAH+zpZw=")</f>
        <v>#VALUE!</v>
      </c>
      <c r="FB20" t="e">
        <f>AND('Team Template'!I48,"AAAAAH+zpZ0=")</f>
        <v>#VALUE!</v>
      </c>
      <c r="FC20" t="e">
        <f>AND('Team Template'!J48,"AAAAAH+zpZ4=")</f>
        <v>#VALUE!</v>
      </c>
      <c r="FD20" t="e">
        <f>AND('Team Template'!K48,"AAAAAH+zpZ8=")</f>
        <v>#VALUE!</v>
      </c>
      <c r="FE20" t="e">
        <f>AND('Team Template'!L48,"AAAAAH+zpaA=")</f>
        <v>#VALUE!</v>
      </c>
      <c r="FF20" t="e">
        <f>AND('Team Template'!M48,"AAAAAH+zpaE=")</f>
        <v>#VALUE!</v>
      </c>
      <c r="FG20" t="e">
        <f>AND('Team Template'!N48,"AAAAAH+zpaI=")</f>
        <v>#VALUE!</v>
      </c>
      <c r="FH20" t="e">
        <f>AND('Team Template'!O48,"AAAAAH+zpaM=")</f>
        <v>#VALUE!</v>
      </c>
      <c r="FI20" t="e">
        <f>AND('Team Template'!P48,"AAAAAH+zpaQ=")</f>
        <v>#VALUE!</v>
      </c>
      <c r="FJ20" t="e">
        <f>AND('Team Template'!Q48,"AAAAAH+zpaU=")</f>
        <v>#VALUE!</v>
      </c>
      <c r="FK20" t="e">
        <f>AND('Team Template'!R48,"AAAAAH+zpaY=")</f>
        <v>#VALUE!</v>
      </c>
      <c r="FL20" t="e">
        <f>AND('Team Template'!S48,"AAAAAH+zpac=")</f>
        <v>#VALUE!</v>
      </c>
      <c r="FM20" t="e">
        <f>AND('Team Template'!T48,"AAAAAH+zpag=")</f>
        <v>#VALUE!</v>
      </c>
      <c r="FN20" t="e">
        <f>AND('Team Template'!U48,"AAAAAH+zpak=")</f>
        <v>#VALUE!</v>
      </c>
      <c r="FO20" t="e">
        <f>AND('Team Template'!V48,"AAAAAH+zpao=")</f>
        <v>#VALUE!</v>
      </c>
      <c r="FP20">
        <f>IF('Team Template'!49:49,"AAAAAH+zpas=",0)</f>
        <v>0</v>
      </c>
      <c r="FQ20" t="e">
        <f>AND('Team Template'!A49,"AAAAAH+zpaw=")</f>
        <v>#VALUE!</v>
      </c>
      <c r="FR20" t="e">
        <f>AND('Team Template'!B49,"AAAAAH+zpa0=")</f>
        <v>#VALUE!</v>
      </c>
      <c r="FS20" t="e">
        <f>AND('Team Template'!C49,"AAAAAH+zpa4=")</f>
        <v>#VALUE!</v>
      </c>
      <c r="FT20" t="e">
        <f>AND('Team Template'!D49,"AAAAAH+zpa8=")</f>
        <v>#VALUE!</v>
      </c>
      <c r="FU20" t="e">
        <f>AND('Team Template'!E49,"AAAAAH+zpbA=")</f>
        <v>#VALUE!</v>
      </c>
      <c r="FV20" t="e">
        <f>AND('Team Template'!F49,"AAAAAH+zpbE=")</f>
        <v>#VALUE!</v>
      </c>
      <c r="FW20" t="e">
        <f>AND('Team Template'!G49,"AAAAAH+zpbI=")</f>
        <v>#VALUE!</v>
      </c>
      <c r="FX20" t="e">
        <f>AND('Team Template'!H49,"AAAAAH+zpbM=")</f>
        <v>#VALUE!</v>
      </c>
      <c r="FY20" t="e">
        <f>AND('Team Template'!I49,"AAAAAH+zpbQ=")</f>
        <v>#VALUE!</v>
      </c>
      <c r="FZ20" t="e">
        <f>AND('Team Template'!J49,"AAAAAH+zpbU=")</f>
        <v>#VALUE!</v>
      </c>
      <c r="GA20" t="e">
        <f>AND('Team Template'!K49,"AAAAAH+zpbY=")</f>
        <v>#VALUE!</v>
      </c>
      <c r="GB20" t="e">
        <f>AND('Team Template'!L49,"AAAAAH+zpbc=")</f>
        <v>#VALUE!</v>
      </c>
      <c r="GC20" t="e">
        <f>AND('Team Template'!M49,"AAAAAH+zpbg=")</f>
        <v>#VALUE!</v>
      </c>
      <c r="GD20" t="e">
        <f>AND('Team Template'!N49,"AAAAAH+zpbk=")</f>
        <v>#VALUE!</v>
      </c>
      <c r="GE20" t="e">
        <f>AND('Team Template'!O49,"AAAAAH+zpbo=")</f>
        <v>#VALUE!</v>
      </c>
      <c r="GF20" t="e">
        <f>AND('Team Template'!P49,"AAAAAH+zpbs=")</f>
        <v>#VALUE!</v>
      </c>
      <c r="GG20" t="e">
        <f>AND('Team Template'!Q49,"AAAAAH+zpbw=")</f>
        <v>#VALUE!</v>
      </c>
      <c r="GH20" t="e">
        <f>AND('Team Template'!R49,"AAAAAH+zpb0=")</f>
        <v>#VALUE!</v>
      </c>
      <c r="GI20" t="e">
        <f>AND('Team Template'!S49,"AAAAAH+zpb4=")</f>
        <v>#VALUE!</v>
      </c>
      <c r="GJ20" t="e">
        <f>AND('Team Template'!T49,"AAAAAH+zpb8=")</f>
        <v>#VALUE!</v>
      </c>
      <c r="GK20" t="e">
        <f>AND('Team Template'!U49,"AAAAAH+zpcA=")</f>
        <v>#VALUE!</v>
      </c>
      <c r="GL20" t="e">
        <f>AND('Team Template'!V49,"AAAAAH+zpcE=")</f>
        <v>#VALUE!</v>
      </c>
      <c r="GM20">
        <f>IF('Team Template'!50:50,"AAAAAH+zpcI=",0)</f>
        <v>0</v>
      </c>
      <c r="GN20" t="e">
        <f>AND('Team Template'!A50,"AAAAAH+zpcM=")</f>
        <v>#VALUE!</v>
      </c>
      <c r="GO20" t="e">
        <f>AND('Team Template'!B50,"AAAAAH+zpcQ=")</f>
        <v>#VALUE!</v>
      </c>
      <c r="GP20" t="e">
        <f>AND('Team Template'!C50,"AAAAAH+zpcU=")</f>
        <v>#VALUE!</v>
      </c>
      <c r="GQ20" t="e">
        <f>AND('Team Template'!D50,"AAAAAH+zpcY=")</f>
        <v>#VALUE!</v>
      </c>
      <c r="GR20" t="e">
        <f>AND('Team Template'!E50,"AAAAAH+zpcc=")</f>
        <v>#VALUE!</v>
      </c>
      <c r="GS20" t="e">
        <f>AND('Team Template'!F50,"AAAAAH+zpcg=")</f>
        <v>#VALUE!</v>
      </c>
      <c r="GT20" t="e">
        <f>AND('Team Template'!G50,"AAAAAH+zpck=")</f>
        <v>#VALUE!</v>
      </c>
      <c r="GU20" t="e">
        <f>AND('Team Template'!H50,"AAAAAH+zpco=")</f>
        <v>#VALUE!</v>
      </c>
      <c r="GV20" t="e">
        <f>AND('Team Template'!I50,"AAAAAH+zpcs=")</f>
        <v>#VALUE!</v>
      </c>
      <c r="GW20" t="e">
        <f>AND('Team Template'!J50,"AAAAAH+zpcw=")</f>
        <v>#VALUE!</v>
      </c>
      <c r="GX20" t="e">
        <f>AND('Team Template'!K50,"AAAAAH+zpc0=")</f>
        <v>#VALUE!</v>
      </c>
      <c r="GY20" t="e">
        <f>AND('Team Template'!L50,"AAAAAH+zpc4=")</f>
        <v>#VALUE!</v>
      </c>
      <c r="GZ20" t="e">
        <f>AND('Team Template'!M50,"AAAAAH+zpc8=")</f>
        <v>#VALUE!</v>
      </c>
      <c r="HA20" t="e">
        <f>AND('Team Template'!N50,"AAAAAH+zpdA=")</f>
        <v>#VALUE!</v>
      </c>
      <c r="HB20" t="e">
        <f>AND('Team Template'!O50,"AAAAAH+zpdE=")</f>
        <v>#VALUE!</v>
      </c>
      <c r="HC20" t="e">
        <f>AND('Team Template'!P50,"AAAAAH+zpdI=")</f>
        <v>#VALUE!</v>
      </c>
      <c r="HD20" t="e">
        <f>AND('Team Template'!Q50,"AAAAAH+zpdM=")</f>
        <v>#VALUE!</v>
      </c>
      <c r="HE20" t="e">
        <f>AND('Team Template'!R50,"AAAAAH+zpdQ=")</f>
        <v>#VALUE!</v>
      </c>
      <c r="HF20" t="e">
        <f>AND('Team Template'!S50,"AAAAAH+zpdU=")</f>
        <v>#VALUE!</v>
      </c>
      <c r="HG20" t="e">
        <f>AND('Team Template'!T50,"AAAAAH+zpdY=")</f>
        <v>#VALUE!</v>
      </c>
      <c r="HH20" t="e">
        <f>AND('Team Template'!U50,"AAAAAH+zpdc=")</f>
        <v>#VALUE!</v>
      </c>
      <c r="HI20" t="e">
        <f>AND('Team Template'!V50,"AAAAAH+zpdg=")</f>
        <v>#VALUE!</v>
      </c>
      <c r="HJ20">
        <f>IF('Team Template'!51:51,"AAAAAH+zpdk=",0)</f>
        <v>0</v>
      </c>
      <c r="HK20" t="e">
        <f>AND('Team Template'!A51,"AAAAAH+zpdo=")</f>
        <v>#VALUE!</v>
      </c>
      <c r="HL20" t="e">
        <f>AND('Team Template'!B51,"AAAAAH+zpds=")</f>
        <v>#VALUE!</v>
      </c>
      <c r="HM20" t="e">
        <f>AND('Team Template'!C51,"AAAAAH+zpdw=")</f>
        <v>#VALUE!</v>
      </c>
      <c r="HN20" t="e">
        <f>AND('Team Template'!D51,"AAAAAH+zpd0=")</f>
        <v>#VALUE!</v>
      </c>
      <c r="HO20" t="e">
        <f>AND('Team Template'!E51,"AAAAAH+zpd4=")</f>
        <v>#VALUE!</v>
      </c>
      <c r="HP20" t="e">
        <f>AND('Team Template'!F51,"AAAAAH+zpd8=")</f>
        <v>#VALUE!</v>
      </c>
      <c r="HQ20" t="e">
        <f>AND('Team Template'!G51,"AAAAAH+zpeA=")</f>
        <v>#VALUE!</v>
      </c>
      <c r="HR20" t="e">
        <f>AND('Team Template'!H51,"AAAAAH+zpeE=")</f>
        <v>#VALUE!</v>
      </c>
      <c r="HS20" t="e">
        <f>AND('Team Template'!I51,"AAAAAH+zpeI=")</f>
        <v>#VALUE!</v>
      </c>
      <c r="HT20" t="e">
        <f>AND('Team Template'!J51,"AAAAAH+zpeM=")</f>
        <v>#VALUE!</v>
      </c>
      <c r="HU20" t="e">
        <f>AND('Team Template'!K51,"AAAAAH+zpeQ=")</f>
        <v>#VALUE!</v>
      </c>
      <c r="HV20" t="e">
        <f>AND('Team Template'!L51,"AAAAAH+zpeU=")</f>
        <v>#VALUE!</v>
      </c>
      <c r="HW20" t="e">
        <f>AND('Team Template'!M51,"AAAAAH+zpeY=")</f>
        <v>#VALUE!</v>
      </c>
      <c r="HX20" t="e">
        <f>AND('Team Template'!N51,"AAAAAH+zpec=")</f>
        <v>#VALUE!</v>
      </c>
      <c r="HY20" t="e">
        <f>AND('Team Template'!O51,"AAAAAH+zpeg=")</f>
        <v>#VALUE!</v>
      </c>
      <c r="HZ20" t="e">
        <f>AND('Team Template'!P51,"AAAAAH+zpek=")</f>
        <v>#VALUE!</v>
      </c>
      <c r="IA20" t="e">
        <f>AND('Team Template'!Q51,"AAAAAH+zpeo=")</f>
        <v>#VALUE!</v>
      </c>
      <c r="IB20" t="e">
        <f>AND('Team Template'!R51,"AAAAAH+zpes=")</f>
        <v>#VALUE!</v>
      </c>
      <c r="IC20" t="e">
        <f>AND('Team Template'!S51,"AAAAAH+zpew=")</f>
        <v>#VALUE!</v>
      </c>
      <c r="ID20" t="e">
        <f>AND('Team Template'!T51,"AAAAAH+zpe0=")</f>
        <v>#VALUE!</v>
      </c>
      <c r="IE20" t="e">
        <f>AND('Team Template'!U51,"AAAAAH+zpe4=")</f>
        <v>#VALUE!</v>
      </c>
      <c r="IF20" t="e">
        <f>AND('Team Template'!V51,"AAAAAH+zpe8=")</f>
        <v>#VALUE!</v>
      </c>
      <c r="IG20">
        <f>IF('Team Template'!52:52,"AAAAAH+zpfA=",0)</f>
        <v>0</v>
      </c>
      <c r="IH20" t="e">
        <f>AND('Team Template'!A52,"AAAAAH+zpfE=")</f>
        <v>#VALUE!</v>
      </c>
      <c r="II20" t="e">
        <f>AND('Team Template'!B52,"AAAAAH+zpfI=")</f>
        <v>#VALUE!</v>
      </c>
      <c r="IJ20" t="e">
        <f>AND('Team Template'!C52,"AAAAAH+zpfM=")</f>
        <v>#VALUE!</v>
      </c>
      <c r="IK20" t="e">
        <f>AND('Team Template'!D52,"AAAAAH+zpfQ=")</f>
        <v>#VALUE!</v>
      </c>
      <c r="IL20" t="e">
        <f>AND('Team Template'!E52,"AAAAAH+zpfU=")</f>
        <v>#VALUE!</v>
      </c>
      <c r="IM20" t="e">
        <f>AND('Team Template'!F52,"AAAAAH+zpfY=")</f>
        <v>#VALUE!</v>
      </c>
      <c r="IN20" t="e">
        <f>AND('Team Template'!G52,"AAAAAH+zpfc=")</f>
        <v>#VALUE!</v>
      </c>
      <c r="IO20" t="e">
        <f>AND('Team Template'!H52,"AAAAAH+zpfg=")</f>
        <v>#VALUE!</v>
      </c>
      <c r="IP20" t="e">
        <f>AND('Team Template'!I52,"AAAAAH+zpfk=")</f>
        <v>#VALUE!</v>
      </c>
      <c r="IQ20" t="e">
        <f>AND('Team Template'!J52,"AAAAAH+zpfo=")</f>
        <v>#VALUE!</v>
      </c>
      <c r="IR20" t="e">
        <f>AND('Team Template'!K52,"AAAAAH+zpfs=")</f>
        <v>#VALUE!</v>
      </c>
      <c r="IS20" t="e">
        <f>AND('Team Template'!L52,"AAAAAH+zpfw=")</f>
        <v>#VALUE!</v>
      </c>
      <c r="IT20" t="e">
        <f>AND('Team Template'!M52,"AAAAAH+zpf0=")</f>
        <v>#VALUE!</v>
      </c>
      <c r="IU20" t="e">
        <f>AND('Team Template'!N52,"AAAAAH+zpf4=")</f>
        <v>#VALUE!</v>
      </c>
      <c r="IV20" t="e">
        <f>AND('Team Template'!O52,"AAAAAH+zpf8=")</f>
        <v>#VALUE!</v>
      </c>
    </row>
    <row r="21" spans="1:256" x14ac:dyDescent="0.2">
      <c r="A21" t="e">
        <f>AND('Team Template'!P52,"AAAAAHf06wA=")</f>
        <v>#VALUE!</v>
      </c>
      <c r="B21" t="e">
        <f>AND('Team Template'!Q52,"AAAAAHf06wE=")</f>
        <v>#VALUE!</v>
      </c>
      <c r="C21" t="e">
        <f>AND('Team Template'!R52,"AAAAAHf06wI=")</f>
        <v>#VALUE!</v>
      </c>
      <c r="D21" t="e">
        <f>AND('Team Template'!S52,"AAAAAHf06wM=")</f>
        <v>#VALUE!</v>
      </c>
      <c r="E21" t="e">
        <f>AND('Team Template'!T52,"AAAAAHf06wQ=")</f>
        <v>#VALUE!</v>
      </c>
      <c r="F21" t="e">
        <f>AND('Team Template'!U52,"AAAAAHf06wU=")</f>
        <v>#VALUE!</v>
      </c>
      <c r="G21" t="e">
        <f>AND('Team Template'!V52,"AAAAAHf06wY=")</f>
        <v>#VALUE!</v>
      </c>
      <c r="H21">
        <f>IF('Team Template'!53:53,"AAAAAHf06wc=",0)</f>
        <v>0</v>
      </c>
      <c r="I21" t="e">
        <f>AND('Team Template'!A53,"AAAAAHf06wg=")</f>
        <v>#VALUE!</v>
      </c>
      <c r="J21" t="e">
        <f>AND('Team Template'!B53,"AAAAAHf06wk=")</f>
        <v>#VALUE!</v>
      </c>
      <c r="K21" t="e">
        <f>AND('Team Template'!C53,"AAAAAHf06wo=")</f>
        <v>#VALUE!</v>
      </c>
      <c r="L21" t="e">
        <f>AND('Team Template'!D53,"AAAAAHf06ws=")</f>
        <v>#VALUE!</v>
      </c>
      <c r="M21" t="e">
        <f>AND('Team Template'!E53,"AAAAAHf06ww=")</f>
        <v>#VALUE!</v>
      </c>
      <c r="N21" t="e">
        <f>AND('Team Template'!F53,"AAAAAHf06w0=")</f>
        <v>#VALUE!</v>
      </c>
      <c r="O21" t="e">
        <f>AND('Team Template'!G53,"AAAAAHf06w4=")</f>
        <v>#VALUE!</v>
      </c>
      <c r="P21" t="e">
        <f>AND('Team Template'!H53,"AAAAAHf06w8=")</f>
        <v>#VALUE!</v>
      </c>
      <c r="Q21" t="e">
        <f>AND('Team Template'!I53,"AAAAAHf06xA=")</f>
        <v>#VALUE!</v>
      </c>
      <c r="R21" t="e">
        <f>AND('Team Template'!J53,"AAAAAHf06xE=")</f>
        <v>#VALUE!</v>
      </c>
      <c r="S21" t="e">
        <f>AND('Team Template'!K53,"AAAAAHf06xI=")</f>
        <v>#VALUE!</v>
      </c>
      <c r="T21" t="e">
        <f>AND('Team Template'!L53,"AAAAAHf06xM=")</f>
        <v>#VALUE!</v>
      </c>
      <c r="U21" t="e">
        <f>AND('Team Template'!M53,"AAAAAHf06xQ=")</f>
        <v>#VALUE!</v>
      </c>
      <c r="V21" t="e">
        <f>AND('Team Template'!N53,"AAAAAHf06xU=")</f>
        <v>#VALUE!</v>
      </c>
      <c r="W21" t="e">
        <f>AND('Team Template'!O53,"AAAAAHf06xY=")</f>
        <v>#VALUE!</v>
      </c>
      <c r="X21" t="e">
        <f>AND('Team Template'!P53,"AAAAAHf06xc=")</f>
        <v>#VALUE!</v>
      </c>
      <c r="Y21" t="e">
        <f>AND('Team Template'!Q53,"AAAAAHf06xg=")</f>
        <v>#VALUE!</v>
      </c>
      <c r="Z21" t="e">
        <f>AND('Team Template'!R53,"AAAAAHf06xk=")</f>
        <v>#VALUE!</v>
      </c>
      <c r="AA21" t="e">
        <f>AND('Team Template'!S53,"AAAAAHf06xo=")</f>
        <v>#VALUE!</v>
      </c>
      <c r="AB21" t="e">
        <f>AND('Team Template'!T53,"AAAAAHf06xs=")</f>
        <v>#VALUE!</v>
      </c>
      <c r="AC21" t="e">
        <f>AND('Team Template'!U53,"AAAAAHf06xw=")</f>
        <v>#VALUE!</v>
      </c>
      <c r="AD21" t="e">
        <f>AND('Team Template'!V53,"AAAAAHf06x0=")</f>
        <v>#VALUE!</v>
      </c>
      <c r="AE21">
        <f>IF('Team Template'!54:54,"AAAAAHf06x4=",0)</f>
        <v>0</v>
      </c>
      <c r="AF21" t="e">
        <f>AND('Team Template'!A54,"AAAAAHf06x8=")</f>
        <v>#VALUE!</v>
      </c>
      <c r="AG21" t="e">
        <f>AND('Team Template'!B54,"AAAAAHf06yA=")</f>
        <v>#VALUE!</v>
      </c>
      <c r="AH21" t="e">
        <f>AND('Team Template'!C54,"AAAAAHf06yE=")</f>
        <v>#VALUE!</v>
      </c>
      <c r="AI21" t="e">
        <f>AND('Team Template'!D54,"AAAAAHf06yI=")</f>
        <v>#VALUE!</v>
      </c>
      <c r="AJ21" t="e">
        <f>AND('Team Template'!E54,"AAAAAHf06yM=")</f>
        <v>#VALUE!</v>
      </c>
      <c r="AK21" t="e">
        <f>AND('Team Template'!F54,"AAAAAHf06yQ=")</f>
        <v>#VALUE!</v>
      </c>
      <c r="AL21" t="e">
        <f>AND('Team Template'!G54,"AAAAAHf06yU=")</f>
        <v>#VALUE!</v>
      </c>
      <c r="AM21" t="e">
        <f>AND('Team Template'!H54,"AAAAAHf06yY=")</f>
        <v>#VALUE!</v>
      </c>
      <c r="AN21" t="e">
        <f>AND('Team Template'!I54,"AAAAAHf06yc=")</f>
        <v>#VALUE!</v>
      </c>
      <c r="AO21" t="e">
        <f>AND('Team Template'!J54,"AAAAAHf06yg=")</f>
        <v>#VALUE!</v>
      </c>
      <c r="AP21" t="e">
        <f>AND('Team Template'!K54,"AAAAAHf06yk=")</f>
        <v>#VALUE!</v>
      </c>
      <c r="AQ21" t="e">
        <f>AND('Team Template'!L54,"AAAAAHf06yo=")</f>
        <v>#VALUE!</v>
      </c>
      <c r="AR21" t="e">
        <f>AND('Team Template'!M54,"AAAAAHf06ys=")</f>
        <v>#VALUE!</v>
      </c>
      <c r="AS21" t="e">
        <f>AND('Team Template'!N54,"AAAAAHf06yw=")</f>
        <v>#VALUE!</v>
      </c>
      <c r="AT21" t="e">
        <f>AND('Team Template'!O54,"AAAAAHf06y0=")</f>
        <v>#VALUE!</v>
      </c>
      <c r="AU21" t="e">
        <f>AND('Team Template'!P54,"AAAAAHf06y4=")</f>
        <v>#VALUE!</v>
      </c>
      <c r="AV21" t="e">
        <f>AND('Team Template'!Q54,"AAAAAHf06y8=")</f>
        <v>#VALUE!</v>
      </c>
      <c r="AW21" t="e">
        <f>AND('Team Template'!R54,"AAAAAHf06zA=")</f>
        <v>#VALUE!</v>
      </c>
      <c r="AX21" t="e">
        <f>AND('Team Template'!S54,"AAAAAHf06zE=")</f>
        <v>#VALUE!</v>
      </c>
      <c r="AY21" t="e">
        <f>AND('Team Template'!T54,"AAAAAHf06zI=")</f>
        <v>#VALUE!</v>
      </c>
      <c r="AZ21" t="e">
        <f>AND('Team Template'!U54,"AAAAAHf06zM=")</f>
        <v>#VALUE!</v>
      </c>
      <c r="BA21" t="e">
        <f>AND('Team Template'!V54,"AAAAAHf06zQ=")</f>
        <v>#VALUE!</v>
      </c>
      <c r="BB21">
        <f>IF('Team Template'!55:55,"AAAAAHf06zU=",0)</f>
        <v>0</v>
      </c>
      <c r="BC21" t="e">
        <f>AND('Team Template'!A55,"AAAAAHf06zY=")</f>
        <v>#VALUE!</v>
      </c>
      <c r="BD21" t="e">
        <f>AND('Team Template'!B55,"AAAAAHf06zc=")</f>
        <v>#VALUE!</v>
      </c>
      <c r="BE21" t="e">
        <f>AND('Team Template'!C55,"AAAAAHf06zg=")</f>
        <v>#VALUE!</v>
      </c>
      <c r="BF21" t="e">
        <f>AND('Team Template'!D55,"AAAAAHf06zk=")</f>
        <v>#VALUE!</v>
      </c>
      <c r="BG21" t="e">
        <f>AND('Team Template'!E55,"AAAAAHf06zo=")</f>
        <v>#VALUE!</v>
      </c>
      <c r="BH21" t="e">
        <f>AND('Team Template'!F55,"AAAAAHf06zs=")</f>
        <v>#VALUE!</v>
      </c>
      <c r="BI21" t="e">
        <f>AND('Team Template'!G55,"AAAAAHf06zw=")</f>
        <v>#VALUE!</v>
      </c>
      <c r="BJ21" t="e">
        <f>AND('Team Template'!H55,"AAAAAHf06z0=")</f>
        <v>#VALUE!</v>
      </c>
      <c r="BK21" t="e">
        <f>AND('Team Template'!I55,"AAAAAHf06z4=")</f>
        <v>#VALUE!</v>
      </c>
      <c r="BL21" t="e">
        <f>AND('Team Template'!J55,"AAAAAHf06z8=")</f>
        <v>#VALUE!</v>
      </c>
      <c r="BM21" t="e">
        <f>AND('Team Template'!K55,"AAAAAHf060A=")</f>
        <v>#VALUE!</v>
      </c>
      <c r="BN21" t="e">
        <f>AND('Team Template'!L55,"AAAAAHf060E=")</f>
        <v>#VALUE!</v>
      </c>
      <c r="BO21" t="e">
        <f>AND('Team Template'!M55,"AAAAAHf060I=")</f>
        <v>#VALUE!</v>
      </c>
      <c r="BP21" t="e">
        <f>AND('Team Template'!N55,"AAAAAHf060M=")</f>
        <v>#VALUE!</v>
      </c>
      <c r="BQ21" t="e">
        <f>AND('Team Template'!O55,"AAAAAHf060Q=")</f>
        <v>#VALUE!</v>
      </c>
      <c r="BR21" t="e">
        <f>AND('Team Template'!P55,"AAAAAHf060U=")</f>
        <v>#VALUE!</v>
      </c>
      <c r="BS21" t="e">
        <f>AND('Team Template'!Q55,"AAAAAHf060Y=")</f>
        <v>#VALUE!</v>
      </c>
      <c r="BT21" t="e">
        <f>AND('Team Template'!R55,"AAAAAHf060c=")</f>
        <v>#VALUE!</v>
      </c>
      <c r="BU21" t="e">
        <f>AND('Team Template'!S55,"AAAAAHf060g=")</f>
        <v>#VALUE!</v>
      </c>
      <c r="BV21" t="e">
        <f>AND('Team Template'!T55,"AAAAAHf060k=")</f>
        <v>#VALUE!</v>
      </c>
      <c r="BW21" t="e">
        <f>AND('Team Template'!U55,"AAAAAHf060o=")</f>
        <v>#VALUE!</v>
      </c>
      <c r="BX21" t="e">
        <f>AND('Team Template'!V55,"AAAAAHf060s=")</f>
        <v>#VALUE!</v>
      </c>
      <c r="BY21">
        <f>IF('Team Template'!56:56,"AAAAAHf060w=",0)</f>
        <v>0</v>
      </c>
      <c r="BZ21" t="e">
        <f>AND('Team Template'!A56,"AAAAAHf0600=")</f>
        <v>#VALUE!</v>
      </c>
      <c r="CA21" t="e">
        <f>AND('Team Template'!B56,"AAAAAHf0604=")</f>
        <v>#VALUE!</v>
      </c>
      <c r="CB21" t="e">
        <f>AND('Team Template'!C56,"AAAAAHf0608=")</f>
        <v>#VALUE!</v>
      </c>
      <c r="CC21" t="e">
        <f>AND('Team Template'!D56,"AAAAAHf061A=")</f>
        <v>#VALUE!</v>
      </c>
      <c r="CD21" t="e">
        <f>AND('Team Template'!E56,"AAAAAHf061E=")</f>
        <v>#VALUE!</v>
      </c>
      <c r="CE21" t="e">
        <f>AND('Team Template'!F56,"AAAAAHf061I=")</f>
        <v>#VALUE!</v>
      </c>
      <c r="CF21" t="e">
        <f>AND('Team Template'!G56,"AAAAAHf061M=")</f>
        <v>#VALUE!</v>
      </c>
      <c r="CG21" t="e">
        <f>AND('Team Template'!H56,"AAAAAHf061Q=")</f>
        <v>#VALUE!</v>
      </c>
      <c r="CH21" t="e">
        <f>AND('Team Template'!I56,"AAAAAHf061U=")</f>
        <v>#VALUE!</v>
      </c>
      <c r="CI21" t="e">
        <f>AND('Team Template'!J56,"AAAAAHf061Y=")</f>
        <v>#VALUE!</v>
      </c>
      <c r="CJ21" t="e">
        <f>AND('Team Template'!K56,"AAAAAHf061c=")</f>
        <v>#VALUE!</v>
      </c>
      <c r="CK21" t="e">
        <f>AND('Team Template'!L56,"AAAAAHf061g=")</f>
        <v>#VALUE!</v>
      </c>
      <c r="CL21" t="e">
        <f>AND('Team Template'!M56,"AAAAAHf061k=")</f>
        <v>#VALUE!</v>
      </c>
      <c r="CM21" t="e">
        <f>AND('Team Template'!N56,"AAAAAHf061o=")</f>
        <v>#VALUE!</v>
      </c>
      <c r="CN21" t="e">
        <f>AND('Team Template'!O56,"AAAAAHf061s=")</f>
        <v>#VALUE!</v>
      </c>
      <c r="CO21" t="e">
        <f>AND('Team Template'!P56,"AAAAAHf061w=")</f>
        <v>#VALUE!</v>
      </c>
      <c r="CP21" t="e">
        <f>AND('Team Template'!Q56,"AAAAAHf0610=")</f>
        <v>#VALUE!</v>
      </c>
      <c r="CQ21" t="e">
        <f>AND('Team Template'!R56,"AAAAAHf0614=")</f>
        <v>#VALUE!</v>
      </c>
      <c r="CR21" t="e">
        <f>AND('Team Template'!S56,"AAAAAHf0618=")</f>
        <v>#VALUE!</v>
      </c>
      <c r="CS21" t="e">
        <f>AND('Team Template'!T56,"AAAAAHf062A=")</f>
        <v>#VALUE!</v>
      </c>
      <c r="CT21" t="e">
        <f>AND('Team Template'!U56,"AAAAAHf062E=")</f>
        <v>#VALUE!</v>
      </c>
      <c r="CU21" t="e">
        <f>AND('Team Template'!V56,"AAAAAHf062I=")</f>
        <v>#VALUE!</v>
      </c>
      <c r="CV21">
        <f>IF('Team Template'!57:57,"AAAAAHf062M=",0)</f>
        <v>0</v>
      </c>
      <c r="CW21" t="e">
        <f>AND('Team Template'!A57,"AAAAAHf062Q=")</f>
        <v>#VALUE!</v>
      </c>
      <c r="CX21" t="e">
        <f>AND('Team Template'!B57,"AAAAAHf062U=")</f>
        <v>#VALUE!</v>
      </c>
      <c r="CY21" t="e">
        <f>AND('Team Template'!C57,"AAAAAHf062Y=")</f>
        <v>#VALUE!</v>
      </c>
      <c r="CZ21" t="e">
        <f>AND('Team Template'!D57,"AAAAAHf062c=")</f>
        <v>#VALUE!</v>
      </c>
      <c r="DA21" t="e">
        <f>AND('Team Template'!E57,"AAAAAHf062g=")</f>
        <v>#VALUE!</v>
      </c>
      <c r="DB21" t="e">
        <f>AND('Team Template'!F57,"AAAAAHf062k=")</f>
        <v>#VALUE!</v>
      </c>
      <c r="DC21" t="e">
        <f>AND('Team Template'!G57,"AAAAAHf062o=")</f>
        <v>#VALUE!</v>
      </c>
      <c r="DD21" t="e">
        <f>AND('Team Template'!H57,"AAAAAHf062s=")</f>
        <v>#VALUE!</v>
      </c>
      <c r="DE21" t="e">
        <f>AND('Team Template'!I57,"AAAAAHf062w=")</f>
        <v>#VALUE!</v>
      </c>
      <c r="DF21" t="e">
        <f>AND('Team Template'!J57,"AAAAAHf0620=")</f>
        <v>#VALUE!</v>
      </c>
      <c r="DG21" t="e">
        <f>AND('Team Template'!K57,"AAAAAHf0624=")</f>
        <v>#VALUE!</v>
      </c>
      <c r="DH21" t="e">
        <f>AND('Team Template'!L57,"AAAAAHf0628=")</f>
        <v>#VALUE!</v>
      </c>
      <c r="DI21" t="e">
        <f>AND('Team Template'!M57,"AAAAAHf063A=")</f>
        <v>#VALUE!</v>
      </c>
      <c r="DJ21" t="e">
        <f>AND('Team Template'!N57,"AAAAAHf063E=")</f>
        <v>#VALUE!</v>
      </c>
      <c r="DK21" t="e">
        <f>AND('Team Template'!O57,"AAAAAHf063I=")</f>
        <v>#VALUE!</v>
      </c>
      <c r="DL21" t="e">
        <f>AND('Team Template'!P57,"AAAAAHf063M=")</f>
        <v>#VALUE!</v>
      </c>
      <c r="DM21" t="e">
        <f>AND('Team Template'!Q57,"AAAAAHf063Q=")</f>
        <v>#VALUE!</v>
      </c>
      <c r="DN21" t="e">
        <f>AND('Team Template'!R57,"AAAAAHf063U=")</f>
        <v>#VALUE!</v>
      </c>
      <c r="DO21" t="e">
        <f>AND('Team Template'!S57,"AAAAAHf063Y=")</f>
        <v>#VALUE!</v>
      </c>
      <c r="DP21" t="e">
        <f>AND('Team Template'!T57,"AAAAAHf063c=")</f>
        <v>#VALUE!</v>
      </c>
      <c r="DQ21" t="e">
        <f>AND('Team Template'!U57,"AAAAAHf063g=")</f>
        <v>#VALUE!</v>
      </c>
      <c r="DR21" t="e">
        <f>AND('Team Template'!V57,"AAAAAHf063k=")</f>
        <v>#VALUE!</v>
      </c>
      <c r="DS21">
        <f>IF('Team Template'!58:58,"AAAAAHf063o=",0)</f>
        <v>0</v>
      </c>
      <c r="DT21" t="e">
        <f>AND('Team Template'!A58,"AAAAAHf063s=")</f>
        <v>#VALUE!</v>
      </c>
      <c r="DU21" t="e">
        <f>AND('Team Template'!B58,"AAAAAHf063w=")</f>
        <v>#VALUE!</v>
      </c>
      <c r="DV21" t="e">
        <f>AND('Team Template'!C58,"AAAAAHf0630=")</f>
        <v>#VALUE!</v>
      </c>
      <c r="DW21" t="e">
        <f>AND('Team Template'!D58,"AAAAAHf0634=")</f>
        <v>#VALUE!</v>
      </c>
      <c r="DX21" t="e">
        <f>AND('Team Template'!E58,"AAAAAHf0638=")</f>
        <v>#VALUE!</v>
      </c>
      <c r="DY21" t="e">
        <f>AND('Team Template'!F58,"AAAAAHf064A=")</f>
        <v>#VALUE!</v>
      </c>
      <c r="DZ21" t="e">
        <f>AND('Team Template'!G58,"AAAAAHf064E=")</f>
        <v>#VALUE!</v>
      </c>
      <c r="EA21" t="e">
        <f>AND('Team Template'!H58,"AAAAAHf064I=")</f>
        <v>#VALUE!</v>
      </c>
      <c r="EB21" t="e">
        <f>AND('Team Template'!I58,"AAAAAHf064M=")</f>
        <v>#VALUE!</v>
      </c>
      <c r="EC21" t="e">
        <f>AND('Team Template'!J58,"AAAAAHf064Q=")</f>
        <v>#VALUE!</v>
      </c>
      <c r="ED21" t="e">
        <f>AND('Team Template'!K58,"AAAAAHf064U=")</f>
        <v>#VALUE!</v>
      </c>
      <c r="EE21" t="e">
        <f>AND('Team Template'!L58,"AAAAAHf064Y=")</f>
        <v>#VALUE!</v>
      </c>
      <c r="EF21" t="e">
        <f>AND('Team Template'!M58,"AAAAAHf064c=")</f>
        <v>#VALUE!</v>
      </c>
      <c r="EG21" t="e">
        <f>AND('Team Template'!N58,"AAAAAHf064g=")</f>
        <v>#VALUE!</v>
      </c>
      <c r="EH21" t="e">
        <f>AND('Team Template'!O58,"AAAAAHf064k=")</f>
        <v>#VALUE!</v>
      </c>
      <c r="EI21" t="e">
        <f>AND('Team Template'!P58,"AAAAAHf064o=")</f>
        <v>#VALUE!</v>
      </c>
      <c r="EJ21" t="e">
        <f>AND('Team Template'!Q58,"AAAAAHf064s=")</f>
        <v>#VALUE!</v>
      </c>
      <c r="EK21" t="e">
        <f>AND('Team Template'!R58,"AAAAAHf064w=")</f>
        <v>#VALUE!</v>
      </c>
      <c r="EL21" t="e">
        <f>AND('Team Template'!S58,"AAAAAHf0640=")</f>
        <v>#VALUE!</v>
      </c>
      <c r="EM21" t="e">
        <f>AND('Team Template'!T58,"AAAAAHf0644=")</f>
        <v>#VALUE!</v>
      </c>
      <c r="EN21" t="e">
        <f>AND('Team Template'!U58,"AAAAAHf0648=")</f>
        <v>#VALUE!</v>
      </c>
      <c r="EO21" t="e">
        <f>AND('Team Template'!V58,"AAAAAHf065A=")</f>
        <v>#VALUE!</v>
      </c>
      <c r="EP21">
        <f>IF('Team Template'!59:59,"AAAAAHf065E=",0)</f>
        <v>0</v>
      </c>
      <c r="EQ21" t="e">
        <f>AND('Team Template'!A59,"AAAAAHf065I=")</f>
        <v>#VALUE!</v>
      </c>
      <c r="ER21" t="e">
        <f>AND('Team Template'!B59,"AAAAAHf065M=")</f>
        <v>#VALUE!</v>
      </c>
      <c r="ES21" t="e">
        <f>AND('Team Template'!C59,"AAAAAHf065Q=")</f>
        <v>#VALUE!</v>
      </c>
      <c r="ET21" t="e">
        <f>AND('Team Template'!D59,"AAAAAHf065U=")</f>
        <v>#VALUE!</v>
      </c>
      <c r="EU21" t="e">
        <f>AND('Team Template'!E59,"AAAAAHf065Y=")</f>
        <v>#VALUE!</v>
      </c>
      <c r="EV21" t="e">
        <f>AND('Team Template'!F59,"AAAAAHf065c=")</f>
        <v>#VALUE!</v>
      </c>
      <c r="EW21" t="e">
        <f>AND('Team Template'!G59,"AAAAAHf065g=")</f>
        <v>#VALUE!</v>
      </c>
      <c r="EX21" t="e">
        <f>AND('Team Template'!H59,"AAAAAHf065k=")</f>
        <v>#VALUE!</v>
      </c>
      <c r="EY21" t="e">
        <f>AND('Team Template'!I59,"AAAAAHf065o=")</f>
        <v>#VALUE!</v>
      </c>
      <c r="EZ21" t="e">
        <f>AND('Team Template'!J59,"AAAAAHf065s=")</f>
        <v>#VALUE!</v>
      </c>
      <c r="FA21" t="e">
        <f>AND('Team Template'!K59,"AAAAAHf065w=")</f>
        <v>#VALUE!</v>
      </c>
      <c r="FB21" t="e">
        <f>AND('Team Template'!L59,"AAAAAHf0650=")</f>
        <v>#VALUE!</v>
      </c>
      <c r="FC21" t="e">
        <f>AND('Team Template'!M59,"AAAAAHf0654=")</f>
        <v>#VALUE!</v>
      </c>
      <c r="FD21" t="e">
        <f>AND('Team Template'!N59,"AAAAAHf0658=")</f>
        <v>#VALUE!</v>
      </c>
      <c r="FE21" t="e">
        <f>AND('Team Template'!O59,"AAAAAHf066A=")</f>
        <v>#VALUE!</v>
      </c>
      <c r="FF21" t="e">
        <f>AND('Team Template'!P59,"AAAAAHf066E=")</f>
        <v>#VALUE!</v>
      </c>
      <c r="FG21" t="e">
        <f>AND('Team Template'!Q59,"AAAAAHf066I=")</f>
        <v>#VALUE!</v>
      </c>
      <c r="FH21" t="e">
        <f>AND('Team Template'!R59,"AAAAAHf066M=")</f>
        <v>#VALUE!</v>
      </c>
      <c r="FI21" t="e">
        <f>AND('Team Template'!S59,"AAAAAHf066Q=")</f>
        <v>#VALUE!</v>
      </c>
      <c r="FJ21" t="e">
        <f>AND('Team Template'!T59,"AAAAAHf066U=")</f>
        <v>#VALUE!</v>
      </c>
      <c r="FK21" t="e">
        <f>AND('Team Template'!U59,"AAAAAHf066Y=")</f>
        <v>#VALUE!</v>
      </c>
      <c r="FL21" t="e">
        <f>AND('Team Template'!V59,"AAAAAHf066c=")</f>
        <v>#VALUE!</v>
      </c>
      <c r="FM21">
        <f>IF('Team Template'!60:60,"AAAAAHf066g=",0)</f>
        <v>0</v>
      </c>
      <c r="FN21" t="e">
        <f>AND('Team Template'!A60,"AAAAAHf066k=")</f>
        <v>#VALUE!</v>
      </c>
      <c r="FO21" t="e">
        <f>AND('Team Template'!B60,"AAAAAHf066o=")</f>
        <v>#VALUE!</v>
      </c>
      <c r="FP21" t="e">
        <f>AND('Team Template'!C60,"AAAAAHf066s=")</f>
        <v>#VALUE!</v>
      </c>
      <c r="FQ21" t="e">
        <f>AND('Team Template'!D60,"AAAAAHf066w=")</f>
        <v>#VALUE!</v>
      </c>
      <c r="FR21" t="e">
        <f>AND('Team Template'!E60,"AAAAAHf0660=")</f>
        <v>#VALUE!</v>
      </c>
      <c r="FS21" t="e">
        <f>AND('Team Template'!F60,"AAAAAHf0664=")</f>
        <v>#VALUE!</v>
      </c>
      <c r="FT21" t="e">
        <f>AND('Team Template'!G60,"AAAAAHf0668=")</f>
        <v>#VALUE!</v>
      </c>
      <c r="FU21" t="e">
        <f>AND('Team Template'!H60,"AAAAAHf067A=")</f>
        <v>#VALUE!</v>
      </c>
      <c r="FV21" t="e">
        <f>AND('Team Template'!I60,"AAAAAHf067E=")</f>
        <v>#VALUE!</v>
      </c>
      <c r="FW21" t="e">
        <f>AND('Team Template'!J60,"AAAAAHf067I=")</f>
        <v>#VALUE!</v>
      </c>
      <c r="FX21" t="e">
        <f>AND('Team Template'!K60,"AAAAAHf067M=")</f>
        <v>#VALUE!</v>
      </c>
      <c r="FY21" t="e">
        <f>AND('Team Template'!L60,"AAAAAHf067Q=")</f>
        <v>#VALUE!</v>
      </c>
      <c r="FZ21" t="e">
        <f>AND('Team Template'!M60,"AAAAAHf067U=")</f>
        <v>#VALUE!</v>
      </c>
      <c r="GA21" t="e">
        <f>AND('Team Template'!N60,"AAAAAHf067Y=")</f>
        <v>#VALUE!</v>
      </c>
      <c r="GB21" t="e">
        <f>AND('Team Template'!O60,"AAAAAHf067c=")</f>
        <v>#VALUE!</v>
      </c>
      <c r="GC21" t="e">
        <f>AND('Team Template'!P60,"AAAAAHf067g=")</f>
        <v>#VALUE!</v>
      </c>
      <c r="GD21" t="e">
        <f>AND('Team Template'!Q60,"AAAAAHf067k=")</f>
        <v>#VALUE!</v>
      </c>
      <c r="GE21" t="e">
        <f>AND('Team Template'!R60,"AAAAAHf067o=")</f>
        <v>#VALUE!</v>
      </c>
      <c r="GF21" t="e">
        <f>AND('Team Template'!S60,"AAAAAHf067s=")</f>
        <v>#VALUE!</v>
      </c>
      <c r="GG21" t="e">
        <f>AND('Team Template'!T60,"AAAAAHf067w=")</f>
        <v>#VALUE!</v>
      </c>
      <c r="GH21" t="e">
        <f>AND('Team Template'!U60,"AAAAAHf0670=")</f>
        <v>#VALUE!</v>
      </c>
      <c r="GI21" t="e">
        <f>AND('Team Template'!V60,"AAAAAHf0674=")</f>
        <v>#VALUE!</v>
      </c>
      <c r="GJ21">
        <f>IF('Team Template'!61:61,"AAAAAHf0678=",0)</f>
        <v>0</v>
      </c>
      <c r="GK21" t="e">
        <f>AND('Team Template'!A61,"AAAAAHf068A=")</f>
        <v>#VALUE!</v>
      </c>
      <c r="GL21" t="e">
        <f>AND('Team Template'!B61,"AAAAAHf068E=")</f>
        <v>#VALUE!</v>
      </c>
      <c r="GM21" t="e">
        <f>AND('Team Template'!C61,"AAAAAHf068I=")</f>
        <v>#VALUE!</v>
      </c>
      <c r="GN21" t="e">
        <f>AND('Team Template'!D61,"AAAAAHf068M=")</f>
        <v>#VALUE!</v>
      </c>
      <c r="GO21" t="e">
        <f>AND('Team Template'!E61,"AAAAAHf068Q=")</f>
        <v>#VALUE!</v>
      </c>
      <c r="GP21" t="e">
        <f>AND('Team Template'!F61,"AAAAAHf068U=")</f>
        <v>#VALUE!</v>
      </c>
      <c r="GQ21" t="e">
        <f>AND('Team Template'!G61,"AAAAAHf068Y=")</f>
        <v>#VALUE!</v>
      </c>
      <c r="GR21" t="e">
        <f>AND('Team Template'!H61,"AAAAAHf068c=")</f>
        <v>#VALUE!</v>
      </c>
      <c r="GS21" t="e">
        <f>AND('Team Template'!I61,"AAAAAHf068g=")</f>
        <v>#VALUE!</v>
      </c>
      <c r="GT21" t="e">
        <f>AND('Team Template'!J61,"AAAAAHf068k=")</f>
        <v>#VALUE!</v>
      </c>
      <c r="GU21" t="e">
        <f>AND('Team Template'!K61,"AAAAAHf068o=")</f>
        <v>#VALUE!</v>
      </c>
      <c r="GV21" t="e">
        <f>AND('Team Template'!L61,"AAAAAHf068s=")</f>
        <v>#VALUE!</v>
      </c>
      <c r="GW21" t="e">
        <f>AND('Team Template'!M61,"AAAAAHf068w=")</f>
        <v>#VALUE!</v>
      </c>
      <c r="GX21" t="e">
        <f>AND('Team Template'!N61,"AAAAAHf0680=")</f>
        <v>#VALUE!</v>
      </c>
      <c r="GY21" t="e">
        <f>AND('Team Template'!O61,"AAAAAHf0684=")</f>
        <v>#VALUE!</v>
      </c>
      <c r="GZ21" t="e">
        <f>AND('Team Template'!P61,"AAAAAHf0688=")</f>
        <v>#VALUE!</v>
      </c>
      <c r="HA21" t="e">
        <f>AND('Team Template'!Q61,"AAAAAHf069A=")</f>
        <v>#VALUE!</v>
      </c>
      <c r="HB21" t="e">
        <f>AND('Team Template'!R61,"AAAAAHf069E=")</f>
        <v>#VALUE!</v>
      </c>
      <c r="HC21" t="e">
        <f>AND('Team Template'!S61,"AAAAAHf069I=")</f>
        <v>#VALUE!</v>
      </c>
      <c r="HD21" t="e">
        <f>AND('Team Template'!T61,"AAAAAHf069M=")</f>
        <v>#VALUE!</v>
      </c>
      <c r="HE21" t="e">
        <f>AND('Team Template'!U61,"AAAAAHf069Q=")</f>
        <v>#VALUE!</v>
      </c>
      <c r="HF21" t="e">
        <f>AND('Team Template'!V61,"AAAAAHf069U=")</f>
        <v>#VALUE!</v>
      </c>
      <c r="HG21">
        <f>IF('Team Template'!62:62,"AAAAAHf069Y=",0)</f>
        <v>0</v>
      </c>
      <c r="HH21" t="e">
        <f>AND('Team Template'!A62,"AAAAAHf069c=")</f>
        <v>#VALUE!</v>
      </c>
      <c r="HI21" t="e">
        <f>AND('Team Template'!B62,"AAAAAHf069g=")</f>
        <v>#VALUE!</v>
      </c>
      <c r="HJ21" t="e">
        <f>AND('Team Template'!C62,"AAAAAHf069k=")</f>
        <v>#VALUE!</v>
      </c>
      <c r="HK21" t="e">
        <f>AND('Team Template'!D62,"AAAAAHf069o=")</f>
        <v>#VALUE!</v>
      </c>
      <c r="HL21" t="e">
        <f>AND('Team Template'!E62,"AAAAAHf069s=")</f>
        <v>#VALUE!</v>
      </c>
      <c r="HM21" t="e">
        <f>AND('Team Template'!F62,"AAAAAHf069w=")</f>
        <v>#VALUE!</v>
      </c>
      <c r="HN21" t="e">
        <f>AND('Team Template'!G62,"AAAAAHf0690=")</f>
        <v>#VALUE!</v>
      </c>
      <c r="HO21" t="e">
        <f>AND('Team Template'!H62,"AAAAAHf0694=")</f>
        <v>#VALUE!</v>
      </c>
      <c r="HP21" t="e">
        <f>AND('Team Template'!I62,"AAAAAHf0698=")</f>
        <v>#VALUE!</v>
      </c>
      <c r="HQ21" t="e">
        <f>AND('Team Template'!J62,"AAAAAHf06+A=")</f>
        <v>#VALUE!</v>
      </c>
      <c r="HR21" t="e">
        <f>AND('Team Template'!K62,"AAAAAHf06+E=")</f>
        <v>#VALUE!</v>
      </c>
      <c r="HS21" t="e">
        <f>AND('Team Template'!L62,"AAAAAHf06+I=")</f>
        <v>#VALUE!</v>
      </c>
      <c r="HT21" t="e">
        <f>AND('Team Template'!M62,"AAAAAHf06+M=")</f>
        <v>#VALUE!</v>
      </c>
      <c r="HU21" t="e">
        <f>AND('Team Template'!N62,"AAAAAHf06+Q=")</f>
        <v>#VALUE!</v>
      </c>
      <c r="HV21" t="e">
        <f>AND('Team Template'!O62,"AAAAAHf06+U=")</f>
        <v>#VALUE!</v>
      </c>
      <c r="HW21" t="e">
        <f>AND('Team Template'!P62,"AAAAAHf06+Y=")</f>
        <v>#VALUE!</v>
      </c>
      <c r="HX21" t="e">
        <f>AND('Team Template'!Q62,"AAAAAHf06+c=")</f>
        <v>#VALUE!</v>
      </c>
      <c r="HY21" t="e">
        <f>AND('Team Template'!R62,"AAAAAHf06+g=")</f>
        <v>#VALUE!</v>
      </c>
      <c r="HZ21" t="e">
        <f>AND('Team Template'!S62,"AAAAAHf06+k=")</f>
        <v>#VALUE!</v>
      </c>
      <c r="IA21" t="e">
        <f>AND('Team Template'!T62,"AAAAAHf06+o=")</f>
        <v>#VALUE!</v>
      </c>
      <c r="IB21" t="e">
        <f>AND('Team Template'!U62,"AAAAAHf06+s=")</f>
        <v>#VALUE!</v>
      </c>
      <c r="IC21" t="e">
        <f>AND('Team Template'!V62,"AAAAAHf06+w=")</f>
        <v>#VALUE!</v>
      </c>
      <c r="ID21">
        <f>IF('Team Template'!63:63,"AAAAAHf06+0=",0)</f>
        <v>0</v>
      </c>
      <c r="IE21">
        <f>IF('Team Template'!64:64,"AAAAAHf06+4=",0)</f>
        <v>0</v>
      </c>
      <c r="IF21">
        <f>IF('Team Template'!65:65,"AAAAAHf06+8=",0)</f>
        <v>0</v>
      </c>
      <c r="IG21">
        <f>IF('Team Template'!66:66,"AAAAAHf06/A=",0)</f>
        <v>0</v>
      </c>
      <c r="IH21">
        <f>IF('Team Template'!67:67,"AAAAAHf06/E=",0)</f>
        <v>0</v>
      </c>
      <c r="II21">
        <f>IF('Team Template'!68:68,"AAAAAHf06/I=",0)</f>
        <v>0</v>
      </c>
      <c r="IJ21">
        <f>IF('Team Template'!69:69,"AAAAAHf06/M=",0)</f>
        <v>0</v>
      </c>
      <c r="IK21">
        <f>IF('Team Template'!70:70,"AAAAAHf06/Q=",0)</f>
        <v>0</v>
      </c>
      <c r="IL21">
        <f>IF('Team Template'!71:71,"AAAAAHf06/U=",0)</f>
        <v>0</v>
      </c>
      <c r="IM21">
        <f>IF('Team Template'!72:72,"AAAAAHf06/Y=",0)</f>
        <v>0</v>
      </c>
      <c r="IN21">
        <f>IF('Team Template'!73:73,"AAAAAHf06/c=",0)</f>
        <v>0</v>
      </c>
      <c r="IO21">
        <f>IF('Team Template'!74:74,"AAAAAHf06/g=",0)</f>
        <v>0</v>
      </c>
      <c r="IP21">
        <f>IF('Team Template'!75:75,"AAAAAHf06/k=",0)</f>
        <v>0</v>
      </c>
      <c r="IQ21">
        <f>IF('Team Template'!76:76,"AAAAAHf06/o=",0)</f>
        <v>0</v>
      </c>
      <c r="IR21">
        <f>IF('Team Template'!77:77,"AAAAAHf06/s=",0)</f>
        <v>0</v>
      </c>
      <c r="IS21">
        <f>IF('Team Template'!78:78,"AAAAAHf06/w=",0)</f>
        <v>0</v>
      </c>
      <c r="IT21">
        <f>IF('Team Template'!79:79,"AAAAAHf06/0=",0)</f>
        <v>0</v>
      </c>
      <c r="IU21">
        <f>IF('Team Template'!80:80,"AAAAAHf06/4=",0)</f>
        <v>0</v>
      </c>
      <c r="IV21">
        <f>IF('Team Template'!81:81,"AAAAAHf06/8=",0)</f>
        <v>0</v>
      </c>
    </row>
    <row r="22" spans="1:256" x14ac:dyDescent="0.2">
      <c r="A22">
        <f>IF('Team Template'!82:82,"AAAAAC5n+wA=",0)</f>
        <v>0</v>
      </c>
      <c r="B22">
        <f>IF('Team Template'!83:83,"AAAAAC5n+wE=",0)</f>
        <v>0</v>
      </c>
      <c r="C22">
        <f>IF('Team Template'!A:A,"AAAAAC5n+wI=",0)</f>
        <v>0</v>
      </c>
      <c r="D22">
        <f>IF('Team Template'!B:B,"AAAAAC5n+wM=",0)</f>
        <v>0</v>
      </c>
      <c r="E22">
        <f>IF('Team Template'!C:C,"AAAAAC5n+wQ=",0)</f>
        <v>0</v>
      </c>
      <c r="F22">
        <f>IF('Team Template'!D:D,"AAAAAC5n+wU=",0)</f>
        <v>0</v>
      </c>
      <c r="G22">
        <f>IF('Team Template'!E:E,"AAAAAC5n+wY=",0)</f>
        <v>0</v>
      </c>
      <c r="H22">
        <f>IF('Team Template'!F:F,"AAAAAC5n+wc=",0)</f>
        <v>0</v>
      </c>
      <c r="I22">
        <f>IF('Team Template'!G:G,"AAAAAC5n+wg=",0)</f>
        <v>0</v>
      </c>
      <c r="J22">
        <f>IF('Team Template'!H:H,"AAAAAC5n+wk=",0)</f>
        <v>0</v>
      </c>
      <c r="K22">
        <f>IF('Team Template'!I:I,"AAAAAC5n+wo=",0)</f>
        <v>0</v>
      </c>
      <c r="L22">
        <f>IF('Team Template'!J:J,"AAAAAC5n+ws=",0)</f>
        <v>0</v>
      </c>
      <c r="M22">
        <f>IF('Team Template'!K:K,"AAAAAC5n+ww=",0)</f>
        <v>0</v>
      </c>
      <c r="N22">
        <f>IF('Team Template'!L:L,"AAAAAC5n+w0=",0)</f>
        <v>0</v>
      </c>
      <c r="O22">
        <f>IF('Team Template'!M:M,"AAAAAC5n+w4=",0)</f>
        <v>0</v>
      </c>
      <c r="P22">
        <f>IF('Team Template'!N:N,"AAAAAC5n+w8=",0)</f>
        <v>0</v>
      </c>
      <c r="Q22">
        <f>IF('Team Template'!O:O,"AAAAAC5n+xA=",0)</f>
        <v>0</v>
      </c>
      <c r="R22">
        <f>IF('Team Template'!P:P,"AAAAAC5n+xE=",0)</f>
        <v>0</v>
      </c>
      <c r="S22">
        <f>IF('Team Template'!Q:Q,"AAAAAC5n+xI=",0)</f>
        <v>0</v>
      </c>
      <c r="T22">
        <f>IF('Team Template'!R:R,"AAAAAC5n+xM=",0)</f>
        <v>0</v>
      </c>
      <c r="U22">
        <f>IF('Team Template'!S:S,"AAAAAC5n+xQ=",0)</f>
        <v>0</v>
      </c>
      <c r="V22" t="str">
        <f>IF('Team Template'!T:T,"AAAAAC5n+xU=",0)</f>
        <v>AAAAAC5n+xU=</v>
      </c>
      <c r="W22">
        <f>IF('Team Template'!U:U,"AAAAAC5n+xY=",0)</f>
        <v>0</v>
      </c>
      <c r="X22">
        <f>IF('Team Template'!V:V,"AAAAAC5n+xc=",0)</f>
        <v>0</v>
      </c>
      <c r="Y22">
        <f>IF('Data Analysis'!1:1,"AAAAAC5n+xg=",0)</f>
        <v>0</v>
      </c>
      <c r="Z22" t="e">
        <f>AND('Data Analysis'!A1,"AAAAAC5n+xk=")</f>
        <v>#VALUE!</v>
      </c>
      <c r="AA22" t="e">
        <f>AND('Data Analysis'!B1,"AAAAAC5n+xo=")</f>
        <v>#VALUE!</v>
      </c>
      <c r="AB22" t="e">
        <f>AND('Data Analysis'!C1,"AAAAAC5n+xs=")</f>
        <v>#VALUE!</v>
      </c>
      <c r="AC22" t="e">
        <f>AND('Data Analysis'!D1,"AAAAAC5n+xw=")</f>
        <v>#VALUE!</v>
      </c>
      <c r="AD22" t="e">
        <f>AND('Data Analysis'!E1,"AAAAAC5n+x0=")</f>
        <v>#VALUE!</v>
      </c>
      <c r="AE22" t="e">
        <f>AND('Data Analysis'!F1,"AAAAAC5n+x4=")</f>
        <v>#VALUE!</v>
      </c>
      <c r="AF22" t="e">
        <f>AND('Data Analysis'!G1,"AAAAAC5n+x8=")</f>
        <v>#VALUE!</v>
      </c>
      <c r="AG22" t="e">
        <f>AND('Data Analysis'!H1,"AAAAAC5n+yA=")</f>
        <v>#VALUE!</v>
      </c>
      <c r="AH22" t="e">
        <f>AND('Data Analysis'!I1,"AAAAAC5n+yE=")</f>
        <v>#VALUE!</v>
      </c>
      <c r="AI22" t="e">
        <f>AND('Data Analysis'!J1,"AAAAAC5n+yI=")</f>
        <v>#VALUE!</v>
      </c>
      <c r="AJ22" t="e">
        <f>AND('Data Analysis'!K1,"AAAAAC5n+yM=")</f>
        <v>#VALUE!</v>
      </c>
      <c r="AK22" t="e">
        <f>AND('Data Analysis'!L1,"AAAAAC5n+yQ=")</f>
        <v>#VALUE!</v>
      </c>
      <c r="AL22" t="e">
        <f>AND('Data Analysis'!M1,"AAAAAC5n+yU=")</f>
        <v>#VALUE!</v>
      </c>
      <c r="AM22" t="e">
        <f>AND('Data Analysis'!N1,"AAAAAC5n+yY=")</f>
        <v>#VALUE!</v>
      </c>
      <c r="AN22" t="e">
        <f>AND('Data Analysis'!O1,"AAAAAC5n+yc=")</f>
        <v>#VALUE!</v>
      </c>
      <c r="AO22" t="e">
        <f>AND('Data Analysis'!P1,"AAAAAC5n+yg=")</f>
        <v>#VALUE!</v>
      </c>
      <c r="AP22" t="e">
        <f>AND('Data Analysis'!Q1,"AAAAAC5n+yk=")</f>
        <v>#VALUE!</v>
      </c>
      <c r="AQ22" t="e">
        <f>AND('Data Analysis'!R1,"AAAAAC5n+yo=")</f>
        <v>#VALUE!</v>
      </c>
      <c r="AR22" t="e">
        <f>AND('Data Analysis'!S1,"AAAAAC5n+ys=")</f>
        <v>#VALUE!</v>
      </c>
      <c r="AS22" t="e">
        <f>AND('Data Analysis'!T1,"AAAAAC5n+yw=")</f>
        <v>#VALUE!</v>
      </c>
      <c r="AT22" t="e">
        <f>AND('Data Analysis'!U1,"AAAAAC5n+y0=")</f>
        <v>#VALUE!</v>
      </c>
      <c r="AU22" t="e">
        <f>AND('Data Analysis'!V1,"AAAAAC5n+y4=")</f>
        <v>#VALUE!</v>
      </c>
      <c r="AV22" t="e">
        <f>AND('Data Analysis'!W1,"AAAAAC5n+y8=")</f>
        <v>#VALUE!</v>
      </c>
      <c r="AW22">
        <f>IF('Data Analysis'!2:2,"AAAAAC5n+zA=",0)</f>
        <v>0</v>
      </c>
      <c r="AX22" t="e">
        <f>AND('Data Analysis'!A2,"AAAAAC5n+zE=")</f>
        <v>#VALUE!</v>
      </c>
      <c r="AY22" t="e">
        <f>AND('Data Analysis'!B2,"AAAAAC5n+zI=")</f>
        <v>#VALUE!</v>
      </c>
      <c r="AZ22" t="e">
        <f>AND('Data Analysis'!C2,"AAAAAC5n+zM=")</f>
        <v>#VALUE!</v>
      </c>
      <c r="BA22" t="e">
        <f>AND('Data Analysis'!D2,"AAAAAC5n+zQ=")</f>
        <v>#VALUE!</v>
      </c>
      <c r="BB22" t="e">
        <f>AND('Data Analysis'!E2,"AAAAAC5n+zU=")</f>
        <v>#VALUE!</v>
      </c>
      <c r="BC22" t="e">
        <f>AND('Data Analysis'!F2,"AAAAAC5n+zY=")</f>
        <v>#VALUE!</v>
      </c>
      <c r="BD22" t="e">
        <f>AND('Data Analysis'!G2,"AAAAAC5n+zc=")</f>
        <v>#VALUE!</v>
      </c>
      <c r="BE22" t="e">
        <f>AND('Data Analysis'!H2,"AAAAAC5n+zg=")</f>
        <v>#VALUE!</v>
      </c>
      <c r="BF22" t="e">
        <f>AND('Data Analysis'!I2,"AAAAAC5n+zk=")</f>
        <v>#VALUE!</v>
      </c>
      <c r="BG22" t="e">
        <f>AND('Data Analysis'!J2,"AAAAAC5n+zo=")</f>
        <v>#VALUE!</v>
      </c>
      <c r="BH22" t="e">
        <f>AND('Data Analysis'!K2,"AAAAAC5n+zs=")</f>
        <v>#VALUE!</v>
      </c>
      <c r="BI22" t="e">
        <f>AND('Data Analysis'!L2,"AAAAAC5n+zw=")</f>
        <v>#VALUE!</v>
      </c>
      <c r="BJ22" t="e">
        <f>AND('Data Analysis'!M2,"AAAAAC5n+z0=")</f>
        <v>#VALUE!</v>
      </c>
      <c r="BK22" t="e">
        <f>AND('Data Analysis'!N2,"AAAAAC5n+z4=")</f>
        <v>#VALUE!</v>
      </c>
      <c r="BL22" t="e">
        <f>AND('Data Analysis'!O2,"AAAAAC5n+z8=")</f>
        <v>#VALUE!</v>
      </c>
      <c r="BM22" t="e">
        <f>AND('Data Analysis'!P2,"AAAAAC5n+0A=")</f>
        <v>#VALUE!</v>
      </c>
      <c r="BN22" t="e">
        <f>AND('Data Analysis'!Q2,"AAAAAC5n+0E=")</f>
        <v>#VALUE!</v>
      </c>
      <c r="BO22" t="e">
        <f>AND('Data Analysis'!R2,"AAAAAC5n+0I=")</f>
        <v>#VALUE!</v>
      </c>
      <c r="BP22" t="e">
        <f>AND('Data Analysis'!S2,"AAAAAC5n+0M=")</f>
        <v>#VALUE!</v>
      </c>
      <c r="BQ22" t="e">
        <f>AND('Data Analysis'!T2,"AAAAAC5n+0Q=")</f>
        <v>#VALUE!</v>
      </c>
      <c r="BR22" t="e">
        <f>AND('Data Analysis'!U2,"AAAAAC5n+0U=")</f>
        <v>#VALUE!</v>
      </c>
      <c r="BS22" t="e">
        <f>AND('Data Analysis'!V2,"AAAAAC5n+0Y=")</f>
        <v>#VALUE!</v>
      </c>
      <c r="BT22" t="e">
        <f>AND('Data Analysis'!W2,"AAAAAC5n+0c=")</f>
        <v>#VALUE!</v>
      </c>
      <c r="BU22">
        <f>IF('Data Analysis'!3:3,"AAAAAC5n+0g=",0)</f>
        <v>0</v>
      </c>
      <c r="BV22" t="e">
        <f>AND('Data Analysis'!A3,"AAAAAC5n+0k=")</f>
        <v>#VALUE!</v>
      </c>
      <c r="BW22" t="e">
        <f>AND('Data Analysis'!B3,"AAAAAC5n+0o=")</f>
        <v>#VALUE!</v>
      </c>
      <c r="BX22" t="e">
        <f>AND('Data Analysis'!C3,"AAAAAC5n+0s=")</f>
        <v>#VALUE!</v>
      </c>
      <c r="BY22" t="e">
        <f>AND('Data Analysis'!D3,"AAAAAC5n+0w=")</f>
        <v>#VALUE!</v>
      </c>
      <c r="BZ22" t="e">
        <f>AND('Data Analysis'!E3,"AAAAAC5n+00=")</f>
        <v>#VALUE!</v>
      </c>
      <c r="CA22" t="e">
        <f>AND('Data Analysis'!F3,"AAAAAC5n+04=")</f>
        <v>#VALUE!</v>
      </c>
      <c r="CB22" t="e">
        <f>AND('Data Analysis'!G3,"AAAAAC5n+08=")</f>
        <v>#VALUE!</v>
      </c>
      <c r="CC22" t="e">
        <f>AND('Data Analysis'!H3,"AAAAAC5n+1A=")</f>
        <v>#VALUE!</v>
      </c>
      <c r="CD22" t="e">
        <f>AND('Data Analysis'!I3,"AAAAAC5n+1E=")</f>
        <v>#VALUE!</v>
      </c>
      <c r="CE22" t="e">
        <f>AND('Data Analysis'!J3,"AAAAAC5n+1I=")</f>
        <v>#VALUE!</v>
      </c>
      <c r="CF22" t="e">
        <f>AND('Data Analysis'!K3,"AAAAAC5n+1M=")</f>
        <v>#VALUE!</v>
      </c>
      <c r="CG22" t="e">
        <f>AND('Data Analysis'!L3,"AAAAAC5n+1Q=")</f>
        <v>#VALUE!</v>
      </c>
      <c r="CH22" t="e">
        <f>AND('Data Analysis'!M3,"AAAAAC5n+1U=")</f>
        <v>#VALUE!</v>
      </c>
      <c r="CI22" t="e">
        <f>AND('Data Analysis'!N3,"AAAAAC5n+1Y=")</f>
        <v>#VALUE!</v>
      </c>
      <c r="CJ22" t="e">
        <f>AND('Data Analysis'!O3,"AAAAAC5n+1c=")</f>
        <v>#VALUE!</v>
      </c>
      <c r="CK22" t="e">
        <f>AND('Data Analysis'!P3,"AAAAAC5n+1g=")</f>
        <v>#VALUE!</v>
      </c>
      <c r="CL22" t="e">
        <f>AND('Data Analysis'!Q3,"AAAAAC5n+1k=")</f>
        <v>#VALUE!</v>
      </c>
      <c r="CM22" t="e">
        <f>AND('Data Analysis'!R3,"AAAAAC5n+1o=")</f>
        <v>#VALUE!</v>
      </c>
      <c r="CN22" t="e">
        <f>AND('Data Analysis'!S3,"AAAAAC5n+1s=")</f>
        <v>#VALUE!</v>
      </c>
      <c r="CO22" t="e">
        <f>AND('Data Analysis'!T3,"AAAAAC5n+1w=")</f>
        <v>#VALUE!</v>
      </c>
      <c r="CP22" t="e">
        <f>AND('Data Analysis'!U3,"AAAAAC5n+10=")</f>
        <v>#VALUE!</v>
      </c>
      <c r="CQ22" t="e">
        <f>AND('Data Analysis'!V3,"AAAAAC5n+14=")</f>
        <v>#VALUE!</v>
      </c>
      <c r="CR22" t="e">
        <f>AND('Data Analysis'!W3,"AAAAAC5n+18=")</f>
        <v>#VALUE!</v>
      </c>
      <c r="CS22">
        <f>IF('Data Analysis'!4:4,"AAAAAC5n+2A=",0)</f>
        <v>0</v>
      </c>
      <c r="CT22" t="e">
        <f>AND('Data Analysis'!A4,"AAAAAC5n+2E=")</f>
        <v>#VALUE!</v>
      </c>
      <c r="CU22" t="e">
        <f>AND('Data Analysis'!B4,"AAAAAC5n+2I=")</f>
        <v>#VALUE!</v>
      </c>
      <c r="CV22" t="e">
        <f>AND('Data Analysis'!C4,"AAAAAC5n+2M=")</f>
        <v>#VALUE!</v>
      </c>
      <c r="CW22" t="e">
        <f>AND('Data Analysis'!D4,"AAAAAC5n+2Q=")</f>
        <v>#VALUE!</v>
      </c>
      <c r="CX22" t="e">
        <f>AND('Data Analysis'!E4,"AAAAAC5n+2U=")</f>
        <v>#VALUE!</v>
      </c>
      <c r="CY22" t="e">
        <f>AND('Data Analysis'!F4,"AAAAAC5n+2Y=")</f>
        <v>#VALUE!</v>
      </c>
      <c r="CZ22" t="e">
        <f>AND('Data Analysis'!G4,"AAAAAC5n+2c=")</f>
        <v>#VALUE!</v>
      </c>
      <c r="DA22" t="e">
        <f>AND('Data Analysis'!H4,"AAAAAC5n+2g=")</f>
        <v>#VALUE!</v>
      </c>
      <c r="DB22" t="e">
        <f>AND('Data Analysis'!I4,"AAAAAC5n+2k=")</f>
        <v>#VALUE!</v>
      </c>
      <c r="DC22" t="e">
        <f>AND('Data Analysis'!J4,"AAAAAC5n+2o=")</f>
        <v>#VALUE!</v>
      </c>
      <c r="DD22" t="e">
        <f>AND('Data Analysis'!K4,"AAAAAC5n+2s=")</f>
        <v>#VALUE!</v>
      </c>
      <c r="DE22" t="e">
        <f>AND('Data Analysis'!L4,"AAAAAC5n+2w=")</f>
        <v>#VALUE!</v>
      </c>
      <c r="DF22" t="e">
        <f>AND('Data Analysis'!M4,"AAAAAC5n+20=")</f>
        <v>#VALUE!</v>
      </c>
      <c r="DG22" t="e">
        <f>AND('Data Analysis'!N4,"AAAAAC5n+24=")</f>
        <v>#VALUE!</v>
      </c>
      <c r="DH22" t="e">
        <f>AND('Data Analysis'!O4,"AAAAAC5n+28=")</f>
        <v>#VALUE!</v>
      </c>
      <c r="DI22" t="e">
        <f>AND('Data Analysis'!P4,"AAAAAC5n+3A=")</f>
        <v>#VALUE!</v>
      </c>
      <c r="DJ22" t="e">
        <f>AND('Data Analysis'!Q4,"AAAAAC5n+3E=")</f>
        <v>#VALUE!</v>
      </c>
      <c r="DK22" t="e">
        <f>AND('Data Analysis'!R4,"AAAAAC5n+3I=")</f>
        <v>#VALUE!</v>
      </c>
      <c r="DL22" t="e">
        <f>AND('Data Analysis'!S4,"AAAAAC5n+3M=")</f>
        <v>#VALUE!</v>
      </c>
      <c r="DM22" t="e">
        <f>AND('Data Analysis'!T4,"AAAAAC5n+3Q=")</f>
        <v>#VALUE!</v>
      </c>
      <c r="DN22" t="e">
        <f>AND('Data Analysis'!U4,"AAAAAC5n+3U=")</f>
        <v>#VALUE!</v>
      </c>
      <c r="DO22" t="e">
        <f>AND('Data Analysis'!V4,"AAAAAC5n+3Y=")</f>
        <v>#VALUE!</v>
      </c>
      <c r="DP22" t="e">
        <f>AND('Data Analysis'!W4,"AAAAAC5n+3c=")</f>
        <v>#VALUE!</v>
      </c>
      <c r="DQ22">
        <f>IF('Data Analysis'!5:5,"AAAAAC5n+3g=",0)</f>
        <v>0</v>
      </c>
      <c r="DR22" t="e">
        <f>AND('Data Analysis'!A5,"AAAAAC5n+3k=")</f>
        <v>#VALUE!</v>
      </c>
      <c r="DS22" t="e">
        <f>AND('Data Analysis'!B5,"AAAAAC5n+3o=")</f>
        <v>#VALUE!</v>
      </c>
      <c r="DT22" t="e">
        <f>AND('Data Analysis'!C5,"AAAAAC5n+3s=")</f>
        <v>#VALUE!</v>
      </c>
      <c r="DU22" t="e">
        <f>AND('Data Analysis'!D5,"AAAAAC5n+3w=")</f>
        <v>#VALUE!</v>
      </c>
      <c r="DV22" t="e">
        <f>AND('Data Analysis'!E5,"AAAAAC5n+30=")</f>
        <v>#VALUE!</v>
      </c>
      <c r="DW22" t="e">
        <f>AND('Data Analysis'!F5,"AAAAAC5n+34=")</f>
        <v>#VALUE!</v>
      </c>
      <c r="DX22" t="e">
        <f>AND('Data Analysis'!G5,"AAAAAC5n+38=")</f>
        <v>#VALUE!</v>
      </c>
      <c r="DY22" t="e">
        <f>AND('Data Analysis'!H5,"AAAAAC5n+4A=")</f>
        <v>#VALUE!</v>
      </c>
      <c r="DZ22" t="e">
        <f>AND('Data Analysis'!I5,"AAAAAC5n+4E=")</f>
        <v>#VALUE!</v>
      </c>
      <c r="EA22" t="e">
        <f>AND('Data Analysis'!J5,"AAAAAC5n+4I=")</f>
        <v>#VALUE!</v>
      </c>
      <c r="EB22" t="e">
        <f>AND('Data Analysis'!K5,"AAAAAC5n+4M=")</f>
        <v>#VALUE!</v>
      </c>
      <c r="EC22" t="e">
        <f>AND('Data Analysis'!L5,"AAAAAC5n+4Q=")</f>
        <v>#VALUE!</v>
      </c>
      <c r="ED22" t="e">
        <f>AND('Data Analysis'!M5,"AAAAAC5n+4U=")</f>
        <v>#VALUE!</v>
      </c>
      <c r="EE22" t="e">
        <f>AND('Data Analysis'!N5,"AAAAAC5n+4Y=")</f>
        <v>#VALUE!</v>
      </c>
      <c r="EF22" t="e">
        <f>AND('Data Analysis'!O5,"AAAAAC5n+4c=")</f>
        <v>#VALUE!</v>
      </c>
      <c r="EG22" t="e">
        <f>AND('Data Analysis'!P5,"AAAAAC5n+4g=")</f>
        <v>#VALUE!</v>
      </c>
      <c r="EH22" t="e">
        <f>AND('Data Analysis'!Q5,"AAAAAC5n+4k=")</f>
        <v>#VALUE!</v>
      </c>
      <c r="EI22" t="e">
        <f>AND('Data Analysis'!R5,"AAAAAC5n+4o=")</f>
        <v>#VALUE!</v>
      </c>
      <c r="EJ22" t="e">
        <f>AND('Data Analysis'!S5,"AAAAAC5n+4s=")</f>
        <v>#VALUE!</v>
      </c>
      <c r="EK22" t="e">
        <f>AND('Data Analysis'!T5,"AAAAAC5n+4w=")</f>
        <v>#VALUE!</v>
      </c>
      <c r="EL22" t="e">
        <f>AND('Data Analysis'!U5,"AAAAAC5n+40=")</f>
        <v>#VALUE!</v>
      </c>
      <c r="EM22" t="e">
        <f>AND('Data Analysis'!V5,"AAAAAC5n+44=")</f>
        <v>#VALUE!</v>
      </c>
      <c r="EN22" t="e">
        <f>AND('Data Analysis'!W5,"AAAAAC5n+48=")</f>
        <v>#VALUE!</v>
      </c>
      <c r="EO22">
        <f>IF('Data Analysis'!6:6,"AAAAAC5n+5A=",0)</f>
        <v>0</v>
      </c>
      <c r="EP22" t="e">
        <f>AND('Data Analysis'!A6,"AAAAAC5n+5E=")</f>
        <v>#VALUE!</v>
      </c>
      <c r="EQ22" t="e">
        <f>AND('Data Analysis'!B6,"AAAAAC5n+5I=")</f>
        <v>#VALUE!</v>
      </c>
      <c r="ER22" t="e">
        <f>AND('Data Analysis'!C6,"AAAAAC5n+5M=")</f>
        <v>#VALUE!</v>
      </c>
      <c r="ES22" t="e">
        <f>AND('Data Analysis'!D6,"AAAAAC5n+5Q=")</f>
        <v>#VALUE!</v>
      </c>
      <c r="ET22" t="e">
        <f>AND('Data Analysis'!E6,"AAAAAC5n+5U=")</f>
        <v>#VALUE!</v>
      </c>
      <c r="EU22" t="e">
        <f>AND('Data Analysis'!F6,"AAAAAC5n+5Y=")</f>
        <v>#VALUE!</v>
      </c>
      <c r="EV22" t="e">
        <f>AND('Data Analysis'!G6,"AAAAAC5n+5c=")</f>
        <v>#VALUE!</v>
      </c>
      <c r="EW22" t="e">
        <f>AND('Data Analysis'!H6,"AAAAAC5n+5g=")</f>
        <v>#VALUE!</v>
      </c>
      <c r="EX22" t="e">
        <f>AND('Data Analysis'!I6,"AAAAAC5n+5k=")</f>
        <v>#VALUE!</v>
      </c>
      <c r="EY22" t="e">
        <f>AND('Data Analysis'!J6,"AAAAAC5n+5o=")</f>
        <v>#VALUE!</v>
      </c>
      <c r="EZ22" t="e">
        <f>AND('Data Analysis'!K6,"AAAAAC5n+5s=")</f>
        <v>#VALUE!</v>
      </c>
      <c r="FA22" t="e">
        <f>AND('Data Analysis'!L6,"AAAAAC5n+5w=")</f>
        <v>#VALUE!</v>
      </c>
      <c r="FB22" t="e">
        <f>AND('Data Analysis'!M6,"AAAAAC5n+50=")</f>
        <v>#VALUE!</v>
      </c>
      <c r="FC22" t="e">
        <f>AND('Data Analysis'!N6,"AAAAAC5n+54=")</f>
        <v>#VALUE!</v>
      </c>
      <c r="FD22" t="e">
        <f>AND('Data Analysis'!O6,"AAAAAC5n+58=")</f>
        <v>#VALUE!</v>
      </c>
      <c r="FE22" t="e">
        <f>AND('Data Analysis'!P6,"AAAAAC5n+6A=")</f>
        <v>#VALUE!</v>
      </c>
      <c r="FF22" t="e">
        <f>AND('Data Analysis'!Q6,"AAAAAC5n+6E=")</f>
        <v>#VALUE!</v>
      </c>
      <c r="FG22" t="e">
        <f>AND('Data Analysis'!R6,"AAAAAC5n+6I=")</f>
        <v>#VALUE!</v>
      </c>
      <c r="FH22" t="e">
        <f>AND('Data Analysis'!S6,"AAAAAC5n+6M=")</f>
        <v>#VALUE!</v>
      </c>
      <c r="FI22" t="e">
        <f>AND('Data Analysis'!T6,"AAAAAC5n+6Q=")</f>
        <v>#VALUE!</v>
      </c>
      <c r="FJ22" t="e">
        <f>AND('Data Analysis'!U6,"AAAAAC5n+6U=")</f>
        <v>#VALUE!</v>
      </c>
      <c r="FK22" t="e">
        <f>AND('Data Analysis'!V6,"AAAAAC5n+6Y=")</f>
        <v>#VALUE!</v>
      </c>
      <c r="FL22" t="e">
        <f>AND('Data Analysis'!W6,"AAAAAC5n+6c=")</f>
        <v>#VALUE!</v>
      </c>
      <c r="FM22">
        <f>IF('Data Analysis'!7:7,"AAAAAC5n+6g=",0)</f>
        <v>0</v>
      </c>
      <c r="FN22" t="e">
        <f>AND('Data Analysis'!A7,"AAAAAC5n+6k=")</f>
        <v>#VALUE!</v>
      </c>
      <c r="FO22" t="e">
        <f>AND('Data Analysis'!B7,"AAAAAC5n+6o=")</f>
        <v>#VALUE!</v>
      </c>
      <c r="FP22" t="e">
        <f>AND('Data Analysis'!C7,"AAAAAC5n+6s=")</f>
        <v>#VALUE!</v>
      </c>
      <c r="FQ22" t="e">
        <f>AND('Data Analysis'!D7,"AAAAAC5n+6w=")</f>
        <v>#VALUE!</v>
      </c>
      <c r="FR22" t="e">
        <f>AND('Data Analysis'!E7,"AAAAAC5n+60=")</f>
        <v>#VALUE!</v>
      </c>
      <c r="FS22" t="e">
        <f>AND('Data Analysis'!F7,"AAAAAC5n+64=")</f>
        <v>#VALUE!</v>
      </c>
      <c r="FT22" t="e">
        <f>AND('Data Analysis'!G7,"AAAAAC5n+68=")</f>
        <v>#VALUE!</v>
      </c>
      <c r="FU22" t="e">
        <f>AND('Data Analysis'!H7,"AAAAAC5n+7A=")</f>
        <v>#VALUE!</v>
      </c>
      <c r="FV22" t="e">
        <f>AND('Data Analysis'!I7,"AAAAAC5n+7E=")</f>
        <v>#VALUE!</v>
      </c>
      <c r="FW22" t="e">
        <f>AND('Data Analysis'!J7,"AAAAAC5n+7I=")</f>
        <v>#VALUE!</v>
      </c>
      <c r="FX22" t="e">
        <f>AND('Data Analysis'!K7,"AAAAAC5n+7M=")</f>
        <v>#VALUE!</v>
      </c>
      <c r="FY22" t="e">
        <f>AND('Data Analysis'!L7,"AAAAAC5n+7Q=")</f>
        <v>#VALUE!</v>
      </c>
      <c r="FZ22" t="e">
        <f>AND('Data Analysis'!M7,"AAAAAC5n+7U=")</f>
        <v>#VALUE!</v>
      </c>
      <c r="GA22" t="e">
        <f>AND('Data Analysis'!N7,"AAAAAC5n+7Y=")</f>
        <v>#VALUE!</v>
      </c>
      <c r="GB22" t="e">
        <f>AND('Data Analysis'!O7,"AAAAAC5n+7c=")</f>
        <v>#VALUE!</v>
      </c>
      <c r="GC22" t="e">
        <f>AND('Data Analysis'!P7,"AAAAAC5n+7g=")</f>
        <v>#VALUE!</v>
      </c>
      <c r="GD22" t="e">
        <f>AND('Data Analysis'!Q7,"AAAAAC5n+7k=")</f>
        <v>#VALUE!</v>
      </c>
      <c r="GE22" t="e">
        <f>AND('Data Analysis'!R7,"AAAAAC5n+7o=")</f>
        <v>#VALUE!</v>
      </c>
      <c r="GF22" t="e">
        <f>AND('Data Analysis'!S7,"AAAAAC5n+7s=")</f>
        <v>#VALUE!</v>
      </c>
      <c r="GG22" t="e">
        <f>AND('Data Analysis'!T7,"AAAAAC5n+7w=")</f>
        <v>#VALUE!</v>
      </c>
      <c r="GH22" t="e">
        <f>AND('Data Analysis'!U7,"AAAAAC5n+70=")</f>
        <v>#VALUE!</v>
      </c>
      <c r="GI22" t="e">
        <f>AND('Data Analysis'!V7,"AAAAAC5n+74=")</f>
        <v>#VALUE!</v>
      </c>
      <c r="GJ22" t="e">
        <f>AND('Data Analysis'!W7,"AAAAAC5n+78=")</f>
        <v>#VALUE!</v>
      </c>
      <c r="GK22">
        <f>IF('Data Analysis'!8:8,"AAAAAC5n+8A=",0)</f>
        <v>0</v>
      </c>
      <c r="GL22" t="e">
        <f>AND('Data Analysis'!A8,"AAAAAC5n+8E=")</f>
        <v>#VALUE!</v>
      </c>
      <c r="GM22" t="e">
        <f>AND('Data Analysis'!B8,"AAAAAC5n+8I=")</f>
        <v>#VALUE!</v>
      </c>
      <c r="GN22" t="e">
        <f>AND('Data Analysis'!C8,"AAAAAC5n+8M=")</f>
        <v>#VALUE!</v>
      </c>
      <c r="GO22" t="e">
        <f>AND('Data Analysis'!D8,"AAAAAC5n+8Q=")</f>
        <v>#VALUE!</v>
      </c>
      <c r="GP22" t="e">
        <f>AND('Data Analysis'!E8,"AAAAAC5n+8U=")</f>
        <v>#VALUE!</v>
      </c>
      <c r="GQ22" t="e">
        <f>AND('Data Analysis'!F8,"AAAAAC5n+8Y=")</f>
        <v>#VALUE!</v>
      </c>
      <c r="GR22" t="e">
        <f>AND('Data Analysis'!G8,"AAAAAC5n+8c=")</f>
        <v>#VALUE!</v>
      </c>
      <c r="GS22" t="e">
        <f>AND('Data Analysis'!H8,"AAAAAC5n+8g=")</f>
        <v>#VALUE!</v>
      </c>
      <c r="GT22" t="e">
        <f>AND('Data Analysis'!I8,"AAAAAC5n+8k=")</f>
        <v>#VALUE!</v>
      </c>
      <c r="GU22" t="e">
        <f>AND('Data Analysis'!J8,"AAAAAC5n+8o=")</f>
        <v>#VALUE!</v>
      </c>
      <c r="GV22" t="e">
        <f>AND('Data Analysis'!K8,"AAAAAC5n+8s=")</f>
        <v>#VALUE!</v>
      </c>
      <c r="GW22" t="e">
        <f>AND('Data Analysis'!L8,"AAAAAC5n+8w=")</f>
        <v>#VALUE!</v>
      </c>
      <c r="GX22" t="e">
        <f>AND('Data Analysis'!M8,"AAAAAC5n+80=")</f>
        <v>#VALUE!</v>
      </c>
      <c r="GY22" t="e">
        <f>AND('Data Analysis'!N8,"AAAAAC5n+84=")</f>
        <v>#VALUE!</v>
      </c>
      <c r="GZ22" t="e">
        <f>AND('Data Analysis'!O8,"AAAAAC5n+88=")</f>
        <v>#VALUE!</v>
      </c>
      <c r="HA22" t="e">
        <f>AND('Data Analysis'!P8,"AAAAAC5n+9A=")</f>
        <v>#VALUE!</v>
      </c>
      <c r="HB22" t="e">
        <f>AND('Data Analysis'!Q8,"AAAAAC5n+9E=")</f>
        <v>#VALUE!</v>
      </c>
      <c r="HC22" t="e">
        <f>AND('Data Analysis'!R8,"AAAAAC5n+9I=")</f>
        <v>#VALUE!</v>
      </c>
      <c r="HD22" t="e">
        <f>AND('Data Analysis'!S8,"AAAAAC5n+9M=")</f>
        <v>#VALUE!</v>
      </c>
      <c r="HE22" t="e">
        <f>AND('Data Analysis'!T8,"AAAAAC5n+9Q=")</f>
        <v>#VALUE!</v>
      </c>
      <c r="HF22" t="e">
        <f>AND('Data Analysis'!U8,"AAAAAC5n+9U=")</f>
        <v>#VALUE!</v>
      </c>
      <c r="HG22" t="e">
        <f>AND('Data Analysis'!V8,"AAAAAC5n+9Y=")</f>
        <v>#VALUE!</v>
      </c>
      <c r="HH22" t="e">
        <f>AND('Data Analysis'!W8,"AAAAAC5n+9c=")</f>
        <v>#VALUE!</v>
      </c>
      <c r="HI22">
        <f>IF('Data Analysis'!9:9,"AAAAAC5n+9g=",0)</f>
        <v>0</v>
      </c>
      <c r="HJ22" t="e">
        <f>AND('Data Analysis'!A9,"AAAAAC5n+9k=")</f>
        <v>#VALUE!</v>
      </c>
      <c r="HK22" t="e">
        <f>AND('Data Analysis'!B9,"AAAAAC5n+9o=")</f>
        <v>#VALUE!</v>
      </c>
      <c r="HL22" t="e">
        <f>AND('Data Analysis'!C9,"AAAAAC5n+9s=")</f>
        <v>#VALUE!</v>
      </c>
      <c r="HM22" t="e">
        <f>AND('Data Analysis'!D9,"AAAAAC5n+9w=")</f>
        <v>#VALUE!</v>
      </c>
      <c r="HN22" t="e">
        <f>AND('Data Analysis'!E9,"AAAAAC5n+90=")</f>
        <v>#VALUE!</v>
      </c>
      <c r="HO22" t="e">
        <f>AND('Data Analysis'!F9,"AAAAAC5n+94=")</f>
        <v>#VALUE!</v>
      </c>
      <c r="HP22" t="e">
        <f>AND('Data Analysis'!G9,"AAAAAC5n+98=")</f>
        <v>#VALUE!</v>
      </c>
      <c r="HQ22" t="e">
        <f>AND('Data Analysis'!H9,"AAAAAC5n++A=")</f>
        <v>#VALUE!</v>
      </c>
      <c r="HR22" t="e">
        <f>AND('Data Analysis'!I9,"AAAAAC5n++E=")</f>
        <v>#VALUE!</v>
      </c>
      <c r="HS22" t="e">
        <f>AND('Data Analysis'!J9,"AAAAAC5n++I=")</f>
        <v>#VALUE!</v>
      </c>
      <c r="HT22" t="e">
        <f>AND('Data Analysis'!K9,"AAAAAC5n++M=")</f>
        <v>#VALUE!</v>
      </c>
      <c r="HU22" t="e">
        <f>AND('Data Analysis'!L9,"AAAAAC5n++Q=")</f>
        <v>#VALUE!</v>
      </c>
      <c r="HV22" t="e">
        <f>AND('Data Analysis'!M9,"AAAAAC5n++U=")</f>
        <v>#VALUE!</v>
      </c>
      <c r="HW22" t="e">
        <f>AND('Data Analysis'!N9,"AAAAAC5n++Y=")</f>
        <v>#VALUE!</v>
      </c>
      <c r="HX22" t="e">
        <f>AND('Data Analysis'!O9,"AAAAAC5n++c=")</f>
        <v>#VALUE!</v>
      </c>
      <c r="HY22" t="e">
        <f>AND('Data Analysis'!P9,"AAAAAC5n++g=")</f>
        <v>#VALUE!</v>
      </c>
      <c r="HZ22" t="e">
        <f>AND('Data Analysis'!Q9,"AAAAAC5n++k=")</f>
        <v>#VALUE!</v>
      </c>
      <c r="IA22" t="e">
        <f>AND('Data Analysis'!R9,"AAAAAC5n++o=")</f>
        <v>#VALUE!</v>
      </c>
      <c r="IB22" t="e">
        <f>AND('Data Analysis'!S9,"AAAAAC5n++s=")</f>
        <v>#VALUE!</v>
      </c>
      <c r="IC22" t="e">
        <f>AND('Data Analysis'!T9,"AAAAAC5n++w=")</f>
        <v>#VALUE!</v>
      </c>
      <c r="ID22" t="e">
        <f>AND('Data Analysis'!U9,"AAAAAC5n++0=")</f>
        <v>#VALUE!</v>
      </c>
      <c r="IE22" t="e">
        <f>AND('Data Analysis'!V9,"AAAAAC5n++4=")</f>
        <v>#VALUE!</v>
      </c>
      <c r="IF22" t="e">
        <f>AND('Data Analysis'!W9,"AAAAAC5n++8=")</f>
        <v>#VALUE!</v>
      </c>
      <c r="IG22">
        <f>IF('Data Analysis'!10:10,"AAAAAC5n+/A=",0)</f>
        <v>0</v>
      </c>
      <c r="IH22" t="e">
        <f>AND('Data Analysis'!A10,"AAAAAC5n+/E=")</f>
        <v>#VALUE!</v>
      </c>
      <c r="II22" t="e">
        <f>AND('Data Analysis'!B10,"AAAAAC5n+/I=")</f>
        <v>#VALUE!</v>
      </c>
      <c r="IJ22" t="e">
        <f>AND('Data Analysis'!C10,"AAAAAC5n+/M=")</f>
        <v>#VALUE!</v>
      </c>
      <c r="IK22" t="e">
        <f>AND('Data Analysis'!D10,"AAAAAC5n+/Q=")</f>
        <v>#VALUE!</v>
      </c>
      <c r="IL22" t="e">
        <f>AND('Data Analysis'!E10,"AAAAAC5n+/U=")</f>
        <v>#VALUE!</v>
      </c>
      <c r="IM22" t="e">
        <f>AND('Data Analysis'!F10,"AAAAAC5n+/Y=")</f>
        <v>#VALUE!</v>
      </c>
      <c r="IN22" t="e">
        <f>AND('Data Analysis'!G10,"AAAAAC5n+/c=")</f>
        <v>#VALUE!</v>
      </c>
      <c r="IO22" t="e">
        <f>AND('Data Analysis'!H10,"AAAAAC5n+/g=")</f>
        <v>#VALUE!</v>
      </c>
      <c r="IP22" t="e">
        <f>AND('Data Analysis'!I10,"AAAAAC5n+/k=")</f>
        <v>#VALUE!</v>
      </c>
      <c r="IQ22" t="e">
        <f>AND('Data Analysis'!J10,"AAAAAC5n+/o=")</f>
        <v>#VALUE!</v>
      </c>
      <c r="IR22" t="e">
        <f>AND('Data Analysis'!K10,"AAAAAC5n+/s=")</f>
        <v>#VALUE!</v>
      </c>
      <c r="IS22" t="e">
        <f>AND('Data Analysis'!L10,"AAAAAC5n+/w=")</f>
        <v>#VALUE!</v>
      </c>
      <c r="IT22" t="e">
        <f>AND('Data Analysis'!M10,"AAAAAC5n+/0=")</f>
        <v>#VALUE!</v>
      </c>
      <c r="IU22" t="e">
        <f>AND('Data Analysis'!N10,"AAAAAC5n+/4=")</f>
        <v>#VALUE!</v>
      </c>
      <c r="IV22" t="e">
        <f>AND('Data Analysis'!O10,"AAAAAC5n+/8=")</f>
        <v>#VALUE!</v>
      </c>
    </row>
    <row r="23" spans="1:256" x14ac:dyDescent="0.2">
      <c r="A23" t="e">
        <f>AND('Data Analysis'!P10,"AAAAAG/apQA=")</f>
        <v>#VALUE!</v>
      </c>
      <c r="B23" t="e">
        <f>AND('Data Analysis'!Q10,"AAAAAG/apQE=")</f>
        <v>#VALUE!</v>
      </c>
      <c r="C23" t="e">
        <f>AND('Data Analysis'!R10,"AAAAAG/apQI=")</f>
        <v>#VALUE!</v>
      </c>
      <c r="D23" t="e">
        <f>AND('Data Analysis'!S10,"AAAAAG/apQM=")</f>
        <v>#VALUE!</v>
      </c>
      <c r="E23" t="e">
        <f>AND('Data Analysis'!T10,"AAAAAG/apQQ=")</f>
        <v>#VALUE!</v>
      </c>
      <c r="F23" t="e">
        <f>AND('Data Analysis'!U10,"AAAAAG/apQU=")</f>
        <v>#VALUE!</v>
      </c>
      <c r="G23" t="e">
        <f>AND('Data Analysis'!V10,"AAAAAG/apQY=")</f>
        <v>#VALUE!</v>
      </c>
      <c r="H23" t="e">
        <f>AND('Data Analysis'!W10,"AAAAAG/apQc=")</f>
        <v>#VALUE!</v>
      </c>
      <c r="I23" t="str">
        <f>IF('Data Analysis'!11:11,"AAAAAG/apQg=",0)</f>
        <v>AAAAAG/apQg=</v>
      </c>
      <c r="J23" t="e">
        <f>AND('Data Analysis'!A11,"AAAAAG/apQk=")</f>
        <v>#VALUE!</v>
      </c>
      <c r="K23" t="e">
        <f>AND('Data Analysis'!B11,"AAAAAG/apQo=")</f>
        <v>#VALUE!</v>
      </c>
      <c r="L23" t="e">
        <f>AND('Data Analysis'!C11,"AAAAAG/apQs=")</f>
        <v>#VALUE!</v>
      </c>
      <c r="M23" t="e">
        <f>AND('Data Analysis'!D11,"AAAAAG/apQw=")</f>
        <v>#VALUE!</v>
      </c>
      <c r="N23" t="e">
        <f>AND('Data Analysis'!E11,"AAAAAG/apQ0=")</f>
        <v>#VALUE!</v>
      </c>
      <c r="O23" t="e">
        <f>AND('Data Analysis'!F11,"AAAAAG/apQ4=")</f>
        <v>#VALUE!</v>
      </c>
      <c r="P23" t="e">
        <f>AND('Data Analysis'!G11,"AAAAAG/apQ8=")</f>
        <v>#VALUE!</v>
      </c>
      <c r="Q23" t="e">
        <f>AND('Data Analysis'!H11,"AAAAAG/apRA=")</f>
        <v>#VALUE!</v>
      </c>
      <c r="R23" t="e">
        <f>AND('Data Analysis'!I11,"AAAAAG/apRE=")</f>
        <v>#VALUE!</v>
      </c>
      <c r="S23" t="e">
        <f>AND('Data Analysis'!J11,"AAAAAG/apRI=")</f>
        <v>#VALUE!</v>
      </c>
      <c r="T23" t="e">
        <f>AND('Data Analysis'!K11,"AAAAAG/apRM=")</f>
        <v>#VALUE!</v>
      </c>
      <c r="U23" t="e">
        <f>AND('Data Analysis'!L11,"AAAAAG/apRQ=")</f>
        <v>#VALUE!</v>
      </c>
      <c r="V23" t="e">
        <f>AND('Data Analysis'!M11,"AAAAAG/apRU=")</f>
        <v>#VALUE!</v>
      </c>
      <c r="W23" t="e">
        <f>AND('Data Analysis'!N11,"AAAAAG/apRY=")</f>
        <v>#VALUE!</v>
      </c>
      <c r="X23" t="e">
        <f>AND('Data Analysis'!O11,"AAAAAG/apRc=")</f>
        <v>#VALUE!</v>
      </c>
      <c r="Y23" t="e">
        <f>AND('Data Analysis'!P11,"AAAAAG/apRg=")</f>
        <v>#VALUE!</v>
      </c>
      <c r="Z23" t="e">
        <f>AND('Data Analysis'!Q11,"AAAAAG/apRk=")</f>
        <v>#VALUE!</v>
      </c>
      <c r="AA23" t="e">
        <f>AND('Data Analysis'!R11,"AAAAAG/apRo=")</f>
        <v>#VALUE!</v>
      </c>
      <c r="AB23" t="e">
        <f>AND('Data Analysis'!S11,"AAAAAG/apRs=")</f>
        <v>#VALUE!</v>
      </c>
      <c r="AC23" t="e">
        <f>AND('Data Analysis'!T11,"AAAAAG/apRw=")</f>
        <v>#VALUE!</v>
      </c>
      <c r="AD23" t="e">
        <f>AND('Data Analysis'!U11,"AAAAAG/apR0=")</f>
        <v>#VALUE!</v>
      </c>
      <c r="AE23" t="e">
        <f>AND('Data Analysis'!V11,"AAAAAG/apR4=")</f>
        <v>#VALUE!</v>
      </c>
      <c r="AF23" t="e">
        <f>AND('Data Analysis'!W11,"AAAAAG/apR8=")</f>
        <v>#VALUE!</v>
      </c>
      <c r="AG23">
        <f>IF('Data Analysis'!12:12,"AAAAAG/apSA=",0)</f>
        <v>0</v>
      </c>
      <c r="AH23" t="e">
        <f>AND('Data Analysis'!A12,"AAAAAG/apSE=")</f>
        <v>#VALUE!</v>
      </c>
      <c r="AI23" t="e">
        <f>AND('Data Analysis'!B12,"AAAAAG/apSI=")</f>
        <v>#VALUE!</v>
      </c>
      <c r="AJ23" t="e">
        <f>AND('Data Analysis'!C12,"AAAAAG/apSM=")</f>
        <v>#VALUE!</v>
      </c>
      <c r="AK23" t="e">
        <f>AND('Data Analysis'!D12,"AAAAAG/apSQ=")</f>
        <v>#VALUE!</v>
      </c>
      <c r="AL23" t="e">
        <f>AND('Data Analysis'!E12,"AAAAAG/apSU=")</f>
        <v>#VALUE!</v>
      </c>
      <c r="AM23" t="e">
        <f>AND('Data Analysis'!F12,"AAAAAG/apSY=")</f>
        <v>#VALUE!</v>
      </c>
      <c r="AN23" t="e">
        <f>AND('Data Analysis'!G12,"AAAAAG/apSc=")</f>
        <v>#VALUE!</v>
      </c>
      <c r="AO23" t="e">
        <f>AND('Data Analysis'!H12,"AAAAAG/apSg=")</f>
        <v>#VALUE!</v>
      </c>
      <c r="AP23" t="e">
        <f>AND('Data Analysis'!I12,"AAAAAG/apSk=")</f>
        <v>#VALUE!</v>
      </c>
      <c r="AQ23" t="e">
        <f>AND('Data Analysis'!J12,"AAAAAG/apSo=")</f>
        <v>#VALUE!</v>
      </c>
      <c r="AR23" t="e">
        <f>AND('Data Analysis'!K12,"AAAAAG/apSs=")</f>
        <v>#VALUE!</v>
      </c>
      <c r="AS23" t="e">
        <f>AND('Data Analysis'!L12,"AAAAAG/apSw=")</f>
        <v>#VALUE!</v>
      </c>
      <c r="AT23" t="e">
        <f>AND('Data Analysis'!M12,"AAAAAG/apS0=")</f>
        <v>#VALUE!</v>
      </c>
      <c r="AU23" t="e">
        <f>AND('Data Analysis'!N12,"AAAAAG/apS4=")</f>
        <v>#VALUE!</v>
      </c>
      <c r="AV23" t="e">
        <f>AND('Data Analysis'!O12,"AAAAAG/apS8=")</f>
        <v>#VALUE!</v>
      </c>
      <c r="AW23" t="e">
        <f>AND('Data Analysis'!P12,"AAAAAG/apTA=")</f>
        <v>#VALUE!</v>
      </c>
      <c r="AX23" t="e">
        <f>AND('Data Analysis'!Q12,"AAAAAG/apTE=")</f>
        <v>#VALUE!</v>
      </c>
      <c r="AY23" t="e">
        <f>AND('Data Analysis'!R12,"AAAAAG/apTI=")</f>
        <v>#VALUE!</v>
      </c>
      <c r="AZ23" t="e">
        <f>AND('Data Analysis'!S12,"AAAAAG/apTM=")</f>
        <v>#VALUE!</v>
      </c>
      <c r="BA23" t="e">
        <f>AND('Data Analysis'!T12,"AAAAAG/apTQ=")</f>
        <v>#VALUE!</v>
      </c>
      <c r="BB23" t="e">
        <f>AND('Data Analysis'!U12,"AAAAAG/apTU=")</f>
        <v>#VALUE!</v>
      </c>
      <c r="BC23" t="e">
        <f>AND('Data Analysis'!V12,"AAAAAG/apTY=")</f>
        <v>#VALUE!</v>
      </c>
      <c r="BD23" t="e">
        <f>AND('Data Analysis'!W12,"AAAAAG/apTc=")</f>
        <v>#VALUE!</v>
      </c>
      <c r="BE23">
        <f>IF('Data Analysis'!13:13,"AAAAAG/apTg=",0)</f>
        <v>0</v>
      </c>
      <c r="BF23" t="e">
        <f>AND('Data Analysis'!A13,"AAAAAG/apTk=")</f>
        <v>#VALUE!</v>
      </c>
      <c r="BG23" t="e">
        <f>AND('Data Analysis'!B13,"AAAAAG/apTo=")</f>
        <v>#VALUE!</v>
      </c>
      <c r="BH23" t="e">
        <f>AND('Data Analysis'!C13,"AAAAAG/apTs=")</f>
        <v>#VALUE!</v>
      </c>
      <c r="BI23" t="e">
        <f>AND('Data Analysis'!D13,"AAAAAG/apTw=")</f>
        <v>#VALUE!</v>
      </c>
      <c r="BJ23" t="e">
        <f>AND('Data Analysis'!E13,"AAAAAG/apT0=")</f>
        <v>#VALUE!</v>
      </c>
      <c r="BK23" t="e">
        <f>AND('Data Analysis'!F13,"AAAAAG/apT4=")</f>
        <v>#VALUE!</v>
      </c>
      <c r="BL23" t="e">
        <f>AND('Data Analysis'!G13,"AAAAAG/apT8=")</f>
        <v>#VALUE!</v>
      </c>
      <c r="BM23" t="e">
        <f>AND('Data Analysis'!H13,"AAAAAG/apUA=")</f>
        <v>#VALUE!</v>
      </c>
      <c r="BN23" t="e">
        <f>AND('Data Analysis'!I13,"AAAAAG/apUE=")</f>
        <v>#VALUE!</v>
      </c>
      <c r="BO23" t="e">
        <f>AND('Data Analysis'!J13,"AAAAAG/apUI=")</f>
        <v>#VALUE!</v>
      </c>
      <c r="BP23" t="e">
        <f>AND('Data Analysis'!K13,"AAAAAG/apUM=")</f>
        <v>#VALUE!</v>
      </c>
      <c r="BQ23" t="e">
        <f>AND('Data Analysis'!L13,"AAAAAG/apUQ=")</f>
        <v>#VALUE!</v>
      </c>
      <c r="BR23" t="e">
        <f>AND('Data Analysis'!M13,"AAAAAG/apUU=")</f>
        <v>#VALUE!</v>
      </c>
      <c r="BS23" t="e">
        <f>AND('Data Analysis'!N13,"AAAAAG/apUY=")</f>
        <v>#VALUE!</v>
      </c>
      <c r="BT23" t="e">
        <f>AND('Data Analysis'!O13,"AAAAAG/apUc=")</f>
        <v>#VALUE!</v>
      </c>
      <c r="BU23" t="e">
        <f>AND('Data Analysis'!P13,"AAAAAG/apUg=")</f>
        <v>#VALUE!</v>
      </c>
      <c r="BV23" t="e">
        <f>AND('Data Analysis'!Q13,"AAAAAG/apUk=")</f>
        <v>#VALUE!</v>
      </c>
      <c r="BW23" t="e">
        <f>AND('Data Analysis'!R13,"AAAAAG/apUo=")</f>
        <v>#VALUE!</v>
      </c>
      <c r="BX23" t="e">
        <f>AND('Data Analysis'!S13,"AAAAAG/apUs=")</f>
        <v>#VALUE!</v>
      </c>
      <c r="BY23" t="e">
        <f>AND('Data Analysis'!T13,"AAAAAG/apUw=")</f>
        <v>#VALUE!</v>
      </c>
      <c r="BZ23" t="e">
        <f>AND('Data Analysis'!U13,"AAAAAG/apU0=")</f>
        <v>#VALUE!</v>
      </c>
      <c r="CA23" t="e">
        <f>AND('Data Analysis'!V13,"AAAAAG/apU4=")</f>
        <v>#VALUE!</v>
      </c>
      <c r="CB23" t="e">
        <f>AND('Data Analysis'!W13,"AAAAAG/apU8=")</f>
        <v>#VALUE!</v>
      </c>
      <c r="CC23">
        <f>IF('Data Analysis'!14:14,"AAAAAG/apVA=",0)</f>
        <v>0</v>
      </c>
      <c r="CD23" t="e">
        <f>AND('Data Analysis'!A14,"AAAAAG/apVE=")</f>
        <v>#VALUE!</v>
      </c>
      <c r="CE23" t="e">
        <f>AND('Data Analysis'!B14,"AAAAAG/apVI=")</f>
        <v>#VALUE!</v>
      </c>
      <c r="CF23" t="e">
        <f>AND('Data Analysis'!C14,"AAAAAG/apVM=")</f>
        <v>#VALUE!</v>
      </c>
      <c r="CG23" t="e">
        <f>AND('Data Analysis'!D14,"AAAAAG/apVQ=")</f>
        <v>#VALUE!</v>
      </c>
      <c r="CH23" t="e">
        <f>AND('Data Analysis'!E14,"AAAAAG/apVU=")</f>
        <v>#VALUE!</v>
      </c>
      <c r="CI23" t="e">
        <f>AND('Data Analysis'!F14,"AAAAAG/apVY=")</f>
        <v>#VALUE!</v>
      </c>
      <c r="CJ23" t="e">
        <f>AND('Data Analysis'!G14,"AAAAAG/apVc=")</f>
        <v>#VALUE!</v>
      </c>
      <c r="CK23" t="e">
        <f>AND('Data Analysis'!H14,"AAAAAG/apVg=")</f>
        <v>#VALUE!</v>
      </c>
      <c r="CL23" t="e">
        <f>AND('Data Analysis'!I14,"AAAAAG/apVk=")</f>
        <v>#VALUE!</v>
      </c>
      <c r="CM23" t="e">
        <f>AND('Data Analysis'!J14,"AAAAAG/apVo=")</f>
        <v>#VALUE!</v>
      </c>
      <c r="CN23" t="e">
        <f>AND('Data Analysis'!K14,"AAAAAG/apVs=")</f>
        <v>#VALUE!</v>
      </c>
      <c r="CO23" t="e">
        <f>AND('Data Analysis'!L14,"AAAAAG/apVw=")</f>
        <v>#VALUE!</v>
      </c>
      <c r="CP23" t="e">
        <f>AND('Data Analysis'!M14,"AAAAAG/apV0=")</f>
        <v>#VALUE!</v>
      </c>
      <c r="CQ23" t="e">
        <f>AND('Data Analysis'!N14,"AAAAAG/apV4=")</f>
        <v>#VALUE!</v>
      </c>
      <c r="CR23" t="e">
        <f>AND('Data Analysis'!O14,"AAAAAG/apV8=")</f>
        <v>#VALUE!</v>
      </c>
      <c r="CS23" t="e">
        <f>AND('Data Analysis'!P14,"AAAAAG/apWA=")</f>
        <v>#VALUE!</v>
      </c>
      <c r="CT23" t="e">
        <f>AND('Data Analysis'!Q14,"AAAAAG/apWE=")</f>
        <v>#VALUE!</v>
      </c>
      <c r="CU23" t="e">
        <f>AND('Data Analysis'!R14,"AAAAAG/apWI=")</f>
        <v>#VALUE!</v>
      </c>
      <c r="CV23" t="e">
        <f>AND('Data Analysis'!S14,"AAAAAG/apWM=")</f>
        <v>#VALUE!</v>
      </c>
      <c r="CW23" t="e">
        <f>AND('Data Analysis'!T14,"AAAAAG/apWQ=")</f>
        <v>#VALUE!</v>
      </c>
      <c r="CX23" t="e">
        <f>AND('Data Analysis'!U14,"AAAAAG/apWU=")</f>
        <v>#VALUE!</v>
      </c>
      <c r="CY23" t="e">
        <f>AND('Data Analysis'!V14,"AAAAAG/apWY=")</f>
        <v>#VALUE!</v>
      </c>
      <c r="CZ23" t="e">
        <f>AND('Data Analysis'!W14,"AAAAAG/apWc=")</f>
        <v>#VALUE!</v>
      </c>
      <c r="DA23">
        <f>IF('Data Analysis'!15:15,"AAAAAG/apWg=",0)</f>
        <v>0</v>
      </c>
      <c r="DB23" t="e">
        <f>AND('Data Analysis'!A15,"AAAAAG/apWk=")</f>
        <v>#VALUE!</v>
      </c>
      <c r="DC23" t="e">
        <f>AND('Data Analysis'!B15,"AAAAAG/apWo=")</f>
        <v>#VALUE!</v>
      </c>
      <c r="DD23" t="e">
        <f>AND('Data Analysis'!C15,"AAAAAG/apWs=")</f>
        <v>#VALUE!</v>
      </c>
      <c r="DE23" t="e">
        <f>AND('Data Analysis'!D15,"AAAAAG/apWw=")</f>
        <v>#VALUE!</v>
      </c>
      <c r="DF23" t="e">
        <f>AND('Data Analysis'!E15,"AAAAAG/apW0=")</f>
        <v>#VALUE!</v>
      </c>
      <c r="DG23" t="e">
        <f>AND('Data Analysis'!F15,"AAAAAG/apW4=")</f>
        <v>#VALUE!</v>
      </c>
      <c r="DH23" t="e">
        <f>AND('Data Analysis'!G15,"AAAAAG/apW8=")</f>
        <v>#VALUE!</v>
      </c>
      <c r="DI23" t="e">
        <f>AND('Data Analysis'!H15,"AAAAAG/apXA=")</f>
        <v>#VALUE!</v>
      </c>
      <c r="DJ23" t="e">
        <f>AND('Data Analysis'!I15,"AAAAAG/apXE=")</f>
        <v>#VALUE!</v>
      </c>
      <c r="DK23" t="e">
        <f>AND('Data Analysis'!J15,"AAAAAG/apXI=")</f>
        <v>#VALUE!</v>
      </c>
      <c r="DL23" t="e">
        <f>AND('Data Analysis'!K15,"AAAAAG/apXM=")</f>
        <v>#VALUE!</v>
      </c>
      <c r="DM23" t="e">
        <f>AND('Data Analysis'!L15,"AAAAAG/apXQ=")</f>
        <v>#VALUE!</v>
      </c>
      <c r="DN23" t="e">
        <f>AND('Data Analysis'!M15,"AAAAAG/apXU=")</f>
        <v>#VALUE!</v>
      </c>
      <c r="DO23" t="e">
        <f>AND('Data Analysis'!N15,"AAAAAG/apXY=")</f>
        <v>#VALUE!</v>
      </c>
      <c r="DP23" t="e">
        <f>AND('Data Analysis'!O15,"AAAAAG/apXc=")</f>
        <v>#VALUE!</v>
      </c>
      <c r="DQ23" t="e">
        <f>AND('Data Analysis'!P15,"AAAAAG/apXg=")</f>
        <v>#VALUE!</v>
      </c>
      <c r="DR23" t="e">
        <f>AND('Data Analysis'!Q15,"AAAAAG/apXk=")</f>
        <v>#VALUE!</v>
      </c>
      <c r="DS23" t="e">
        <f>AND('Data Analysis'!R15,"AAAAAG/apXo=")</f>
        <v>#VALUE!</v>
      </c>
      <c r="DT23" t="e">
        <f>AND('Data Analysis'!S15,"AAAAAG/apXs=")</f>
        <v>#VALUE!</v>
      </c>
      <c r="DU23" t="e">
        <f>AND('Data Analysis'!T15,"AAAAAG/apXw=")</f>
        <v>#VALUE!</v>
      </c>
      <c r="DV23" t="e">
        <f>AND('Data Analysis'!U15,"AAAAAG/apX0=")</f>
        <v>#VALUE!</v>
      </c>
      <c r="DW23" t="e">
        <f>AND('Data Analysis'!V15,"AAAAAG/apX4=")</f>
        <v>#VALUE!</v>
      </c>
      <c r="DX23" t="e">
        <f>AND('Data Analysis'!W15,"AAAAAG/apX8=")</f>
        <v>#VALUE!</v>
      </c>
      <c r="DY23">
        <f>IF('Data Analysis'!16:16,"AAAAAG/apYA=",0)</f>
        <v>0</v>
      </c>
      <c r="DZ23" t="e">
        <f>AND('Data Analysis'!A16,"AAAAAG/apYE=")</f>
        <v>#VALUE!</v>
      </c>
      <c r="EA23" t="e">
        <f>AND('Data Analysis'!B16,"AAAAAG/apYI=")</f>
        <v>#VALUE!</v>
      </c>
      <c r="EB23" t="e">
        <f>AND('Data Analysis'!C16,"AAAAAG/apYM=")</f>
        <v>#VALUE!</v>
      </c>
      <c r="EC23" t="e">
        <f>AND('Data Analysis'!D16,"AAAAAG/apYQ=")</f>
        <v>#VALUE!</v>
      </c>
      <c r="ED23" t="e">
        <f>AND('Data Analysis'!E16,"AAAAAG/apYU=")</f>
        <v>#VALUE!</v>
      </c>
      <c r="EE23" t="e">
        <f>AND('Data Analysis'!F16,"AAAAAG/apYY=")</f>
        <v>#VALUE!</v>
      </c>
      <c r="EF23" t="e">
        <f>AND('Data Analysis'!G16,"AAAAAG/apYc=")</f>
        <v>#VALUE!</v>
      </c>
      <c r="EG23" t="e">
        <f>AND('Data Analysis'!H16,"AAAAAG/apYg=")</f>
        <v>#VALUE!</v>
      </c>
      <c r="EH23" t="e">
        <f>AND('Data Analysis'!I16,"AAAAAG/apYk=")</f>
        <v>#VALUE!</v>
      </c>
      <c r="EI23" t="e">
        <f>AND('Data Analysis'!J16,"AAAAAG/apYo=")</f>
        <v>#VALUE!</v>
      </c>
      <c r="EJ23" t="e">
        <f>AND('Data Analysis'!K16,"AAAAAG/apYs=")</f>
        <v>#VALUE!</v>
      </c>
      <c r="EK23" t="e">
        <f>AND('Data Analysis'!L16,"AAAAAG/apYw=")</f>
        <v>#VALUE!</v>
      </c>
      <c r="EL23" t="e">
        <f>AND('Data Analysis'!M16,"AAAAAG/apY0=")</f>
        <v>#VALUE!</v>
      </c>
      <c r="EM23" t="e">
        <f>AND('Data Analysis'!N16,"AAAAAG/apY4=")</f>
        <v>#VALUE!</v>
      </c>
      <c r="EN23" t="e">
        <f>AND('Data Analysis'!O16,"AAAAAG/apY8=")</f>
        <v>#VALUE!</v>
      </c>
      <c r="EO23" t="e">
        <f>AND('Data Analysis'!P16,"AAAAAG/apZA=")</f>
        <v>#VALUE!</v>
      </c>
      <c r="EP23" t="e">
        <f>AND('Data Analysis'!Q16,"AAAAAG/apZE=")</f>
        <v>#VALUE!</v>
      </c>
      <c r="EQ23" t="e">
        <f>AND('Data Analysis'!R16,"AAAAAG/apZI=")</f>
        <v>#VALUE!</v>
      </c>
      <c r="ER23" t="e">
        <f>AND('Data Analysis'!S16,"AAAAAG/apZM=")</f>
        <v>#VALUE!</v>
      </c>
      <c r="ES23" t="e">
        <f>AND('Data Analysis'!T16,"AAAAAG/apZQ=")</f>
        <v>#VALUE!</v>
      </c>
      <c r="ET23" t="e">
        <f>AND('Data Analysis'!U16,"AAAAAG/apZU=")</f>
        <v>#VALUE!</v>
      </c>
      <c r="EU23" t="e">
        <f>AND('Data Analysis'!V16,"AAAAAG/apZY=")</f>
        <v>#VALUE!</v>
      </c>
      <c r="EV23" t="e">
        <f>AND('Data Analysis'!W16,"AAAAAG/apZc=")</f>
        <v>#VALUE!</v>
      </c>
      <c r="EW23">
        <f>IF('Data Analysis'!17:17,"AAAAAG/apZg=",0)</f>
        <v>0</v>
      </c>
      <c r="EX23" t="e">
        <f>AND('Data Analysis'!A17,"AAAAAG/apZk=")</f>
        <v>#VALUE!</v>
      </c>
      <c r="EY23" t="e">
        <f>AND('Data Analysis'!B17,"AAAAAG/apZo=")</f>
        <v>#VALUE!</v>
      </c>
      <c r="EZ23" t="e">
        <f>AND('Data Analysis'!C17,"AAAAAG/apZs=")</f>
        <v>#VALUE!</v>
      </c>
      <c r="FA23" t="e">
        <f>AND('Data Analysis'!D17,"AAAAAG/apZw=")</f>
        <v>#VALUE!</v>
      </c>
      <c r="FB23" t="e">
        <f>AND('Data Analysis'!E17,"AAAAAG/apZ0=")</f>
        <v>#VALUE!</v>
      </c>
      <c r="FC23" t="e">
        <f>AND('Data Analysis'!F17,"AAAAAG/apZ4=")</f>
        <v>#VALUE!</v>
      </c>
      <c r="FD23" t="e">
        <f>AND('Data Analysis'!G17,"AAAAAG/apZ8=")</f>
        <v>#VALUE!</v>
      </c>
      <c r="FE23" t="e">
        <f>AND('Data Analysis'!H17,"AAAAAG/apaA=")</f>
        <v>#VALUE!</v>
      </c>
      <c r="FF23" t="e">
        <f>AND('Data Analysis'!I17,"AAAAAG/apaE=")</f>
        <v>#VALUE!</v>
      </c>
      <c r="FG23" t="e">
        <f>AND('Data Analysis'!J17,"AAAAAG/apaI=")</f>
        <v>#VALUE!</v>
      </c>
      <c r="FH23" t="e">
        <f>AND('Data Analysis'!K17,"AAAAAG/apaM=")</f>
        <v>#VALUE!</v>
      </c>
      <c r="FI23" t="e">
        <f>AND('Data Analysis'!L17,"AAAAAG/apaQ=")</f>
        <v>#VALUE!</v>
      </c>
      <c r="FJ23" t="e">
        <f>AND('Data Analysis'!M17,"AAAAAG/apaU=")</f>
        <v>#VALUE!</v>
      </c>
      <c r="FK23" t="e">
        <f>AND('Data Analysis'!N17,"AAAAAG/apaY=")</f>
        <v>#VALUE!</v>
      </c>
      <c r="FL23" t="e">
        <f>AND('Data Analysis'!O17,"AAAAAG/apac=")</f>
        <v>#VALUE!</v>
      </c>
      <c r="FM23" t="e">
        <f>AND('Data Analysis'!P17,"AAAAAG/apag=")</f>
        <v>#VALUE!</v>
      </c>
      <c r="FN23" t="e">
        <f>AND('Data Analysis'!Q17,"AAAAAG/apak=")</f>
        <v>#VALUE!</v>
      </c>
      <c r="FO23" t="e">
        <f>AND('Data Analysis'!R17,"AAAAAG/apao=")</f>
        <v>#VALUE!</v>
      </c>
      <c r="FP23" t="e">
        <f>AND('Data Analysis'!S17,"AAAAAG/apas=")</f>
        <v>#VALUE!</v>
      </c>
      <c r="FQ23" t="e">
        <f>AND('Data Analysis'!T17,"AAAAAG/apaw=")</f>
        <v>#VALUE!</v>
      </c>
      <c r="FR23" t="e">
        <f>AND('Data Analysis'!U17,"AAAAAG/apa0=")</f>
        <v>#VALUE!</v>
      </c>
      <c r="FS23" t="e">
        <f>AND('Data Analysis'!V17,"AAAAAG/apa4=")</f>
        <v>#VALUE!</v>
      </c>
      <c r="FT23" t="e">
        <f>AND('Data Analysis'!W17,"AAAAAG/apa8=")</f>
        <v>#VALUE!</v>
      </c>
      <c r="FU23">
        <f>IF('Data Analysis'!18:18,"AAAAAG/apbA=",0)</f>
        <v>0</v>
      </c>
      <c r="FV23" t="e">
        <f>AND('Data Analysis'!A18,"AAAAAG/apbE=")</f>
        <v>#VALUE!</v>
      </c>
      <c r="FW23" t="e">
        <f>AND('Data Analysis'!B18,"AAAAAG/apbI=")</f>
        <v>#VALUE!</v>
      </c>
      <c r="FX23" t="e">
        <f>AND('Data Analysis'!C18,"AAAAAG/apbM=")</f>
        <v>#VALUE!</v>
      </c>
      <c r="FY23" t="e">
        <f>AND('Data Analysis'!D18,"AAAAAG/apbQ=")</f>
        <v>#VALUE!</v>
      </c>
      <c r="FZ23" t="e">
        <f>AND('Data Analysis'!E18,"AAAAAG/apbU=")</f>
        <v>#VALUE!</v>
      </c>
      <c r="GA23" t="e">
        <f>AND('Data Analysis'!F18,"AAAAAG/apbY=")</f>
        <v>#VALUE!</v>
      </c>
      <c r="GB23" t="e">
        <f>AND('Data Analysis'!G18,"AAAAAG/apbc=")</f>
        <v>#VALUE!</v>
      </c>
      <c r="GC23" t="e">
        <f>AND('Data Analysis'!H18,"AAAAAG/apbg=")</f>
        <v>#VALUE!</v>
      </c>
      <c r="GD23" t="e">
        <f>AND('Data Analysis'!I18,"AAAAAG/apbk=")</f>
        <v>#VALUE!</v>
      </c>
      <c r="GE23" t="e">
        <f>AND('Data Analysis'!J18,"AAAAAG/apbo=")</f>
        <v>#VALUE!</v>
      </c>
      <c r="GF23" t="e">
        <f>AND('Data Analysis'!K18,"AAAAAG/apbs=")</f>
        <v>#VALUE!</v>
      </c>
      <c r="GG23" t="e">
        <f>AND('Data Analysis'!L18,"AAAAAG/apbw=")</f>
        <v>#VALUE!</v>
      </c>
      <c r="GH23" t="e">
        <f>AND('Data Analysis'!M18,"AAAAAG/apb0=")</f>
        <v>#VALUE!</v>
      </c>
      <c r="GI23" t="e">
        <f>AND('Data Analysis'!N18,"AAAAAG/apb4=")</f>
        <v>#VALUE!</v>
      </c>
      <c r="GJ23" t="e">
        <f>AND('Data Analysis'!O18,"AAAAAG/apb8=")</f>
        <v>#VALUE!</v>
      </c>
      <c r="GK23" t="e">
        <f>AND('Data Analysis'!P18,"AAAAAG/apcA=")</f>
        <v>#VALUE!</v>
      </c>
      <c r="GL23" t="e">
        <f>AND('Data Analysis'!Q18,"AAAAAG/apcE=")</f>
        <v>#VALUE!</v>
      </c>
      <c r="GM23" t="e">
        <f>AND('Data Analysis'!R18,"AAAAAG/apcI=")</f>
        <v>#VALUE!</v>
      </c>
      <c r="GN23" t="e">
        <f>AND('Data Analysis'!S18,"AAAAAG/apcM=")</f>
        <v>#VALUE!</v>
      </c>
      <c r="GO23" t="e">
        <f>AND('Data Analysis'!T18,"AAAAAG/apcQ=")</f>
        <v>#VALUE!</v>
      </c>
      <c r="GP23" t="e">
        <f>AND('Data Analysis'!U18,"AAAAAG/apcU=")</f>
        <v>#VALUE!</v>
      </c>
      <c r="GQ23" t="e">
        <f>AND('Data Analysis'!V18,"AAAAAG/apcY=")</f>
        <v>#VALUE!</v>
      </c>
      <c r="GR23" t="e">
        <f>AND('Data Analysis'!W18,"AAAAAG/apcc=")</f>
        <v>#VALUE!</v>
      </c>
      <c r="GS23">
        <f>IF('Data Analysis'!19:19,"AAAAAG/apcg=",0)</f>
        <v>0</v>
      </c>
      <c r="GT23" t="e">
        <f>AND('Data Analysis'!A19,"AAAAAG/apck=")</f>
        <v>#VALUE!</v>
      </c>
      <c r="GU23" t="e">
        <f>AND('Data Analysis'!B19,"AAAAAG/apco=")</f>
        <v>#VALUE!</v>
      </c>
      <c r="GV23" t="e">
        <f>AND('Data Analysis'!C19,"AAAAAG/apcs=")</f>
        <v>#VALUE!</v>
      </c>
      <c r="GW23" t="e">
        <f>AND('Data Analysis'!D19,"AAAAAG/apcw=")</f>
        <v>#VALUE!</v>
      </c>
      <c r="GX23" t="e">
        <f>AND('Data Analysis'!E19,"AAAAAG/apc0=")</f>
        <v>#VALUE!</v>
      </c>
      <c r="GY23" t="e">
        <f>AND('Data Analysis'!F19,"AAAAAG/apc4=")</f>
        <v>#VALUE!</v>
      </c>
      <c r="GZ23" t="e">
        <f>AND('Data Analysis'!G19,"AAAAAG/apc8=")</f>
        <v>#VALUE!</v>
      </c>
      <c r="HA23" t="e">
        <f>AND('Data Analysis'!H19,"AAAAAG/apdA=")</f>
        <v>#VALUE!</v>
      </c>
      <c r="HB23" t="e">
        <f>AND('Data Analysis'!I19,"AAAAAG/apdE=")</f>
        <v>#VALUE!</v>
      </c>
      <c r="HC23" t="e">
        <f>AND('Data Analysis'!J19,"AAAAAG/apdI=")</f>
        <v>#VALUE!</v>
      </c>
      <c r="HD23" t="e">
        <f>AND('Data Analysis'!K19,"AAAAAG/apdM=")</f>
        <v>#VALUE!</v>
      </c>
      <c r="HE23" t="e">
        <f>AND('Data Analysis'!L19,"AAAAAG/apdQ=")</f>
        <v>#VALUE!</v>
      </c>
      <c r="HF23" t="e">
        <f>AND('Data Analysis'!M19,"AAAAAG/apdU=")</f>
        <v>#VALUE!</v>
      </c>
      <c r="HG23" t="e">
        <f>AND('Data Analysis'!N19,"AAAAAG/apdY=")</f>
        <v>#VALUE!</v>
      </c>
      <c r="HH23" t="e">
        <f>AND('Data Analysis'!O19,"AAAAAG/apdc=")</f>
        <v>#VALUE!</v>
      </c>
      <c r="HI23" t="e">
        <f>AND('Data Analysis'!P19,"AAAAAG/apdg=")</f>
        <v>#VALUE!</v>
      </c>
      <c r="HJ23" t="e">
        <f>AND('Data Analysis'!Q19,"AAAAAG/apdk=")</f>
        <v>#VALUE!</v>
      </c>
      <c r="HK23" t="e">
        <f>AND('Data Analysis'!R19,"AAAAAG/apdo=")</f>
        <v>#VALUE!</v>
      </c>
      <c r="HL23" t="e">
        <f>AND('Data Analysis'!S19,"AAAAAG/apds=")</f>
        <v>#VALUE!</v>
      </c>
      <c r="HM23" t="e">
        <f>AND('Data Analysis'!T19,"AAAAAG/apdw=")</f>
        <v>#VALUE!</v>
      </c>
      <c r="HN23" t="e">
        <f>AND('Data Analysis'!U19,"AAAAAG/apd0=")</f>
        <v>#VALUE!</v>
      </c>
      <c r="HO23" t="e">
        <f>AND('Data Analysis'!V19,"AAAAAG/apd4=")</f>
        <v>#VALUE!</v>
      </c>
      <c r="HP23" t="e">
        <f>AND('Data Analysis'!W19,"AAAAAG/apd8=")</f>
        <v>#VALUE!</v>
      </c>
      <c r="HQ23">
        <f>IF('Data Analysis'!20:20,"AAAAAG/apeA=",0)</f>
        <v>0</v>
      </c>
      <c r="HR23" t="e">
        <f>AND('Data Analysis'!A20,"AAAAAG/apeE=")</f>
        <v>#VALUE!</v>
      </c>
      <c r="HS23" t="e">
        <f>AND('Data Analysis'!B20,"AAAAAG/apeI=")</f>
        <v>#VALUE!</v>
      </c>
      <c r="HT23" t="e">
        <f>AND('Data Analysis'!C20,"AAAAAG/apeM=")</f>
        <v>#VALUE!</v>
      </c>
      <c r="HU23" t="e">
        <f>AND('Data Analysis'!D20,"AAAAAG/apeQ=")</f>
        <v>#VALUE!</v>
      </c>
      <c r="HV23" t="e">
        <f>AND('Data Analysis'!E20,"AAAAAG/apeU=")</f>
        <v>#VALUE!</v>
      </c>
      <c r="HW23" t="e">
        <f>AND('Data Analysis'!F20,"AAAAAG/apeY=")</f>
        <v>#VALUE!</v>
      </c>
      <c r="HX23" t="e">
        <f>AND('Data Analysis'!G20,"AAAAAG/apec=")</f>
        <v>#VALUE!</v>
      </c>
      <c r="HY23" t="e">
        <f>AND('Data Analysis'!H20,"AAAAAG/apeg=")</f>
        <v>#VALUE!</v>
      </c>
      <c r="HZ23" t="e">
        <f>AND('Data Analysis'!I20,"AAAAAG/apek=")</f>
        <v>#VALUE!</v>
      </c>
      <c r="IA23" t="e">
        <f>AND('Data Analysis'!J20,"AAAAAG/apeo=")</f>
        <v>#VALUE!</v>
      </c>
      <c r="IB23" t="e">
        <f>AND('Data Analysis'!K20,"AAAAAG/apes=")</f>
        <v>#VALUE!</v>
      </c>
      <c r="IC23" t="e">
        <f>AND('Data Analysis'!L20,"AAAAAG/apew=")</f>
        <v>#VALUE!</v>
      </c>
      <c r="ID23" t="e">
        <f>AND('Data Analysis'!M20,"AAAAAG/ape0=")</f>
        <v>#VALUE!</v>
      </c>
      <c r="IE23" t="e">
        <f>AND('Data Analysis'!N20,"AAAAAG/ape4=")</f>
        <v>#VALUE!</v>
      </c>
      <c r="IF23" t="e">
        <f>AND('Data Analysis'!O20,"AAAAAG/ape8=")</f>
        <v>#VALUE!</v>
      </c>
      <c r="IG23" t="e">
        <f>AND('Data Analysis'!P20,"AAAAAG/apfA=")</f>
        <v>#VALUE!</v>
      </c>
      <c r="IH23" t="e">
        <f>AND('Data Analysis'!Q20,"AAAAAG/apfE=")</f>
        <v>#VALUE!</v>
      </c>
      <c r="II23" t="e">
        <f>AND('Data Analysis'!R20,"AAAAAG/apfI=")</f>
        <v>#VALUE!</v>
      </c>
      <c r="IJ23" t="e">
        <f>AND('Data Analysis'!S20,"AAAAAG/apfM=")</f>
        <v>#VALUE!</v>
      </c>
      <c r="IK23" t="e">
        <f>AND('Data Analysis'!T20,"AAAAAG/apfQ=")</f>
        <v>#VALUE!</v>
      </c>
      <c r="IL23" t="e">
        <f>AND('Data Analysis'!U20,"AAAAAG/apfU=")</f>
        <v>#VALUE!</v>
      </c>
      <c r="IM23" t="e">
        <f>AND('Data Analysis'!V20,"AAAAAG/apfY=")</f>
        <v>#VALUE!</v>
      </c>
      <c r="IN23" t="e">
        <f>AND('Data Analysis'!W20,"AAAAAG/apfc=")</f>
        <v>#VALUE!</v>
      </c>
      <c r="IO23">
        <f>IF('Data Analysis'!21:21,"AAAAAG/apfg=",0)</f>
        <v>0</v>
      </c>
      <c r="IP23" t="e">
        <f>AND('Data Analysis'!A21,"AAAAAG/apfk=")</f>
        <v>#VALUE!</v>
      </c>
      <c r="IQ23" t="e">
        <f>AND('Data Analysis'!B21,"AAAAAG/apfo=")</f>
        <v>#VALUE!</v>
      </c>
      <c r="IR23" t="e">
        <f>AND('Data Analysis'!C21,"AAAAAG/apfs=")</f>
        <v>#VALUE!</v>
      </c>
      <c r="IS23" t="e">
        <f>AND('Data Analysis'!D21,"AAAAAG/apfw=")</f>
        <v>#VALUE!</v>
      </c>
      <c r="IT23" t="e">
        <f>AND('Data Analysis'!E21,"AAAAAG/apf0=")</f>
        <v>#VALUE!</v>
      </c>
      <c r="IU23" t="e">
        <f>AND('Data Analysis'!F21,"AAAAAG/apf4=")</f>
        <v>#VALUE!</v>
      </c>
      <c r="IV23" t="e">
        <f>AND('Data Analysis'!G21,"AAAAAG/apf8=")</f>
        <v>#VALUE!</v>
      </c>
    </row>
    <row r="24" spans="1:256" x14ac:dyDescent="0.2">
      <c r="A24" t="e">
        <f>AND('Data Analysis'!H21,"AAAAAF22uQA=")</f>
        <v>#VALUE!</v>
      </c>
      <c r="B24" t="e">
        <f>AND('Data Analysis'!I21,"AAAAAF22uQE=")</f>
        <v>#VALUE!</v>
      </c>
      <c r="C24" t="e">
        <f>AND('Data Analysis'!J21,"AAAAAF22uQI=")</f>
        <v>#VALUE!</v>
      </c>
      <c r="D24" t="e">
        <f>AND('Data Analysis'!K21,"AAAAAF22uQM=")</f>
        <v>#VALUE!</v>
      </c>
      <c r="E24" t="e">
        <f>AND('Data Analysis'!L21,"AAAAAF22uQQ=")</f>
        <v>#VALUE!</v>
      </c>
      <c r="F24" t="e">
        <f>AND('Data Analysis'!M21,"AAAAAF22uQU=")</f>
        <v>#VALUE!</v>
      </c>
      <c r="G24" t="e">
        <f>AND('Data Analysis'!N21,"AAAAAF22uQY=")</f>
        <v>#VALUE!</v>
      </c>
      <c r="H24" t="e">
        <f>AND('Data Analysis'!O21,"AAAAAF22uQc=")</f>
        <v>#VALUE!</v>
      </c>
      <c r="I24" t="e">
        <f>AND('Data Analysis'!P21,"AAAAAF22uQg=")</f>
        <v>#VALUE!</v>
      </c>
      <c r="J24" t="e">
        <f>AND('Data Analysis'!Q21,"AAAAAF22uQk=")</f>
        <v>#VALUE!</v>
      </c>
      <c r="K24" t="e">
        <f>AND('Data Analysis'!R21,"AAAAAF22uQo=")</f>
        <v>#VALUE!</v>
      </c>
      <c r="L24" t="e">
        <f>AND('Data Analysis'!S21,"AAAAAF22uQs=")</f>
        <v>#VALUE!</v>
      </c>
      <c r="M24" t="e">
        <f>AND('Data Analysis'!T21,"AAAAAF22uQw=")</f>
        <v>#VALUE!</v>
      </c>
      <c r="N24" t="e">
        <f>AND('Data Analysis'!U21,"AAAAAF22uQ0=")</f>
        <v>#VALUE!</v>
      </c>
      <c r="O24" t="e">
        <f>AND('Data Analysis'!V21,"AAAAAF22uQ4=")</f>
        <v>#VALUE!</v>
      </c>
      <c r="P24" t="e">
        <f>AND('Data Analysis'!W21,"AAAAAF22uQ8=")</f>
        <v>#VALUE!</v>
      </c>
      <c r="Q24">
        <f>IF('Data Analysis'!22:22,"AAAAAF22uRA=",0)</f>
        <v>0</v>
      </c>
      <c r="R24" t="e">
        <f>AND('Data Analysis'!A22,"AAAAAF22uRE=")</f>
        <v>#VALUE!</v>
      </c>
      <c r="S24" t="e">
        <f>AND('Data Analysis'!B22,"AAAAAF22uRI=")</f>
        <v>#VALUE!</v>
      </c>
      <c r="T24" t="e">
        <f>AND('Data Analysis'!C22,"AAAAAF22uRM=")</f>
        <v>#VALUE!</v>
      </c>
      <c r="U24" t="e">
        <f>AND('Data Analysis'!D22,"AAAAAF22uRQ=")</f>
        <v>#VALUE!</v>
      </c>
      <c r="V24" t="e">
        <f>AND('Data Analysis'!E22,"AAAAAF22uRU=")</f>
        <v>#VALUE!</v>
      </c>
      <c r="W24" t="e">
        <f>AND('Data Analysis'!F22,"AAAAAF22uRY=")</f>
        <v>#VALUE!</v>
      </c>
      <c r="X24" t="e">
        <f>AND('Data Analysis'!G22,"AAAAAF22uRc=")</f>
        <v>#VALUE!</v>
      </c>
      <c r="Y24" t="e">
        <f>AND('Data Analysis'!H22,"AAAAAF22uRg=")</f>
        <v>#VALUE!</v>
      </c>
      <c r="Z24" t="e">
        <f>AND('Data Analysis'!I22,"AAAAAF22uRk=")</f>
        <v>#VALUE!</v>
      </c>
      <c r="AA24" t="e">
        <f>AND('Data Analysis'!J22,"AAAAAF22uRo=")</f>
        <v>#VALUE!</v>
      </c>
      <c r="AB24" t="e">
        <f>AND('Data Analysis'!K22,"AAAAAF22uRs=")</f>
        <v>#VALUE!</v>
      </c>
      <c r="AC24" t="e">
        <f>AND('Data Analysis'!L22,"AAAAAF22uRw=")</f>
        <v>#VALUE!</v>
      </c>
      <c r="AD24" t="e">
        <f>AND('Data Analysis'!M22,"AAAAAF22uR0=")</f>
        <v>#VALUE!</v>
      </c>
      <c r="AE24" t="e">
        <f>AND('Data Analysis'!N22,"AAAAAF22uR4=")</f>
        <v>#VALUE!</v>
      </c>
      <c r="AF24" t="e">
        <f>AND('Data Analysis'!O22,"AAAAAF22uR8=")</f>
        <v>#VALUE!</v>
      </c>
      <c r="AG24" t="e">
        <f>AND('Data Analysis'!P22,"AAAAAF22uSA=")</f>
        <v>#VALUE!</v>
      </c>
      <c r="AH24" t="e">
        <f>AND('Data Analysis'!Q22,"AAAAAF22uSE=")</f>
        <v>#VALUE!</v>
      </c>
      <c r="AI24" t="e">
        <f>AND('Data Analysis'!R22,"AAAAAF22uSI=")</f>
        <v>#VALUE!</v>
      </c>
      <c r="AJ24" t="e">
        <f>AND('Data Analysis'!S22,"AAAAAF22uSM=")</f>
        <v>#VALUE!</v>
      </c>
      <c r="AK24" t="e">
        <f>AND('Data Analysis'!T22,"AAAAAF22uSQ=")</f>
        <v>#VALUE!</v>
      </c>
      <c r="AL24" t="e">
        <f>AND('Data Analysis'!U22,"AAAAAF22uSU=")</f>
        <v>#VALUE!</v>
      </c>
      <c r="AM24" t="e">
        <f>AND('Data Analysis'!V22,"AAAAAF22uSY=")</f>
        <v>#VALUE!</v>
      </c>
      <c r="AN24" t="e">
        <f>AND('Data Analysis'!W22,"AAAAAF22uSc=")</f>
        <v>#VALUE!</v>
      </c>
      <c r="AO24">
        <f>IF('Data Analysis'!23:23,"AAAAAF22uSg=",0)</f>
        <v>0</v>
      </c>
      <c r="AP24" t="e">
        <f>AND('Data Analysis'!A23,"AAAAAF22uSk=")</f>
        <v>#VALUE!</v>
      </c>
      <c r="AQ24" t="e">
        <f>AND('Data Analysis'!B23,"AAAAAF22uSo=")</f>
        <v>#VALUE!</v>
      </c>
      <c r="AR24" t="e">
        <f>AND('Data Analysis'!C23,"AAAAAF22uSs=")</f>
        <v>#VALUE!</v>
      </c>
      <c r="AS24" t="e">
        <f>AND('Data Analysis'!D23,"AAAAAF22uSw=")</f>
        <v>#VALUE!</v>
      </c>
      <c r="AT24" t="e">
        <f>AND('Data Analysis'!E23,"AAAAAF22uS0=")</f>
        <v>#VALUE!</v>
      </c>
      <c r="AU24" t="e">
        <f>AND('Data Analysis'!F23,"AAAAAF22uS4=")</f>
        <v>#VALUE!</v>
      </c>
      <c r="AV24" t="e">
        <f>AND('Data Analysis'!G23,"AAAAAF22uS8=")</f>
        <v>#VALUE!</v>
      </c>
      <c r="AW24" t="e">
        <f>AND('Data Analysis'!H23,"AAAAAF22uTA=")</f>
        <v>#VALUE!</v>
      </c>
      <c r="AX24" t="e">
        <f>AND('Data Analysis'!I23,"AAAAAF22uTE=")</f>
        <v>#VALUE!</v>
      </c>
      <c r="AY24" t="e">
        <f>AND('Data Analysis'!J23,"AAAAAF22uTI=")</f>
        <v>#VALUE!</v>
      </c>
      <c r="AZ24" t="e">
        <f>AND('Data Analysis'!K23,"AAAAAF22uTM=")</f>
        <v>#VALUE!</v>
      </c>
      <c r="BA24" t="e">
        <f>AND('Data Analysis'!L23,"AAAAAF22uTQ=")</f>
        <v>#VALUE!</v>
      </c>
      <c r="BB24" t="e">
        <f>AND('Data Analysis'!M23,"AAAAAF22uTU=")</f>
        <v>#VALUE!</v>
      </c>
      <c r="BC24" t="e">
        <f>AND('Data Analysis'!N23,"AAAAAF22uTY=")</f>
        <v>#VALUE!</v>
      </c>
      <c r="BD24" t="e">
        <f>AND('Data Analysis'!O23,"AAAAAF22uTc=")</f>
        <v>#VALUE!</v>
      </c>
      <c r="BE24" t="e">
        <f>AND('Data Analysis'!P23,"AAAAAF22uTg=")</f>
        <v>#VALUE!</v>
      </c>
      <c r="BF24" t="e">
        <f>AND('Data Analysis'!Q23,"AAAAAF22uTk=")</f>
        <v>#VALUE!</v>
      </c>
      <c r="BG24" t="e">
        <f>AND('Data Analysis'!R23,"AAAAAF22uTo=")</f>
        <v>#VALUE!</v>
      </c>
      <c r="BH24" t="e">
        <f>AND('Data Analysis'!S23,"AAAAAF22uTs=")</f>
        <v>#VALUE!</v>
      </c>
      <c r="BI24" t="e">
        <f>AND('Data Analysis'!T23,"AAAAAF22uTw=")</f>
        <v>#VALUE!</v>
      </c>
      <c r="BJ24" t="e">
        <f>AND('Data Analysis'!U23,"AAAAAF22uT0=")</f>
        <v>#VALUE!</v>
      </c>
      <c r="BK24" t="e">
        <f>AND('Data Analysis'!V23,"AAAAAF22uT4=")</f>
        <v>#VALUE!</v>
      </c>
      <c r="BL24" t="e">
        <f>AND('Data Analysis'!W23,"AAAAAF22uT8=")</f>
        <v>#VALUE!</v>
      </c>
      <c r="BM24">
        <f>IF('Data Analysis'!24:24,"AAAAAF22uUA=",0)</f>
        <v>0</v>
      </c>
      <c r="BN24" t="e">
        <f>AND('Data Analysis'!A24,"AAAAAF22uUE=")</f>
        <v>#VALUE!</v>
      </c>
      <c r="BO24" t="e">
        <f>AND('Data Analysis'!B24,"AAAAAF22uUI=")</f>
        <v>#VALUE!</v>
      </c>
      <c r="BP24" t="e">
        <f>AND('Data Analysis'!C24,"AAAAAF22uUM=")</f>
        <v>#VALUE!</v>
      </c>
      <c r="BQ24" t="e">
        <f>AND('Data Analysis'!D24,"AAAAAF22uUQ=")</f>
        <v>#VALUE!</v>
      </c>
      <c r="BR24" t="e">
        <f>AND('Data Analysis'!E24,"AAAAAF22uUU=")</f>
        <v>#VALUE!</v>
      </c>
      <c r="BS24" t="e">
        <f>AND('Data Analysis'!F24,"AAAAAF22uUY=")</f>
        <v>#VALUE!</v>
      </c>
      <c r="BT24" t="e">
        <f>AND('Data Analysis'!G24,"AAAAAF22uUc=")</f>
        <v>#VALUE!</v>
      </c>
      <c r="BU24" t="e">
        <f>AND('Data Analysis'!H24,"AAAAAF22uUg=")</f>
        <v>#VALUE!</v>
      </c>
      <c r="BV24" t="e">
        <f>AND('Data Analysis'!I24,"AAAAAF22uUk=")</f>
        <v>#VALUE!</v>
      </c>
      <c r="BW24" t="e">
        <f>AND('Data Analysis'!J24,"AAAAAF22uUo=")</f>
        <v>#VALUE!</v>
      </c>
      <c r="BX24" t="e">
        <f>AND('Data Analysis'!K24,"AAAAAF22uUs=")</f>
        <v>#VALUE!</v>
      </c>
      <c r="BY24" t="e">
        <f>AND('Data Analysis'!L24,"AAAAAF22uUw=")</f>
        <v>#VALUE!</v>
      </c>
      <c r="BZ24" t="e">
        <f>AND('Data Analysis'!M24,"AAAAAF22uU0=")</f>
        <v>#VALUE!</v>
      </c>
      <c r="CA24" t="e">
        <f>AND('Data Analysis'!N24,"AAAAAF22uU4=")</f>
        <v>#VALUE!</v>
      </c>
      <c r="CB24" t="e">
        <f>AND('Data Analysis'!O24,"AAAAAF22uU8=")</f>
        <v>#VALUE!</v>
      </c>
      <c r="CC24" t="e">
        <f>AND('Data Analysis'!P24,"AAAAAF22uVA=")</f>
        <v>#VALUE!</v>
      </c>
      <c r="CD24" t="e">
        <f>AND('Data Analysis'!Q24,"AAAAAF22uVE=")</f>
        <v>#VALUE!</v>
      </c>
      <c r="CE24" t="e">
        <f>AND('Data Analysis'!R24,"AAAAAF22uVI=")</f>
        <v>#VALUE!</v>
      </c>
      <c r="CF24" t="e">
        <f>AND('Data Analysis'!S24,"AAAAAF22uVM=")</f>
        <v>#VALUE!</v>
      </c>
      <c r="CG24" t="e">
        <f>AND('Data Analysis'!T24,"AAAAAF22uVQ=")</f>
        <v>#VALUE!</v>
      </c>
      <c r="CH24" t="e">
        <f>AND('Data Analysis'!U24,"AAAAAF22uVU=")</f>
        <v>#VALUE!</v>
      </c>
      <c r="CI24" t="e">
        <f>AND('Data Analysis'!V24,"AAAAAF22uVY=")</f>
        <v>#VALUE!</v>
      </c>
      <c r="CJ24" t="e">
        <f>AND('Data Analysis'!W24,"AAAAAF22uVc=")</f>
        <v>#VALUE!</v>
      </c>
      <c r="CK24">
        <f>IF('Data Analysis'!25:25,"AAAAAF22uVg=",0)</f>
        <v>0</v>
      </c>
      <c r="CL24" t="e">
        <f>AND('Data Analysis'!A25,"AAAAAF22uVk=")</f>
        <v>#VALUE!</v>
      </c>
      <c r="CM24" t="e">
        <f>AND('Data Analysis'!B25,"AAAAAF22uVo=")</f>
        <v>#VALUE!</v>
      </c>
      <c r="CN24" t="e">
        <f>AND('Data Analysis'!C25,"AAAAAF22uVs=")</f>
        <v>#VALUE!</v>
      </c>
      <c r="CO24" t="e">
        <f>AND('Data Analysis'!D25,"AAAAAF22uVw=")</f>
        <v>#VALUE!</v>
      </c>
      <c r="CP24" t="e">
        <f>AND('Data Analysis'!E25,"AAAAAF22uV0=")</f>
        <v>#VALUE!</v>
      </c>
      <c r="CQ24" t="e">
        <f>AND('Data Analysis'!F25,"AAAAAF22uV4=")</f>
        <v>#VALUE!</v>
      </c>
      <c r="CR24" t="e">
        <f>AND('Data Analysis'!G25,"AAAAAF22uV8=")</f>
        <v>#VALUE!</v>
      </c>
      <c r="CS24" t="e">
        <f>AND('Data Analysis'!H25,"AAAAAF22uWA=")</f>
        <v>#VALUE!</v>
      </c>
      <c r="CT24" t="e">
        <f>AND('Data Analysis'!I25,"AAAAAF22uWE=")</f>
        <v>#VALUE!</v>
      </c>
      <c r="CU24" t="e">
        <f>AND('Data Analysis'!J25,"AAAAAF22uWI=")</f>
        <v>#VALUE!</v>
      </c>
      <c r="CV24" t="e">
        <f>AND('Data Analysis'!K25,"AAAAAF22uWM=")</f>
        <v>#VALUE!</v>
      </c>
      <c r="CW24" t="e">
        <f>AND('Data Analysis'!L25,"AAAAAF22uWQ=")</f>
        <v>#VALUE!</v>
      </c>
      <c r="CX24" t="e">
        <f>AND('Data Analysis'!M25,"AAAAAF22uWU=")</f>
        <v>#VALUE!</v>
      </c>
      <c r="CY24" t="e">
        <f>AND('Data Analysis'!N25,"AAAAAF22uWY=")</f>
        <v>#VALUE!</v>
      </c>
      <c r="CZ24" t="e">
        <f>AND('Data Analysis'!O25,"AAAAAF22uWc=")</f>
        <v>#VALUE!</v>
      </c>
      <c r="DA24" t="e">
        <f>AND('Data Analysis'!P25,"AAAAAF22uWg=")</f>
        <v>#VALUE!</v>
      </c>
      <c r="DB24" t="e">
        <f>AND('Data Analysis'!Q25,"AAAAAF22uWk=")</f>
        <v>#VALUE!</v>
      </c>
      <c r="DC24" t="e">
        <f>AND('Data Analysis'!R25,"AAAAAF22uWo=")</f>
        <v>#VALUE!</v>
      </c>
      <c r="DD24" t="e">
        <f>AND('Data Analysis'!S25,"AAAAAF22uWs=")</f>
        <v>#VALUE!</v>
      </c>
      <c r="DE24" t="e">
        <f>AND('Data Analysis'!T25,"AAAAAF22uWw=")</f>
        <v>#VALUE!</v>
      </c>
      <c r="DF24" t="e">
        <f>AND('Data Analysis'!U25,"AAAAAF22uW0=")</f>
        <v>#VALUE!</v>
      </c>
      <c r="DG24" t="e">
        <f>AND('Data Analysis'!V25,"AAAAAF22uW4=")</f>
        <v>#VALUE!</v>
      </c>
      <c r="DH24" t="e">
        <f>AND('Data Analysis'!W25,"AAAAAF22uW8=")</f>
        <v>#VALUE!</v>
      </c>
      <c r="DI24">
        <f>IF('Data Analysis'!26:26,"AAAAAF22uXA=",0)</f>
        <v>0</v>
      </c>
      <c r="DJ24" t="e">
        <f>AND('Data Analysis'!A26,"AAAAAF22uXE=")</f>
        <v>#VALUE!</v>
      </c>
      <c r="DK24" t="e">
        <f>AND('Data Analysis'!B26,"AAAAAF22uXI=")</f>
        <v>#VALUE!</v>
      </c>
      <c r="DL24" t="e">
        <f>AND('Data Analysis'!C26,"AAAAAF22uXM=")</f>
        <v>#VALUE!</v>
      </c>
      <c r="DM24" t="e">
        <f>AND('Data Analysis'!D26,"AAAAAF22uXQ=")</f>
        <v>#VALUE!</v>
      </c>
      <c r="DN24" t="e">
        <f>AND('Data Analysis'!E26,"AAAAAF22uXU=")</f>
        <v>#VALUE!</v>
      </c>
      <c r="DO24" t="e">
        <f>AND('Data Analysis'!F26,"AAAAAF22uXY=")</f>
        <v>#VALUE!</v>
      </c>
      <c r="DP24" t="e">
        <f>AND('Data Analysis'!G26,"AAAAAF22uXc=")</f>
        <v>#VALUE!</v>
      </c>
      <c r="DQ24" t="e">
        <f>AND('Data Analysis'!H26,"AAAAAF22uXg=")</f>
        <v>#VALUE!</v>
      </c>
      <c r="DR24" t="e">
        <f>AND('Data Analysis'!I26,"AAAAAF22uXk=")</f>
        <v>#VALUE!</v>
      </c>
      <c r="DS24" t="e">
        <f>AND('Data Analysis'!J26,"AAAAAF22uXo=")</f>
        <v>#VALUE!</v>
      </c>
      <c r="DT24" t="e">
        <f>AND('Data Analysis'!K26,"AAAAAF22uXs=")</f>
        <v>#VALUE!</v>
      </c>
      <c r="DU24" t="e">
        <f>AND('Data Analysis'!L26,"AAAAAF22uXw=")</f>
        <v>#VALUE!</v>
      </c>
      <c r="DV24" t="e">
        <f>AND('Data Analysis'!M26,"AAAAAF22uX0=")</f>
        <v>#VALUE!</v>
      </c>
      <c r="DW24" t="e">
        <f>AND('Data Analysis'!N26,"AAAAAF22uX4=")</f>
        <v>#VALUE!</v>
      </c>
      <c r="DX24" t="e">
        <f>AND('Data Analysis'!O26,"AAAAAF22uX8=")</f>
        <v>#VALUE!</v>
      </c>
      <c r="DY24" t="e">
        <f>AND('Data Analysis'!P26,"AAAAAF22uYA=")</f>
        <v>#VALUE!</v>
      </c>
      <c r="DZ24" t="e">
        <f>AND('Data Analysis'!Q26,"AAAAAF22uYE=")</f>
        <v>#VALUE!</v>
      </c>
      <c r="EA24" t="e">
        <f>AND('Data Analysis'!R26,"AAAAAF22uYI=")</f>
        <v>#VALUE!</v>
      </c>
      <c r="EB24" t="e">
        <f>AND('Data Analysis'!S26,"AAAAAF22uYM=")</f>
        <v>#VALUE!</v>
      </c>
      <c r="EC24" t="e">
        <f>AND('Data Analysis'!T26,"AAAAAF22uYQ=")</f>
        <v>#VALUE!</v>
      </c>
      <c r="ED24" t="e">
        <f>AND('Data Analysis'!U26,"AAAAAF22uYU=")</f>
        <v>#VALUE!</v>
      </c>
      <c r="EE24" t="e">
        <f>AND('Data Analysis'!V26,"AAAAAF22uYY=")</f>
        <v>#VALUE!</v>
      </c>
      <c r="EF24" t="e">
        <f>AND('Data Analysis'!W26,"AAAAAF22uYc=")</f>
        <v>#VALUE!</v>
      </c>
      <c r="EG24">
        <f>IF('Data Analysis'!27:27,"AAAAAF22uYg=",0)</f>
        <v>0</v>
      </c>
      <c r="EH24" t="e">
        <f>AND('Data Analysis'!A27,"AAAAAF22uYk=")</f>
        <v>#VALUE!</v>
      </c>
      <c r="EI24" t="e">
        <f>AND('Data Analysis'!B27,"AAAAAF22uYo=")</f>
        <v>#VALUE!</v>
      </c>
      <c r="EJ24" t="e">
        <f>AND('Data Analysis'!C27,"AAAAAF22uYs=")</f>
        <v>#VALUE!</v>
      </c>
      <c r="EK24" t="e">
        <f>AND('Data Analysis'!D27,"AAAAAF22uYw=")</f>
        <v>#VALUE!</v>
      </c>
      <c r="EL24" t="e">
        <f>AND('Data Analysis'!E27,"AAAAAF22uY0=")</f>
        <v>#VALUE!</v>
      </c>
      <c r="EM24" t="e">
        <f>AND('Data Analysis'!F27,"AAAAAF22uY4=")</f>
        <v>#VALUE!</v>
      </c>
      <c r="EN24" t="e">
        <f>AND('Data Analysis'!G27,"AAAAAF22uY8=")</f>
        <v>#VALUE!</v>
      </c>
      <c r="EO24" t="e">
        <f>AND('Data Analysis'!H27,"AAAAAF22uZA=")</f>
        <v>#VALUE!</v>
      </c>
      <c r="EP24" t="e">
        <f>AND('Data Analysis'!I27,"AAAAAF22uZE=")</f>
        <v>#VALUE!</v>
      </c>
      <c r="EQ24" t="e">
        <f>AND('Data Analysis'!J27,"AAAAAF22uZI=")</f>
        <v>#VALUE!</v>
      </c>
      <c r="ER24" t="e">
        <f>AND('Data Analysis'!K27,"AAAAAF22uZM=")</f>
        <v>#VALUE!</v>
      </c>
      <c r="ES24" t="e">
        <f>AND('Data Analysis'!L27,"AAAAAF22uZQ=")</f>
        <v>#VALUE!</v>
      </c>
      <c r="ET24" t="e">
        <f>AND('Data Analysis'!M27,"AAAAAF22uZU=")</f>
        <v>#VALUE!</v>
      </c>
      <c r="EU24" t="e">
        <f>AND('Data Analysis'!N27,"AAAAAF22uZY=")</f>
        <v>#VALUE!</v>
      </c>
      <c r="EV24" t="e">
        <f>AND('Data Analysis'!O27,"AAAAAF22uZc=")</f>
        <v>#VALUE!</v>
      </c>
      <c r="EW24" t="e">
        <f>AND('Data Analysis'!P27,"AAAAAF22uZg=")</f>
        <v>#VALUE!</v>
      </c>
      <c r="EX24" t="e">
        <f>AND('Data Analysis'!Q27,"AAAAAF22uZk=")</f>
        <v>#VALUE!</v>
      </c>
      <c r="EY24" t="e">
        <f>AND('Data Analysis'!R27,"AAAAAF22uZo=")</f>
        <v>#VALUE!</v>
      </c>
      <c r="EZ24" t="e">
        <f>AND('Data Analysis'!S27,"AAAAAF22uZs=")</f>
        <v>#VALUE!</v>
      </c>
      <c r="FA24" t="e">
        <f>AND('Data Analysis'!T27,"AAAAAF22uZw=")</f>
        <v>#VALUE!</v>
      </c>
      <c r="FB24" t="e">
        <f>AND('Data Analysis'!U27,"AAAAAF22uZ0=")</f>
        <v>#VALUE!</v>
      </c>
      <c r="FC24" t="e">
        <f>AND('Data Analysis'!V27,"AAAAAF22uZ4=")</f>
        <v>#VALUE!</v>
      </c>
      <c r="FD24" t="e">
        <f>AND('Data Analysis'!W27,"AAAAAF22uZ8=")</f>
        <v>#VALUE!</v>
      </c>
      <c r="FE24">
        <f>IF('Data Analysis'!28:28,"AAAAAF22uaA=",0)</f>
        <v>0</v>
      </c>
      <c r="FF24" t="e">
        <f>AND('Data Analysis'!A28,"AAAAAF22uaE=")</f>
        <v>#VALUE!</v>
      </c>
      <c r="FG24" t="e">
        <f>AND('Data Analysis'!B28,"AAAAAF22uaI=")</f>
        <v>#VALUE!</v>
      </c>
      <c r="FH24" t="e">
        <f>AND('Data Analysis'!C28,"AAAAAF22uaM=")</f>
        <v>#VALUE!</v>
      </c>
      <c r="FI24" t="e">
        <f>AND('Data Analysis'!D28,"AAAAAF22uaQ=")</f>
        <v>#VALUE!</v>
      </c>
      <c r="FJ24" t="e">
        <f>AND('Data Analysis'!E28,"AAAAAF22uaU=")</f>
        <v>#VALUE!</v>
      </c>
      <c r="FK24" t="e">
        <f>AND('Data Analysis'!F28,"AAAAAF22uaY=")</f>
        <v>#VALUE!</v>
      </c>
      <c r="FL24" t="e">
        <f>AND('Data Analysis'!G28,"AAAAAF22uac=")</f>
        <v>#VALUE!</v>
      </c>
      <c r="FM24" t="e">
        <f>AND('Data Analysis'!H28,"AAAAAF22uag=")</f>
        <v>#VALUE!</v>
      </c>
      <c r="FN24" t="e">
        <f>AND('Data Analysis'!I28,"AAAAAF22uak=")</f>
        <v>#VALUE!</v>
      </c>
      <c r="FO24" t="e">
        <f>AND('Data Analysis'!J28,"AAAAAF22uao=")</f>
        <v>#VALUE!</v>
      </c>
      <c r="FP24" t="e">
        <f>AND('Data Analysis'!K28,"AAAAAF22uas=")</f>
        <v>#VALUE!</v>
      </c>
      <c r="FQ24" t="e">
        <f>AND('Data Analysis'!L28,"AAAAAF22uaw=")</f>
        <v>#VALUE!</v>
      </c>
      <c r="FR24" t="e">
        <f>AND('Data Analysis'!M28,"AAAAAF22ua0=")</f>
        <v>#VALUE!</v>
      </c>
      <c r="FS24" t="e">
        <f>AND('Data Analysis'!N28,"AAAAAF22ua4=")</f>
        <v>#VALUE!</v>
      </c>
      <c r="FT24" t="e">
        <f>AND('Data Analysis'!O28,"AAAAAF22ua8=")</f>
        <v>#VALUE!</v>
      </c>
      <c r="FU24" t="e">
        <f>AND('Data Analysis'!P28,"AAAAAF22ubA=")</f>
        <v>#VALUE!</v>
      </c>
      <c r="FV24" t="e">
        <f>AND('Data Analysis'!Q28,"AAAAAF22ubE=")</f>
        <v>#VALUE!</v>
      </c>
      <c r="FW24" t="e">
        <f>AND('Data Analysis'!R28,"AAAAAF22ubI=")</f>
        <v>#VALUE!</v>
      </c>
      <c r="FX24" t="e">
        <f>AND('Data Analysis'!S28,"AAAAAF22ubM=")</f>
        <v>#VALUE!</v>
      </c>
      <c r="FY24" t="e">
        <f>AND('Data Analysis'!T28,"AAAAAF22ubQ=")</f>
        <v>#VALUE!</v>
      </c>
      <c r="FZ24" t="e">
        <f>AND('Data Analysis'!U28,"AAAAAF22ubU=")</f>
        <v>#VALUE!</v>
      </c>
      <c r="GA24" t="e">
        <f>AND('Data Analysis'!V28,"AAAAAF22ubY=")</f>
        <v>#VALUE!</v>
      </c>
      <c r="GB24" t="e">
        <f>AND('Data Analysis'!W28,"AAAAAF22ubc=")</f>
        <v>#VALUE!</v>
      </c>
      <c r="GC24">
        <f>IF('Data Analysis'!29:29,"AAAAAF22ubg=",0)</f>
        <v>0</v>
      </c>
      <c r="GD24" t="e">
        <f>AND('Data Analysis'!A29,"AAAAAF22ubk=")</f>
        <v>#VALUE!</v>
      </c>
      <c r="GE24" t="e">
        <f>AND('Data Analysis'!B29,"AAAAAF22ubo=")</f>
        <v>#VALUE!</v>
      </c>
      <c r="GF24" t="e">
        <f>AND('Data Analysis'!C29,"AAAAAF22ubs=")</f>
        <v>#VALUE!</v>
      </c>
      <c r="GG24" t="e">
        <f>AND('Data Analysis'!D29,"AAAAAF22ubw=")</f>
        <v>#VALUE!</v>
      </c>
      <c r="GH24" t="e">
        <f>AND('Data Analysis'!E29,"AAAAAF22ub0=")</f>
        <v>#VALUE!</v>
      </c>
      <c r="GI24" t="e">
        <f>AND('Data Analysis'!F29,"AAAAAF22ub4=")</f>
        <v>#VALUE!</v>
      </c>
      <c r="GJ24" t="e">
        <f>AND('Data Analysis'!G29,"AAAAAF22ub8=")</f>
        <v>#VALUE!</v>
      </c>
      <c r="GK24" t="e">
        <f>AND('Data Analysis'!H29,"AAAAAF22ucA=")</f>
        <v>#VALUE!</v>
      </c>
      <c r="GL24" t="e">
        <f>AND('Data Analysis'!I29,"AAAAAF22ucE=")</f>
        <v>#VALUE!</v>
      </c>
      <c r="GM24" t="e">
        <f>AND('Data Analysis'!J29,"AAAAAF22ucI=")</f>
        <v>#VALUE!</v>
      </c>
      <c r="GN24" t="e">
        <f>AND('Data Analysis'!K29,"AAAAAF22ucM=")</f>
        <v>#VALUE!</v>
      </c>
      <c r="GO24" t="e">
        <f>AND('Data Analysis'!L29,"AAAAAF22ucQ=")</f>
        <v>#VALUE!</v>
      </c>
      <c r="GP24" t="e">
        <f>AND('Data Analysis'!M29,"AAAAAF22ucU=")</f>
        <v>#VALUE!</v>
      </c>
      <c r="GQ24" t="e">
        <f>AND('Data Analysis'!N29,"AAAAAF22ucY=")</f>
        <v>#VALUE!</v>
      </c>
      <c r="GR24" t="e">
        <f>AND('Data Analysis'!O29,"AAAAAF22ucc=")</f>
        <v>#VALUE!</v>
      </c>
      <c r="GS24" t="e">
        <f>AND('Data Analysis'!P29,"AAAAAF22ucg=")</f>
        <v>#VALUE!</v>
      </c>
      <c r="GT24" t="e">
        <f>AND('Data Analysis'!Q29,"AAAAAF22uck=")</f>
        <v>#VALUE!</v>
      </c>
      <c r="GU24" t="e">
        <f>AND('Data Analysis'!R29,"AAAAAF22uco=")</f>
        <v>#VALUE!</v>
      </c>
      <c r="GV24" t="e">
        <f>AND('Data Analysis'!S29,"AAAAAF22ucs=")</f>
        <v>#VALUE!</v>
      </c>
      <c r="GW24" t="e">
        <f>AND('Data Analysis'!T29,"AAAAAF22ucw=")</f>
        <v>#VALUE!</v>
      </c>
      <c r="GX24" t="e">
        <f>AND('Data Analysis'!U29,"AAAAAF22uc0=")</f>
        <v>#VALUE!</v>
      </c>
      <c r="GY24" t="e">
        <f>AND('Data Analysis'!V29,"AAAAAF22uc4=")</f>
        <v>#VALUE!</v>
      </c>
      <c r="GZ24" t="e">
        <f>AND('Data Analysis'!W29,"AAAAAF22uc8=")</f>
        <v>#VALUE!</v>
      </c>
      <c r="HA24">
        <f>IF('Data Analysis'!30:30,"AAAAAF22udA=",0)</f>
        <v>0</v>
      </c>
      <c r="HB24" t="e">
        <f>AND('Data Analysis'!A30,"AAAAAF22udE=")</f>
        <v>#VALUE!</v>
      </c>
      <c r="HC24" t="e">
        <f>AND('Data Analysis'!B30,"AAAAAF22udI=")</f>
        <v>#VALUE!</v>
      </c>
      <c r="HD24" t="e">
        <f>AND('Data Analysis'!C30,"AAAAAF22udM=")</f>
        <v>#VALUE!</v>
      </c>
      <c r="HE24" t="e">
        <f>AND('Data Analysis'!D30,"AAAAAF22udQ=")</f>
        <v>#VALUE!</v>
      </c>
      <c r="HF24" t="e">
        <f>AND('Data Analysis'!E30,"AAAAAF22udU=")</f>
        <v>#VALUE!</v>
      </c>
      <c r="HG24" t="e">
        <f>AND('Data Analysis'!F30,"AAAAAF22udY=")</f>
        <v>#VALUE!</v>
      </c>
      <c r="HH24" t="e">
        <f>AND('Data Analysis'!G30,"AAAAAF22udc=")</f>
        <v>#VALUE!</v>
      </c>
      <c r="HI24" t="e">
        <f>AND('Data Analysis'!H30,"AAAAAF22udg=")</f>
        <v>#VALUE!</v>
      </c>
      <c r="HJ24" t="e">
        <f>AND('Data Analysis'!I30,"AAAAAF22udk=")</f>
        <v>#VALUE!</v>
      </c>
      <c r="HK24" t="e">
        <f>AND('Data Analysis'!J30,"AAAAAF22udo=")</f>
        <v>#VALUE!</v>
      </c>
      <c r="HL24" t="e">
        <f>AND('Data Analysis'!K30,"AAAAAF22uds=")</f>
        <v>#VALUE!</v>
      </c>
      <c r="HM24" t="e">
        <f>AND('Data Analysis'!L30,"AAAAAF22udw=")</f>
        <v>#VALUE!</v>
      </c>
      <c r="HN24" t="e">
        <f>AND('Data Analysis'!M30,"AAAAAF22ud0=")</f>
        <v>#VALUE!</v>
      </c>
      <c r="HO24" t="e">
        <f>AND('Data Analysis'!N30,"AAAAAF22ud4=")</f>
        <v>#VALUE!</v>
      </c>
      <c r="HP24" t="e">
        <f>AND('Data Analysis'!O30,"AAAAAF22ud8=")</f>
        <v>#VALUE!</v>
      </c>
      <c r="HQ24" t="e">
        <f>AND('Data Analysis'!P30,"AAAAAF22ueA=")</f>
        <v>#VALUE!</v>
      </c>
      <c r="HR24" t="e">
        <f>AND('Data Analysis'!Q30,"AAAAAF22ueE=")</f>
        <v>#VALUE!</v>
      </c>
      <c r="HS24" t="e">
        <f>AND('Data Analysis'!R30,"AAAAAF22ueI=")</f>
        <v>#VALUE!</v>
      </c>
      <c r="HT24" t="e">
        <f>AND('Data Analysis'!S30,"AAAAAF22ueM=")</f>
        <v>#VALUE!</v>
      </c>
      <c r="HU24" t="e">
        <f>AND('Data Analysis'!T30,"AAAAAF22ueQ=")</f>
        <v>#VALUE!</v>
      </c>
      <c r="HV24" t="e">
        <f>AND('Data Analysis'!U30,"AAAAAF22ueU=")</f>
        <v>#VALUE!</v>
      </c>
      <c r="HW24" t="e">
        <f>AND('Data Analysis'!V30,"AAAAAF22ueY=")</f>
        <v>#VALUE!</v>
      </c>
      <c r="HX24" t="e">
        <f>AND('Data Analysis'!W30,"AAAAAF22uec=")</f>
        <v>#VALUE!</v>
      </c>
      <c r="HY24">
        <f>IF('Data Analysis'!31:31,"AAAAAF22ueg=",0)</f>
        <v>0</v>
      </c>
      <c r="HZ24" t="e">
        <f>AND('Data Analysis'!A31,"AAAAAF22uek=")</f>
        <v>#VALUE!</v>
      </c>
      <c r="IA24" t="e">
        <f>AND('Data Analysis'!B31,"AAAAAF22ueo=")</f>
        <v>#VALUE!</v>
      </c>
      <c r="IB24" t="e">
        <f>AND('Data Analysis'!C31,"AAAAAF22ues=")</f>
        <v>#VALUE!</v>
      </c>
      <c r="IC24" t="e">
        <f>AND('Data Analysis'!D31,"AAAAAF22uew=")</f>
        <v>#VALUE!</v>
      </c>
      <c r="ID24" t="e">
        <f>AND('Data Analysis'!E31,"AAAAAF22ue0=")</f>
        <v>#VALUE!</v>
      </c>
      <c r="IE24" t="e">
        <f>AND('Data Analysis'!F31,"AAAAAF22ue4=")</f>
        <v>#VALUE!</v>
      </c>
      <c r="IF24" t="e">
        <f>AND('Data Analysis'!G31,"AAAAAF22ue8=")</f>
        <v>#VALUE!</v>
      </c>
      <c r="IG24" t="e">
        <f>AND('Data Analysis'!H31,"AAAAAF22ufA=")</f>
        <v>#VALUE!</v>
      </c>
      <c r="IH24" t="e">
        <f>AND('Data Analysis'!I31,"AAAAAF22ufE=")</f>
        <v>#VALUE!</v>
      </c>
      <c r="II24" t="e">
        <f>AND('Data Analysis'!J31,"AAAAAF22ufI=")</f>
        <v>#VALUE!</v>
      </c>
      <c r="IJ24" t="e">
        <f>AND('Data Analysis'!K31,"AAAAAF22ufM=")</f>
        <v>#VALUE!</v>
      </c>
      <c r="IK24" t="e">
        <f>AND('Data Analysis'!L31,"AAAAAF22ufQ=")</f>
        <v>#VALUE!</v>
      </c>
      <c r="IL24" t="e">
        <f>AND('Data Analysis'!M31,"AAAAAF22ufU=")</f>
        <v>#VALUE!</v>
      </c>
      <c r="IM24" t="e">
        <f>AND('Data Analysis'!N31,"AAAAAF22ufY=")</f>
        <v>#VALUE!</v>
      </c>
      <c r="IN24" t="e">
        <f>AND('Data Analysis'!O31,"AAAAAF22ufc=")</f>
        <v>#VALUE!</v>
      </c>
      <c r="IO24" t="e">
        <f>AND('Data Analysis'!P31,"AAAAAF22ufg=")</f>
        <v>#VALUE!</v>
      </c>
      <c r="IP24" t="e">
        <f>AND('Data Analysis'!Q31,"AAAAAF22ufk=")</f>
        <v>#VALUE!</v>
      </c>
      <c r="IQ24" t="e">
        <f>AND('Data Analysis'!R31,"AAAAAF22ufo=")</f>
        <v>#VALUE!</v>
      </c>
      <c r="IR24" t="e">
        <f>AND('Data Analysis'!S31,"AAAAAF22ufs=")</f>
        <v>#VALUE!</v>
      </c>
      <c r="IS24" t="e">
        <f>AND('Data Analysis'!T31,"AAAAAF22ufw=")</f>
        <v>#VALUE!</v>
      </c>
      <c r="IT24" t="e">
        <f>AND('Data Analysis'!U31,"AAAAAF22uf0=")</f>
        <v>#VALUE!</v>
      </c>
      <c r="IU24" t="e">
        <f>AND('Data Analysis'!V31,"AAAAAF22uf4=")</f>
        <v>#VALUE!</v>
      </c>
      <c r="IV24" t="e">
        <f>AND('Data Analysis'!W31,"AAAAAF22uf8=")</f>
        <v>#VALUE!</v>
      </c>
    </row>
    <row r="25" spans="1:256" x14ac:dyDescent="0.2">
      <c r="A25">
        <f>IF('Data Analysis'!32:32,"AAAAAHuV/wA=",0)</f>
        <v>0</v>
      </c>
      <c r="B25" t="e">
        <f>AND('Data Analysis'!A32,"AAAAAHuV/wE=")</f>
        <v>#VALUE!</v>
      </c>
      <c r="C25" t="e">
        <f>AND('Data Analysis'!B32,"AAAAAHuV/wI=")</f>
        <v>#VALUE!</v>
      </c>
      <c r="D25" t="e">
        <f>AND('Data Analysis'!C32,"AAAAAHuV/wM=")</f>
        <v>#VALUE!</v>
      </c>
      <c r="E25" t="e">
        <f>AND('Data Analysis'!D32,"AAAAAHuV/wQ=")</f>
        <v>#VALUE!</v>
      </c>
      <c r="F25" t="e">
        <f>AND('Data Analysis'!E32,"AAAAAHuV/wU=")</f>
        <v>#VALUE!</v>
      </c>
      <c r="G25" t="e">
        <f>AND('Data Analysis'!F32,"AAAAAHuV/wY=")</f>
        <v>#VALUE!</v>
      </c>
      <c r="H25" t="e">
        <f>AND('Data Analysis'!G32,"AAAAAHuV/wc=")</f>
        <v>#VALUE!</v>
      </c>
      <c r="I25" t="e">
        <f>AND('Data Analysis'!H32,"AAAAAHuV/wg=")</f>
        <v>#VALUE!</v>
      </c>
      <c r="J25" t="e">
        <f>AND('Data Analysis'!I32,"AAAAAHuV/wk=")</f>
        <v>#VALUE!</v>
      </c>
      <c r="K25" t="e">
        <f>AND('Data Analysis'!J32,"AAAAAHuV/wo=")</f>
        <v>#VALUE!</v>
      </c>
      <c r="L25" t="e">
        <f>AND('Data Analysis'!K32,"AAAAAHuV/ws=")</f>
        <v>#VALUE!</v>
      </c>
      <c r="M25" t="e">
        <f>AND('Data Analysis'!L32,"AAAAAHuV/ww=")</f>
        <v>#VALUE!</v>
      </c>
      <c r="N25" t="e">
        <f>AND('Data Analysis'!M32,"AAAAAHuV/w0=")</f>
        <v>#VALUE!</v>
      </c>
      <c r="O25" t="e">
        <f>AND('Data Analysis'!N32,"AAAAAHuV/w4=")</f>
        <v>#VALUE!</v>
      </c>
      <c r="P25" t="e">
        <f>AND('Data Analysis'!O32,"AAAAAHuV/w8=")</f>
        <v>#VALUE!</v>
      </c>
      <c r="Q25" t="e">
        <f>AND('Data Analysis'!P32,"AAAAAHuV/xA=")</f>
        <v>#VALUE!</v>
      </c>
      <c r="R25" t="e">
        <f>AND('Data Analysis'!Q32,"AAAAAHuV/xE=")</f>
        <v>#VALUE!</v>
      </c>
      <c r="S25" t="e">
        <f>AND('Data Analysis'!R32,"AAAAAHuV/xI=")</f>
        <v>#VALUE!</v>
      </c>
      <c r="T25" t="e">
        <f>AND('Data Analysis'!S32,"AAAAAHuV/xM=")</f>
        <v>#VALUE!</v>
      </c>
      <c r="U25" t="e">
        <f>AND('Data Analysis'!T32,"AAAAAHuV/xQ=")</f>
        <v>#VALUE!</v>
      </c>
      <c r="V25" t="e">
        <f>AND('Data Analysis'!U32,"AAAAAHuV/xU=")</f>
        <v>#VALUE!</v>
      </c>
      <c r="W25" t="e">
        <f>AND('Data Analysis'!V32,"AAAAAHuV/xY=")</f>
        <v>#VALUE!</v>
      </c>
      <c r="X25" t="e">
        <f>AND('Data Analysis'!W32,"AAAAAHuV/xc=")</f>
        <v>#VALUE!</v>
      </c>
      <c r="Y25">
        <f>IF('Data Analysis'!33:33,"AAAAAHuV/xg=",0)</f>
        <v>0</v>
      </c>
      <c r="Z25" t="e">
        <f>AND('Data Analysis'!A33,"AAAAAHuV/xk=")</f>
        <v>#VALUE!</v>
      </c>
      <c r="AA25" t="e">
        <f>AND('Data Analysis'!B33,"AAAAAHuV/xo=")</f>
        <v>#VALUE!</v>
      </c>
      <c r="AB25" t="e">
        <f>AND('Data Analysis'!C33,"AAAAAHuV/xs=")</f>
        <v>#VALUE!</v>
      </c>
      <c r="AC25" t="e">
        <f>AND('Data Analysis'!D33,"AAAAAHuV/xw=")</f>
        <v>#VALUE!</v>
      </c>
      <c r="AD25" t="e">
        <f>AND('Data Analysis'!E33,"AAAAAHuV/x0=")</f>
        <v>#VALUE!</v>
      </c>
      <c r="AE25" t="e">
        <f>AND('Data Analysis'!F33,"AAAAAHuV/x4=")</f>
        <v>#VALUE!</v>
      </c>
      <c r="AF25" t="e">
        <f>AND('Data Analysis'!G33,"AAAAAHuV/x8=")</f>
        <v>#VALUE!</v>
      </c>
      <c r="AG25" t="e">
        <f>AND('Data Analysis'!H33,"AAAAAHuV/yA=")</f>
        <v>#VALUE!</v>
      </c>
      <c r="AH25" t="e">
        <f>AND('Data Analysis'!I33,"AAAAAHuV/yE=")</f>
        <v>#VALUE!</v>
      </c>
      <c r="AI25" t="e">
        <f>AND('Data Analysis'!J33,"AAAAAHuV/yI=")</f>
        <v>#VALUE!</v>
      </c>
      <c r="AJ25" t="e">
        <f>AND('Data Analysis'!K33,"AAAAAHuV/yM=")</f>
        <v>#VALUE!</v>
      </c>
      <c r="AK25" t="e">
        <f>AND('Data Analysis'!L33,"AAAAAHuV/yQ=")</f>
        <v>#VALUE!</v>
      </c>
      <c r="AL25" t="e">
        <f>AND('Data Analysis'!M33,"AAAAAHuV/yU=")</f>
        <v>#VALUE!</v>
      </c>
      <c r="AM25" t="e">
        <f>AND('Data Analysis'!N33,"AAAAAHuV/yY=")</f>
        <v>#VALUE!</v>
      </c>
      <c r="AN25" t="e">
        <f>AND('Data Analysis'!O33,"AAAAAHuV/yc=")</f>
        <v>#VALUE!</v>
      </c>
      <c r="AO25" t="e">
        <f>AND('Data Analysis'!P33,"AAAAAHuV/yg=")</f>
        <v>#VALUE!</v>
      </c>
      <c r="AP25" t="e">
        <f>AND('Data Analysis'!Q33,"AAAAAHuV/yk=")</f>
        <v>#VALUE!</v>
      </c>
      <c r="AQ25" t="e">
        <f>AND('Data Analysis'!R33,"AAAAAHuV/yo=")</f>
        <v>#VALUE!</v>
      </c>
      <c r="AR25" t="e">
        <f>AND('Data Analysis'!S33,"AAAAAHuV/ys=")</f>
        <v>#VALUE!</v>
      </c>
      <c r="AS25" t="e">
        <f>AND('Data Analysis'!T33,"AAAAAHuV/yw=")</f>
        <v>#VALUE!</v>
      </c>
      <c r="AT25" t="e">
        <f>AND('Data Analysis'!U33,"AAAAAHuV/y0=")</f>
        <v>#VALUE!</v>
      </c>
      <c r="AU25" t="e">
        <f>AND('Data Analysis'!V33,"AAAAAHuV/y4=")</f>
        <v>#VALUE!</v>
      </c>
      <c r="AV25" t="e">
        <f>AND('Data Analysis'!W33,"AAAAAHuV/y8=")</f>
        <v>#VALUE!</v>
      </c>
      <c r="AW25">
        <f>IF('Data Analysis'!34:34,"AAAAAHuV/zA=",0)</f>
        <v>0</v>
      </c>
      <c r="AX25" t="e">
        <f>AND('Data Analysis'!A34,"AAAAAHuV/zE=")</f>
        <v>#VALUE!</v>
      </c>
      <c r="AY25" t="e">
        <f>AND('Data Analysis'!B34,"AAAAAHuV/zI=")</f>
        <v>#VALUE!</v>
      </c>
      <c r="AZ25" t="e">
        <f>AND('Data Analysis'!C34,"AAAAAHuV/zM=")</f>
        <v>#VALUE!</v>
      </c>
      <c r="BA25" t="e">
        <f>AND('Data Analysis'!D34,"AAAAAHuV/zQ=")</f>
        <v>#VALUE!</v>
      </c>
      <c r="BB25" t="e">
        <f>AND('Data Analysis'!E34,"AAAAAHuV/zU=")</f>
        <v>#VALUE!</v>
      </c>
      <c r="BC25" t="e">
        <f>AND('Data Analysis'!F34,"AAAAAHuV/zY=")</f>
        <v>#VALUE!</v>
      </c>
      <c r="BD25" t="e">
        <f>AND('Data Analysis'!G34,"AAAAAHuV/zc=")</f>
        <v>#VALUE!</v>
      </c>
      <c r="BE25" t="e">
        <f>AND('Data Analysis'!H34,"AAAAAHuV/zg=")</f>
        <v>#VALUE!</v>
      </c>
      <c r="BF25" t="e">
        <f>AND('Data Analysis'!I34,"AAAAAHuV/zk=")</f>
        <v>#VALUE!</v>
      </c>
      <c r="BG25" t="e">
        <f>AND('Data Analysis'!J34,"AAAAAHuV/zo=")</f>
        <v>#VALUE!</v>
      </c>
      <c r="BH25" t="e">
        <f>AND('Data Analysis'!K34,"AAAAAHuV/zs=")</f>
        <v>#VALUE!</v>
      </c>
      <c r="BI25" t="e">
        <f>AND('Data Analysis'!L34,"AAAAAHuV/zw=")</f>
        <v>#VALUE!</v>
      </c>
      <c r="BJ25" t="e">
        <f>AND('Data Analysis'!M34,"AAAAAHuV/z0=")</f>
        <v>#VALUE!</v>
      </c>
      <c r="BK25" t="e">
        <f>AND('Data Analysis'!N34,"AAAAAHuV/z4=")</f>
        <v>#VALUE!</v>
      </c>
      <c r="BL25" t="e">
        <f>AND('Data Analysis'!O34,"AAAAAHuV/z8=")</f>
        <v>#VALUE!</v>
      </c>
      <c r="BM25" t="e">
        <f>AND('Data Analysis'!P34,"AAAAAHuV/0A=")</f>
        <v>#VALUE!</v>
      </c>
      <c r="BN25" t="e">
        <f>AND('Data Analysis'!Q34,"AAAAAHuV/0E=")</f>
        <v>#VALUE!</v>
      </c>
      <c r="BO25" t="e">
        <f>AND('Data Analysis'!R34,"AAAAAHuV/0I=")</f>
        <v>#VALUE!</v>
      </c>
      <c r="BP25" t="e">
        <f>AND('Data Analysis'!S34,"AAAAAHuV/0M=")</f>
        <v>#VALUE!</v>
      </c>
      <c r="BQ25" t="e">
        <f>AND('Data Analysis'!T34,"AAAAAHuV/0Q=")</f>
        <v>#VALUE!</v>
      </c>
      <c r="BR25" t="e">
        <f>AND('Data Analysis'!U34,"AAAAAHuV/0U=")</f>
        <v>#VALUE!</v>
      </c>
      <c r="BS25" t="e">
        <f>AND('Data Analysis'!V34,"AAAAAHuV/0Y=")</f>
        <v>#VALUE!</v>
      </c>
      <c r="BT25" t="e">
        <f>AND('Data Analysis'!W34,"AAAAAHuV/0c=")</f>
        <v>#VALUE!</v>
      </c>
      <c r="BU25">
        <f>IF('Data Analysis'!35:35,"AAAAAHuV/0g=",0)</f>
        <v>0</v>
      </c>
      <c r="BV25" t="e">
        <f>AND('Data Analysis'!A35,"AAAAAHuV/0k=")</f>
        <v>#VALUE!</v>
      </c>
      <c r="BW25" t="e">
        <f>AND('Data Analysis'!B35,"AAAAAHuV/0o=")</f>
        <v>#VALUE!</v>
      </c>
      <c r="BX25" t="e">
        <f>AND('Data Analysis'!C35,"AAAAAHuV/0s=")</f>
        <v>#VALUE!</v>
      </c>
      <c r="BY25" t="e">
        <f>AND('Data Analysis'!D35,"AAAAAHuV/0w=")</f>
        <v>#VALUE!</v>
      </c>
      <c r="BZ25" t="e">
        <f>AND('Data Analysis'!E35,"AAAAAHuV/00=")</f>
        <v>#VALUE!</v>
      </c>
      <c r="CA25" t="e">
        <f>AND('Data Analysis'!F35,"AAAAAHuV/04=")</f>
        <v>#VALUE!</v>
      </c>
      <c r="CB25" t="e">
        <f>AND('Data Analysis'!G35,"AAAAAHuV/08=")</f>
        <v>#VALUE!</v>
      </c>
      <c r="CC25" t="e">
        <f>AND('Data Analysis'!H35,"AAAAAHuV/1A=")</f>
        <v>#VALUE!</v>
      </c>
      <c r="CD25" t="e">
        <f>AND('Data Analysis'!I35,"AAAAAHuV/1E=")</f>
        <v>#VALUE!</v>
      </c>
      <c r="CE25" t="e">
        <f>AND('Data Analysis'!J35,"AAAAAHuV/1I=")</f>
        <v>#VALUE!</v>
      </c>
      <c r="CF25" t="e">
        <f>AND('Data Analysis'!K35,"AAAAAHuV/1M=")</f>
        <v>#VALUE!</v>
      </c>
      <c r="CG25" t="e">
        <f>AND('Data Analysis'!L35,"AAAAAHuV/1Q=")</f>
        <v>#VALUE!</v>
      </c>
      <c r="CH25" t="e">
        <f>AND('Data Analysis'!M35,"AAAAAHuV/1U=")</f>
        <v>#VALUE!</v>
      </c>
      <c r="CI25" t="e">
        <f>AND('Data Analysis'!N35,"AAAAAHuV/1Y=")</f>
        <v>#VALUE!</v>
      </c>
      <c r="CJ25" t="e">
        <f>AND('Data Analysis'!O35,"AAAAAHuV/1c=")</f>
        <v>#VALUE!</v>
      </c>
      <c r="CK25" t="e">
        <f>AND('Data Analysis'!P35,"AAAAAHuV/1g=")</f>
        <v>#VALUE!</v>
      </c>
      <c r="CL25" t="e">
        <f>AND('Data Analysis'!Q35,"AAAAAHuV/1k=")</f>
        <v>#VALUE!</v>
      </c>
      <c r="CM25" t="e">
        <f>AND('Data Analysis'!R35,"AAAAAHuV/1o=")</f>
        <v>#VALUE!</v>
      </c>
      <c r="CN25" t="e">
        <f>AND('Data Analysis'!S35,"AAAAAHuV/1s=")</f>
        <v>#VALUE!</v>
      </c>
      <c r="CO25" t="e">
        <f>AND('Data Analysis'!T35,"AAAAAHuV/1w=")</f>
        <v>#VALUE!</v>
      </c>
      <c r="CP25" t="e">
        <f>AND('Data Analysis'!U35,"AAAAAHuV/10=")</f>
        <v>#VALUE!</v>
      </c>
      <c r="CQ25" t="e">
        <f>AND('Data Analysis'!V35,"AAAAAHuV/14=")</f>
        <v>#VALUE!</v>
      </c>
      <c r="CR25" t="e">
        <f>AND('Data Analysis'!W35,"AAAAAHuV/18=")</f>
        <v>#VALUE!</v>
      </c>
      <c r="CS25">
        <f>IF('Data Analysis'!36:36,"AAAAAHuV/2A=",0)</f>
        <v>0</v>
      </c>
      <c r="CT25" t="e">
        <f>AND('Data Analysis'!A36,"AAAAAHuV/2E=")</f>
        <v>#VALUE!</v>
      </c>
      <c r="CU25" t="e">
        <f>AND('Data Analysis'!B36,"AAAAAHuV/2I=")</f>
        <v>#VALUE!</v>
      </c>
      <c r="CV25" t="e">
        <f>AND('Data Analysis'!C36,"AAAAAHuV/2M=")</f>
        <v>#VALUE!</v>
      </c>
      <c r="CW25" t="e">
        <f>AND('Data Analysis'!D36,"AAAAAHuV/2Q=")</f>
        <v>#VALUE!</v>
      </c>
      <c r="CX25" t="e">
        <f>AND('Data Analysis'!E36,"AAAAAHuV/2U=")</f>
        <v>#VALUE!</v>
      </c>
      <c r="CY25" t="e">
        <f>AND('Data Analysis'!F36,"AAAAAHuV/2Y=")</f>
        <v>#VALUE!</v>
      </c>
      <c r="CZ25" t="e">
        <f>AND('Data Analysis'!G36,"AAAAAHuV/2c=")</f>
        <v>#VALUE!</v>
      </c>
      <c r="DA25" t="e">
        <f>AND('Data Analysis'!H36,"AAAAAHuV/2g=")</f>
        <v>#VALUE!</v>
      </c>
      <c r="DB25" t="e">
        <f>AND('Data Analysis'!I36,"AAAAAHuV/2k=")</f>
        <v>#VALUE!</v>
      </c>
      <c r="DC25" t="e">
        <f>AND('Data Analysis'!J36,"AAAAAHuV/2o=")</f>
        <v>#VALUE!</v>
      </c>
      <c r="DD25" t="e">
        <f>AND('Data Analysis'!K36,"AAAAAHuV/2s=")</f>
        <v>#VALUE!</v>
      </c>
      <c r="DE25" t="e">
        <f>AND('Data Analysis'!L36,"AAAAAHuV/2w=")</f>
        <v>#VALUE!</v>
      </c>
      <c r="DF25" t="e">
        <f>AND('Data Analysis'!M36,"AAAAAHuV/20=")</f>
        <v>#VALUE!</v>
      </c>
      <c r="DG25" t="e">
        <f>AND('Data Analysis'!N36,"AAAAAHuV/24=")</f>
        <v>#VALUE!</v>
      </c>
      <c r="DH25" t="e">
        <f>AND('Data Analysis'!O36,"AAAAAHuV/28=")</f>
        <v>#VALUE!</v>
      </c>
      <c r="DI25" t="e">
        <f>AND('Data Analysis'!P36,"AAAAAHuV/3A=")</f>
        <v>#VALUE!</v>
      </c>
      <c r="DJ25" t="e">
        <f>AND('Data Analysis'!Q36,"AAAAAHuV/3E=")</f>
        <v>#VALUE!</v>
      </c>
      <c r="DK25" t="e">
        <f>AND('Data Analysis'!R36,"AAAAAHuV/3I=")</f>
        <v>#VALUE!</v>
      </c>
      <c r="DL25" t="e">
        <f>AND('Data Analysis'!S36,"AAAAAHuV/3M=")</f>
        <v>#VALUE!</v>
      </c>
      <c r="DM25" t="e">
        <f>AND('Data Analysis'!T36,"AAAAAHuV/3Q=")</f>
        <v>#VALUE!</v>
      </c>
      <c r="DN25" t="e">
        <f>AND('Data Analysis'!U36,"AAAAAHuV/3U=")</f>
        <v>#VALUE!</v>
      </c>
      <c r="DO25" t="e">
        <f>AND('Data Analysis'!V36,"AAAAAHuV/3Y=")</f>
        <v>#VALUE!</v>
      </c>
      <c r="DP25" t="e">
        <f>AND('Data Analysis'!W36,"AAAAAHuV/3c=")</f>
        <v>#VALUE!</v>
      </c>
      <c r="DQ25">
        <f>IF('Data Analysis'!37:37,"AAAAAHuV/3g=",0)</f>
        <v>0</v>
      </c>
      <c r="DR25" t="e">
        <f>AND('Data Analysis'!A37,"AAAAAHuV/3k=")</f>
        <v>#VALUE!</v>
      </c>
      <c r="DS25" t="e">
        <f>AND('Data Analysis'!B37,"AAAAAHuV/3o=")</f>
        <v>#VALUE!</v>
      </c>
      <c r="DT25" t="e">
        <f>AND('Data Analysis'!C37,"AAAAAHuV/3s=")</f>
        <v>#VALUE!</v>
      </c>
      <c r="DU25" t="e">
        <f>AND('Data Analysis'!D37,"AAAAAHuV/3w=")</f>
        <v>#VALUE!</v>
      </c>
      <c r="DV25" t="e">
        <f>AND('Data Analysis'!E37,"AAAAAHuV/30=")</f>
        <v>#VALUE!</v>
      </c>
      <c r="DW25" t="e">
        <f>AND('Data Analysis'!F37,"AAAAAHuV/34=")</f>
        <v>#VALUE!</v>
      </c>
      <c r="DX25" t="e">
        <f>AND('Data Analysis'!G37,"AAAAAHuV/38=")</f>
        <v>#VALUE!</v>
      </c>
      <c r="DY25" t="e">
        <f>AND('Data Analysis'!H37,"AAAAAHuV/4A=")</f>
        <v>#VALUE!</v>
      </c>
      <c r="DZ25" t="e">
        <f>AND('Data Analysis'!I37,"AAAAAHuV/4E=")</f>
        <v>#VALUE!</v>
      </c>
      <c r="EA25" t="e">
        <f>AND('Data Analysis'!J37,"AAAAAHuV/4I=")</f>
        <v>#VALUE!</v>
      </c>
      <c r="EB25" t="e">
        <f>AND('Data Analysis'!K37,"AAAAAHuV/4M=")</f>
        <v>#VALUE!</v>
      </c>
      <c r="EC25" t="e">
        <f>AND('Data Analysis'!L37,"AAAAAHuV/4Q=")</f>
        <v>#VALUE!</v>
      </c>
      <c r="ED25" t="e">
        <f>AND('Data Analysis'!M37,"AAAAAHuV/4U=")</f>
        <v>#VALUE!</v>
      </c>
      <c r="EE25" t="e">
        <f>AND('Data Analysis'!N37,"AAAAAHuV/4Y=")</f>
        <v>#VALUE!</v>
      </c>
      <c r="EF25" t="e">
        <f>AND('Data Analysis'!O37,"AAAAAHuV/4c=")</f>
        <v>#VALUE!</v>
      </c>
      <c r="EG25" t="e">
        <f>AND('Data Analysis'!P37,"AAAAAHuV/4g=")</f>
        <v>#VALUE!</v>
      </c>
      <c r="EH25" t="e">
        <f>AND('Data Analysis'!Q37,"AAAAAHuV/4k=")</f>
        <v>#VALUE!</v>
      </c>
      <c r="EI25" t="e">
        <f>AND('Data Analysis'!R37,"AAAAAHuV/4o=")</f>
        <v>#VALUE!</v>
      </c>
      <c r="EJ25" t="e">
        <f>AND('Data Analysis'!S37,"AAAAAHuV/4s=")</f>
        <v>#VALUE!</v>
      </c>
      <c r="EK25" t="e">
        <f>AND('Data Analysis'!T37,"AAAAAHuV/4w=")</f>
        <v>#VALUE!</v>
      </c>
      <c r="EL25" t="e">
        <f>AND('Data Analysis'!U37,"AAAAAHuV/40=")</f>
        <v>#VALUE!</v>
      </c>
      <c r="EM25" t="e">
        <f>AND('Data Analysis'!V37,"AAAAAHuV/44=")</f>
        <v>#VALUE!</v>
      </c>
      <c r="EN25" t="e">
        <f>AND('Data Analysis'!W37,"AAAAAHuV/48=")</f>
        <v>#VALUE!</v>
      </c>
      <c r="EO25">
        <f>IF('Data Analysis'!38:38,"AAAAAHuV/5A=",0)</f>
        <v>0</v>
      </c>
      <c r="EP25" t="e">
        <f>AND('Data Analysis'!A38,"AAAAAHuV/5E=")</f>
        <v>#VALUE!</v>
      </c>
      <c r="EQ25" t="e">
        <f>AND('Data Analysis'!B38,"AAAAAHuV/5I=")</f>
        <v>#VALUE!</v>
      </c>
      <c r="ER25" t="e">
        <f>AND('Data Analysis'!C38,"AAAAAHuV/5M=")</f>
        <v>#VALUE!</v>
      </c>
      <c r="ES25" t="e">
        <f>AND('Data Analysis'!D38,"AAAAAHuV/5Q=")</f>
        <v>#VALUE!</v>
      </c>
      <c r="ET25" t="e">
        <f>AND('Data Analysis'!E38,"AAAAAHuV/5U=")</f>
        <v>#VALUE!</v>
      </c>
      <c r="EU25" t="e">
        <f>AND('Data Analysis'!F38,"AAAAAHuV/5Y=")</f>
        <v>#VALUE!</v>
      </c>
      <c r="EV25" t="e">
        <f>AND('Data Analysis'!G38,"AAAAAHuV/5c=")</f>
        <v>#VALUE!</v>
      </c>
      <c r="EW25" t="e">
        <f>AND('Data Analysis'!H38,"AAAAAHuV/5g=")</f>
        <v>#VALUE!</v>
      </c>
      <c r="EX25" t="e">
        <f>AND('Data Analysis'!I38,"AAAAAHuV/5k=")</f>
        <v>#VALUE!</v>
      </c>
      <c r="EY25" t="e">
        <f>AND('Data Analysis'!J38,"AAAAAHuV/5o=")</f>
        <v>#VALUE!</v>
      </c>
      <c r="EZ25" t="e">
        <f>AND('Data Analysis'!K38,"AAAAAHuV/5s=")</f>
        <v>#VALUE!</v>
      </c>
      <c r="FA25" t="e">
        <f>AND('Data Analysis'!L38,"AAAAAHuV/5w=")</f>
        <v>#VALUE!</v>
      </c>
      <c r="FB25" t="e">
        <f>AND('Data Analysis'!M38,"AAAAAHuV/50=")</f>
        <v>#VALUE!</v>
      </c>
      <c r="FC25" t="e">
        <f>AND('Data Analysis'!N38,"AAAAAHuV/54=")</f>
        <v>#VALUE!</v>
      </c>
      <c r="FD25" t="e">
        <f>AND('Data Analysis'!O38,"AAAAAHuV/58=")</f>
        <v>#VALUE!</v>
      </c>
      <c r="FE25" t="e">
        <f>AND('Data Analysis'!P38,"AAAAAHuV/6A=")</f>
        <v>#VALUE!</v>
      </c>
      <c r="FF25" t="e">
        <f>AND('Data Analysis'!Q38,"AAAAAHuV/6E=")</f>
        <v>#VALUE!</v>
      </c>
      <c r="FG25" t="e">
        <f>AND('Data Analysis'!R38,"AAAAAHuV/6I=")</f>
        <v>#VALUE!</v>
      </c>
      <c r="FH25" t="e">
        <f>AND('Data Analysis'!S38,"AAAAAHuV/6M=")</f>
        <v>#VALUE!</v>
      </c>
      <c r="FI25" t="e">
        <f>AND('Data Analysis'!T38,"AAAAAHuV/6Q=")</f>
        <v>#VALUE!</v>
      </c>
      <c r="FJ25" t="e">
        <f>AND('Data Analysis'!U38,"AAAAAHuV/6U=")</f>
        <v>#VALUE!</v>
      </c>
      <c r="FK25" t="e">
        <f>AND('Data Analysis'!V38,"AAAAAHuV/6Y=")</f>
        <v>#VALUE!</v>
      </c>
      <c r="FL25" t="e">
        <f>AND('Data Analysis'!W38,"AAAAAHuV/6c=")</f>
        <v>#VALUE!</v>
      </c>
      <c r="FM25">
        <f>IF('Data Analysis'!39:39,"AAAAAHuV/6g=",0)</f>
        <v>0</v>
      </c>
      <c r="FN25" t="e">
        <f>AND('Data Analysis'!A39,"AAAAAHuV/6k=")</f>
        <v>#VALUE!</v>
      </c>
      <c r="FO25" t="e">
        <f>AND('Data Analysis'!B39,"AAAAAHuV/6o=")</f>
        <v>#VALUE!</v>
      </c>
      <c r="FP25" t="e">
        <f>AND('Data Analysis'!C39,"AAAAAHuV/6s=")</f>
        <v>#VALUE!</v>
      </c>
      <c r="FQ25" t="e">
        <f>AND('Data Analysis'!D39,"AAAAAHuV/6w=")</f>
        <v>#VALUE!</v>
      </c>
      <c r="FR25" t="e">
        <f>AND('Data Analysis'!E39,"AAAAAHuV/60=")</f>
        <v>#VALUE!</v>
      </c>
      <c r="FS25" t="e">
        <f>AND('Data Analysis'!F39,"AAAAAHuV/64=")</f>
        <v>#VALUE!</v>
      </c>
      <c r="FT25" t="e">
        <f>AND('Data Analysis'!G39,"AAAAAHuV/68=")</f>
        <v>#VALUE!</v>
      </c>
      <c r="FU25" t="e">
        <f>AND('Data Analysis'!H39,"AAAAAHuV/7A=")</f>
        <v>#VALUE!</v>
      </c>
      <c r="FV25" t="e">
        <f>AND('Data Analysis'!I39,"AAAAAHuV/7E=")</f>
        <v>#VALUE!</v>
      </c>
      <c r="FW25" t="e">
        <f>AND('Data Analysis'!J39,"AAAAAHuV/7I=")</f>
        <v>#VALUE!</v>
      </c>
      <c r="FX25" t="e">
        <f>AND('Data Analysis'!K39,"AAAAAHuV/7M=")</f>
        <v>#VALUE!</v>
      </c>
      <c r="FY25" t="e">
        <f>AND('Data Analysis'!L39,"AAAAAHuV/7Q=")</f>
        <v>#VALUE!</v>
      </c>
      <c r="FZ25" t="e">
        <f>AND('Data Analysis'!M39,"AAAAAHuV/7U=")</f>
        <v>#VALUE!</v>
      </c>
      <c r="GA25" t="e">
        <f>AND('Data Analysis'!N39,"AAAAAHuV/7Y=")</f>
        <v>#VALUE!</v>
      </c>
      <c r="GB25" t="e">
        <f>AND('Data Analysis'!O39,"AAAAAHuV/7c=")</f>
        <v>#VALUE!</v>
      </c>
      <c r="GC25" t="e">
        <f>AND('Data Analysis'!P39,"AAAAAHuV/7g=")</f>
        <v>#VALUE!</v>
      </c>
      <c r="GD25" t="e">
        <f>AND('Data Analysis'!Q39,"AAAAAHuV/7k=")</f>
        <v>#VALUE!</v>
      </c>
      <c r="GE25" t="e">
        <f>AND('Data Analysis'!R39,"AAAAAHuV/7o=")</f>
        <v>#VALUE!</v>
      </c>
      <c r="GF25" t="e">
        <f>AND('Data Analysis'!S39,"AAAAAHuV/7s=")</f>
        <v>#VALUE!</v>
      </c>
      <c r="GG25" t="e">
        <f>AND('Data Analysis'!T39,"AAAAAHuV/7w=")</f>
        <v>#VALUE!</v>
      </c>
      <c r="GH25" t="e">
        <f>AND('Data Analysis'!U39,"AAAAAHuV/70=")</f>
        <v>#VALUE!</v>
      </c>
      <c r="GI25" t="e">
        <f>AND('Data Analysis'!V39,"AAAAAHuV/74=")</f>
        <v>#VALUE!</v>
      </c>
      <c r="GJ25" t="e">
        <f>AND('Data Analysis'!W39,"AAAAAHuV/78=")</f>
        <v>#VALUE!</v>
      </c>
      <c r="GK25">
        <f>IF('Data Analysis'!40:40,"AAAAAHuV/8A=",0)</f>
        <v>0</v>
      </c>
      <c r="GL25" t="e">
        <f>AND('Data Analysis'!A40,"AAAAAHuV/8E=")</f>
        <v>#VALUE!</v>
      </c>
      <c r="GM25" t="e">
        <f>AND('Data Analysis'!B40,"AAAAAHuV/8I=")</f>
        <v>#VALUE!</v>
      </c>
      <c r="GN25" t="e">
        <f>AND('Data Analysis'!C40,"AAAAAHuV/8M=")</f>
        <v>#VALUE!</v>
      </c>
      <c r="GO25" t="e">
        <f>AND('Data Analysis'!D40,"AAAAAHuV/8Q=")</f>
        <v>#VALUE!</v>
      </c>
      <c r="GP25" t="e">
        <f>AND('Data Analysis'!E40,"AAAAAHuV/8U=")</f>
        <v>#VALUE!</v>
      </c>
      <c r="GQ25" t="e">
        <f>AND('Data Analysis'!F40,"AAAAAHuV/8Y=")</f>
        <v>#VALUE!</v>
      </c>
      <c r="GR25" t="e">
        <f>AND('Data Analysis'!G40,"AAAAAHuV/8c=")</f>
        <v>#VALUE!</v>
      </c>
      <c r="GS25" t="e">
        <f>AND('Data Analysis'!H40,"AAAAAHuV/8g=")</f>
        <v>#VALUE!</v>
      </c>
      <c r="GT25" t="e">
        <f>AND('Data Analysis'!I40,"AAAAAHuV/8k=")</f>
        <v>#VALUE!</v>
      </c>
      <c r="GU25" t="e">
        <f>AND('Data Analysis'!J40,"AAAAAHuV/8o=")</f>
        <v>#VALUE!</v>
      </c>
      <c r="GV25" t="e">
        <f>AND('Data Analysis'!K40,"AAAAAHuV/8s=")</f>
        <v>#VALUE!</v>
      </c>
      <c r="GW25" t="e">
        <f>AND('Data Analysis'!L40,"AAAAAHuV/8w=")</f>
        <v>#VALUE!</v>
      </c>
      <c r="GX25" t="e">
        <f>AND('Data Analysis'!M40,"AAAAAHuV/80=")</f>
        <v>#VALUE!</v>
      </c>
      <c r="GY25" t="e">
        <f>AND('Data Analysis'!N40,"AAAAAHuV/84=")</f>
        <v>#VALUE!</v>
      </c>
      <c r="GZ25" t="e">
        <f>AND('Data Analysis'!O40,"AAAAAHuV/88=")</f>
        <v>#VALUE!</v>
      </c>
      <c r="HA25" t="e">
        <f>AND('Data Analysis'!P40,"AAAAAHuV/9A=")</f>
        <v>#VALUE!</v>
      </c>
      <c r="HB25" t="e">
        <f>AND('Data Analysis'!Q40,"AAAAAHuV/9E=")</f>
        <v>#VALUE!</v>
      </c>
      <c r="HC25" t="e">
        <f>AND('Data Analysis'!R40,"AAAAAHuV/9I=")</f>
        <v>#VALUE!</v>
      </c>
      <c r="HD25" t="e">
        <f>AND('Data Analysis'!S40,"AAAAAHuV/9M=")</f>
        <v>#VALUE!</v>
      </c>
      <c r="HE25" t="e">
        <f>AND('Data Analysis'!T40,"AAAAAHuV/9Q=")</f>
        <v>#VALUE!</v>
      </c>
      <c r="HF25" t="e">
        <f>AND('Data Analysis'!U40,"AAAAAHuV/9U=")</f>
        <v>#VALUE!</v>
      </c>
      <c r="HG25" t="e">
        <f>AND('Data Analysis'!V40,"AAAAAHuV/9Y=")</f>
        <v>#VALUE!</v>
      </c>
      <c r="HH25" t="e">
        <f>AND('Data Analysis'!W40,"AAAAAHuV/9c=")</f>
        <v>#VALUE!</v>
      </c>
      <c r="HI25">
        <f>IF('Data Analysis'!41:41,"AAAAAHuV/9g=",0)</f>
        <v>0</v>
      </c>
      <c r="HJ25" t="e">
        <f>AND('Data Analysis'!A41,"AAAAAHuV/9k=")</f>
        <v>#VALUE!</v>
      </c>
      <c r="HK25" t="e">
        <f>AND('Data Analysis'!B41,"AAAAAHuV/9o=")</f>
        <v>#VALUE!</v>
      </c>
      <c r="HL25" t="e">
        <f>AND('Data Analysis'!C41,"AAAAAHuV/9s=")</f>
        <v>#VALUE!</v>
      </c>
      <c r="HM25" t="e">
        <f>AND('Data Analysis'!D41,"AAAAAHuV/9w=")</f>
        <v>#VALUE!</v>
      </c>
      <c r="HN25" t="e">
        <f>AND('Data Analysis'!E41,"AAAAAHuV/90=")</f>
        <v>#VALUE!</v>
      </c>
      <c r="HO25" t="e">
        <f>AND('Data Analysis'!F41,"AAAAAHuV/94=")</f>
        <v>#VALUE!</v>
      </c>
      <c r="HP25" t="e">
        <f>AND('Data Analysis'!G41,"AAAAAHuV/98=")</f>
        <v>#VALUE!</v>
      </c>
      <c r="HQ25" t="e">
        <f>AND('Data Analysis'!H41,"AAAAAHuV/+A=")</f>
        <v>#VALUE!</v>
      </c>
      <c r="HR25" t="e">
        <f>AND('Data Analysis'!I41,"AAAAAHuV/+E=")</f>
        <v>#VALUE!</v>
      </c>
      <c r="HS25" t="e">
        <f>AND('Data Analysis'!J41,"AAAAAHuV/+I=")</f>
        <v>#VALUE!</v>
      </c>
      <c r="HT25" t="e">
        <f>AND('Data Analysis'!K41,"AAAAAHuV/+M=")</f>
        <v>#VALUE!</v>
      </c>
      <c r="HU25" t="e">
        <f>AND('Data Analysis'!L41,"AAAAAHuV/+Q=")</f>
        <v>#VALUE!</v>
      </c>
      <c r="HV25" t="e">
        <f>AND('Data Analysis'!M41,"AAAAAHuV/+U=")</f>
        <v>#VALUE!</v>
      </c>
      <c r="HW25" t="e">
        <f>AND('Data Analysis'!N41,"AAAAAHuV/+Y=")</f>
        <v>#VALUE!</v>
      </c>
      <c r="HX25" t="e">
        <f>AND('Data Analysis'!O41,"AAAAAHuV/+c=")</f>
        <v>#VALUE!</v>
      </c>
      <c r="HY25" t="e">
        <f>AND('Data Analysis'!P41,"AAAAAHuV/+g=")</f>
        <v>#VALUE!</v>
      </c>
      <c r="HZ25" t="e">
        <f>AND('Data Analysis'!Q41,"AAAAAHuV/+k=")</f>
        <v>#VALUE!</v>
      </c>
      <c r="IA25" t="e">
        <f>AND('Data Analysis'!R41,"AAAAAHuV/+o=")</f>
        <v>#VALUE!</v>
      </c>
      <c r="IB25" t="e">
        <f>AND('Data Analysis'!S41,"AAAAAHuV/+s=")</f>
        <v>#VALUE!</v>
      </c>
      <c r="IC25" t="e">
        <f>AND('Data Analysis'!T41,"AAAAAHuV/+w=")</f>
        <v>#VALUE!</v>
      </c>
      <c r="ID25" t="e">
        <f>AND('Data Analysis'!U41,"AAAAAHuV/+0=")</f>
        <v>#VALUE!</v>
      </c>
      <c r="IE25" t="e">
        <f>AND('Data Analysis'!V41,"AAAAAHuV/+4=")</f>
        <v>#VALUE!</v>
      </c>
      <c r="IF25" t="e">
        <f>AND('Data Analysis'!W41,"AAAAAHuV/+8=")</f>
        <v>#VALUE!</v>
      </c>
      <c r="IG25">
        <f>IF('Data Analysis'!42:42,"AAAAAHuV//A=",0)</f>
        <v>0</v>
      </c>
      <c r="IH25" t="e">
        <f>AND('Data Analysis'!A42,"AAAAAHuV//E=")</f>
        <v>#VALUE!</v>
      </c>
      <c r="II25" t="e">
        <f>AND('Data Analysis'!B42,"AAAAAHuV//I=")</f>
        <v>#VALUE!</v>
      </c>
      <c r="IJ25" t="e">
        <f>AND('Data Analysis'!C42,"AAAAAHuV//M=")</f>
        <v>#VALUE!</v>
      </c>
      <c r="IK25" t="e">
        <f>AND('Data Analysis'!D42,"AAAAAHuV//Q=")</f>
        <v>#VALUE!</v>
      </c>
      <c r="IL25" t="e">
        <f>AND('Data Analysis'!E42,"AAAAAHuV//U=")</f>
        <v>#VALUE!</v>
      </c>
      <c r="IM25" t="e">
        <f>AND('Data Analysis'!F42,"AAAAAHuV//Y=")</f>
        <v>#VALUE!</v>
      </c>
      <c r="IN25" t="e">
        <f>AND('Data Analysis'!G42,"AAAAAHuV//c=")</f>
        <v>#VALUE!</v>
      </c>
      <c r="IO25" t="e">
        <f>AND('Data Analysis'!H42,"AAAAAHuV//g=")</f>
        <v>#VALUE!</v>
      </c>
      <c r="IP25" t="e">
        <f>AND('Data Analysis'!I42,"AAAAAHuV//k=")</f>
        <v>#VALUE!</v>
      </c>
      <c r="IQ25" t="e">
        <f>AND('Data Analysis'!J42,"AAAAAHuV//o=")</f>
        <v>#VALUE!</v>
      </c>
      <c r="IR25" t="e">
        <f>AND('Data Analysis'!K42,"AAAAAHuV//s=")</f>
        <v>#VALUE!</v>
      </c>
      <c r="IS25" t="e">
        <f>AND('Data Analysis'!L42,"AAAAAHuV//w=")</f>
        <v>#VALUE!</v>
      </c>
      <c r="IT25" t="e">
        <f>AND('Data Analysis'!M42,"AAAAAHuV//0=")</f>
        <v>#VALUE!</v>
      </c>
      <c r="IU25" t="e">
        <f>AND('Data Analysis'!N42,"AAAAAHuV//4=")</f>
        <v>#VALUE!</v>
      </c>
      <c r="IV25" t="e">
        <f>AND('Data Analysis'!O42,"AAAAAHuV//8=")</f>
        <v>#VALUE!</v>
      </c>
    </row>
    <row r="26" spans="1:256" x14ac:dyDescent="0.2">
      <c r="A26" t="e">
        <f>AND('Data Analysis'!P42,"AAAAAF6v6gA=")</f>
        <v>#VALUE!</v>
      </c>
      <c r="B26" t="e">
        <f>AND('Data Analysis'!Q42,"AAAAAF6v6gE=")</f>
        <v>#VALUE!</v>
      </c>
      <c r="C26" t="e">
        <f>AND('Data Analysis'!R42,"AAAAAF6v6gI=")</f>
        <v>#VALUE!</v>
      </c>
      <c r="D26" t="e">
        <f>AND('Data Analysis'!S42,"AAAAAF6v6gM=")</f>
        <v>#VALUE!</v>
      </c>
      <c r="E26" t="e">
        <f>AND('Data Analysis'!T42,"AAAAAF6v6gQ=")</f>
        <v>#VALUE!</v>
      </c>
      <c r="F26" t="e">
        <f>AND('Data Analysis'!U42,"AAAAAF6v6gU=")</f>
        <v>#VALUE!</v>
      </c>
      <c r="G26" t="e">
        <f>AND('Data Analysis'!V42,"AAAAAF6v6gY=")</f>
        <v>#VALUE!</v>
      </c>
      <c r="H26" t="e">
        <f>AND('Data Analysis'!W42,"AAAAAF6v6gc=")</f>
        <v>#VALUE!</v>
      </c>
      <c r="I26" t="str">
        <f>IF('Data Analysis'!43:43,"AAAAAF6v6gg=",0)</f>
        <v>AAAAAF6v6gg=</v>
      </c>
      <c r="J26" t="e">
        <f>AND('Data Analysis'!A43,"AAAAAF6v6gk=")</f>
        <v>#VALUE!</v>
      </c>
      <c r="K26" t="e">
        <f>AND('Data Analysis'!B43,"AAAAAF6v6go=")</f>
        <v>#VALUE!</v>
      </c>
      <c r="L26" t="e">
        <f>AND('Data Analysis'!C43,"AAAAAF6v6gs=")</f>
        <v>#VALUE!</v>
      </c>
      <c r="M26" t="e">
        <f>AND('Data Analysis'!D43,"AAAAAF6v6gw=")</f>
        <v>#VALUE!</v>
      </c>
      <c r="N26" t="e">
        <f>AND('Data Analysis'!E43,"AAAAAF6v6g0=")</f>
        <v>#VALUE!</v>
      </c>
      <c r="O26" t="e">
        <f>AND('Data Analysis'!F43,"AAAAAF6v6g4=")</f>
        <v>#VALUE!</v>
      </c>
      <c r="P26" t="e">
        <f>AND('Data Analysis'!G43,"AAAAAF6v6g8=")</f>
        <v>#VALUE!</v>
      </c>
      <c r="Q26" t="e">
        <f>AND('Data Analysis'!H43,"AAAAAF6v6hA=")</f>
        <v>#VALUE!</v>
      </c>
      <c r="R26" t="e">
        <f>AND('Data Analysis'!I43,"AAAAAF6v6hE=")</f>
        <v>#VALUE!</v>
      </c>
      <c r="S26" t="e">
        <f>AND('Data Analysis'!J43,"AAAAAF6v6hI=")</f>
        <v>#VALUE!</v>
      </c>
      <c r="T26" t="e">
        <f>AND('Data Analysis'!K43,"AAAAAF6v6hM=")</f>
        <v>#VALUE!</v>
      </c>
      <c r="U26" t="e">
        <f>AND('Data Analysis'!L43,"AAAAAF6v6hQ=")</f>
        <v>#VALUE!</v>
      </c>
      <c r="V26" t="e">
        <f>AND('Data Analysis'!M43,"AAAAAF6v6hU=")</f>
        <v>#VALUE!</v>
      </c>
      <c r="W26" t="e">
        <f>AND('Data Analysis'!N43,"AAAAAF6v6hY=")</f>
        <v>#VALUE!</v>
      </c>
      <c r="X26" t="e">
        <f>AND('Data Analysis'!O43,"AAAAAF6v6hc=")</f>
        <v>#VALUE!</v>
      </c>
      <c r="Y26" t="e">
        <f>AND('Data Analysis'!P43,"AAAAAF6v6hg=")</f>
        <v>#VALUE!</v>
      </c>
      <c r="Z26" t="e">
        <f>AND('Data Analysis'!Q43,"AAAAAF6v6hk=")</f>
        <v>#VALUE!</v>
      </c>
      <c r="AA26" t="e">
        <f>AND('Data Analysis'!R43,"AAAAAF6v6ho=")</f>
        <v>#VALUE!</v>
      </c>
      <c r="AB26" t="e">
        <f>AND('Data Analysis'!S43,"AAAAAF6v6hs=")</f>
        <v>#VALUE!</v>
      </c>
      <c r="AC26" t="e">
        <f>AND('Data Analysis'!T43,"AAAAAF6v6hw=")</f>
        <v>#VALUE!</v>
      </c>
      <c r="AD26" t="e">
        <f>AND('Data Analysis'!U43,"AAAAAF6v6h0=")</f>
        <v>#VALUE!</v>
      </c>
      <c r="AE26" t="e">
        <f>AND('Data Analysis'!V43,"AAAAAF6v6h4=")</f>
        <v>#VALUE!</v>
      </c>
      <c r="AF26" t="e">
        <f>AND('Data Analysis'!W43,"AAAAAF6v6h8=")</f>
        <v>#VALUE!</v>
      </c>
      <c r="AG26">
        <f>IF('Data Analysis'!44:44,"AAAAAF6v6iA=",0)</f>
        <v>0</v>
      </c>
      <c r="AH26" t="e">
        <f>AND('Data Analysis'!A44,"AAAAAF6v6iE=")</f>
        <v>#VALUE!</v>
      </c>
      <c r="AI26" t="e">
        <f>AND('Data Analysis'!B44,"AAAAAF6v6iI=")</f>
        <v>#VALUE!</v>
      </c>
      <c r="AJ26" t="e">
        <f>AND('Data Analysis'!C44,"AAAAAF6v6iM=")</f>
        <v>#VALUE!</v>
      </c>
      <c r="AK26" t="e">
        <f>AND('Data Analysis'!D44,"AAAAAF6v6iQ=")</f>
        <v>#VALUE!</v>
      </c>
      <c r="AL26" t="e">
        <f>AND('Data Analysis'!E44,"AAAAAF6v6iU=")</f>
        <v>#VALUE!</v>
      </c>
      <c r="AM26" t="e">
        <f>AND('Data Analysis'!F44,"AAAAAF6v6iY=")</f>
        <v>#VALUE!</v>
      </c>
      <c r="AN26" t="e">
        <f>AND('Data Analysis'!G44,"AAAAAF6v6ic=")</f>
        <v>#VALUE!</v>
      </c>
      <c r="AO26" t="e">
        <f>AND('Data Analysis'!H44,"AAAAAF6v6ig=")</f>
        <v>#VALUE!</v>
      </c>
      <c r="AP26" t="e">
        <f>AND('Data Analysis'!I44,"AAAAAF6v6ik=")</f>
        <v>#VALUE!</v>
      </c>
      <c r="AQ26" t="e">
        <f>AND('Data Analysis'!J44,"AAAAAF6v6io=")</f>
        <v>#VALUE!</v>
      </c>
      <c r="AR26" t="e">
        <f>AND('Data Analysis'!K44,"AAAAAF6v6is=")</f>
        <v>#VALUE!</v>
      </c>
      <c r="AS26" t="e">
        <f>AND('Data Analysis'!L44,"AAAAAF6v6iw=")</f>
        <v>#VALUE!</v>
      </c>
      <c r="AT26" t="e">
        <f>AND('Data Analysis'!M44,"AAAAAF6v6i0=")</f>
        <v>#VALUE!</v>
      </c>
      <c r="AU26" t="e">
        <f>AND('Data Analysis'!N44,"AAAAAF6v6i4=")</f>
        <v>#VALUE!</v>
      </c>
      <c r="AV26" t="e">
        <f>AND('Data Analysis'!O44,"AAAAAF6v6i8=")</f>
        <v>#VALUE!</v>
      </c>
      <c r="AW26" t="e">
        <f>AND('Data Analysis'!P44,"AAAAAF6v6jA=")</f>
        <v>#VALUE!</v>
      </c>
      <c r="AX26" t="e">
        <f>AND('Data Analysis'!Q44,"AAAAAF6v6jE=")</f>
        <v>#VALUE!</v>
      </c>
      <c r="AY26" t="e">
        <f>AND('Data Analysis'!R44,"AAAAAF6v6jI=")</f>
        <v>#VALUE!</v>
      </c>
      <c r="AZ26" t="e">
        <f>AND('Data Analysis'!S44,"AAAAAF6v6jM=")</f>
        <v>#VALUE!</v>
      </c>
      <c r="BA26" t="e">
        <f>AND('Data Analysis'!T44,"AAAAAF6v6jQ=")</f>
        <v>#VALUE!</v>
      </c>
      <c r="BB26" t="e">
        <f>AND('Data Analysis'!U44,"AAAAAF6v6jU=")</f>
        <v>#VALUE!</v>
      </c>
      <c r="BC26" t="e">
        <f>AND('Data Analysis'!V44,"AAAAAF6v6jY=")</f>
        <v>#VALUE!</v>
      </c>
      <c r="BD26" t="e">
        <f>AND('Data Analysis'!W44,"AAAAAF6v6jc=")</f>
        <v>#VALUE!</v>
      </c>
      <c r="BE26">
        <f>IF('Data Analysis'!45:45,"AAAAAF6v6jg=",0)</f>
        <v>0</v>
      </c>
      <c r="BF26" t="e">
        <f>AND('Data Analysis'!A45,"AAAAAF6v6jk=")</f>
        <v>#VALUE!</v>
      </c>
      <c r="BG26" t="e">
        <f>AND('Data Analysis'!B45,"AAAAAF6v6jo=")</f>
        <v>#VALUE!</v>
      </c>
      <c r="BH26" t="e">
        <f>AND('Data Analysis'!C45,"AAAAAF6v6js=")</f>
        <v>#VALUE!</v>
      </c>
      <c r="BI26" t="e">
        <f>AND('Data Analysis'!D45,"AAAAAF6v6jw=")</f>
        <v>#VALUE!</v>
      </c>
      <c r="BJ26" t="e">
        <f>AND('Data Analysis'!E45,"AAAAAF6v6j0=")</f>
        <v>#VALUE!</v>
      </c>
      <c r="BK26" t="e">
        <f>AND('Data Analysis'!F45,"AAAAAF6v6j4=")</f>
        <v>#VALUE!</v>
      </c>
      <c r="BL26" t="e">
        <f>AND('Data Analysis'!G45,"AAAAAF6v6j8=")</f>
        <v>#VALUE!</v>
      </c>
      <c r="BM26" t="e">
        <f>AND('Data Analysis'!H45,"AAAAAF6v6kA=")</f>
        <v>#VALUE!</v>
      </c>
      <c r="BN26" t="e">
        <f>AND('Data Analysis'!I45,"AAAAAF6v6kE=")</f>
        <v>#VALUE!</v>
      </c>
      <c r="BO26" t="e">
        <f>AND('Data Analysis'!J45,"AAAAAF6v6kI=")</f>
        <v>#VALUE!</v>
      </c>
      <c r="BP26" t="e">
        <f>AND('Data Analysis'!K45,"AAAAAF6v6kM=")</f>
        <v>#VALUE!</v>
      </c>
      <c r="BQ26" t="e">
        <f>AND('Data Analysis'!L45,"AAAAAF6v6kQ=")</f>
        <v>#VALUE!</v>
      </c>
      <c r="BR26" t="e">
        <f>AND('Data Analysis'!M45,"AAAAAF6v6kU=")</f>
        <v>#VALUE!</v>
      </c>
      <c r="BS26" t="e">
        <f>AND('Data Analysis'!N45,"AAAAAF6v6kY=")</f>
        <v>#VALUE!</v>
      </c>
      <c r="BT26" t="e">
        <f>AND('Data Analysis'!O45,"AAAAAF6v6kc=")</f>
        <v>#VALUE!</v>
      </c>
      <c r="BU26" t="e">
        <f>AND('Data Analysis'!P45,"AAAAAF6v6kg=")</f>
        <v>#VALUE!</v>
      </c>
      <c r="BV26" t="e">
        <f>AND('Data Analysis'!Q45,"AAAAAF6v6kk=")</f>
        <v>#VALUE!</v>
      </c>
      <c r="BW26" t="e">
        <f>AND('Data Analysis'!R45,"AAAAAF6v6ko=")</f>
        <v>#VALUE!</v>
      </c>
      <c r="BX26" t="e">
        <f>AND('Data Analysis'!S45,"AAAAAF6v6ks=")</f>
        <v>#VALUE!</v>
      </c>
      <c r="BY26" t="e">
        <f>AND('Data Analysis'!T45,"AAAAAF6v6kw=")</f>
        <v>#VALUE!</v>
      </c>
      <c r="BZ26" t="e">
        <f>AND('Data Analysis'!U45,"AAAAAF6v6k0=")</f>
        <v>#VALUE!</v>
      </c>
      <c r="CA26" t="e">
        <f>AND('Data Analysis'!V45,"AAAAAF6v6k4=")</f>
        <v>#VALUE!</v>
      </c>
      <c r="CB26" t="e">
        <f>AND('Data Analysis'!W45,"AAAAAF6v6k8=")</f>
        <v>#VALUE!</v>
      </c>
      <c r="CC26">
        <f>IF('Data Analysis'!46:46,"AAAAAF6v6lA=",0)</f>
        <v>0</v>
      </c>
      <c r="CD26" t="e">
        <f>AND('Data Analysis'!A46,"AAAAAF6v6lE=")</f>
        <v>#VALUE!</v>
      </c>
      <c r="CE26" t="e">
        <f>AND('Data Analysis'!B46,"AAAAAF6v6lI=")</f>
        <v>#VALUE!</v>
      </c>
      <c r="CF26" t="e">
        <f>AND('Data Analysis'!C46,"AAAAAF6v6lM=")</f>
        <v>#VALUE!</v>
      </c>
      <c r="CG26" t="e">
        <f>AND('Data Analysis'!D46,"AAAAAF6v6lQ=")</f>
        <v>#VALUE!</v>
      </c>
      <c r="CH26" t="e">
        <f>AND('Data Analysis'!E46,"AAAAAF6v6lU=")</f>
        <v>#VALUE!</v>
      </c>
      <c r="CI26" t="e">
        <f>AND('Data Analysis'!F46,"AAAAAF6v6lY=")</f>
        <v>#VALUE!</v>
      </c>
      <c r="CJ26" t="e">
        <f>AND('Data Analysis'!G46,"AAAAAF6v6lc=")</f>
        <v>#VALUE!</v>
      </c>
      <c r="CK26" t="e">
        <f>AND('Data Analysis'!H46,"AAAAAF6v6lg=")</f>
        <v>#VALUE!</v>
      </c>
      <c r="CL26" t="e">
        <f>AND('Data Analysis'!I46,"AAAAAF6v6lk=")</f>
        <v>#VALUE!</v>
      </c>
      <c r="CM26" t="e">
        <f>AND('Data Analysis'!J46,"AAAAAF6v6lo=")</f>
        <v>#VALUE!</v>
      </c>
      <c r="CN26" t="e">
        <f>AND('Data Analysis'!K46,"AAAAAF6v6ls=")</f>
        <v>#VALUE!</v>
      </c>
      <c r="CO26" t="e">
        <f>AND('Data Analysis'!L46,"AAAAAF6v6lw=")</f>
        <v>#VALUE!</v>
      </c>
      <c r="CP26" t="e">
        <f>AND('Data Analysis'!M46,"AAAAAF6v6l0=")</f>
        <v>#VALUE!</v>
      </c>
      <c r="CQ26" t="e">
        <f>AND('Data Analysis'!N46,"AAAAAF6v6l4=")</f>
        <v>#VALUE!</v>
      </c>
      <c r="CR26" t="e">
        <f>AND('Data Analysis'!O46,"AAAAAF6v6l8=")</f>
        <v>#VALUE!</v>
      </c>
      <c r="CS26" t="e">
        <f>AND('Data Analysis'!P46,"AAAAAF6v6mA=")</f>
        <v>#VALUE!</v>
      </c>
      <c r="CT26" t="e">
        <f>AND('Data Analysis'!Q46,"AAAAAF6v6mE=")</f>
        <v>#VALUE!</v>
      </c>
      <c r="CU26" t="e">
        <f>AND('Data Analysis'!R46,"AAAAAF6v6mI=")</f>
        <v>#VALUE!</v>
      </c>
      <c r="CV26" t="e">
        <f>AND('Data Analysis'!S46,"AAAAAF6v6mM=")</f>
        <v>#VALUE!</v>
      </c>
      <c r="CW26" t="e">
        <f>AND('Data Analysis'!T46,"AAAAAF6v6mQ=")</f>
        <v>#VALUE!</v>
      </c>
      <c r="CX26" t="e">
        <f>AND('Data Analysis'!U46,"AAAAAF6v6mU=")</f>
        <v>#VALUE!</v>
      </c>
      <c r="CY26" t="e">
        <f>AND('Data Analysis'!V46,"AAAAAF6v6mY=")</f>
        <v>#VALUE!</v>
      </c>
      <c r="CZ26" t="e">
        <f>AND('Data Analysis'!W46,"AAAAAF6v6mc=")</f>
        <v>#VALUE!</v>
      </c>
      <c r="DA26">
        <f>IF('Data Analysis'!47:47,"AAAAAF6v6mg=",0)</f>
        <v>0</v>
      </c>
      <c r="DB26" t="e">
        <f>AND('Data Analysis'!A47,"AAAAAF6v6mk=")</f>
        <v>#VALUE!</v>
      </c>
      <c r="DC26" t="e">
        <f>AND('Data Analysis'!B47,"AAAAAF6v6mo=")</f>
        <v>#VALUE!</v>
      </c>
      <c r="DD26" t="e">
        <f>AND('Data Analysis'!C47,"AAAAAF6v6ms=")</f>
        <v>#VALUE!</v>
      </c>
      <c r="DE26" t="e">
        <f>AND('Data Analysis'!D47,"AAAAAF6v6mw=")</f>
        <v>#VALUE!</v>
      </c>
      <c r="DF26" t="e">
        <f>AND('Data Analysis'!E47,"AAAAAF6v6m0=")</f>
        <v>#VALUE!</v>
      </c>
      <c r="DG26" t="e">
        <f>AND('Data Analysis'!F47,"AAAAAF6v6m4=")</f>
        <v>#VALUE!</v>
      </c>
      <c r="DH26" t="e">
        <f>AND('Data Analysis'!G47,"AAAAAF6v6m8=")</f>
        <v>#VALUE!</v>
      </c>
      <c r="DI26" t="e">
        <f>AND('Data Analysis'!H47,"AAAAAF6v6nA=")</f>
        <v>#VALUE!</v>
      </c>
      <c r="DJ26" t="e">
        <f>AND('Data Analysis'!I47,"AAAAAF6v6nE=")</f>
        <v>#VALUE!</v>
      </c>
      <c r="DK26" t="e">
        <f>AND('Data Analysis'!J47,"AAAAAF6v6nI=")</f>
        <v>#VALUE!</v>
      </c>
      <c r="DL26" t="e">
        <f>AND('Data Analysis'!K47,"AAAAAF6v6nM=")</f>
        <v>#VALUE!</v>
      </c>
      <c r="DM26" t="e">
        <f>AND('Data Analysis'!L47,"AAAAAF6v6nQ=")</f>
        <v>#VALUE!</v>
      </c>
      <c r="DN26" t="e">
        <f>AND('Data Analysis'!M47,"AAAAAF6v6nU=")</f>
        <v>#VALUE!</v>
      </c>
      <c r="DO26" t="e">
        <f>AND('Data Analysis'!N47,"AAAAAF6v6nY=")</f>
        <v>#VALUE!</v>
      </c>
      <c r="DP26" t="e">
        <f>AND('Data Analysis'!O47,"AAAAAF6v6nc=")</f>
        <v>#VALUE!</v>
      </c>
      <c r="DQ26" t="e">
        <f>AND('Data Analysis'!P47,"AAAAAF6v6ng=")</f>
        <v>#VALUE!</v>
      </c>
      <c r="DR26" t="e">
        <f>AND('Data Analysis'!Q47,"AAAAAF6v6nk=")</f>
        <v>#VALUE!</v>
      </c>
      <c r="DS26" t="e">
        <f>AND('Data Analysis'!R47,"AAAAAF6v6no=")</f>
        <v>#VALUE!</v>
      </c>
      <c r="DT26" t="e">
        <f>AND('Data Analysis'!S47,"AAAAAF6v6ns=")</f>
        <v>#VALUE!</v>
      </c>
      <c r="DU26" t="e">
        <f>AND('Data Analysis'!T47,"AAAAAF6v6nw=")</f>
        <v>#VALUE!</v>
      </c>
      <c r="DV26" t="e">
        <f>AND('Data Analysis'!U47,"AAAAAF6v6n0=")</f>
        <v>#VALUE!</v>
      </c>
      <c r="DW26" t="e">
        <f>AND('Data Analysis'!V47,"AAAAAF6v6n4=")</f>
        <v>#VALUE!</v>
      </c>
      <c r="DX26" t="e">
        <f>AND('Data Analysis'!W47,"AAAAAF6v6n8=")</f>
        <v>#VALUE!</v>
      </c>
      <c r="DY26">
        <f>IF('Data Analysis'!48:48,"AAAAAF6v6oA=",0)</f>
        <v>0</v>
      </c>
      <c r="DZ26" t="e">
        <f>AND('Data Analysis'!A48,"AAAAAF6v6oE=")</f>
        <v>#VALUE!</v>
      </c>
      <c r="EA26" t="e">
        <f>AND('Data Analysis'!B48,"AAAAAF6v6oI=")</f>
        <v>#VALUE!</v>
      </c>
      <c r="EB26" t="e">
        <f>AND('Data Analysis'!C48,"AAAAAF6v6oM=")</f>
        <v>#VALUE!</v>
      </c>
      <c r="EC26" t="e">
        <f>AND('Data Analysis'!D48,"AAAAAF6v6oQ=")</f>
        <v>#VALUE!</v>
      </c>
      <c r="ED26" t="e">
        <f>AND('Data Analysis'!E48,"AAAAAF6v6oU=")</f>
        <v>#VALUE!</v>
      </c>
      <c r="EE26" t="e">
        <f>AND('Data Analysis'!F48,"AAAAAF6v6oY=")</f>
        <v>#VALUE!</v>
      </c>
      <c r="EF26" t="e">
        <f>AND('Data Analysis'!G48,"AAAAAF6v6oc=")</f>
        <v>#VALUE!</v>
      </c>
      <c r="EG26" t="e">
        <f>AND('Data Analysis'!H48,"AAAAAF6v6og=")</f>
        <v>#VALUE!</v>
      </c>
      <c r="EH26" t="e">
        <f>AND('Data Analysis'!I48,"AAAAAF6v6ok=")</f>
        <v>#VALUE!</v>
      </c>
      <c r="EI26" t="e">
        <f>AND('Data Analysis'!J48,"AAAAAF6v6oo=")</f>
        <v>#VALUE!</v>
      </c>
      <c r="EJ26" t="e">
        <f>AND('Data Analysis'!K48,"AAAAAF6v6os=")</f>
        <v>#VALUE!</v>
      </c>
      <c r="EK26" t="e">
        <f>AND('Data Analysis'!L48,"AAAAAF6v6ow=")</f>
        <v>#VALUE!</v>
      </c>
      <c r="EL26" t="e">
        <f>AND('Data Analysis'!M48,"AAAAAF6v6o0=")</f>
        <v>#VALUE!</v>
      </c>
      <c r="EM26" t="e">
        <f>AND('Data Analysis'!N48,"AAAAAF6v6o4=")</f>
        <v>#VALUE!</v>
      </c>
      <c r="EN26" t="e">
        <f>AND('Data Analysis'!O48,"AAAAAF6v6o8=")</f>
        <v>#VALUE!</v>
      </c>
      <c r="EO26" t="e">
        <f>AND('Data Analysis'!P48,"AAAAAF6v6pA=")</f>
        <v>#VALUE!</v>
      </c>
      <c r="EP26" t="e">
        <f>AND('Data Analysis'!Q48,"AAAAAF6v6pE=")</f>
        <v>#VALUE!</v>
      </c>
      <c r="EQ26" t="e">
        <f>AND('Data Analysis'!R48,"AAAAAF6v6pI=")</f>
        <v>#VALUE!</v>
      </c>
      <c r="ER26" t="e">
        <f>AND('Data Analysis'!S48,"AAAAAF6v6pM=")</f>
        <v>#VALUE!</v>
      </c>
      <c r="ES26" t="e">
        <f>AND('Data Analysis'!T48,"AAAAAF6v6pQ=")</f>
        <v>#VALUE!</v>
      </c>
      <c r="ET26" t="e">
        <f>AND('Data Analysis'!U48,"AAAAAF6v6pU=")</f>
        <v>#VALUE!</v>
      </c>
      <c r="EU26" t="e">
        <f>AND('Data Analysis'!V48,"AAAAAF6v6pY=")</f>
        <v>#VALUE!</v>
      </c>
      <c r="EV26" t="e">
        <f>AND('Data Analysis'!W48,"AAAAAF6v6pc=")</f>
        <v>#VALUE!</v>
      </c>
      <c r="EW26">
        <f>IF('Data Analysis'!49:49,"AAAAAF6v6pg=",0)</f>
        <v>0</v>
      </c>
      <c r="EX26" t="e">
        <f>AND('Data Analysis'!A49,"AAAAAF6v6pk=")</f>
        <v>#VALUE!</v>
      </c>
      <c r="EY26" t="e">
        <f>AND('Data Analysis'!B49,"AAAAAF6v6po=")</f>
        <v>#VALUE!</v>
      </c>
      <c r="EZ26" t="e">
        <f>AND('Data Analysis'!C49,"AAAAAF6v6ps=")</f>
        <v>#VALUE!</v>
      </c>
      <c r="FA26" t="e">
        <f>AND('Data Analysis'!D49,"AAAAAF6v6pw=")</f>
        <v>#VALUE!</v>
      </c>
      <c r="FB26" t="e">
        <f>AND('Data Analysis'!E49,"AAAAAF6v6p0=")</f>
        <v>#VALUE!</v>
      </c>
      <c r="FC26" t="e">
        <f>AND('Data Analysis'!F49,"AAAAAF6v6p4=")</f>
        <v>#VALUE!</v>
      </c>
      <c r="FD26" t="e">
        <f>AND('Data Analysis'!G49,"AAAAAF6v6p8=")</f>
        <v>#VALUE!</v>
      </c>
      <c r="FE26" t="e">
        <f>AND('Data Analysis'!H49,"AAAAAF6v6qA=")</f>
        <v>#VALUE!</v>
      </c>
      <c r="FF26" t="e">
        <f>AND('Data Analysis'!I49,"AAAAAF6v6qE=")</f>
        <v>#VALUE!</v>
      </c>
      <c r="FG26" t="e">
        <f>AND('Data Analysis'!J49,"AAAAAF6v6qI=")</f>
        <v>#VALUE!</v>
      </c>
      <c r="FH26" t="e">
        <f>AND('Data Analysis'!K49,"AAAAAF6v6qM=")</f>
        <v>#VALUE!</v>
      </c>
      <c r="FI26" t="e">
        <f>AND('Data Analysis'!L49,"AAAAAF6v6qQ=")</f>
        <v>#VALUE!</v>
      </c>
      <c r="FJ26" t="e">
        <f>AND('Data Analysis'!M49,"AAAAAF6v6qU=")</f>
        <v>#VALUE!</v>
      </c>
      <c r="FK26" t="e">
        <f>AND('Data Analysis'!N49,"AAAAAF6v6qY=")</f>
        <v>#VALUE!</v>
      </c>
      <c r="FL26" t="e">
        <f>AND('Data Analysis'!O49,"AAAAAF6v6qc=")</f>
        <v>#VALUE!</v>
      </c>
      <c r="FM26" t="e">
        <f>AND('Data Analysis'!P49,"AAAAAF6v6qg=")</f>
        <v>#VALUE!</v>
      </c>
      <c r="FN26" t="e">
        <f>AND('Data Analysis'!Q49,"AAAAAF6v6qk=")</f>
        <v>#VALUE!</v>
      </c>
      <c r="FO26" t="e">
        <f>AND('Data Analysis'!R49,"AAAAAF6v6qo=")</f>
        <v>#VALUE!</v>
      </c>
      <c r="FP26" t="e">
        <f>AND('Data Analysis'!S49,"AAAAAF6v6qs=")</f>
        <v>#VALUE!</v>
      </c>
      <c r="FQ26" t="e">
        <f>AND('Data Analysis'!T49,"AAAAAF6v6qw=")</f>
        <v>#VALUE!</v>
      </c>
      <c r="FR26" t="e">
        <f>AND('Data Analysis'!U49,"AAAAAF6v6q0=")</f>
        <v>#VALUE!</v>
      </c>
      <c r="FS26" t="e">
        <f>AND('Data Analysis'!V49,"AAAAAF6v6q4=")</f>
        <v>#VALUE!</v>
      </c>
      <c r="FT26" t="e">
        <f>AND('Data Analysis'!W49,"AAAAAF6v6q8=")</f>
        <v>#VALUE!</v>
      </c>
      <c r="FU26">
        <f>IF('Data Analysis'!50:50,"AAAAAF6v6rA=",0)</f>
        <v>0</v>
      </c>
      <c r="FV26" t="e">
        <f>AND('Data Analysis'!A50,"AAAAAF6v6rE=")</f>
        <v>#VALUE!</v>
      </c>
      <c r="FW26" t="e">
        <f>AND('Data Analysis'!B50,"AAAAAF6v6rI=")</f>
        <v>#VALUE!</v>
      </c>
      <c r="FX26" t="e">
        <f>AND('Data Analysis'!C50,"AAAAAF6v6rM=")</f>
        <v>#VALUE!</v>
      </c>
      <c r="FY26" t="e">
        <f>AND('Data Analysis'!D50,"AAAAAF6v6rQ=")</f>
        <v>#VALUE!</v>
      </c>
      <c r="FZ26" t="e">
        <f>AND('Data Analysis'!E50,"AAAAAF6v6rU=")</f>
        <v>#VALUE!</v>
      </c>
      <c r="GA26" t="e">
        <f>AND('Data Analysis'!F50,"AAAAAF6v6rY=")</f>
        <v>#VALUE!</v>
      </c>
      <c r="GB26" t="e">
        <f>AND('Data Analysis'!G50,"AAAAAF6v6rc=")</f>
        <v>#VALUE!</v>
      </c>
      <c r="GC26" t="e">
        <f>AND('Data Analysis'!H50,"AAAAAF6v6rg=")</f>
        <v>#VALUE!</v>
      </c>
      <c r="GD26" t="e">
        <f>AND('Data Analysis'!I50,"AAAAAF6v6rk=")</f>
        <v>#VALUE!</v>
      </c>
      <c r="GE26" t="e">
        <f>AND('Data Analysis'!J50,"AAAAAF6v6ro=")</f>
        <v>#VALUE!</v>
      </c>
      <c r="GF26" t="e">
        <f>AND('Data Analysis'!K50,"AAAAAF6v6rs=")</f>
        <v>#VALUE!</v>
      </c>
      <c r="GG26" t="e">
        <f>AND('Data Analysis'!L50,"AAAAAF6v6rw=")</f>
        <v>#VALUE!</v>
      </c>
      <c r="GH26" t="e">
        <f>AND('Data Analysis'!M50,"AAAAAF6v6r0=")</f>
        <v>#VALUE!</v>
      </c>
      <c r="GI26" t="e">
        <f>AND('Data Analysis'!N50,"AAAAAF6v6r4=")</f>
        <v>#VALUE!</v>
      </c>
      <c r="GJ26" t="e">
        <f>AND('Data Analysis'!O50,"AAAAAF6v6r8=")</f>
        <v>#VALUE!</v>
      </c>
      <c r="GK26" t="e">
        <f>AND('Data Analysis'!P50,"AAAAAF6v6sA=")</f>
        <v>#VALUE!</v>
      </c>
      <c r="GL26" t="e">
        <f>AND('Data Analysis'!Q50,"AAAAAF6v6sE=")</f>
        <v>#VALUE!</v>
      </c>
      <c r="GM26" t="e">
        <f>AND('Data Analysis'!R50,"AAAAAF6v6sI=")</f>
        <v>#VALUE!</v>
      </c>
      <c r="GN26" t="e">
        <f>AND('Data Analysis'!S50,"AAAAAF6v6sM=")</f>
        <v>#VALUE!</v>
      </c>
      <c r="GO26" t="e">
        <f>AND('Data Analysis'!T50,"AAAAAF6v6sQ=")</f>
        <v>#VALUE!</v>
      </c>
      <c r="GP26" t="e">
        <f>AND('Data Analysis'!U50,"AAAAAF6v6sU=")</f>
        <v>#VALUE!</v>
      </c>
      <c r="GQ26" t="e">
        <f>AND('Data Analysis'!V50,"AAAAAF6v6sY=")</f>
        <v>#VALUE!</v>
      </c>
      <c r="GR26" t="e">
        <f>AND('Data Analysis'!W50,"AAAAAF6v6sc=")</f>
        <v>#VALUE!</v>
      </c>
      <c r="GS26">
        <f>IF('Data Analysis'!51:51,"AAAAAF6v6sg=",0)</f>
        <v>0</v>
      </c>
      <c r="GT26" t="e">
        <f>AND('Data Analysis'!A51,"AAAAAF6v6sk=")</f>
        <v>#VALUE!</v>
      </c>
      <c r="GU26" t="e">
        <f>AND('Data Analysis'!B51,"AAAAAF6v6so=")</f>
        <v>#VALUE!</v>
      </c>
      <c r="GV26" t="e">
        <f>AND('Data Analysis'!C51,"AAAAAF6v6ss=")</f>
        <v>#VALUE!</v>
      </c>
      <c r="GW26" t="e">
        <f>AND('Data Analysis'!D51,"AAAAAF6v6sw=")</f>
        <v>#VALUE!</v>
      </c>
      <c r="GX26" t="e">
        <f>AND('Data Analysis'!E51,"AAAAAF6v6s0=")</f>
        <v>#VALUE!</v>
      </c>
      <c r="GY26" t="e">
        <f>AND('Data Analysis'!F51,"AAAAAF6v6s4=")</f>
        <v>#VALUE!</v>
      </c>
      <c r="GZ26" t="e">
        <f>AND('Data Analysis'!G51,"AAAAAF6v6s8=")</f>
        <v>#VALUE!</v>
      </c>
      <c r="HA26" t="e">
        <f>AND('Data Analysis'!H51,"AAAAAF6v6tA=")</f>
        <v>#VALUE!</v>
      </c>
      <c r="HB26" t="e">
        <f>AND('Data Analysis'!I51,"AAAAAF6v6tE=")</f>
        <v>#VALUE!</v>
      </c>
      <c r="HC26" t="e">
        <f>AND('Data Analysis'!J51,"AAAAAF6v6tI=")</f>
        <v>#VALUE!</v>
      </c>
      <c r="HD26" t="e">
        <f>AND('Data Analysis'!K51,"AAAAAF6v6tM=")</f>
        <v>#VALUE!</v>
      </c>
      <c r="HE26" t="e">
        <f>AND('Data Analysis'!L51,"AAAAAF6v6tQ=")</f>
        <v>#VALUE!</v>
      </c>
      <c r="HF26" t="e">
        <f>AND('Data Analysis'!M51,"AAAAAF6v6tU=")</f>
        <v>#VALUE!</v>
      </c>
      <c r="HG26" t="e">
        <f>AND('Data Analysis'!N51,"AAAAAF6v6tY=")</f>
        <v>#VALUE!</v>
      </c>
      <c r="HH26" t="e">
        <f>AND('Data Analysis'!O51,"AAAAAF6v6tc=")</f>
        <v>#VALUE!</v>
      </c>
      <c r="HI26" t="e">
        <f>AND('Data Analysis'!P51,"AAAAAF6v6tg=")</f>
        <v>#VALUE!</v>
      </c>
      <c r="HJ26" t="e">
        <f>AND('Data Analysis'!Q51,"AAAAAF6v6tk=")</f>
        <v>#VALUE!</v>
      </c>
      <c r="HK26" t="e">
        <f>AND('Data Analysis'!R51,"AAAAAF6v6to=")</f>
        <v>#VALUE!</v>
      </c>
      <c r="HL26" t="e">
        <f>AND('Data Analysis'!S51,"AAAAAF6v6ts=")</f>
        <v>#VALUE!</v>
      </c>
      <c r="HM26" t="e">
        <f>AND('Data Analysis'!T51,"AAAAAF6v6tw=")</f>
        <v>#VALUE!</v>
      </c>
      <c r="HN26" t="e">
        <f>AND('Data Analysis'!U51,"AAAAAF6v6t0=")</f>
        <v>#VALUE!</v>
      </c>
      <c r="HO26" t="e">
        <f>AND('Data Analysis'!V51,"AAAAAF6v6t4=")</f>
        <v>#VALUE!</v>
      </c>
      <c r="HP26" t="e">
        <f>AND('Data Analysis'!W51,"AAAAAF6v6t8=")</f>
        <v>#VALUE!</v>
      </c>
      <c r="HQ26">
        <f>IF('Data Analysis'!52:52,"AAAAAF6v6uA=",0)</f>
        <v>0</v>
      </c>
      <c r="HR26" t="e">
        <f>AND('Data Analysis'!A52,"AAAAAF6v6uE=")</f>
        <v>#VALUE!</v>
      </c>
      <c r="HS26" t="e">
        <f>AND('Data Analysis'!B52,"AAAAAF6v6uI=")</f>
        <v>#VALUE!</v>
      </c>
      <c r="HT26" t="e">
        <f>AND('Data Analysis'!C52,"AAAAAF6v6uM=")</f>
        <v>#VALUE!</v>
      </c>
      <c r="HU26" t="e">
        <f>AND('Data Analysis'!D52,"AAAAAF6v6uQ=")</f>
        <v>#VALUE!</v>
      </c>
      <c r="HV26" t="e">
        <f>AND('Data Analysis'!E52,"AAAAAF6v6uU=")</f>
        <v>#VALUE!</v>
      </c>
      <c r="HW26" t="e">
        <f>AND('Data Analysis'!F52,"AAAAAF6v6uY=")</f>
        <v>#VALUE!</v>
      </c>
      <c r="HX26" t="e">
        <f>AND('Data Analysis'!G52,"AAAAAF6v6uc=")</f>
        <v>#VALUE!</v>
      </c>
      <c r="HY26" t="e">
        <f>AND('Data Analysis'!H52,"AAAAAF6v6ug=")</f>
        <v>#VALUE!</v>
      </c>
      <c r="HZ26" t="e">
        <f>AND('Data Analysis'!I52,"AAAAAF6v6uk=")</f>
        <v>#VALUE!</v>
      </c>
      <c r="IA26" t="e">
        <f>AND('Data Analysis'!J52,"AAAAAF6v6uo=")</f>
        <v>#VALUE!</v>
      </c>
      <c r="IB26" t="e">
        <f>AND('Data Analysis'!K52,"AAAAAF6v6us=")</f>
        <v>#VALUE!</v>
      </c>
      <c r="IC26" t="e">
        <f>AND('Data Analysis'!L52,"AAAAAF6v6uw=")</f>
        <v>#VALUE!</v>
      </c>
      <c r="ID26" t="e">
        <f>AND('Data Analysis'!M52,"AAAAAF6v6u0=")</f>
        <v>#VALUE!</v>
      </c>
      <c r="IE26" t="e">
        <f>AND('Data Analysis'!N52,"AAAAAF6v6u4=")</f>
        <v>#VALUE!</v>
      </c>
      <c r="IF26" t="e">
        <f>AND('Data Analysis'!O52,"AAAAAF6v6u8=")</f>
        <v>#VALUE!</v>
      </c>
      <c r="IG26" t="e">
        <f>AND('Data Analysis'!P52,"AAAAAF6v6vA=")</f>
        <v>#VALUE!</v>
      </c>
      <c r="IH26" t="e">
        <f>AND('Data Analysis'!Q52,"AAAAAF6v6vE=")</f>
        <v>#VALUE!</v>
      </c>
      <c r="II26" t="e">
        <f>AND('Data Analysis'!R52,"AAAAAF6v6vI=")</f>
        <v>#VALUE!</v>
      </c>
      <c r="IJ26" t="e">
        <f>AND('Data Analysis'!S52,"AAAAAF6v6vM=")</f>
        <v>#VALUE!</v>
      </c>
      <c r="IK26" t="e">
        <f>AND('Data Analysis'!T52,"AAAAAF6v6vQ=")</f>
        <v>#VALUE!</v>
      </c>
      <c r="IL26" t="e">
        <f>AND('Data Analysis'!U52,"AAAAAF6v6vU=")</f>
        <v>#VALUE!</v>
      </c>
      <c r="IM26" t="e">
        <f>AND('Data Analysis'!V52,"AAAAAF6v6vY=")</f>
        <v>#VALUE!</v>
      </c>
      <c r="IN26" t="e">
        <f>AND('Data Analysis'!W52,"AAAAAF6v6vc=")</f>
        <v>#VALUE!</v>
      </c>
      <c r="IO26">
        <f>IF('Data Analysis'!53:53,"AAAAAF6v6vg=",0)</f>
        <v>0</v>
      </c>
      <c r="IP26" t="e">
        <f>AND('Data Analysis'!A53,"AAAAAF6v6vk=")</f>
        <v>#VALUE!</v>
      </c>
      <c r="IQ26" t="e">
        <f>AND('Data Analysis'!B53,"AAAAAF6v6vo=")</f>
        <v>#VALUE!</v>
      </c>
      <c r="IR26" t="e">
        <f>AND('Data Analysis'!C53,"AAAAAF6v6vs=")</f>
        <v>#VALUE!</v>
      </c>
      <c r="IS26" t="e">
        <f>AND('Data Analysis'!D53,"AAAAAF6v6vw=")</f>
        <v>#VALUE!</v>
      </c>
      <c r="IT26" t="e">
        <f>AND('Data Analysis'!E53,"AAAAAF6v6v0=")</f>
        <v>#VALUE!</v>
      </c>
      <c r="IU26" t="e">
        <f>AND('Data Analysis'!F53,"AAAAAF6v6v4=")</f>
        <v>#VALUE!</v>
      </c>
      <c r="IV26" t="e">
        <f>AND('Data Analysis'!G53,"AAAAAF6v6v8=")</f>
        <v>#VALUE!</v>
      </c>
    </row>
    <row r="27" spans="1:256" x14ac:dyDescent="0.2">
      <c r="A27" t="e">
        <f>AND('Data Analysis'!H53,"AAAAAF9x9gA=")</f>
        <v>#VALUE!</v>
      </c>
      <c r="B27" t="e">
        <f>AND('Data Analysis'!I53,"AAAAAF9x9gE=")</f>
        <v>#VALUE!</v>
      </c>
      <c r="C27" t="e">
        <f>AND('Data Analysis'!J53,"AAAAAF9x9gI=")</f>
        <v>#VALUE!</v>
      </c>
      <c r="D27" t="e">
        <f>AND('Data Analysis'!K53,"AAAAAF9x9gM=")</f>
        <v>#VALUE!</v>
      </c>
      <c r="E27" t="e">
        <f>AND('Data Analysis'!L53,"AAAAAF9x9gQ=")</f>
        <v>#VALUE!</v>
      </c>
      <c r="F27" t="e">
        <f>AND('Data Analysis'!M53,"AAAAAF9x9gU=")</f>
        <v>#VALUE!</v>
      </c>
      <c r="G27" t="e">
        <f>AND('Data Analysis'!N53,"AAAAAF9x9gY=")</f>
        <v>#VALUE!</v>
      </c>
      <c r="H27" t="e">
        <f>AND('Data Analysis'!O53,"AAAAAF9x9gc=")</f>
        <v>#VALUE!</v>
      </c>
      <c r="I27" t="e">
        <f>AND('Data Analysis'!P53,"AAAAAF9x9gg=")</f>
        <v>#VALUE!</v>
      </c>
      <c r="J27" t="e">
        <f>AND('Data Analysis'!Q53,"AAAAAF9x9gk=")</f>
        <v>#VALUE!</v>
      </c>
      <c r="K27" t="e">
        <f>AND('Data Analysis'!R53,"AAAAAF9x9go=")</f>
        <v>#VALUE!</v>
      </c>
      <c r="L27" t="e">
        <f>AND('Data Analysis'!S53,"AAAAAF9x9gs=")</f>
        <v>#VALUE!</v>
      </c>
      <c r="M27" t="e">
        <f>AND('Data Analysis'!T53,"AAAAAF9x9gw=")</f>
        <v>#VALUE!</v>
      </c>
      <c r="N27" t="e">
        <f>AND('Data Analysis'!U53,"AAAAAF9x9g0=")</f>
        <v>#VALUE!</v>
      </c>
      <c r="O27" t="e">
        <f>AND('Data Analysis'!V53,"AAAAAF9x9g4=")</f>
        <v>#VALUE!</v>
      </c>
      <c r="P27" t="e">
        <f>AND('Data Analysis'!W53,"AAAAAF9x9g8=")</f>
        <v>#VALUE!</v>
      </c>
      <c r="Q27">
        <f>IF('Data Analysis'!54:54,"AAAAAF9x9hA=",0)</f>
        <v>0</v>
      </c>
      <c r="R27" t="e">
        <f>AND('Data Analysis'!A54,"AAAAAF9x9hE=")</f>
        <v>#VALUE!</v>
      </c>
      <c r="S27" t="e">
        <f>AND('Data Analysis'!B54,"AAAAAF9x9hI=")</f>
        <v>#VALUE!</v>
      </c>
      <c r="T27" t="e">
        <f>AND('Data Analysis'!C54,"AAAAAF9x9hM=")</f>
        <v>#VALUE!</v>
      </c>
      <c r="U27" t="e">
        <f>AND('Data Analysis'!D54,"AAAAAF9x9hQ=")</f>
        <v>#VALUE!</v>
      </c>
      <c r="V27" t="e">
        <f>AND('Data Analysis'!E54,"AAAAAF9x9hU=")</f>
        <v>#VALUE!</v>
      </c>
      <c r="W27" t="e">
        <f>AND('Data Analysis'!F54,"AAAAAF9x9hY=")</f>
        <v>#VALUE!</v>
      </c>
      <c r="X27" t="e">
        <f>AND('Data Analysis'!G54,"AAAAAF9x9hc=")</f>
        <v>#VALUE!</v>
      </c>
      <c r="Y27" t="e">
        <f>AND('Data Analysis'!H54,"AAAAAF9x9hg=")</f>
        <v>#VALUE!</v>
      </c>
      <c r="Z27" t="e">
        <f>AND('Data Analysis'!I54,"AAAAAF9x9hk=")</f>
        <v>#VALUE!</v>
      </c>
      <c r="AA27" t="e">
        <f>AND('Data Analysis'!J54,"AAAAAF9x9ho=")</f>
        <v>#VALUE!</v>
      </c>
      <c r="AB27" t="e">
        <f>AND('Data Analysis'!K54,"AAAAAF9x9hs=")</f>
        <v>#VALUE!</v>
      </c>
      <c r="AC27" t="e">
        <f>AND('Data Analysis'!L54,"AAAAAF9x9hw=")</f>
        <v>#VALUE!</v>
      </c>
      <c r="AD27" t="e">
        <f>AND('Data Analysis'!M54,"AAAAAF9x9h0=")</f>
        <v>#VALUE!</v>
      </c>
      <c r="AE27" t="e">
        <f>AND('Data Analysis'!N54,"AAAAAF9x9h4=")</f>
        <v>#VALUE!</v>
      </c>
      <c r="AF27" t="e">
        <f>AND('Data Analysis'!O54,"AAAAAF9x9h8=")</f>
        <v>#VALUE!</v>
      </c>
      <c r="AG27" t="e">
        <f>AND('Data Analysis'!P54,"AAAAAF9x9iA=")</f>
        <v>#VALUE!</v>
      </c>
      <c r="AH27" t="e">
        <f>AND('Data Analysis'!Q54,"AAAAAF9x9iE=")</f>
        <v>#VALUE!</v>
      </c>
      <c r="AI27" t="e">
        <f>AND('Data Analysis'!R54,"AAAAAF9x9iI=")</f>
        <v>#VALUE!</v>
      </c>
      <c r="AJ27" t="e">
        <f>AND('Data Analysis'!S54,"AAAAAF9x9iM=")</f>
        <v>#VALUE!</v>
      </c>
      <c r="AK27" t="e">
        <f>AND('Data Analysis'!T54,"AAAAAF9x9iQ=")</f>
        <v>#VALUE!</v>
      </c>
      <c r="AL27" t="e">
        <f>AND('Data Analysis'!U54,"AAAAAF9x9iU=")</f>
        <v>#VALUE!</v>
      </c>
      <c r="AM27" t="e">
        <f>AND('Data Analysis'!V54,"AAAAAF9x9iY=")</f>
        <v>#VALUE!</v>
      </c>
      <c r="AN27" t="e">
        <f>AND('Data Analysis'!W54,"AAAAAF9x9ic=")</f>
        <v>#VALUE!</v>
      </c>
      <c r="AO27">
        <f>IF('Data Analysis'!55:55,"AAAAAF9x9ig=",0)</f>
        <v>0</v>
      </c>
      <c r="AP27" t="e">
        <f>AND('Data Analysis'!A55,"AAAAAF9x9ik=")</f>
        <v>#VALUE!</v>
      </c>
      <c r="AQ27" t="e">
        <f>AND('Data Analysis'!B55,"AAAAAF9x9io=")</f>
        <v>#VALUE!</v>
      </c>
      <c r="AR27" t="e">
        <f>AND('Data Analysis'!C55,"AAAAAF9x9is=")</f>
        <v>#VALUE!</v>
      </c>
      <c r="AS27" t="e">
        <f>AND('Data Analysis'!D55,"AAAAAF9x9iw=")</f>
        <v>#VALUE!</v>
      </c>
      <c r="AT27" t="e">
        <f>AND('Data Analysis'!E55,"AAAAAF9x9i0=")</f>
        <v>#VALUE!</v>
      </c>
      <c r="AU27" t="e">
        <f>AND('Data Analysis'!F55,"AAAAAF9x9i4=")</f>
        <v>#VALUE!</v>
      </c>
      <c r="AV27" t="e">
        <f>AND('Data Analysis'!G55,"AAAAAF9x9i8=")</f>
        <v>#VALUE!</v>
      </c>
      <c r="AW27" t="e">
        <f>AND('Data Analysis'!H55,"AAAAAF9x9jA=")</f>
        <v>#VALUE!</v>
      </c>
      <c r="AX27" t="e">
        <f>AND('Data Analysis'!I55,"AAAAAF9x9jE=")</f>
        <v>#VALUE!</v>
      </c>
      <c r="AY27" t="e">
        <f>AND('Data Analysis'!J55,"AAAAAF9x9jI=")</f>
        <v>#VALUE!</v>
      </c>
      <c r="AZ27" t="e">
        <f>AND('Data Analysis'!K55,"AAAAAF9x9jM=")</f>
        <v>#VALUE!</v>
      </c>
      <c r="BA27" t="e">
        <f>AND('Data Analysis'!L55,"AAAAAF9x9jQ=")</f>
        <v>#VALUE!</v>
      </c>
      <c r="BB27" t="e">
        <f>AND('Data Analysis'!M55,"AAAAAF9x9jU=")</f>
        <v>#VALUE!</v>
      </c>
      <c r="BC27" t="e">
        <f>AND('Data Analysis'!N55,"AAAAAF9x9jY=")</f>
        <v>#VALUE!</v>
      </c>
      <c r="BD27" t="e">
        <f>AND('Data Analysis'!O55,"AAAAAF9x9jc=")</f>
        <v>#VALUE!</v>
      </c>
      <c r="BE27" t="e">
        <f>AND('Data Analysis'!P55,"AAAAAF9x9jg=")</f>
        <v>#VALUE!</v>
      </c>
      <c r="BF27" t="e">
        <f>AND('Data Analysis'!Q55,"AAAAAF9x9jk=")</f>
        <v>#VALUE!</v>
      </c>
      <c r="BG27" t="e">
        <f>AND('Data Analysis'!R55,"AAAAAF9x9jo=")</f>
        <v>#VALUE!</v>
      </c>
      <c r="BH27" t="e">
        <f>AND('Data Analysis'!S55,"AAAAAF9x9js=")</f>
        <v>#VALUE!</v>
      </c>
      <c r="BI27" t="e">
        <f>AND('Data Analysis'!T55,"AAAAAF9x9jw=")</f>
        <v>#VALUE!</v>
      </c>
      <c r="BJ27" t="e">
        <f>AND('Data Analysis'!U55,"AAAAAF9x9j0=")</f>
        <v>#VALUE!</v>
      </c>
      <c r="BK27" t="e">
        <f>AND('Data Analysis'!V55,"AAAAAF9x9j4=")</f>
        <v>#VALUE!</v>
      </c>
      <c r="BL27" t="e">
        <f>AND('Data Analysis'!W55,"AAAAAF9x9j8=")</f>
        <v>#VALUE!</v>
      </c>
      <c r="BM27">
        <f>IF('Data Analysis'!56:56,"AAAAAF9x9kA=",0)</f>
        <v>0</v>
      </c>
      <c r="BN27" t="e">
        <f>AND('Data Analysis'!A56,"AAAAAF9x9kE=")</f>
        <v>#VALUE!</v>
      </c>
      <c r="BO27" t="e">
        <f>AND('Data Analysis'!B56,"AAAAAF9x9kI=")</f>
        <v>#VALUE!</v>
      </c>
      <c r="BP27" t="e">
        <f>AND('Data Analysis'!C56,"AAAAAF9x9kM=")</f>
        <v>#VALUE!</v>
      </c>
      <c r="BQ27" t="e">
        <f>AND('Data Analysis'!D56,"AAAAAF9x9kQ=")</f>
        <v>#VALUE!</v>
      </c>
      <c r="BR27" t="e">
        <f>AND('Data Analysis'!E56,"AAAAAF9x9kU=")</f>
        <v>#VALUE!</v>
      </c>
      <c r="BS27" t="e">
        <f>AND('Data Analysis'!F56,"AAAAAF9x9kY=")</f>
        <v>#VALUE!</v>
      </c>
      <c r="BT27" t="e">
        <f>AND('Data Analysis'!G56,"AAAAAF9x9kc=")</f>
        <v>#VALUE!</v>
      </c>
      <c r="BU27" t="e">
        <f>AND('Data Analysis'!H56,"AAAAAF9x9kg=")</f>
        <v>#VALUE!</v>
      </c>
      <c r="BV27" t="e">
        <f>AND('Data Analysis'!I56,"AAAAAF9x9kk=")</f>
        <v>#VALUE!</v>
      </c>
      <c r="BW27" t="e">
        <f>AND('Data Analysis'!J56,"AAAAAF9x9ko=")</f>
        <v>#VALUE!</v>
      </c>
      <c r="BX27" t="e">
        <f>AND('Data Analysis'!K56,"AAAAAF9x9ks=")</f>
        <v>#VALUE!</v>
      </c>
      <c r="BY27" t="e">
        <f>AND('Data Analysis'!L56,"AAAAAF9x9kw=")</f>
        <v>#VALUE!</v>
      </c>
      <c r="BZ27" t="e">
        <f>AND('Data Analysis'!M56,"AAAAAF9x9k0=")</f>
        <v>#VALUE!</v>
      </c>
      <c r="CA27" t="e">
        <f>AND('Data Analysis'!N56,"AAAAAF9x9k4=")</f>
        <v>#VALUE!</v>
      </c>
      <c r="CB27" t="e">
        <f>AND('Data Analysis'!O56,"AAAAAF9x9k8=")</f>
        <v>#VALUE!</v>
      </c>
      <c r="CC27" t="e">
        <f>AND('Data Analysis'!P56,"AAAAAF9x9lA=")</f>
        <v>#VALUE!</v>
      </c>
      <c r="CD27" t="e">
        <f>AND('Data Analysis'!Q56,"AAAAAF9x9lE=")</f>
        <v>#VALUE!</v>
      </c>
      <c r="CE27" t="e">
        <f>AND('Data Analysis'!R56,"AAAAAF9x9lI=")</f>
        <v>#VALUE!</v>
      </c>
      <c r="CF27" t="e">
        <f>AND('Data Analysis'!S56,"AAAAAF9x9lM=")</f>
        <v>#VALUE!</v>
      </c>
      <c r="CG27" t="e">
        <f>AND('Data Analysis'!T56,"AAAAAF9x9lQ=")</f>
        <v>#VALUE!</v>
      </c>
      <c r="CH27" t="e">
        <f>AND('Data Analysis'!U56,"AAAAAF9x9lU=")</f>
        <v>#VALUE!</v>
      </c>
      <c r="CI27" t="e">
        <f>AND('Data Analysis'!V56,"AAAAAF9x9lY=")</f>
        <v>#VALUE!</v>
      </c>
      <c r="CJ27" t="e">
        <f>AND('Data Analysis'!W56,"AAAAAF9x9lc=")</f>
        <v>#VALUE!</v>
      </c>
      <c r="CK27">
        <f>IF('Data Analysis'!57:57,"AAAAAF9x9lg=",0)</f>
        <v>0</v>
      </c>
      <c r="CL27" t="e">
        <f>AND('Data Analysis'!A57,"AAAAAF9x9lk=")</f>
        <v>#VALUE!</v>
      </c>
      <c r="CM27" t="e">
        <f>AND('Data Analysis'!B57,"AAAAAF9x9lo=")</f>
        <v>#VALUE!</v>
      </c>
      <c r="CN27" t="e">
        <f>AND('Data Analysis'!C57,"AAAAAF9x9ls=")</f>
        <v>#VALUE!</v>
      </c>
      <c r="CO27" t="e">
        <f>AND('Data Analysis'!D57,"AAAAAF9x9lw=")</f>
        <v>#VALUE!</v>
      </c>
      <c r="CP27" t="e">
        <f>AND('Data Analysis'!E57,"AAAAAF9x9l0=")</f>
        <v>#VALUE!</v>
      </c>
      <c r="CQ27" t="e">
        <f>AND('Data Analysis'!F57,"AAAAAF9x9l4=")</f>
        <v>#VALUE!</v>
      </c>
      <c r="CR27" t="e">
        <f>AND('Data Analysis'!G57,"AAAAAF9x9l8=")</f>
        <v>#VALUE!</v>
      </c>
      <c r="CS27" t="e">
        <f>AND('Data Analysis'!H57,"AAAAAF9x9mA=")</f>
        <v>#VALUE!</v>
      </c>
      <c r="CT27" t="e">
        <f>AND('Data Analysis'!I57,"AAAAAF9x9mE=")</f>
        <v>#VALUE!</v>
      </c>
      <c r="CU27" t="e">
        <f>AND('Data Analysis'!J57,"AAAAAF9x9mI=")</f>
        <v>#VALUE!</v>
      </c>
      <c r="CV27" t="e">
        <f>AND('Data Analysis'!K57,"AAAAAF9x9mM=")</f>
        <v>#VALUE!</v>
      </c>
      <c r="CW27" t="e">
        <f>AND('Data Analysis'!L57,"AAAAAF9x9mQ=")</f>
        <v>#VALUE!</v>
      </c>
      <c r="CX27" t="e">
        <f>AND('Data Analysis'!M57,"AAAAAF9x9mU=")</f>
        <v>#VALUE!</v>
      </c>
      <c r="CY27" t="e">
        <f>AND('Data Analysis'!N57,"AAAAAF9x9mY=")</f>
        <v>#VALUE!</v>
      </c>
      <c r="CZ27" t="e">
        <f>AND('Data Analysis'!O57,"AAAAAF9x9mc=")</f>
        <v>#VALUE!</v>
      </c>
      <c r="DA27" t="e">
        <f>AND('Data Analysis'!P57,"AAAAAF9x9mg=")</f>
        <v>#VALUE!</v>
      </c>
      <c r="DB27" t="e">
        <f>AND('Data Analysis'!Q57,"AAAAAF9x9mk=")</f>
        <v>#VALUE!</v>
      </c>
      <c r="DC27" t="e">
        <f>AND('Data Analysis'!R57,"AAAAAF9x9mo=")</f>
        <v>#VALUE!</v>
      </c>
      <c r="DD27" t="e">
        <f>AND('Data Analysis'!S57,"AAAAAF9x9ms=")</f>
        <v>#VALUE!</v>
      </c>
      <c r="DE27" t="e">
        <f>AND('Data Analysis'!T57,"AAAAAF9x9mw=")</f>
        <v>#VALUE!</v>
      </c>
      <c r="DF27" t="e">
        <f>AND('Data Analysis'!U57,"AAAAAF9x9m0=")</f>
        <v>#VALUE!</v>
      </c>
      <c r="DG27" t="e">
        <f>AND('Data Analysis'!V57,"AAAAAF9x9m4=")</f>
        <v>#VALUE!</v>
      </c>
      <c r="DH27" t="e">
        <f>AND('Data Analysis'!W57,"AAAAAF9x9m8=")</f>
        <v>#VALUE!</v>
      </c>
      <c r="DI27">
        <f>IF('Data Analysis'!58:58,"AAAAAF9x9nA=",0)</f>
        <v>0</v>
      </c>
      <c r="DJ27" t="e">
        <f>AND('Data Analysis'!A58,"AAAAAF9x9nE=")</f>
        <v>#VALUE!</v>
      </c>
      <c r="DK27" t="e">
        <f>AND('Data Analysis'!B58,"AAAAAF9x9nI=")</f>
        <v>#VALUE!</v>
      </c>
      <c r="DL27" t="e">
        <f>AND('Data Analysis'!C58,"AAAAAF9x9nM=")</f>
        <v>#VALUE!</v>
      </c>
      <c r="DM27" t="e">
        <f>AND('Data Analysis'!D58,"AAAAAF9x9nQ=")</f>
        <v>#VALUE!</v>
      </c>
      <c r="DN27" t="e">
        <f>AND('Data Analysis'!E58,"AAAAAF9x9nU=")</f>
        <v>#VALUE!</v>
      </c>
      <c r="DO27" t="e">
        <f>AND('Data Analysis'!F58,"AAAAAF9x9nY=")</f>
        <v>#VALUE!</v>
      </c>
      <c r="DP27" t="e">
        <f>AND('Data Analysis'!G58,"AAAAAF9x9nc=")</f>
        <v>#VALUE!</v>
      </c>
      <c r="DQ27" t="e">
        <f>AND('Data Analysis'!H58,"AAAAAF9x9ng=")</f>
        <v>#VALUE!</v>
      </c>
      <c r="DR27" t="e">
        <f>AND('Data Analysis'!I58,"AAAAAF9x9nk=")</f>
        <v>#VALUE!</v>
      </c>
      <c r="DS27" t="e">
        <f>AND('Data Analysis'!J58,"AAAAAF9x9no=")</f>
        <v>#VALUE!</v>
      </c>
      <c r="DT27" t="e">
        <f>AND('Data Analysis'!K58,"AAAAAF9x9ns=")</f>
        <v>#VALUE!</v>
      </c>
      <c r="DU27" t="e">
        <f>AND('Data Analysis'!L58,"AAAAAF9x9nw=")</f>
        <v>#VALUE!</v>
      </c>
      <c r="DV27" t="e">
        <f>AND('Data Analysis'!M58,"AAAAAF9x9n0=")</f>
        <v>#VALUE!</v>
      </c>
      <c r="DW27" t="e">
        <f>AND('Data Analysis'!N58,"AAAAAF9x9n4=")</f>
        <v>#VALUE!</v>
      </c>
      <c r="DX27" t="e">
        <f>AND('Data Analysis'!O58,"AAAAAF9x9n8=")</f>
        <v>#VALUE!</v>
      </c>
      <c r="DY27" t="e">
        <f>AND('Data Analysis'!P58,"AAAAAF9x9oA=")</f>
        <v>#VALUE!</v>
      </c>
      <c r="DZ27" t="e">
        <f>AND('Data Analysis'!Q58,"AAAAAF9x9oE=")</f>
        <v>#VALUE!</v>
      </c>
      <c r="EA27" t="e">
        <f>AND('Data Analysis'!R58,"AAAAAF9x9oI=")</f>
        <v>#VALUE!</v>
      </c>
      <c r="EB27" t="e">
        <f>AND('Data Analysis'!S58,"AAAAAF9x9oM=")</f>
        <v>#VALUE!</v>
      </c>
      <c r="EC27" t="e">
        <f>AND('Data Analysis'!T58,"AAAAAF9x9oQ=")</f>
        <v>#VALUE!</v>
      </c>
      <c r="ED27" t="e">
        <f>AND('Data Analysis'!U58,"AAAAAF9x9oU=")</f>
        <v>#VALUE!</v>
      </c>
      <c r="EE27" t="e">
        <f>AND('Data Analysis'!V58,"AAAAAF9x9oY=")</f>
        <v>#VALUE!</v>
      </c>
      <c r="EF27" t="e">
        <f>AND('Data Analysis'!W58,"AAAAAF9x9oc=")</f>
        <v>#VALUE!</v>
      </c>
      <c r="EG27">
        <f>IF('Data Analysis'!59:59,"AAAAAF9x9og=",0)</f>
        <v>0</v>
      </c>
      <c r="EH27">
        <f>IF('Data Analysis'!60:60,"AAAAAF9x9ok=",0)</f>
        <v>0</v>
      </c>
      <c r="EI27">
        <f>IF('Data Analysis'!61:61,"AAAAAF9x9oo=",0)</f>
        <v>0</v>
      </c>
      <c r="EJ27">
        <f>IF('Data Analysis'!62:62,"AAAAAF9x9os=",0)</f>
        <v>0</v>
      </c>
      <c r="EK27">
        <f>IF('Data Analysis'!63:63,"AAAAAF9x9ow=",0)</f>
        <v>0</v>
      </c>
      <c r="EL27">
        <f>IF('Data Analysis'!64:64,"AAAAAF9x9o0=",0)</f>
        <v>0</v>
      </c>
      <c r="EM27">
        <f>IF('Data Analysis'!65:65,"AAAAAF9x9o4=",0)</f>
        <v>0</v>
      </c>
      <c r="EN27">
        <f>IF('Data Analysis'!66:66,"AAAAAF9x9o8=",0)</f>
        <v>0</v>
      </c>
      <c r="EO27">
        <f>IF('Data Analysis'!67:67,"AAAAAF9x9pA=",0)</f>
        <v>0</v>
      </c>
      <c r="EP27">
        <f>IF('Data Analysis'!68:68,"AAAAAF9x9pE=",0)</f>
        <v>0</v>
      </c>
      <c r="EQ27">
        <f>IF('Data Analysis'!69:69,"AAAAAF9x9pI=",0)</f>
        <v>0</v>
      </c>
      <c r="ER27">
        <f>IF('Data Analysis'!70:70,"AAAAAF9x9pM=",0)</f>
        <v>0</v>
      </c>
      <c r="ES27">
        <f>IF('Data Analysis'!71:71,"AAAAAF9x9pQ=",0)</f>
        <v>0</v>
      </c>
      <c r="ET27">
        <f>IF('Data Analysis'!72:72,"AAAAAF9x9pU=",0)</f>
        <v>0</v>
      </c>
      <c r="EU27">
        <f>IF('Data Analysis'!73:73,"AAAAAF9x9pY=",0)</f>
        <v>0</v>
      </c>
      <c r="EV27">
        <f>IF('Data Analysis'!74:74,"AAAAAF9x9pc=",0)</f>
        <v>0</v>
      </c>
      <c r="EW27">
        <f>IF('Data Analysis'!75:75,"AAAAAF9x9pg=",0)</f>
        <v>0</v>
      </c>
      <c r="EX27">
        <f>IF('Data Analysis'!76:76,"AAAAAF9x9pk=",0)</f>
        <v>0</v>
      </c>
      <c r="EY27">
        <f>IF('Data Analysis'!77:77,"AAAAAF9x9po=",0)</f>
        <v>0</v>
      </c>
      <c r="EZ27">
        <f>IF('Data Analysis'!78:78,"AAAAAF9x9ps=",0)</f>
        <v>0</v>
      </c>
      <c r="FA27">
        <f>IF('Data Analysis'!79:79,"AAAAAF9x9pw=",0)</f>
        <v>0</v>
      </c>
      <c r="FB27">
        <f>IF('Data Analysis'!80:80,"AAAAAF9x9p0=",0)</f>
        <v>0</v>
      </c>
      <c r="FC27">
        <f>IF('Data Analysis'!81:81,"AAAAAF9x9p4=",0)</f>
        <v>0</v>
      </c>
      <c r="FD27">
        <f>IF('Data Analysis'!82:82,"AAAAAF9x9p8=",0)</f>
        <v>0</v>
      </c>
      <c r="FE27">
        <f>IF('Data Analysis'!83:83,"AAAAAF9x9qA=",0)</f>
        <v>0</v>
      </c>
      <c r="FF27">
        <f>IF('Data Analysis'!84:84,"AAAAAF9x9qE=",0)</f>
        <v>0</v>
      </c>
      <c r="FG27">
        <f>IF('Data Analysis'!85:85,"AAAAAF9x9qI=",0)</f>
        <v>0</v>
      </c>
      <c r="FH27">
        <f>IF('Data Analysis'!86:86,"AAAAAF9x9qM=",0)</f>
        <v>0</v>
      </c>
      <c r="FI27">
        <f>IF('Data Analysis'!87:87,"AAAAAF9x9qQ=",0)</f>
        <v>0</v>
      </c>
      <c r="FJ27">
        <f>IF('Data Analysis'!88:88,"AAAAAF9x9qU=",0)</f>
        <v>0</v>
      </c>
      <c r="FK27">
        <f>IF('Data Analysis'!89:89,"AAAAAF9x9qY=",0)</f>
        <v>0</v>
      </c>
      <c r="FL27">
        <f>IF('Data Analysis'!90:90,"AAAAAF9x9qc=",0)</f>
        <v>0</v>
      </c>
      <c r="FM27">
        <f>IF('Data Analysis'!91:91,"AAAAAF9x9qg=",0)</f>
        <v>0</v>
      </c>
      <c r="FN27">
        <f>IF('Data Analysis'!92:92,"AAAAAF9x9qk=",0)</f>
        <v>0</v>
      </c>
      <c r="FO27">
        <f>IF('Data Analysis'!93:93,"AAAAAF9x9qo=",0)</f>
        <v>0</v>
      </c>
      <c r="FP27">
        <f>IF('Data Analysis'!94:94,"AAAAAF9x9qs=",0)</f>
        <v>0</v>
      </c>
      <c r="FQ27">
        <f>IF('Data Analysis'!95:95,"AAAAAF9x9qw=",0)</f>
        <v>0</v>
      </c>
      <c r="FR27">
        <f>IF('Data Analysis'!96:96,"AAAAAF9x9q0=",0)</f>
        <v>0</v>
      </c>
      <c r="FS27">
        <f>IF('Data Analysis'!97:97,"AAAAAF9x9q4=",0)</f>
        <v>0</v>
      </c>
      <c r="FT27">
        <f>IF('Data Analysis'!98:98,"AAAAAF9x9q8=",0)</f>
        <v>0</v>
      </c>
      <c r="FU27">
        <f>IF('Data Analysis'!99:99,"AAAAAF9x9rA=",0)</f>
        <v>0</v>
      </c>
      <c r="FV27">
        <f>IF('Data Analysis'!100:100,"AAAAAF9x9rE=",0)</f>
        <v>0</v>
      </c>
      <c r="FW27">
        <f>IF('Data Analysis'!101:101,"AAAAAF9x9rI=",0)</f>
        <v>0</v>
      </c>
      <c r="FX27">
        <f>IF('Data Analysis'!102:102,"AAAAAF9x9rM=",0)</f>
        <v>0</v>
      </c>
      <c r="FY27">
        <f>IF('Data Analysis'!103:103,"AAAAAF9x9rQ=",0)</f>
        <v>0</v>
      </c>
      <c r="FZ27">
        <f>IF('Data Analysis'!104:104,"AAAAAF9x9rU=",0)</f>
        <v>0</v>
      </c>
      <c r="GA27">
        <f>IF('Data Analysis'!105:105,"AAAAAF9x9rY=",0)</f>
        <v>0</v>
      </c>
      <c r="GB27">
        <f>IF('Data Analysis'!106:106,"AAAAAF9x9rc=",0)</f>
        <v>0</v>
      </c>
      <c r="GC27">
        <f>IF('Data Analysis'!107:107,"AAAAAF9x9rg=",0)</f>
        <v>0</v>
      </c>
      <c r="GD27">
        <f>IF('Data Analysis'!108:108,"AAAAAF9x9rk=",0)</f>
        <v>0</v>
      </c>
      <c r="GE27">
        <f>IF('Data Analysis'!109:109,"AAAAAF9x9ro=",0)</f>
        <v>0</v>
      </c>
      <c r="GF27">
        <f>IF('Data Analysis'!110:110,"AAAAAF9x9rs=",0)</f>
        <v>0</v>
      </c>
      <c r="GG27">
        <f>IF('Data Analysis'!111:111,"AAAAAF9x9rw=",0)</f>
        <v>0</v>
      </c>
      <c r="GH27">
        <f>IF('Data Analysis'!112:112,"AAAAAF9x9r0=",0)</f>
        <v>0</v>
      </c>
      <c r="GI27">
        <f>IF('Data Analysis'!113:113,"AAAAAF9x9r4=",0)</f>
        <v>0</v>
      </c>
      <c r="GJ27">
        <f>IF('Data Analysis'!114:114,"AAAAAF9x9r8=",0)</f>
        <v>0</v>
      </c>
      <c r="GK27">
        <f>IF('Data Analysis'!115:115,"AAAAAF9x9sA=",0)</f>
        <v>0</v>
      </c>
      <c r="GL27">
        <f>IF('Data Analysis'!116:116,"AAAAAF9x9sE=",0)</f>
        <v>0</v>
      </c>
      <c r="GM27">
        <f>IF('Data Analysis'!117:117,"AAAAAF9x9sI=",0)</f>
        <v>0</v>
      </c>
      <c r="GN27">
        <f>IF('Data Analysis'!118:118,"AAAAAF9x9sM=",0)</f>
        <v>0</v>
      </c>
      <c r="GO27">
        <f>IF('Data Analysis'!119:119,"AAAAAF9x9sQ=",0)</f>
        <v>0</v>
      </c>
      <c r="GP27">
        <f>IF('Data Analysis'!120:120,"AAAAAF9x9sU=",0)</f>
        <v>0</v>
      </c>
      <c r="GQ27">
        <f>IF('Data Analysis'!121:121,"AAAAAF9x9sY=",0)</f>
        <v>0</v>
      </c>
      <c r="GR27">
        <f>IF('Data Analysis'!122:122,"AAAAAF9x9sc=",0)</f>
        <v>0</v>
      </c>
      <c r="GS27">
        <f>IF('Data Analysis'!123:123,"AAAAAF9x9sg=",0)</f>
        <v>0</v>
      </c>
      <c r="GT27">
        <f>IF('Data Analysis'!124:124,"AAAAAF9x9sk=",0)</f>
        <v>0</v>
      </c>
      <c r="GU27">
        <f>IF('Data Analysis'!125:125,"AAAAAF9x9so=",0)</f>
        <v>0</v>
      </c>
      <c r="GV27">
        <f>IF('Data Analysis'!126:126,"AAAAAF9x9ss=",0)</f>
        <v>0</v>
      </c>
      <c r="GW27">
        <f>IF('Data Analysis'!127:127,"AAAAAF9x9sw=",0)</f>
        <v>0</v>
      </c>
      <c r="GX27">
        <f>IF('Data Analysis'!128:128,"AAAAAF9x9s0=",0)</f>
        <v>0</v>
      </c>
      <c r="GY27">
        <f>IF('Data Analysis'!129:129,"AAAAAF9x9s4=",0)</f>
        <v>0</v>
      </c>
      <c r="GZ27">
        <f>IF('Data Analysis'!130:130,"AAAAAF9x9s8=",0)</f>
        <v>0</v>
      </c>
      <c r="HA27">
        <f>IF('Data Analysis'!131:131,"AAAAAF9x9tA=",0)</f>
        <v>0</v>
      </c>
      <c r="HB27">
        <f>IF('Data Analysis'!132:132,"AAAAAF9x9tE=",0)</f>
        <v>0</v>
      </c>
      <c r="HC27">
        <f>IF('Data Analysis'!133:133,"AAAAAF9x9tI=",0)</f>
        <v>0</v>
      </c>
      <c r="HD27">
        <f>IF('Data Analysis'!134:134,"AAAAAF9x9tM=",0)</f>
        <v>0</v>
      </c>
      <c r="HE27">
        <f>IF('Data Analysis'!135:135,"AAAAAF9x9tQ=",0)</f>
        <v>0</v>
      </c>
      <c r="HF27">
        <f>IF('Data Analysis'!136:136,"AAAAAF9x9tU=",0)</f>
        <v>0</v>
      </c>
      <c r="HG27">
        <f>IF('Data Analysis'!137:137,"AAAAAF9x9tY=",0)</f>
        <v>0</v>
      </c>
      <c r="HH27">
        <f>IF('Data Analysis'!138:138,"AAAAAF9x9tc=",0)</f>
        <v>0</v>
      </c>
      <c r="HI27">
        <f>IF('Data Analysis'!139:139,"AAAAAF9x9tg=",0)</f>
        <v>0</v>
      </c>
      <c r="HJ27">
        <f>IF('Data Analysis'!140:140,"AAAAAF9x9tk=",0)</f>
        <v>0</v>
      </c>
      <c r="HK27">
        <f>IF('Data Analysis'!141:141,"AAAAAF9x9to=",0)</f>
        <v>0</v>
      </c>
      <c r="HL27">
        <f>IF('Data Analysis'!142:142,"AAAAAF9x9ts=",0)</f>
        <v>0</v>
      </c>
      <c r="HM27">
        <f>IF('Data Analysis'!143:143,"AAAAAF9x9tw=",0)</f>
        <v>0</v>
      </c>
      <c r="HN27">
        <f>IF('Data Analysis'!144:144,"AAAAAF9x9t0=",0)</f>
        <v>0</v>
      </c>
      <c r="HO27">
        <f>IF('Data Analysis'!145:145,"AAAAAF9x9t4=",0)</f>
        <v>0</v>
      </c>
      <c r="HP27">
        <f>IF('Data Analysis'!146:146,"AAAAAF9x9t8=",0)</f>
        <v>0</v>
      </c>
      <c r="HQ27">
        <f>IF('Data Analysis'!147:147,"AAAAAF9x9uA=",0)</f>
        <v>0</v>
      </c>
      <c r="HR27">
        <f>IF('Data Analysis'!148:148,"AAAAAF9x9uE=",0)</f>
        <v>0</v>
      </c>
      <c r="HS27">
        <f>IF('Data Analysis'!149:149,"AAAAAF9x9uI=",0)</f>
        <v>0</v>
      </c>
      <c r="HT27">
        <f>IF('Data Analysis'!150:150,"AAAAAF9x9uM=",0)</f>
        <v>0</v>
      </c>
      <c r="HU27">
        <f>IF('Data Analysis'!151:151,"AAAAAF9x9uQ=",0)</f>
        <v>0</v>
      </c>
      <c r="HV27">
        <f>IF('Data Analysis'!152:152,"AAAAAF9x9uU=",0)</f>
        <v>0</v>
      </c>
      <c r="HW27">
        <f>IF('Data Analysis'!153:153,"AAAAAF9x9uY=",0)</f>
        <v>0</v>
      </c>
      <c r="HX27">
        <f>IF('Data Analysis'!154:154,"AAAAAF9x9uc=",0)</f>
        <v>0</v>
      </c>
      <c r="HY27">
        <f>IF('Data Analysis'!155:155,"AAAAAF9x9ug=",0)</f>
        <v>0</v>
      </c>
      <c r="HZ27">
        <f>IF('Data Analysis'!156:156,"AAAAAF9x9uk=",0)</f>
        <v>0</v>
      </c>
      <c r="IA27">
        <f>IF('Data Analysis'!157:157,"AAAAAF9x9uo=",0)</f>
        <v>0</v>
      </c>
      <c r="IB27">
        <f>IF('Data Analysis'!158:158,"AAAAAF9x9us=",0)</f>
        <v>0</v>
      </c>
      <c r="IC27">
        <f>IF('Data Analysis'!159:159,"AAAAAF9x9uw=",0)</f>
        <v>0</v>
      </c>
      <c r="ID27">
        <f>IF('Data Analysis'!160:160,"AAAAAF9x9u0=",0)</f>
        <v>0</v>
      </c>
      <c r="IE27">
        <f>IF('Data Analysis'!161:161,"AAAAAF9x9u4=",0)</f>
        <v>0</v>
      </c>
      <c r="IF27">
        <f>IF('Data Analysis'!162:162,"AAAAAF9x9u8=",0)</f>
        <v>0</v>
      </c>
      <c r="IG27">
        <f>IF('Data Analysis'!163:163,"AAAAAF9x9vA=",0)</f>
        <v>0</v>
      </c>
      <c r="IH27">
        <f>IF('Data Analysis'!164:164,"AAAAAF9x9vE=",0)</f>
        <v>0</v>
      </c>
      <c r="II27">
        <f>IF('Data Analysis'!165:165,"AAAAAF9x9vI=",0)</f>
        <v>0</v>
      </c>
      <c r="IJ27">
        <f>IF('Data Analysis'!166:166,"AAAAAF9x9vM=",0)</f>
        <v>0</v>
      </c>
      <c r="IK27">
        <f>IF('Data Analysis'!167:167,"AAAAAF9x9vQ=",0)</f>
        <v>0</v>
      </c>
      <c r="IL27">
        <f>IF('Data Analysis'!168:168,"AAAAAF9x9vU=",0)</f>
        <v>0</v>
      </c>
      <c r="IM27">
        <f>IF('Data Analysis'!169:169,"AAAAAF9x9vY=",0)</f>
        <v>0</v>
      </c>
      <c r="IN27">
        <f>IF('Data Analysis'!170:170,"AAAAAF9x9vc=",0)</f>
        <v>0</v>
      </c>
      <c r="IO27">
        <f>IF('Data Analysis'!171:171,"AAAAAF9x9vg=",0)</f>
        <v>0</v>
      </c>
      <c r="IP27">
        <f>IF('Data Analysis'!172:172,"AAAAAF9x9vk=",0)</f>
        <v>0</v>
      </c>
      <c r="IQ27">
        <f>IF('Data Analysis'!173:173,"AAAAAF9x9vo=",0)</f>
        <v>0</v>
      </c>
      <c r="IR27">
        <f>IF('Data Analysis'!174:174,"AAAAAF9x9vs=",0)</f>
        <v>0</v>
      </c>
      <c r="IS27">
        <f>IF('Data Analysis'!175:175,"AAAAAF9x9vw=",0)</f>
        <v>0</v>
      </c>
      <c r="IT27">
        <f>IF('Data Analysis'!176:176,"AAAAAF9x9v0=",0)</f>
        <v>0</v>
      </c>
      <c r="IU27">
        <f>IF('Data Analysis'!177:177,"AAAAAF9x9v4=",0)</f>
        <v>0</v>
      </c>
      <c r="IV27">
        <f>IF('Data Analysis'!178:178,"AAAAAF9x9v8=",0)</f>
        <v>0</v>
      </c>
    </row>
    <row r="28" spans="1:256" x14ac:dyDescent="0.2">
      <c r="A28">
        <f>IF('Data Analysis'!179:179,"AAAAAAFv9wA=",0)</f>
        <v>0</v>
      </c>
      <c r="B28">
        <f>IF('Data Analysis'!180:180,"AAAAAAFv9wE=",0)</f>
        <v>0</v>
      </c>
      <c r="C28">
        <f>IF('Data Analysis'!181:181,"AAAAAAFv9wI=",0)</f>
        <v>0</v>
      </c>
      <c r="D28">
        <f>IF('Data Analysis'!182:182,"AAAAAAFv9wM=",0)</f>
        <v>0</v>
      </c>
      <c r="E28">
        <f>IF('Data Analysis'!183:183,"AAAAAAFv9wQ=",0)</f>
        <v>0</v>
      </c>
      <c r="F28">
        <f>IF('Data Analysis'!184:184,"AAAAAAFv9wU=",0)</f>
        <v>0</v>
      </c>
      <c r="G28">
        <f>IF('Data Analysis'!185:185,"AAAAAAFv9wY=",0)</f>
        <v>0</v>
      </c>
      <c r="H28">
        <f>IF('Data Analysis'!186:186,"AAAAAAFv9wc=",0)</f>
        <v>0</v>
      </c>
      <c r="I28">
        <f>IF('Data Analysis'!187:187,"AAAAAAFv9wg=",0)</f>
        <v>0</v>
      </c>
      <c r="J28">
        <f>IF('Data Analysis'!188:188,"AAAAAAFv9wk=",0)</f>
        <v>0</v>
      </c>
      <c r="K28">
        <f>IF('Data Analysis'!189:189,"AAAAAAFv9wo=",0)</f>
        <v>0</v>
      </c>
      <c r="L28">
        <f>IF('Data Analysis'!190:190,"AAAAAAFv9ws=",0)</f>
        <v>0</v>
      </c>
      <c r="M28">
        <f>IF('Data Analysis'!191:191,"AAAAAAFv9ww=",0)</f>
        <v>0</v>
      </c>
      <c r="N28">
        <f>IF('Data Analysis'!192:192,"AAAAAAFv9w0=",0)</f>
        <v>0</v>
      </c>
      <c r="O28">
        <f>IF('Data Analysis'!193:193,"AAAAAAFv9w4=",0)</f>
        <v>0</v>
      </c>
      <c r="P28">
        <f>IF('Data Analysis'!194:194,"AAAAAAFv9w8=",0)</f>
        <v>0</v>
      </c>
      <c r="Q28">
        <f>IF('Data Analysis'!195:195,"AAAAAAFv9xA=",0)</f>
        <v>0</v>
      </c>
      <c r="R28">
        <f>IF('Data Analysis'!196:196,"AAAAAAFv9xE=",0)</f>
        <v>0</v>
      </c>
      <c r="S28">
        <f>IF('Data Analysis'!197:197,"AAAAAAFv9xI=",0)</f>
        <v>0</v>
      </c>
      <c r="T28">
        <f>IF('Data Analysis'!198:198,"AAAAAAFv9xM=",0)</f>
        <v>0</v>
      </c>
      <c r="U28">
        <f>IF('Data Analysis'!199:199,"AAAAAAFv9xQ=",0)</f>
        <v>0</v>
      </c>
      <c r="V28">
        <f>IF('Data Analysis'!200:200,"AAAAAAFv9xU=",0)</f>
        <v>0</v>
      </c>
      <c r="W28">
        <f>IF('Data Analysis'!201:201,"AAAAAAFv9xY=",0)</f>
        <v>0</v>
      </c>
      <c r="X28">
        <f>IF('Data Analysis'!202:202,"AAAAAAFv9xc=",0)</f>
        <v>0</v>
      </c>
      <c r="Y28">
        <f>IF('Data Analysis'!203:203,"AAAAAAFv9xg=",0)</f>
        <v>0</v>
      </c>
      <c r="Z28">
        <f>IF('Data Analysis'!204:204,"AAAAAAFv9xk=",0)</f>
        <v>0</v>
      </c>
      <c r="AA28">
        <f>IF('Data Analysis'!205:205,"AAAAAAFv9xo=",0)</f>
        <v>0</v>
      </c>
      <c r="AB28">
        <f>IF('Data Analysis'!206:206,"AAAAAAFv9xs=",0)</f>
        <v>0</v>
      </c>
      <c r="AC28">
        <f>IF('Data Analysis'!207:207,"AAAAAAFv9xw=",0)</f>
        <v>0</v>
      </c>
      <c r="AD28">
        <f>IF('Data Analysis'!208:208,"AAAAAAFv9x0=",0)</f>
        <v>0</v>
      </c>
      <c r="AE28">
        <f>IF('Data Analysis'!209:209,"AAAAAAFv9x4=",0)</f>
        <v>0</v>
      </c>
      <c r="AF28">
        <f>IF('Data Analysis'!210:210,"AAAAAAFv9x8=",0)</f>
        <v>0</v>
      </c>
      <c r="AG28">
        <f>IF('Data Analysis'!211:211,"AAAAAAFv9yA=",0)</f>
        <v>0</v>
      </c>
      <c r="AH28">
        <f>IF('Data Analysis'!212:212,"AAAAAAFv9yE=",0)</f>
        <v>0</v>
      </c>
      <c r="AI28">
        <f>IF('Data Analysis'!213:213,"AAAAAAFv9yI=",0)</f>
        <v>0</v>
      </c>
      <c r="AJ28">
        <f>IF('Data Analysis'!214:214,"AAAAAAFv9yM=",0)</f>
        <v>0</v>
      </c>
      <c r="AK28">
        <f>IF('Data Analysis'!215:215,"AAAAAAFv9yQ=",0)</f>
        <v>0</v>
      </c>
      <c r="AL28">
        <f>IF('Data Analysis'!216:216,"AAAAAAFv9yU=",0)</f>
        <v>0</v>
      </c>
      <c r="AM28">
        <f>IF('Data Analysis'!217:217,"AAAAAAFv9yY=",0)</f>
        <v>0</v>
      </c>
      <c r="AN28">
        <f>IF('Data Analysis'!218:218,"AAAAAAFv9yc=",0)</f>
        <v>0</v>
      </c>
      <c r="AO28">
        <f>IF('Data Analysis'!219:219,"AAAAAAFv9yg=",0)</f>
        <v>0</v>
      </c>
      <c r="AP28">
        <f>IF('Data Analysis'!220:220,"AAAAAAFv9yk=",0)</f>
        <v>0</v>
      </c>
      <c r="AQ28">
        <f>IF('Data Analysis'!221:221,"AAAAAAFv9yo=",0)</f>
        <v>0</v>
      </c>
      <c r="AR28">
        <f>IF('Data Analysis'!222:222,"AAAAAAFv9ys=",0)</f>
        <v>0</v>
      </c>
      <c r="AS28">
        <f>IF('Data Analysis'!223:223,"AAAAAAFv9yw=",0)</f>
        <v>0</v>
      </c>
      <c r="AT28">
        <f>IF('Data Analysis'!224:224,"AAAAAAFv9y0=",0)</f>
        <v>0</v>
      </c>
      <c r="AU28">
        <f>IF('Data Analysis'!225:225,"AAAAAAFv9y4=",0)</f>
        <v>0</v>
      </c>
      <c r="AV28">
        <f>IF('Data Analysis'!226:226,"AAAAAAFv9y8=",0)</f>
        <v>0</v>
      </c>
      <c r="AW28">
        <f>IF('Data Analysis'!227:227,"AAAAAAFv9zA=",0)</f>
        <v>0</v>
      </c>
      <c r="AX28">
        <f>IF('Data Analysis'!228:228,"AAAAAAFv9zE=",0)</f>
        <v>0</v>
      </c>
      <c r="AY28">
        <f>IF('Data Analysis'!229:229,"AAAAAAFv9zI=",0)</f>
        <v>0</v>
      </c>
      <c r="AZ28">
        <f>IF('Data Analysis'!230:230,"AAAAAAFv9zM=",0)</f>
        <v>0</v>
      </c>
      <c r="BA28">
        <f>IF('Data Analysis'!231:231,"AAAAAAFv9zQ=",0)</f>
        <v>0</v>
      </c>
      <c r="BB28">
        <f>IF('Data Analysis'!232:232,"AAAAAAFv9zU=",0)</f>
        <v>0</v>
      </c>
      <c r="BC28">
        <f>IF('Data Analysis'!233:233,"AAAAAAFv9zY=",0)</f>
        <v>0</v>
      </c>
      <c r="BD28">
        <f>IF('Data Analysis'!234:234,"AAAAAAFv9zc=",0)</f>
        <v>0</v>
      </c>
      <c r="BE28">
        <f>IF('Data Analysis'!235:235,"AAAAAAFv9zg=",0)</f>
        <v>0</v>
      </c>
      <c r="BF28">
        <f>IF('Data Analysis'!236:236,"AAAAAAFv9zk=",0)</f>
        <v>0</v>
      </c>
      <c r="BG28">
        <f>IF('Data Analysis'!237:237,"AAAAAAFv9zo=",0)</f>
        <v>0</v>
      </c>
      <c r="BH28">
        <f>IF('Data Analysis'!238:238,"AAAAAAFv9zs=",0)</f>
        <v>0</v>
      </c>
      <c r="BI28">
        <f>IF('Data Analysis'!239:239,"AAAAAAFv9zw=",0)</f>
        <v>0</v>
      </c>
      <c r="BJ28">
        <f>IF('Data Analysis'!240:240,"AAAAAAFv9z0=",0)</f>
        <v>0</v>
      </c>
      <c r="BK28">
        <f>IF('Data Analysis'!241:241,"AAAAAAFv9z4=",0)</f>
        <v>0</v>
      </c>
      <c r="BL28">
        <f>IF('Data Analysis'!242:242,"AAAAAAFv9z8=",0)</f>
        <v>0</v>
      </c>
      <c r="BM28">
        <f>IF('Data Analysis'!243:243,"AAAAAAFv90A=",0)</f>
        <v>0</v>
      </c>
      <c r="BN28">
        <f>IF('Data Analysis'!244:244,"AAAAAAFv90E=",0)</f>
        <v>0</v>
      </c>
      <c r="BO28">
        <f>IF('Data Analysis'!245:245,"AAAAAAFv90I=",0)</f>
        <v>0</v>
      </c>
      <c r="BP28">
        <f>IF('Data Analysis'!246:246,"AAAAAAFv90M=",0)</f>
        <v>0</v>
      </c>
      <c r="BQ28">
        <f>IF('Data Analysis'!247:247,"AAAAAAFv90Q=",0)</f>
        <v>0</v>
      </c>
      <c r="BR28">
        <f>IF('Data Analysis'!248:248,"AAAAAAFv90U=",0)</f>
        <v>0</v>
      </c>
      <c r="BS28">
        <f>IF('Data Analysis'!249:249,"AAAAAAFv90Y=",0)</f>
        <v>0</v>
      </c>
      <c r="BT28">
        <f>IF('Data Analysis'!250:250,"AAAAAAFv90c=",0)</f>
        <v>0</v>
      </c>
      <c r="BU28">
        <f>IF('Data Analysis'!251:251,"AAAAAAFv90g=",0)</f>
        <v>0</v>
      </c>
      <c r="BV28">
        <f>IF('Data Analysis'!252:252,"AAAAAAFv90k=",0)</f>
        <v>0</v>
      </c>
      <c r="BW28">
        <f>IF('Data Analysis'!253:253,"AAAAAAFv90o=",0)</f>
        <v>0</v>
      </c>
      <c r="BX28">
        <f>IF('Data Analysis'!254:254,"AAAAAAFv90s=",0)</f>
        <v>0</v>
      </c>
      <c r="BY28">
        <f>IF('Data Analysis'!255:255,"AAAAAAFv90w=",0)</f>
        <v>0</v>
      </c>
      <c r="BZ28">
        <f>IF('Data Analysis'!256:256,"AAAAAAFv900=",0)</f>
        <v>0</v>
      </c>
      <c r="CA28">
        <f>IF('Data Analysis'!257:257,"AAAAAAFv904=",0)</f>
        <v>0</v>
      </c>
      <c r="CB28">
        <f>IF('Data Analysis'!258:258,"AAAAAAFv908=",0)</f>
        <v>0</v>
      </c>
      <c r="CC28">
        <f>IF('Data Analysis'!259:259,"AAAAAAFv91A=",0)</f>
        <v>0</v>
      </c>
      <c r="CD28">
        <f>IF('Data Analysis'!260:260,"AAAAAAFv91E=",0)</f>
        <v>0</v>
      </c>
      <c r="CE28">
        <f>IF('Data Analysis'!261:261,"AAAAAAFv91I=",0)</f>
        <v>0</v>
      </c>
      <c r="CF28">
        <f>IF('Data Analysis'!262:262,"AAAAAAFv91M=",0)</f>
        <v>0</v>
      </c>
      <c r="CG28">
        <f>IF('Data Analysis'!263:263,"AAAAAAFv91Q=",0)</f>
        <v>0</v>
      </c>
      <c r="CH28">
        <f>IF('Data Analysis'!264:264,"AAAAAAFv91U=",0)</f>
        <v>0</v>
      </c>
      <c r="CI28">
        <f>IF('Data Analysis'!265:265,"AAAAAAFv91Y=",0)</f>
        <v>0</v>
      </c>
      <c r="CJ28">
        <f>IF('Data Analysis'!266:266,"AAAAAAFv91c=",0)</f>
        <v>0</v>
      </c>
      <c r="CK28">
        <f>IF('Data Analysis'!267:267,"AAAAAAFv91g=",0)</f>
        <v>0</v>
      </c>
      <c r="CL28">
        <f>IF('Data Analysis'!268:268,"AAAAAAFv91k=",0)</f>
        <v>0</v>
      </c>
      <c r="CM28">
        <f>IF('Data Analysis'!269:269,"AAAAAAFv91o=",0)</f>
        <v>0</v>
      </c>
      <c r="CN28">
        <f>IF('Data Analysis'!270:270,"AAAAAAFv91s=",0)</f>
        <v>0</v>
      </c>
      <c r="CO28">
        <f>IF('Data Analysis'!271:271,"AAAAAAFv91w=",0)</f>
        <v>0</v>
      </c>
      <c r="CP28">
        <f>IF('Data Analysis'!272:272,"AAAAAAFv910=",0)</f>
        <v>0</v>
      </c>
      <c r="CQ28">
        <f>IF('Data Analysis'!273:273,"AAAAAAFv914=",0)</f>
        <v>0</v>
      </c>
      <c r="CR28">
        <f>IF('Data Analysis'!274:274,"AAAAAAFv918=",0)</f>
        <v>0</v>
      </c>
      <c r="CS28">
        <f>IF('Data Analysis'!275:275,"AAAAAAFv92A=",0)</f>
        <v>0</v>
      </c>
      <c r="CT28">
        <f>IF('Data Analysis'!276:276,"AAAAAAFv92E=",0)</f>
        <v>0</v>
      </c>
      <c r="CU28">
        <f>IF('Data Analysis'!277:277,"AAAAAAFv92I=",0)</f>
        <v>0</v>
      </c>
      <c r="CV28">
        <f>IF('Data Analysis'!278:278,"AAAAAAFv92M=",0)</f>
        <v>0</v>
      </c>
      <c r="CW28">
        <f>IF('Data Analysis'!279:279,"AAAAAAFv92Q=",0)</f>
        <v>0</v>
      </c>
      <c r="CX28">
        <f>IF('Data Analysis'!280:280,"AAAAAAFv92U=",0)</f>
        <v>0</v>
      </c>
      <c r="CY28">
        <f>IF('Data Analysis'!281:281,"AAAAAAFv92Y=",0)</f>
        <v>0</v>
      </c>
      <c r="CZ28">
        <f>IF('Data Analysis'!282:282,"AAAAAAFv92c=",0)</f>
        <v>0</v>
      </c>
      <c r="DA28">
        <f>IF('Data Analysis'!283:283,"AAAAAAFv92g=",0)</f>
        <v>0</v>
      </c>
      <c r="DB28">
        <f>IF('Data Analysis'!284:284,"AAAAAAFv92k=",0)</f>
        <v>0</v>
      </c>
      <c r="DC28">
        <f>IF('Data Analysis'!285:285,"AAAAAAFv92o=",0)</f>
        <v>0</v>
      </c>
      <c r="DD28">
        <f>IF('Data Analysis'!286:286,"AAAAAAFv92s=",0)</f>
        <v>0</v>
      </c>
      <c r="DE28">
        <f>IF('Data Analysis'!287:287,"AAAAAAFv92w=",0)</f>
        <v>0</v>
      </c>
      <c r="DF28">
        <f>IF('Data Analysis'!288:288,"AAAAAAFv920=",0)</f>
        <v>0</v>
      </c>
      <c r="DG28">
        <f>IF('Data Analysis'!289:289,"AAAAAAFv924=",0)</f>
        <v>0</v>
      </c>
      <c r="DH28">
        <f>IF('Data Analysis'!290:290,"AAAAAAFv928=",0)</f>
        <v>0</v>
      </c>
      <c r="DI28">
        <f>IF('Data Analysis'!291:291,"AAAAAAFv93A=",0)</f>
        <v>0</v>
      </c>
      <c r="DJ28">
        <f>IF('Data Analysis'!292:292,"AAAAAAFv93E=",0)</f>
        <v>0</v>
      </c>
      <c r="DK28">
        <f>IF('Data Analysis'!293:293,"AAAAAAFv93I=",0)</f>
        <v>0</v>
      </c>
      <c r="DL28">
        <f>IF('Data Analysis'!294:294,"AAAAAAFv93M=",0)</f>
        <v>0</v>
      </c>
      <c r="DM28">
        <f>IF('Data Analysis'!295:295,"AAAAAAFv93Q=",0)</f>
        <v>0</v>
      </c>
      <c r="DN28">
        <f>IF('Data Analysis'!296:296,"AAAAAAFv93U=",0)</f>
        <v>0</v>
      </c>
      <c r="DO28">
        <f>IF('Data Analysis'!297:297,"AAAAAAFv93Y=",0)</f>
        <v>0</v>
      </c>
      <c r="DP28">
        <f>IF('Data Analysis'!298:298,"AAAAAAFv93c=",0)</f>
        <v>0</v>
      </c>
      <c r="DQ28">
        <f>IF('Data Analysis'!299:299,"AAAAAAFv93g=",0)</f>
        <v>0</v>
      </c>
      <c r="DR28">
        <f>IF('Data Analysis'!300:300,"AAAAAAFv93k=",0)</f>
        <v>0</v>
      </c>
      <c r="DS28">
        <f>IF('Data Analysis'!301:301,"AAAAAAFv93o=",0)</f>
        <v>0</v>
      </c>
      <c r="DT28">
        <f>IF('Data Analysis'!302:302,"AAAAAAFv93s=",0)</f>
        <v>0</v>
      </c>
      <c r="DU28">
        <f>IF('Data Analysis'!303:303,"AAAAAAFv93w=",0)</f>
        <v>0</v>
      </c>
      <c r="DV28">
        <f>IF('Data Analysis'!304:304,"AAAAAAFv930=",0)</f>
        <v>0</v>
      </c>
      <c r="DW28">
        <f>IF('Data Analysis'!305:305,"AAAAAAFv934=",0)</f>
        <v>0</v>
      </c>
      <c r="DX28">
        <f>IF('Data Analysis'!306:306,"AAAAAAFv938=",0)</f>
        <v>0</v>
      </c>
      <c r="DY28">
        <f>IF('Data Analysis'!307:307,"AAAAAAFv94A=",0)</f>
        <v>0</v>
      </c>
      <c r="DZ28">
        <f>IF('Data Analysis'!308:308,"AAAAAAFv94E=",0)</f>
        <v>0</v>
      </c>
      <c r="EA28">
        <f>IF('Data Analysis'!309:309,"AAAAAAFv94I=",0)</f>
        <v>0</v>
      </c>
      <c r="EB28">
        <f>IF('Data Analysis'!310:310,"AAAAAAFv94M=",0)</f>
        <v>0</v>
      </c>
      <c r="EC28">
        <f>IF('Data Analysis'!311:311,"AAAAAAFv94Q=",0)</f>
        <v>0</v>
      </c>
      <c r="ED28">
        <f>IF('Data Analysis'!312:312,"AAAAAAFv94U=",0)</f>
        <v>0</v>
      </c>
      <c r="EE28">
        <f>IF('Data Analysis'!313:313,"AAAAAAFv94Y=",0)</f>
        <v>0</v>
      </c>
      <c r="EF28">
        <f>IF('Data Analysis'!314:314,"AAAAAAFv94c=",0)</f>
        <v>0</v>
      </c>
      <c r="EG28">
        <f>IF('Data Analysis'!315:315,"AAAAAAFv94g=",0)</f>
        <v>0</v>
      </c>
      <c r="EH28">
        <f>IF('Data Analysis'!316:316,"AAAAAAFv94k=",0)</f>
        <v>0</v>
      </c>
      <c r="EI28">
        <f>IF('Data Analysis'!317:317,"AAAAAAFv94o=",0)</f>
        <v>0</v>
      </c>
      <c r="EJ28">
        <f>IF('Data Analysis'!318:318,"AAAAAAFv94s=",0)</f>
        <v>0</v>
      </c>
      <c r="EK28">
        <f>IF('Data Analysis'!319:319,"AAAAAAFv94w=",0)</f>
        <v>0</v>
      </c>
      <c r="EL28">
        <f>IF('Data Analysis'!320:320,"AAAAAAFv940=",0)</f>
        <v>0</v>
      </c>
      <c r="EM28">
        <f>IF('Data Analysis'!321:321,"AAAAAAFv944=",0)</f>
        <v>0</v>
      </c>
      <c r="EN28">
        <f>IF('Data Analysis'!322:322,"AAAAAAFv948=",0)</f>
        <v>0</v>
      </c>
      <c r="EO28">
        <f>IF('Data Analysis'!323:323,"AAAAAAFv95A=",0)</f>
        <v>0</v>
      </c>
      <c r="EP28">
        <f>IF('Data Analysis'!324:324,"AAAAAAFv95E=",0)</f>
        <v>0</v>
      </c>
      <c r="EQ28">
        <f>IF('Data Analysis'!325:325,"AAAAAAFv95I=",0)</f>
        <v>0</v>
      </c>
      <c r="ER28">
        <f>IF('Data Analysis'!326:326,"AAAAAAFv95M=",0)</f>
        <v>0</v>
      </c>
      <c r="ES28">
        <f>IF('Data Analysis'!327:327,"AAAAAAFv95Q=",0)</f>
        <v>0</v>
      </c>
      <c r="ET28">
        <f>IF('Data Analysis'!328:328,"AAAAAAFv95U=",0)</f>
        <v>0</v>
      </c>
      <c r="EU28">
        <f>IF('Data Analysis'!329:329,"AAAAAAFv95Y=",0)</f>
        <v>0</v>
      </c>
      <c r="EV28">
        <f>IF('Data Analysis'!330:330,"AAAAAAFv95c=",0)</f>
        <v>0</v>
      </c>
      <c r="EW28">
        <f>IF('Data Analysis'!331:331,"AAAAAAFv95g=",0)</f>
        <v>0</v>
      </c>
      <c r="EX28">
        <f>IF('Data Analysis'!332:332,"AAAAAAFv95k=",0)</f>
        <v>0</v>
      </c>
      <c r="EY28">
        <f>IF('Data Analysis'!333:333,"AAAAAAFv95o=",0)</f>
        <v>0</v>
      </c>
      <c r="EZ28">
        <f>IF('Data Analysis'!334:334,"AAAAAAFv95s=",0)</f>
        <v>0</v>
      </c>
      <c r="FA28">
        <f>IF('Data Analysis'!335:335,"AAAAAAFv95w=",0)</f>
        <v>0</v>
      </c>
      <c r="FB28">
        <f>IF('Data Analysis'!336:336,"AAAAAAFv950=",0)</f>
        <v>0</v>
      </c>
      <c r="FC28">
        <f>IF('Data Analysis'!337:337,"AAAAAAFv954=",0)</f>
        <v>0</v>
      </c>
      <c r="FD28">
        <f>IF('Data Analysis'!338:338,"AAAAAAFv958=",0)</f>
        <v>0</v>
      </c>
      <c r="FE28">
        <f>IF('Data Analysis'!339:339,"AAAAAAFv96A=",0)</f>
        <v>0</v>
      </c>
      <c r="FF28">
        <f>IF('Data Analysis'!340:340,"AAAAAAFv96E=",0)</f>
        <v>0</v>
      </c>
      <c r="FG28">
        <f>IF('Data Analysis'!341:341,"AAAAAAFv96I=",0)</f>
        <v>0</v>
      </c>
      <c r="FH28">
        <f>IF('Data Analysis'!342:342,"AAAAAAFv96M=",0)</f>
        <v>0</v>
      </c>
      <c r="FI28">
        <f>IF('Data Analysis'!343:343,"AAAAAAFv96Q=",0)</f>
        <v>0</v>
      </c>
      <c r="FJ28">
        <f>IF('Data Analysis'!344:344,"AAAAAAFv96U=",0)</f>
        <v>0</v>
      </c>
      <c r="FK28">
        <f>IF('Data Analysis'!345:345,"AAAAAAFv96Y=",0)</f>
        <v>0</v>
      </c>
      <c r="FL28">
        <f>IF('Data Analysis'!346:346,"AAAAAAFv96c=",0)</f>
        <v>0</v>
      </c>
      <c r="FM28">
        <f>IF('Data Analysis'!347:347,"AAAAAAFv96g=",0)</f>
        <v>0</v>
      </c>
      <c r="FN28">
        <f>IF('Data Analysis'!348:348,"AAAAAAFv96k=",0)</f>
        <v>0</v>
      </c>
      <c r="FO28">
        <f>IF('Data Analysis'!349:349,"AAAAAAFv96o=",0)</f>
        <v>0</v>
      </c>
      <c r="FP28">
        <f>IF('Data Analysis'!350:350,"AAAAAAFv96s=",0)</f>
        <v>0</v>
      </c>
      <c r="FQ28">
        <f>IF('Data Analysis'!351:351,"AAAAAAFv96w=",0)</f>
        <v>0</v>
      </c>
      <c r="FR28">
        <f>IF('Data Analysis'!352:352,"AAAAAAFv960=",0)</f>
        <v>0</v>
      </c>
      <c r="FS28">
        <f>IF('Data Analysis'!353:353,"AAAAAAFv964=",0)</f>
        <v>0</v>
      </c>
      <c r="FT28">
        <f>IF('Data Analysis'!354:354,"AAAAAAFv968=",0)</f>
        <v>0</v>
      </c>
      <c r="FU28">
        <f>IF('Data Analysis'!355:355,"AAAAAAFv97A=",0)</f>
        <v>0</v>
      </c>
      <c r="FV28">
        <f>IF('Data Analysis'!356:356,"AAAAAAFv97E=",0)</f>
        <v>0</v>
      </c>
      <c r="FW28">
        <f>IF('Data Analysis'!357:357,"AAAAAAFv97I=",0)</f>
        <v>0</v>
      </c>
      <c r="FX28">
        <f>IF('Data Analysis'!358:358,"AAAAAAFv97M=",0)</f>
        <v>0</v>
      </c>
      <c r="FY28">
        <f>IF('Data Analysis'!359:359,"AAAAAAFv97Q=",0)</f>
        <v>0</v>
      </c>
      <c r="FZ28">
        <f>IF('Data Analysis'!360:360,"AAAAAAFv97U=",0)</f>
        <v>0</v>
      </c>
      <c r="GA28">
        <f>IF('Data Analysis'!361:361,"AAAAAAFv97Y=",0)</f>
        <v>0</v>
      </c>
      <c r="GB28">
        <f>IF('Data Analysis'!362:362,"AAAAAAFv97c=",0)</f>
        <v>0</v>
      </c>
      <c r="GC28">
        <f>IF('Data Analysis'!363:363,"AAAAAAFv97g=",0)</f>
        <v>0</v>
      </c>
      <c r="GD28">
        <f>IF('Data Analysis'!364:364,"AAAAAAFv97k=",0)</f>
        <v>0</v>
      </c>
      <c r="GE28">
        <f>IF('Data Analysis'!365:365,"AAAAAAFv97o=",0)</f>
        <v>0</v>
      </c>
      <c r="GF28">
        <f>IF('Data Analysis'!366:366,"AAAAAAFv97s=",0)</f>
        <v>0</v>
      </c>
      <c r="GG28">
        <f>IF('Data Analysis'!367:367,"AAAAAAFv97w=",0)</f>
        <v>0</v>
      </c>
      <c r="GH28">
        <f>IF('Data Analysis'!368:368,"AAAAAAFv970=",0)</f>
        <v>0</v>
      </c>
      <c r="GI28">
        <f>IF('Data Analysis'!369:369,"AAAAAAFv974=",0)</f>
        <v>0</v>
      </c>
      <c r="GJ28">
        <f>IF('Data Analysis'!370:370,"AAAAAAFv978=",0)</f>
        <v>0</v>
      </c>
      <c r="GK28">
        <f>IF('Data Analysis'!371:371,"AAAAAAFv98A=",0)</f>
        <v>0</v>
      </c>
      <c r="GL28">
        <f>IF('Data Analysis'!372:372,"AAAAAAFv98E=",0)</f>
        <v>0</v>
      </c>
      <c r="GM28">
        <f>IF('Data Analysis'!373:373,"AAAAAAFv98I=",0)</f>
        <v>0</v>
      </c>
      <c r="GN28">
        <f>IF('Data Analysis'!374:374,"AAAAAAFv98M=",0)</f>
        <v>0</v>
      </c>
      <c r="GO28">
        <f>IF('Data Analysis'!375:375,"AAAAAAFv98Q=",0)</f>
        <v>0</v>
      </c>
      <c r="GP28">
        <f>IF('Data Analysis'!376:376,"AAAAAAFv98U=",0)</f>
        <v>0</v>
      </c>
      <c r="GQ28">
        <f>IF('Data Analysis'!377:377,"AAAAAAFv98Y=",0)</f>
        <v>0</v>
      </c>
      <c r="GR28">
        <f>IF('Data Analysis'!378:378,"AAAAAAFv98c=",0)</f>
        <v>0</v>
      </c>
      <c r="GS28">
        <f>IF('Data Analysis'!379:379,"AAAAAAFv98g=",0)</f>
        <v>0</v>
      </c>
      <c r="GT28">
        <f>IF('Data Analysis'!380:380,"AAAAAAFv98k=",0)</f>
        <v>0</v>
      </c>
      <c r="GU28">
        <f>IF('Data Analysis'!381:381,"AAAAAAFv98o=",0)</f>
        <v>0</v>
      </c>
      <c r="GV28">
        <f>IF('Data Analysis'!382:382,"AAAAAAFv98s=",0)</f>
        <v>0</v>
      </c>
      <c r="GW28">
        <f>IF('Data Analysis'!383:383,"AAAAAAFv98w=",0)</f>
        <v>0</v>
      </c>
      <c r="GX28">
        <f>IF('Data Analysis'!384:384,"AAAAAAFv980=",0)</f>
        <v>0</v>
      </c>
      <c r="GY28">
        <f>IF('Data Analysis'!385:385,"AAAAAAFv984=",0)</f>
        <v>0</v>
      </c>
      <c r="GZ28">
        <f>IF('Data Analysis'!386:386,"AAAAAAFv988=",0)</f>
        <v>0</v>
      </c>
      <c r="HA28">
        <f>IF('Data Analysis'!387:387,"AAAAAAFv99A=",0)</f>
        <v>0</v>
      </c>
      <c r="HB28">
        <f>IF('Data Analysis'!388:388,"AAAAAAFv99E=",0)</f>
        <v>0</v>
      </c>
      <c r="HC28">
        <f>IF('Data Analysis'!389:389,"AAAAAAFv99I=",0)</f>
        <v>0</v>
      </c>
      <c r="HD28">
        <f>IF('Data Analysis'!390:390,"AAAAAAFv99M=",0)</f>
        <v>0</v>
      </c>
      <c r="HE28">
        <f>IF('Data Analysis'!391:391,"AAAAAAFv99Q=",0)</f>
        <v>0</v>
      </c>
      <c r="HF28">
        <f>IF('Data Analysis'!392:392,"AAAAAAFv99U=",0)</f>
        <v>0</v>
      </c>
      <c r="HG28">
        <f>IF('Data Analysis'!393:393,"AAAAAAFv99Y=",0)</f>
        <v>0</v>
      </c>
      <c r="HH28">
        <f>IF('Data Analysis'!394:394,"AAAAAAFv99c=",0)</f>
        <v>0</v>
      </c>
      <c r="HI28">
        <f>IF('Data Analysis'!395:395,"AAAAAAFv99g=",0)</f>
        <v>0</v>
      </c>
      <c r="HJ28">
        <f>IF('Data Analysis'!396:396,"AAAAAAFv99k=",0)</f>
        <v>0</v>
      </c>
      <c r="HK28">
        <f>IF('Data Analysis'!397:397,"AAAAAAFv99o=",0)</f>
        <v>0</v>
      </c>
      <c r="HL28">
        <f>IF('Data Analysis'!398:398,"AAAAAAFv99s=",0)</f>
        <v>0</v>
      </c>
      <c r="HM28">
        <f>IF('Data Analysis'!399:399,"AAAAAAFv99w=",0)</f>
        <v>0</v>
      </c>
      <c r="HN28">
        <f>IF('Data Analysis'!400:400,"AAAAAAFv990=",0)</f>
        <v>0</v>
      </c>
      <c r="HO28">
        <f>IF('Data Analysis'!401:401,"AAAAAAFv994=",0)</f>
        <v>0</v>
      </c>
      <c r="HP28">
        <f>IF('Data Analysis'!402:402,"AAAAAAFv998=",0)</f>
        <v>0</v>
      </c>
      <c r="HQ28">
        <f>IF('Data Analysis'!403:403,"AAAAAAFv9+A=",0)</f>
        <v>0</v>
      </c>
      <c r="HR28">
        <f>IF('Data Analysis'!404:404,"AAAAAAFv9+E=",0)</f>
        <v>0</v>
      </c>
      <c r="HS28">
        <f>IF('Data Analysis'!405:405,"AAAAAAFv9+I=",0)</f>
        <v>0</v>
      </c>
      <c r="HT28">
        <f>IF('Data Analysis'!406:406,"AAAAAAFv9+M=",0)</f>
        <v>0</v>
      </c>
      <c r="HU28">
        <f>IF('Data Analysis'!407:407,"AAAAAAFv9+Q=",0)</f>
        <v>0</v>
      </c>
      <c r="HV28">
        <f>IF('Data Analysis'!408:408,"AAAAAAFv9+U=",0)</f>
        <v>0</v>
      </c>
      <c r="HW28">
        <f>IF('Data Analysis'!409:409,"AAAAAAFv9+Y=",0)</f>
        <v>0</v>
      </c>
      <c r="HX28">
        <f>IF('Data Analysis'!410:410,"AAAAAAFv9+c=",0)</f>
        <v>0</v>
      </c>
      <c r="HY28">
        <f>IF('Data Analysis'!411:411,"AAAAAAFv9+g=",0)</f>
        <v>0</v>
      </c>
      <c r="HZ28">
        <f>IF('Data Analysis'!412:412,"AAAAAAFv9+k=",0)</f>
        <v>0</v>
      </c>
      <c r="IA28">
        <f>IF('Data Analysis'!413:413,"AAAAAAFv9+o=",0)</f>
        <v>0</v>
      </c>
      <c r="IB28">
        <f>IF('Data Analysis'!414:414,"AAAAAAFv9+s=",0)</f>
        <v>0</v>
      </c>
      <c r="IC28">
        <f>IF('Data Analysis'!415:415,"AAAAAAFv9+w=",0)</f>
        <v>0</v>
      </c>
      <c r="ID28">
        <f>IF('Data Analysis'!416:416,"AAAAAAFv9+0=",0)</f>
        <v>0</v>
      </c>
      <c r="IE28">
        <f>IF('Data Analysis'!417:417,"AAAAAAFv9+4=",0)</f>
        <v>0</v>
      </c>
      <c r="IF28">
        <f>IF('Data Analysis'!418:418,"AAAAAAFv9+8=",0)</f>
        <v>0</v>
      </c>
      <c r="IG28">
        <f>IF('Data Analysis'!419:419,"AAAAAAFv9/A=",0)</f>
        <v>0</v>
      </c>
      <c r="IH28">
        <f>IF('Data Analysis'!420:420,"AAAAAAFv9/E=",0)</f>
        <v>0</v>
      </c>
      <c r="II28">
        <f>IF('Data Analysis'!421:421,"AAAAAAFv9/I=",0)</f>
        <v>0</v>
      </c>
      <c r="IJ28">
        <f>IF('Data Analysis'!422:422,"AAAAAAFv9/M=",0)</f>
        <v>0</v>
      </c>
      <c r="IK28">
        <f>IF('Data Analysis'!423:423,"AAAAAAFv9/Q=",0)</f>
        <v>0</v>
      </c>
      <c r="IL28">
        <f>IF('Data Analysis'!424:424,"AAAAAAFv9/U=",0)</f>
        <v>0</v>
      </c>
      <c r="IM28">
        <f>IF('Data Analysis'!425:425,"AAAAAAFv9/Y=",0)</f>
        <v>0</v>
      </c>
      <c r="IN28">
        <f>IF('Data Analysis'!426:426,"AAAAAAFv9/c=",0)</f>
        <v>0</v>
      </c>
      <c r="IO28">
        <f>IF('Data Analysis'!427:427,"AAAAAAFv9/g=",0)</f>
        <v>0</v>
      </c>
      <c r="IP28">
        <f>IF('Data Analysis'!428:428,"AAAAAAFv9/k=",0)</f>
        <v>0</v>
      </c>
      <c r="IQ28">
        <f>IF('Data Analysis'!429:429,"AAAAAAFv9/o=",0)</f>
        <v>0</v>
      </c>
      <c r="IR28">
        <f>IF('Data Analysis'!430:430,"AAAAAAFv9/s=",0)</f>
        <v>0</v>
      </c>
      <c r="IS28">
        <f>IF('Data Analysis'!431:431,"AAAAAAFv9/w=",0)</f>
        <v>0</v>
      </c>
      <c r="IT28">
        <f>IF('Data Analysis'!432:432,"AAAAAAFv9/0=",0)</f>
        <v>0</v>
      </c>
      <c r="IU28">
        <f>IF('Data Analysis'!433:433,"AAAAAAFv9/4=",0)</f>
        <v>0</v>
      </c>
      <c r="IV28">
        <f>IF('Data Analysis'!434:434,"AAAAAAFv9/8=",0)</f>
        <v>0</v>
      </c>
    </row>
    <row r="29" spans="1:256" x14ac:dyDescent="0.2">
      <c r="A29">
        <f>IF('Data Analysis'!435:435,"AAAAAH/zvgA=",0)</f>
        <v>0</v>
      </c>
      <c r="B29">
        <f>IF('Data Analysis'!436:436,"AAAAAH/zvgE=",0)</f>
        <v>0</v>
      </c>
      <c r="C29">
        <f>IF('Data Analysis'!437:437,"AAAAAH/zvgI=",0)</f>
        <v>0</v>
      </c>
      <c r="D29">
        <f>IF('Data Analysis'!438:438,"AAAAAH/zvgM=",0)</f>
        <v>0</v>
      </c>
      <c r="E29">
        <f>IF('Data Analysis'!439:439,"AAAAAH/zvgQ=",0)</f>
        <v>0</v>
      </c>
      <c r="F29">
        <f>IF('Data Analysis'!440:440,"AAAAAH/zvgU=",0)</f>
        <v>0</v>
      </c>
      <c r="G29">
        <f>IF('Data Analysis'!441:441,"AAAAAH/zvgY=",0)</f>
        <v>0</v>
      </c>
      <c r="H29">
        <f>IF('Data Analysis'!442:442,"AAAAAH/zvgc=",0)</f>
        <v>0</v>
      </c>
      <c r="I29">
        <f>IF('Data Analysis'!443:443,"AAAAAH/zvgg=",0)</f>
        <v>0</v>
      </c>
      <c r="J29">
        <f>IF('Data Analysis'!444:444,"AAAAAH/zvgk=",0)</f>
        <v>0</v>
      </c>
      <c r="K29">
        <f>IF('Data Analysis'!445:445,"AAAAAH/zvgo=",0)</f>
        <v>0</v>
      </c>
      <c r="L29">
        <f>IF('Data Analysis'!446:446,"AAAAAH/zvgs=",0)</f>
        <v>0</v>
      </c>
      <c r="M29">
        <f>IF('Data Analysis'!447:447,"AAAAAH/zvgw=",0)</f>
        <v>0</v>
      </c>
      <c r="N29">
        <f>IF('Data Analysis'!448:448,"AAAAAH/zvg0=",0)</f>
        <v>0</v>
      </c>
      <c r="O29">
        <f>IF('Data Analysis'!449:449,"AAAAAH/zvg4=",0)</f>
        <v>0</v>
      </c>
      <c r="P29">
        <f>IF('Data Analysis'!450:450,"AAAAAH/zvg8=",0)</f>
        <v>0</v>
      </c>
      <c r="Q29">
        <f>IF('Data Analysis'!451:451,"AAAAAH/zvhA=",0)</f>
        <v>0</v>
      </c>
      <c r="R29">
        <f>IF('Data Analysis'!452:452,"AAAAAH/zvhE=",0)</f>
        <v>0</v>
      </c>
      <c r="S29">
        <f>IF('Data Analysis'!453:453,"AAAAAH/zvhI=",0)</f>
        <v>0</v>
      </c>
      <c r="T29">
        <f>IF('Data Analysis'!454:454,"AAAAAH/zvhM=",0)</f>
        <v>0</v>
      </c>
      <c r="U29">
        <f>IF('Data Analysis'!455:455,"AAAAAH/zvhQ=",0)</f>
        <v>0</v>
      </c>
      <c r="V29">
        <f>IF('Data Analysis'!456:456,"AAAAAH/zvhU=",0)</f>
        <v>0</v>
      </c>
      <c r="W29">
        <f>IF('Data Analysis'!457:457,"AAAAAH/zvhY=",0)</f>
        <v>0</v>
      </c>
      <c r="X29">
        <f>IF('Data Analysis'!458:458,"AAAAAH/zvhc=",0)</f>
        <v>0</v>
      </c>
      <c r="Y29">
        <f>IF('Data Analysis'!459:459,"AAAAAH/zvhg=",0)</f>
        <v>0</v>
      </c>
      <c r="Z29">
        <f>IF('Data Analysis'!460:460,"AAAAAH/zvhk=",0)</f>
        <v>0</v>
      </c>
      <c r="AA29">
        <f>IF('Data Analysis'!461:461,"AAAAAH/zvho=",0)</f>
        <v>0</v>
      </c>
      <c r="AB29">
        <f>IF('Data Analysis'!462:462,"AAAAAH/zvhs=",0)</f>
        <v>0</v>
      </c>
      <c r="AC29">
        <f>IF('Data Analysis'!463:463,"AAAAAH/zvhw=",0)</f>
        <v>0</v>
      </c>
      <c r="AD29">
        <f>IF('Data Analysis'!464:464,"AAAAAH/zvh0=",0)</f>
        <v>0</v>
      </c>
      <c r="AE29">
        <f>IF('Data Analysis'!465:465,"AAAAAH/zvh4=",0)</f>
        <v>0</v>
      </c>
      <c r="AF29">
        <f>IF('Data Analysis'!466:466,"AAAAAH/zvh8=",0)</f>
        <v>0</v>
      </c>
      <c r="AG29">
        <f>IF('Data Analysis'!467:467,"AAAAAH/zviA=",0)</f>
        <v>0</v>
      </c>
      <c r="AH29">
        <f>IF('Data Analysis'!468:468,"AAAAAH/zviE=",0)</f>
        <v>0</v>
      </c>
      <c r="AI29">
        <f>IF('Data Analysis'!469:469,"AAAAAH/zviI=",0)</f>
        <v>0</v>
      </c>
      <c r="AJ29">
        <f>IF('Data Analysis'!470:470,"AAAAAH/zviM=",0)</f>
        <v>0</v>
      </c>
      <c r="AK29">
        <f>IF('Data Analysis'!471:471,"AAAAAH/zviQ=",0)</f>
        <v>0</v>
      </c>
      <c r="AL29">
        <f>IF('Data Analysis'!472:472,"AAAAAH/zviU=",0)</f>
        <v>0</v>
      </c>
      <c r="AM29">
        <f>IF('Data Analysis'!473:473,"AAAAAH/zviY=",0)</f>
        <v>0</v>
      </c>
      <c r="AN29">
        <f>IF('Data Analysis'!474:474,"AAAAAH/zvic=",0)</f>
        <v>0</v>
      </c>
      <c r="AO29">
        <f>IF('Data Analysis'!475:475,"AAAAAH/zvig=",0)</f>
        <v>0</v>
      </c>
      <c r="AP29">
        <f>IF('Data Analysis'!476:476,"AAAAAH/zvik=",0)</f>
        <v>0</v>
      </c>
      <c r="AQ29">
        <f>IF('Data Analysis'!477:477,"AAAAAH/zvio=",0)</f>
        <v>0</v>
      </c>
      <c r="AR29">
        <f>IF('Data Analysis'!478:478,"AAAAAH/zvis=",0)</f>
        <v>0</v>
      </c>
      <c r="AS29">
        <f>IF('Data Analysis'!479:479,"AAAAAH/zviw=",0)</f>
        <v>0</v>
      </c>
      <c r="AT29">
        <f>IF('Data Analysis'!480:480,"AAAAAH/zvi0=",0)</f>
        <v>0</v>
      </c>
      <c r="AU29">
        <f>IF('Data Analysis'!481:481,"AAAAAH/zvi4=",0)</f>
        <v>0</v>
      </c>
      <c r="AV29">
        <f>IF('Data Analysis'!482:482,"AAAAAH/zvi8=",0)</f>
        <v>0</v>
      </c>
      <c r="AW29">
        <f>IF('Data Analysis'!483:483,"AAAAAH/zvjA=",0)</f>
        <v>0</v>
      </c>
      <c r="AX29">
        <f>IF('Data Analysis'!484:484,"AAAAAH/zvjE=",0)</f>
        <v>0</v>
      </c>
      <c r="AY29">
        <f>IF('Data Analysis'!485:485,"AAAAAH/zvjI=",0)</f>
        <v>0</v>
      </c>
      <c r="AZ29">
        <f>IF('Data Analysis'!486:486,"AAAAAH/zvjM=",0)</f>
        <v>0</v>
      </c>
      <c r="BA29">
        <f>IF('Data Analysis'!487:487,"AAAAAH/zvjQ=",0)</f>
        <v>0</v>
      </c>
      <c r="BB29">
        <f>IF('Data Analysis'!488:488,"AAAAAH/zvjU=",0)</f>
        <v>0</v>
      </c>
      <c r="BC29">
        <f>IF('Data Analysis'!489:489,"AAAAAH/zvjY=",0)</f>
        <v>0</v>
      </c>
      <c r="BD29">
        <f>IF('Data Analysis'!490:490,"AAAAAH/zvjc=",0)</f>
        <v>0</v>
      </c>
      <c r="BE29">
        <f>IF('Data Analysis'!491:491,"AAAAAH/zvjg=",0)</f>
        <v>0</v>
      </c>
      <c r="BF29">
        <f>IF('Data Analysis'!492:492,"AAAAAH/zvjk=",0)</f>
        <v>0</v>
      </c>
      <c r="BG29">
        <f>IF('Data Analysis'!493:493,"AAAAAH/zvjo=",0)</f>
        <v>0</v>
      </c>
      <c r="BH29">
        <f>IF('Data Analysis'!494:494,"AAAAAH/zvjs=",0)</f>
        <v>0</v>
      </c>
      <c r="BI29">
        <f>IF('Data Analysis'!495:495,"AAAAAH/zvjw=",0)</f>
        <v>0</v>
      </c>
      <c r="BJ29">
        <f>IF('Data Analysis'!496:496,"AAAAAH/zvj0=",0)</f>
        <v>0</v>
      </c>
      <c r="BK29">
        <f>IF('Data Analysis'!497:497,"AAAAAH/zvj4=",0)</f>
        <v>0</v>
      </c>
      <c r="BL29">
        <f>IF('Data Analysis'!498:498,"AAAAAH/zvj8=",0)</f>
        <v>0</v>
      </c>
      <c r="BM29">
        <f>IF('Data Analysis'!499:499,"AAAAAH/zvkA=",0)</f>
        <v>0</v>
      </c>
      <c r="BN29">
        <f>IF('Data Analysis'!500:500,"AAAAAH/zvkE=",0)</f>
        <v>0</v>
      </c>
      <c r="BO29">
        <f>IF('Data Analysis'!501:501,"AAAAAH/zvkI=",0)</f>
        <v>0</v>
      </c>
      <c r="BP29">
        <f>IF('Data Analysis'!502:502,"AAAAAH/zvkM=",0)</f>
        <v>0</v>
      </c>
      <c r="BQ29">
        <f>IF('Data Analysis'!503:503,"AAAAAH/zvkQ=",0)</f>
        <v>0</v>
      </c>
      <c r="BR29">
        <f>IF('Data Analysis'!504:504,"AAAAAH/zvkU=",0)</f>
        <v>0</v>
      </c>
      <c r="BS29">
        <f>IF('Data Analysis'!505:505,"AAAAAH/zvkY=",0)</f>
        <v>0</v>
      </c>
      <c r="BT29">
        <f>IF('Data Analysis'!506:506,"AAAAAH/zvkc=",0)</f>
        <v>0</v>
      </c>
      <c r="BU29">
        <f>IF('Data Analysis'!507:507,"AAAAAH/zvkg=",0)</f>
        <v>0</v>
      </c>
      <c r="BV29">
        <f>IF('Data Analysis'!508:508,"AAAAAH/zvkk=",0)</f>
        <v>0</v>
      </c>
      <c r="BW29">
        <f>IF('Data Analysis'!509:509,"AAAAAH/zvko=",0)</f>
        <v>0</v>
      </c>
      <c r="BX29">
        <f>IF('Data Analysis'!510:510,"AAAAAH/zvks=",0)</f>
        <v>0</v>
      </c>
      <c r="BY29">
        <f>IF('Data Analysis'!511:511,"AAAAAH/zvkw=",0)</f>
        <v>0</v>
      </c>
      <c r="BZ29">
        <f>IF('Data Analysis'!512:512,"AAAAAH/zvk0=",0)</f>
        <v>0</v>
      </c>
      <c r="CA29">
        <f>IF('Data Analysis'!513:513,"AAAAAH/zvk4=",0)</f>
        <v>0</v>
      </c>
      <c r="CB29">
        <f>IF('Data Analysis'!514:514,"AAAAAH/zvk8=",0)</f>
        <v>0</v>
      </c>
      <c r="CC29">
        <f>IF('Data Analysis'!515:515,"AAAAAH/zvlA=",0)</f>
        <v>0</v>
      </c>
      <c r="CD29">
        <f>IF('Data Analysis'!516:516,"AAAAAH/zvlE=",0)</f>
        <v>0</v>
      </c>
      <c r="CE29">
        <f>IF('Data Analysis'!517:517,"AAAAAH/zvlI=",0)</f>
        <v>0</v>
      </c>
      <c r="CF29">
        <f>IF('Data Analysis'!518:518,"AAAAAH/zvlM=",0)</f>
        <v>0</v>
      </c>
      <c r="CG29">
        <f>IF('Data Analysis'!519:519,"AAAAAH/zvlQ=",0)</f>
        <v>0</v>
      </c>
      <c r="CH29">
        <f>IF('Data Analysis'!520:520,"AAAAAH/zvlU=",0)</f>
        <v>0</v>
      </c>
      <c r="CI29">
        <f>IF('Data Analysis'!521:521,"AAAAAH/zvlY=",0)</f>
        <v>0</v>
      </c>
      <c r="CJ29">
        <f>IF('Data Analysis'!522:522,"AAAAAH/zvlc=",0)</f>
        <v>0</v>
      </c>
      <c r="CK29">
        <f>IF('Data Analysis'!523:523,"AAAAAH/zvlg=",0)</f>
        <v>0</v>
      </c>
      <c r="CL29">
        <f>IF('Data Analysis'!524:524,"AAAAAH/zvlk=",0)</f>
        <v>0</v>
      </c>
      <c r="CM29">
        <f>IF('Data Analysis'!525:525,"AAAAAH/zvlo=",0)</f>
        <v>0</v>
      </c>
      <c r="CN29">
        <f>IF('Data Analysis'!526:526,"AAAAAH/zvls=",0)</f>
        <v>0</v>
      </c>
      <c r="CO29">
        <f>IF('Data Analysis'!527:527,"AAAAAH/zvlw=",0)</f>
        <v>0</v>
      </c>
      <c r="CP29">
        <f>IF('Data Analysis'!528:528,"AAAAAH/zvl0=",0)</f>
        <v>0</v>
      </c>
      <c r="CQ29">
        <f>IF('Data Analysis'!529:529,"AAAAAH/zvl4=",0)</f>
        <v>0</v>
      </c>
      <c r="CR29">
        <f>IF('Data Analysis'!530:530,"AAAAAH/zvl8=",0)</f>
        <v>0</v>
      </c>
      <c r="CS29">
        <f>IF('Data Analysis'!531:531,"AAAAAH/zvmA=",0)</f>
        <v>0</v>
      </c>
      <c r="CT29">
        <f>IF('Data Analysis'!532:532,"AAAAAH/zvmE=",0)</f>
        <v>0</v>
      </c>
      <c r="CU29">
        <f>IF('Data Analysis'!533:533,"AAAAAH/zvmI=",0)</f>
        <v>0</v>
      </c>
      <c r="CV29">
        <f>IF('Data Analysis'!534:534,"AAAAAH/zvmM=",0)</f>
        <v>0</v>
      </c>
      <c r="CW29">
        <f>IF('Data Analysis'!535:535,"AAAAAH/zvmQ=",0)</f>
        <v>0</v>
      </c>
      <c r="CX29">
        <f>IF('Data Analysis'!536:536,"AAAAAH/zvmU=",0)</f>
        <v>0</v>
      </c>
      <c r="CY29">
        <f>IF('Data Analysis'!537:537,"AAAAAH/zvmY=",0)</f>
        <v>0</v>
      </c>
      <c r="CZ29">
        <f>IF('Data Analysis'!538:538,"AAAAAH/zvmc=",0)</f>
        <v>0</v>
      </c>
      <c r="DA29">
        <f>IF('Data Analysis'!539:539,"AAAAAH/zvmg=",0)</f>
        <v>0</v>
      </c>
      <c r="DB29">
        <f>IF('Data Analysis'!540:540,"AAAAAH/zvmk=",0)</f>
        <v>0</v>
      </c>
      <c r="DC29">
        <f>IF('Data Analysis'!541:541,"AAAAAH/zvmo=",0)</f>
        <v>0</v>
      </c>
      <c r="DD29">
        <f>IF('Data Analysis'!542:542,"AAAAAH/zvms=",0)</f>
        <v>0</v>
      </c>
      <c r="DE29">
        <f>IF('Data Analysis'!543:543,"AAAAAH/zvmw=",0)</f>
        <v>0</v>
      </c>
      <c r="DF29">
        <f>IF('Data Analysis'!544:544,"AAAAAH/zvm0=",0)</f>
        <v>0</v>
      </c>
      <c r="DG29">
        <f>IF('Data Analysis'!545:545,"AAAAAH/zvm4=",0)</f>
        <v>0</v>
      </c>
      <c r="DH29">
        <f>IF('Data Analysis'!546:546,"AAAAAH/zvm8=",0)</f>
        <v>0</v>
      </c>
      <c r="DI29">
        <f>IF('Data Analysis'!547:547,"AAAAAH/zvnA=",0)</f>
        <v>0</v>
      </c>
      <c r="DJ29">
        <f>IF('Data Analysis'!548:548,"AAAAAH/zvnE=",0)</f>
        <v>0</v>
      </c>
      <c r="DK29">
        <f>IF('Data Analysis'!549:549,"AAAAAH/zvnI=",0)</f>
        <v>0</v>
      </c>
      <c r="DL29">
        <f>IF('Data Analysis'!550:550,"AAAAAH/zvnM=",0)</f>
        <v>0</v>
      </c>
      <c r="DM29">
        <f>IF('Data Analysis'!551:551,"AAAAAH/zvnQ=",0)</f>
        <v>0</v>
      </c>
      <c r="DN29">
        <f>IF('Data Analysis'!552:552,"AAAAAH/zvnU=",0)</f>
        <v>0</v>
      </c>
      <c r="DO29">
        <f>IF('Data Analysis'!553:553,"AAAAAH/zvnY=",0)</f>
        <v>0</v>
      </c>
      <c r="DP29">
        <f>IF('Data Analysis'!554:554,"AAAAAH/zvnc=",0)</f>
        <v>0</v>
      </c>
      <c r="DQ29">
        <f>IF('Data Analysis'!555:555,"AAAAAH/zvng=",0)</f>
        <v>0</v>
      </c>
      <c r="DR29">
        <f>IF('Data Analysis'!556:556,"AAAAAH/zvnk=",0)</f>
        <v>0</v>
      </c>
      <c r="DS29">
        <f>IF('Data Analysis'!557:557,"AAAAAH/zvno=",0)</f>
        <v>0</v>
      </c>
      <c r="DT29">
        <f>IF('Data Analysis'!558:558,"AAAAAH/zvns=",0)</f>
        <v>0</v>
      </c>
      <c r="DU29">
        <f>IF('Data Analysis'!559:559,"AAAAAH/zvnw=",0)</f>
        <v>0</v>
      </c>
      <c r="DV29">
        <f>IF('Data Analysis'!560:560,"AAAAAH/zvn0=",0)</f>
        <v>0</v>
      </c>
      <c r="DW29">
        <f>IF('Data Analysis'!561:561,"AAAAAH/zvn4=",0)</f>
        <v>0</v>
      </c>
      <c r="DX29">
        <f>IF('Data Analysis'!562:562,"AAAAAH/zvn8=",0)</f>
        <v>0</v>
      </c>
      <c r="DY29">
        <f>IF('Data Analysis'!563:563,"AAAAAH/zvoA=",0)</f>
        <v>0</v>
      </c>
      <c r="DZ29">
        <f>IF('Data Analysis'!564:564,"AAAAAH/zvoE=",0)</f>
        <v>0</v>
      </c>
      <c r="EA29">
        <f>IF('Data Analysis'!565:565,"AAAAAH/zvoI=",0)</f>
        <v>0</v>
      </c>
      <c r="EB29">
        <f>IF('Data Analysis'!566:566,"AAAAAH/zvoM=",0)</f>
        <v>0</v>
      </c>
      <c r="EC29">
        <f>IF('Data Analysis'!567:567,"AAAAAH/zvoQ=",0)</f>
        <v>0</v>
      </c>
      <c r="ED29">
        <f>IF('Data Analysis'!568:568,"AAAAAH/zvoU=",0)</f>
        <v>0</v>
      </c>
      <c r="EE29">
        <f>IF('Data Analysis'!569:569,"AAAAAH/zvoY=",0)</f>
        <v>0</v>
      </c>
      <c r="EF29">
        <f>IF('Data Analysis'!570:570,"AAAAAH/zvoc=",0)</f>
        <v>0</v>
      </c>
      <c r="EG29">
        <f>IF('Data Analysis'!571:571,"AAAAAH/zvog=",0)</f>
        <v>0</v>
      </c>
      <c r="EH29">
        <f>IF('Data Analysis'!572:572,"AAAAAH/zvok=",0)</f>
        <v>0</v>
      </c>
      <c r="EI29">
        <f>IF('Data Analysis'!573:573,"AAAAAH/zvoo=",0)</f>
        <v>0</v>
      </c>
      <c r="EJ29">
        <f>IF('Data Analysis'!574:574,"AAAAAH/zvos=",0)</f>
        <v>0</v>
      </c>
      <c r="EK29">
        <f>IF('Data Analysis'!575:575,"AAAAAH/zvow=",0)</f>
        <v>0</v>
      </c>
      <c r="EL29">
        <f>IF('Data Analysis'!576:576,"AAAAAH/zvo0=",0)</f>
        <v>0</v>
      </c>
      <c r="EM29">
        <f>IF('Data Analysis'!577:577,"AAAAAH/zvo4=",0)</f>
        <v>0</v>
      </c>
      <c r="EN29">
        <f>IF('Data Analysis'!578:578,"AAAAAH/zvo8=",0)</f>
        <v>0</v>
      </c>
      <c r="EO29">
        <f>IF('Data Analysis'!579:579,"AAAAAH/zvpA=",0)</f>
        <v>0</v>
      </c>
      <c r="EP29">
        <f>IF('Data Analysis'!580:580,"AAAAAH/zvpE=",0)</f>
        <v>0</v>
      </c>
      <c r="EQ29">
        <f>IF('Data Analysis'!581:581,"AAAAAH/zvpI=",0)</f>
        <v>0</v>
      </c>
      <c r="ER29">
        <f>IF('Data Analysis'!582:582,"AAAAAH/zvpM=",0)</f>
        <v>0</v>
      </c>
      <c r="ES29">
        <f>IF('Data Analysis'!583:583,"AAAAAH/zvpQ=",0)</f>
        <v>0</v>
      </c>
      <c r="ET29">
        <f>IF('Data Analysis'!584:584,"AAAAAH/zvpU=",0)</f>
        <v>0</v>
      </c>
      <c r="EU29">
        <f>IF('Data Analysis'!585:585,"AAAAAH/zvpY=",0)</f>
        <v>0</v>
      </c>
      <c r="EV29">
        <f>IF('Data Analysis'!586:586,"AAAAAH/zvpc=",0)</f>
        <v>0</v>
      </c>
      <c r="EW29">
        <f>IF('Data Analysis'!587:587,"AAAAAH/zvpg=",0)</f>
        <v>0</v>
      </c>
      <c r="EX29">
        <f>IF('Data Analysis'!588:588,"AAAAAH/zvpk=",0)</f>
        <v>0</v>
      </c>
      <c r="EY29">
        <f>IF('Data Analysis'!589:589,"AAAAAH/zvpo=",0)</f>
        <v>0</v>
      </c>
      <c r="EZ29">
        <f>IF('Data Analysis'!590:590,"AAAAAH/zvps=",0)</f>
        <v>0</v>
      </c>
      <c r="FA29">
        <f>IF('Data Analysis'!591:591,"AAAAAH/zvpw=",0)</f>
        <v>0</v>
      </c>
      <c r="FB29">
        <f>IF('Data Analysis'!592:592,"AAAAAH/zvp0=",0)</f>
        <v>0</v>
      </c>
      <c r="FC29">
        <f>IF('Data Analysis'!593:593,"AAAAAH/zvp4=",0)</f>
        <v>0</v>
      </c>
      <c r="FD29">
        <f>IF('Data Analysis'!594:594,"AAAAAH/zvp8=",0)</f>
        <v>0</v>
      </c>
      <c r="FE29">
        <f>IF('Data Analysis'!595:595,"AAAAAH/zvqA=",0)</f>
        <v>0</v>
      </c>
      <c r="FF29">
        <f>IF('Data Analysis'!596:596,"AAAAAH/zvqE=",0)</f>
        <v>0</v>
      </c>
      <c r="FG29">
        <f>IF('Data Analysis'!597:597,"AAAAAH/zvqI=",0)</f>
        <v>0</v>
      </c>
      <c r="FH29">
        <f>IF('Data Analysis'!598:598,"AAAAAH/zvqM=",0)</f>
        <v>0</v>
      </c>
      <c r="FI29">
        <f>IF('Data Analysis'!599:599,"AAAAAH/zvqQ=",0)</f>
        <v>0</v>
      </c>
      <c r="FJ29">
        <f>IF('Data Analysis'!600:600,"AAAAAH/zvqU=",0)</f>
        <v>0</v>
      </c>
      <c r="FK29">
        <f>IF('Data Analysis'!601:601,"AAAAAH/zvqY=",0)</f>
        <v>0</v>
      </c>
      <c r="FL29">
        <f>IF('Data Analysis'!602:602,"AAAAAH/zvqc=",0)</f>
        <v>0</v>
      </c>
      <c r="FM29">
        <f>IF('Data Analysis'!603:603,"AAAAAH/zvqg=",0)</f>
        <v>0</v>
      </c>
      <c r="FN29">
        <f>IF('Data Analysis'!604:604,"AAAAAH/zvqk=",0)</f>
        <v>0</v>
      </c>
      <c r="FO29">
        <f>IF('Data Analysis'!605:605,"AAAAAH/zvqo=",0)</f>
        <v>0</v>
      </c>
      <c r="FP29">
        <f>IF('Data Analysis'!606:606,"AAAAAH/zvqs=",0)</f>
        <v>0</v>
      </c>
      <c r="FQ29">
        <f>IF('Data Analysis'!607:607,"AAAAAH/zvqw=",0)</f>
        <v>0</v>
      </c>
      <c r="FR29">
        <f>IF('Data Analysis'!608:608,"AAAAAH/zvq0=",0)</f>
        <v>0</v>
      </c>
      <c r="FS29">
        <f>IF('Data Analysis'!609:609,"AAAAAH/zvq4=",0)</f>
        <v>0</v>
      </c>
      <c r="FT29">
        <f>IF('Data Analysis'!610:610,"AAAAAH/zvq8=",0)</f>
        <v>0</v>
      </c>
      <c r="FU29">
        <f>IF('Data Analysis'!611:611,"AAAAAH/zvrA=",0)</f>
        <v>0</v>
      </c>
      <c r="FV29">
        <f>IF('Data Analysis'!612:612,"AAAAAH/zvrE=",0)</f>
        <v>0</v>
      </c>
      <c r="FW29">
        <f>IF('Data Analysis'!613:613,"AAAAAH/zvrI=",0)</f>
        <v>0</v>
      </c>
      <c r="FX29">
        <f>IF('Data Analysis'!614:614,"AAAAAH/zvrM=",0)</f>
        <v>0</v>
      </c>
      <c r="FY29">
        <f>IF('Data Analysis'!615:615,"AAAAAH/zvrQ=",0)</f>
        <v>0</v>
      </c>
      <c r="FZ29">
        <f>IF('Data Analysis'!616:616,"AAAAAH/zvrU=",0)</f>
        <v>0</v>
      </c>
      <c r="GA29">
        <f>IF('Data Analysis'!617:617,"AAAAAH/zvrY=",0)</f>
        <v>0</v>
      </c>
      <c r="GB29">
        <f>IF('Data Analysis'!618:618,"AAAAAH/zvrc=",0)</f>
        <v>0</v>
      </c>
      <c r="GC29">
        <f>IF('Data Analysis'!619:619,"AAAAAH/zvrg=",0)</f>
        <v>0</v>
      </c>
      <c r="GD29">
        <f>IF('Data Analysis'!620:620,"AAAAAH/zvrk=",0)</f>
        <v>0</v>
      </c>
      <c r="GE29">
        <f>IF('Data Analysis'!621:621,"AAAAAH/zvro=",0)</f>
        <v>0</v>
      </c>
      <c r="GF29">
        <f>IF('Data Analysis'!622:622,"AAAAAH/zvrs=",0)</f>
        <v>0</v>
      </c>
      <c r="GG29">
        <f>IF('Data Analysis'!623:623,"AAAAAH/zvrw=",0)</f>
        <v>0</v>
      </c>
      <c r="GH29">
        <f>IF('Data Analysis'!624:624,"AAAAAH/zvr0=",0)</f>
        <v>0</v>
      </c>
      <c r="GI29">
        <f>IF('Data Analysis'!625:625,"AAAAAH/zvr4=",0)</f>
        <v>0</v>
      </c>
      <c r="GJ29">
        <f>IF('Data Analysis'!626:626,"AAAAAH/zvr8=",0)</f>
        <v>0</v>
      </c>
      <c r="GK29">
        <f>IF('Data Analysis'!627:627,"AAAAAH/zvsA=",0)</f>
        <v>0</v>
      </c>
      <c r="GL29">
        <f>IF('Data Analysis'!628:628,"AAAAAH/zvsE=",0)</f>
        <v>0</v>
      </c>
      <c r="GM29">
        <f>IF('Data Analysis'!629:629,"AAAAAH/zvsI=",0)</f>
        <v>0</v>
      </c>
      <c r="GN29">
        <f>IF('Data Analysis'!630:630,"AAAAAH/zvsM=",0)</f>
        <v>0</v>
      </c>
      <c r="GO29">
        <f>IF('Data Analysis'!631:631,"AAAAAH/zvsQ=",0)</f>
        <v>0</v>
      </c>
      <c r="GP29">
        <f>IF('Data Analysis'!632:632,"AAAAAH/zvsU=",0)</f>
        <v>0</v>
      </c>
      <c r="GQ29">
        <f>IF('Data Analysis'!633:633,"AAAAAH/zvsY=",0)</f>
        <v>0</v>
      </c>
      <c r="GR29">
        <f>IF('Data Analysis'!634:634,"AAAAAH/zvsc=",0)</f>
        <v>0</v>
      </c>
      <c r="GS29">
        <f>IF('Data Analysis'!635:635,"AAAAAH/zvsg=",0)</f>
        <v>0</v>
      </c>
      <c r="GT29">
        <f>IF('Data Analysis'!636:636,"AAAAAH/zvsk=",0)</f>
        <v>0</v>
      </c>
      <c r="GU29">
        <f>IF('Data Analysis'!637:637,"AAAAAH/zvso=",0)</f>
        <v>0</v>
      </c>
      <c r="GV29">
        <f>IF('Data Analysis'!638:638,"AAAAAH/zvss=",0)</f>
        <v>0</v>
      </c>
      <c r="GW29">
        <f>IF('Data Analysis'!639:639,"AAAAAH/zvsw=",0)</f>
        <v>0</v>
      </c>
      <c r="GX29">
        <f>IF('Data Analysis'!640:640,"AAAAAH/zvs0=",0)</f>
        <v>0</v>
      </c>
      <c r="GY29">
        <f>IF('Data Analysis'!641:641,"AAAAAH/zvs4=",0)</f>
        <v>0</v>
      </c>
      <c r="GZ29">
        <f>IF('Data Analysis'!642:642,"AAAAAH/zvs8=",0)</f>
        <v>0</v>
      </c>
      <c r="HA29">
        <f>IF('Data Analysis'!643:643,"AAAAAH/zvtA=",0)</f>
        <v>0</v>
      </c>
      <c r="HB29">
        <f>IF('Data Analysis'!644:644,"AAAAAH/zvtE=",0)</f>
        <v>0</v>
      </c>
      <c r="HC29">
        <f>IF('Data Analysis'!645:645,"AAAAAH/zvtI=",0)</f>
        <v>0</v>
      </c>
      <c r="HD29">
        <f>IF('Data Analysis'!646:646,"AAAAAH/zvtM=",0)</f>
        <v>0</v>
      </c>
      <c r="HE29">
        <f>IF('Data Analysis'!647:647,"AAAAAH/zvtQ=",0)</f>
        <v>0</v>
      </c>
      <c r="HF29">
        <f>IF('Data Analysis'!648:648,"AAAAAH/zvtU=",0)</f>
        <v>0</v>
      </c>
      <c r="HG29">
        <f>IF('Data Analysis'!649:649,"AAAAAH/zvtY=",0)</f>
        <v>0</v>
      </c>
      <c r="HH29">
        <f>IF('Data Analysis'!650:650,"AAAAAH/zvtc=",0)</f>
        <v>0</v>
      </c>
      <c r="HI29">
        <f>IF('Data Analysis'!651:651,"AAAAAH/zvtg=",0)</f>
        <v>0</v>
      </c>
      <c r="HJ29">
        <f>IF('Data Analysis'!652:652,"AAAAAH/zvtk=",0)</f>
        <v>0</v>
      </c>
      <c r="HK29">
        <f>IF('Data Analysis'!653:653,"AAAAAH/zvto=",0)</f>
        <v>0</v>
      </c>
      <c r="HL29">
        <f>IF('Data Analysis'!654:654,"AAAAAH/zvts=",0)</f>
        <v>0</v>
      </c>
      <c r="HM29">
        <f>IF('Data Analysis'!655:655,"AAAAAH/zvtw=",0)</f>
        <v>0</v>
      </c>
      <c r="HN29">
        <f>IF('Data Analysis'!656:656,"AAAAAH/zvt0=",0)</f>
        <v>0</v>
      </c>
      <c r="HO29">
        <f>IF('Data Analysis'!657:657,"AAAAAH/zvt4=",0)</f>
        <v>0</v>
      </c>
      <c r="HP29">
        <f>IF('Data Analysis'!658:658,"AAAAAH/zvt8=",0)</f>
        <v>0</v>
      </c>
      <c r="HQ29">
        <f>IF('Data Analysis'!659:659,"AAAAAH/zvuA=",0)</f>
        <v>0</v>
      </c>
      <c r="HR29">
        <f>IF('Data Analysis'!660:660,"AAAAAH/zvuE=",0)</f>
        <v>0</v>
      </c>
      <c r="HS29">
        <f>IF('Data Analysis'!661:661,"AAAAAH/zvuI=",0)</f>
        <v>0</v>
      </c>
      <c r="HT29">
        <f>IF('Data Analysis'!662:662,"AAAAAH/zvuM=",0)</f>
        <v>0</v>
      </c>
      <c r="HU29">
        <f>IF('Data Analysis'!663:663,"AAAAAH/zvuQ=",0)</f>
        <v>0</v>
      </c>
      <c r="HV29">
        <f>IF('Data Analysis'!664:664,"AAAAAH/zvuU=",0)</f>
        <v>0</v>
      </c>
      <c r="HW29">
        <f>IF('Data Analysis'!665:665,"AAAAAH/zvuY=",0)</f>
        <v>0</v>
      </c>
      <c r="HX29">
        <f>IF('Data Analysis'!666:666,"AAAAAH/zvuc=",0)</f>
        <v>0</v>
      </c>
      <c r="HY29">
        <f>IF('Data Analysis'!667:667,"AAAAAH/zvug=",0)</f>
        <v>0</v>
      </c>
      <c r="HZ29">
        <f>IF('Data Analysis'!668:668,"AAAAAH/zvuk=",0)</f>
        <v>0</v>
      </c>
      <c r="IA29">
        <f>IF('Data Analysis'!669:669,"AAAAAH/zvuo=",0)</f>
        <v>0</v>
      </c>
      <c r="IB29">
        <f>IF('Data Analysis'!670:670,"AAAAAH/zvus=",0)</f>
        <v>0</v>
      </c>
      <c r="IC29">
        <f>IF('Data Analysis'!671:671,"AAAAAH/zvuw=",0)</f>
        <v>0</v>
      </c>
      <c r="ID29">
        <f>IF('Data Analysis'!672:672,"AAAAAH/zvu0=",0)</f>
        <v>0</v>
      </c>
      <c r="IE29">
        <f>IF('Data Analysis'!673:673,"AAAAAH/zvu4=",0)</f>
        <v>0</v>
      </c>
      <c r="IF29">
        <f>IF('Data Analysis'!674:674,"AAAAAH/zvu8=",0)</f>
        <v>0</v>
      </c>
      <c r="IG29">
        <f>IF('Data Analysis'!675:675,"AAAAAH/zvvA=",0)</f>
        <v>0</v>
      </c>
      <c r="IH29">
        <f>IF('Data Analysis'!676:676,"AAAAAH/zvvE=",0)</f>
        <v>0</v>
      </c>
      <c r="II29">
        <f>IF('Data Analysis'!677:677,"AAAAAH/zvvI=",0)</f>
        <v>0</v>
      </c>
      <c r="IJ29">
        <f>IF('Data Analysis'!678:678,"AAAAAH/zvvM=",0)</f>
        <v>0</v>
      </c>
      <c r="IK29">
        <f>IF('Data Analysis'!679:679,"AAAAAH/zvvQ=",0)</f>
        <v>0</v>
      </c>
      <c r="IL29">
        <f>IF('Data Analysis'!680:680,"AAAAAH/zvvU=",0)</f>
        <v>0</v>
      </c>
      <c r="IM29">
        <f>IF('Data Analysis'!681:681,"AAAAAH/zvvY=",0)</f>
        <v>0</v>
      </c>
      <c r="IN29">
        <f>IF('Data Analysis'!682:682,"AAAAAH/zvvc=",0)</f>
        <v>0</v>
      </c>
      <c r="IO29">
        <f>IF('Data Analysis'!683:683,"AAAAAH/zvvg=",0)</f>
        <v>0</v>
      </c>
      <c r="IP29">
        <f>IF('Data Analysis'!684:684,"AAAAAH/zvvk=",0)</f>
        <v>0</v>
      </c>
      <c r="IQ29">
        <f>IF('Data Analysis'!685:685,"AAAAAH/zvvo=",0)</f>
        <v>0</v>
      </c>
      <c r="IR29">
        <f>IF('Data Analysis'!686:686,"AAAAAH/zvvs=",0)</f>
        <v>0</v>
      </c>
      <c r="IS29">
        <f>IF('Data Analysis'!687:687,"AAAAAH/zvvw=",0)</f>
        <v>0</v>
      </c>
      <c r="IT29">
        <f>IF('Data Analysis'!688:688,"AAAAAH/zvv0=",0)</f>
        <v>0</v>
      </c>
      <c r="IU29">
        <f>IF('Data Analysis'!689:689,"AAAAAH/zvv4=",0)</f>
        <v>0</v>
      </c>
      <c r="IV29">
        <f>IF('Data Analysis'!690:690,"AAAAAH/zvv8=",0)</f>
        <v>0</v>
      </c>
    </row>
    <row r="30" spans="1:256" x14ac:dyDescent="0.2">
      <c r="A30">
        <f>IF('Data Analysis'!691:691,"AAAAAF/fTwA=",0)</f>
        <v>0</v>
      </c>
      <c r="B30">
        <f>IF('Data Analysis'!692:692,"AAAAAF/fTwE=",0)</f>
        <v>0</v>
      </c>
      <c r="C30">
        <f>IF('Data Analysis'!693:693,"AAAAAF/fTwI=",0)</f>
        <v>0</v>
      </c>
      <c r="D30">
        <f>IF('Data Analysis'!694:694,"AAAAAF/fTwM=",0)</f>
        <v>0</v>
      </c>
      <c r="E30">
        <f>IF('Data Analysis'!695:695,"AAAAAF/fTwQ=",0)</f>
        <v>0</v>
      </c>
      <c r="F30">
        <f>IF('Data Analysis'!696:696,"AAAAAF/fTwU=",0)</f>
        <v>0</v>
      </c>
      <c r="G30">
        <f>IF('Data Analysis'!697:697,"AAAAAF/fTwY=",0)</f>
        <v>0</v>
      </c>
      <c r="H30">
        <f>IF('Data Analysis'!698:698,"AAAAAF/fTwc=",0)</f>
        <v>0</v>
      </c>
      <c r="I30">
        <f>IF('Data Analysis'!699:699,"AAAAAF/fTwg=",0)</f>
        <v>0</v>
      </c>
      <c r="J30">
        <f>IF('Data Analysis'!700:700,"AAAAAF/fTwk=",0)</f>
        <v>0</v>
      </c>
      <c r="K30">
        <f>IF('Data Analysis'!701:701,"AAAAAF/fTwo=",0)</f>
        <v>0</v>
      </c>
      <c r="L30">
        <f>IF('Data Analysis'!702:702,"AAAAAF/fTws=",0)</f>
        <v>0</v>
      </c>
      <c r="M30">
        <f>IF('Data Analysis'!703:703,"AAAAAF/fTww=",0)</f>
        <v>0</v>
      </c>
      <c r="N30">
        <f>IF('Data Analysis'!704:704,"AAAAAF/fTw0=",0)</f>
        <v>0</v>
      </c>
      <c r="O30">
        <f>IF('Data Analysis'!705:705,"AAAAAF/fTw4=",0)</f>
        <v>0</v>
      </c>
      <c r="P30">
        <f>IF('Data Analysis'!706:706,"AAAAAF/fTw8=",0)</f>
        <v>0</v>
      </c>
      <c r="Q30">
        <f>IF('Data Analysis'!707:707,"AAAAAF/fTxA=",0)</f>
        <v>0</v>
      </c>
      <c r="R30">
        <f>IF('Data Analysis'!708:708,"AAAAAF/fTxE=",0)</f>
        <v>0</v>
      </c>
      <c r="S30">
        <f>IF('Data Analysis'!709:709,"AAAAAF/fTxI=",0)</f>
        <v>0</v>
      </c>
      <c r="T30">
        <f>IF('Data Analysis'!710:710,"AAAAAF/fTxM=",0)</f>
        <v>0</v>
      </c>
      <c r="U30">
        <f>IF('Data Analysis'!711:711,"AAAAAF/fTxQ=",0)</f>
        <v>0</v>
      </c>
      <c r="V30">
        <f>IF('Data Analysis'!712:712,"AAAAAF/fTxU=",0)</f>
        <v>0</v>
      </c>
      <c r="W30">
        <f>IF('Data Analysis'!713:713,"AAAAAF/fTxY=",0)</f>
        <v>0</v>
      </c>
      <c r="X30">
        <f>IF('Data Analysis'!714:714,"AAAAAF/fTxc=",0)</f>
        <v>0</v>
      </c>
      <c r="Y30">
        <f>IF('Data Analysis'!715:715,"AAAAAF/fTxg=",0)</f>
        <v>0</v>
      </c>
      <c r="Z30">
        <f>IF('Data Analysis'!716:716,"AAAAAF/fTxk=",0)</f>
        <v>0</v>
      </c>
      <c r="AA30">
        <f>IF('Data Analysis'!717:717,"AAAAAF/fTxo=",0)</f>
        <v>0</v>
      </c>
      <c r="AB30">
        <f>IF('Data Analysis'!718:718,"AAAAAF/fTxs=",0)</f>
        <v>0</v>
      </c>
      <c r="AC30">
        <f>IF('Data Analysis'!719:719,"AAAAAF/fTxw=",0)</f>
        <v>0</v>
      </c>
      <c r="AD30">
        <f>IF('Data Analysis'!720:720,"AAAAAF/fTx0=",0)</f>
        <v>0</v>
      </c>
      <c r="AE30">
        <f>IF('Data Analysis'!721:721,"AAAAAF/fTx4=",0)</f>
        <v>0</v>
      </c>
      <c r="AF30">
        <f>IF('Data Analysis'!722:722,"AAAAAF/fTx8=",0)</f>
        <v>0</v>
      </c>
      <c r="AG30">
        <f>IF('Data Analysis'!723:723,"AAAAAF/fTyA=",0)</f>
        <v>0</v>
      </c>
      <c r="AH30">
        <f>IF('Data Analysis'!724:724,"AAAAAF/fTyE=",0)</f>
        <v>0</v>
      </c>
      <c r="AI30">
        <f>IF('Data Analysis'!725:725,"AAAAAF/fTyI=",0)</f>
        <v>0</v>
      </c>
      <c r="AJ30">
        <f>IF('Data Analysis'!726:726,"AAAAAF/fTyM=",0)</f>
        <v>0</v>
      </c>
      <c r="AK30">
        <f>IF('Data Analysis'!727:727,"AAAAAF/fTyQ=",0)</f>
        <v>0</v>
      </c>
      <c r="AL30">
        <f>IF('Data Analysis'!728:728,"AAAAAF/fTyU=",0)</f>
        <v>0</v>
      </c>
      <c r="AM30">
        <f>IF('Data Analysis'!729:729,"AAAAAF/fTyY=",0)</f>
        <v>0</v>
      </c>
      <c r="AN30">
        <f>IF('Data Analysis'!730:730,"AAAAAF/fTyc=",0)</f>
        <v>0</v>
      </c>
      <c r="AO30">
        <f>IF('Data Analysis'!731:731,"AAAAAF/fTyg=",0)</f>
        <v>0</v>
      </c>
      <c r="AP30">
        <f>IF('Data Analysis'!732:732,"AAAAAF/fTyk=",0)</f>
        <v>0</v>
      </c>
      <c r="AQ30">
        <f>IF('Data Analysis'!733:733,"AAAAAF/fTyo=",0)</f>
        <v>0</v>
      </c>
      <c r="AR30">
        <f>IF('Data Analysis'!734:734,"AAAAAF/fTys=",0)</f>
        <v>0</v>
      </c>
      <c r="AS30">
        <f>IF('Data Analysis'!735:735,"AAAAAF/fTyw=",0)</f>
        <v>0</v>
      </c>
      <c r="AT30">
        <f>IF('Data Analysis'!736:736,"AAAAAF/fTy0=",0)</f>
        <v>0</v>
      </c>
      <c r="AU30">
        <f>IF('Data Analysis'!737:737,"AAAAAF/fTy4=",0)</f>
        <v>0</v>
      </c>
      <c r="AV30">
        <f>IF('Data Analysis'!738:738,"AAAAAF/fTy8=",0)</f>
        <v>0</v>
      </c>
      <c r="AW30">
        <f>IF('Data Analysis'!739:739,"AAAAAF/fTzA=",0)</f>
        <v>0</v>
      </c>
      <c r="AX30">
        <f>IF('Data Analysis'!740:740,"AAAAAF/fTzE=",0)</f>
        <v>0</v>
      </c>
      <c r="AY30">
        <f>IF('Data Analysis'!741:741,"AAAAAF/fTzI=",0)</f>
        <v>0</v>
      </c>
      <c r="AZ30">
        <f>IF('Data Analysis'!742:742,"AAAAAF/fTzM=",0)</f>
        <v>0</v>
      </c>
      <c r="BA30">
        <f>IF('Data Analysis'!743:743,"AAAAAF/fTzQ=",0)</f>
        <v>0</v>
      </c>
      <c r="BB30">
        <f>IF('Data Analysis'!744:744,"AAAAAF/fTzU=",0)</f>
        <v>0</v>
      </c>
      <c r="BC30">
        <f>IF('Data Analysis'!745:745,"AAAAAF/fTzY=",0)</f>
        <v>0</v>
      </c>
      <c r="BD30">
        <f>IF('Data Analysis'!746:746,"AAAAAF/fTzc=",0)</f>
        <v>0</v>
      </c>
      <c r="BE30">
        <f>IF('Data Analysis'!747:747,"AAAAAF/fTzg=",0)</f>
        <v>0</v>
      </c>
      <c r="BF30">
        <f>IF('Data Analysis'!748:748,"AAAAAF/fTzk=",0)</f>
        <v>0</v>
      </c>
      <c r="BG30">
        <f>IF('Data Analysis'!749:749,"AAAAAF/fTzo=",0)</f>
        <v>0</v>
      </c>
      <c r="BH30">
        <f>IF('Data Analysis'!750:750,"AAAAAF/fTzs=",0)</f>
        <v>0</v>
      </c>
      <c r="BI30">
        <f>IF('Data Analysis'!751:751,"AAAAAF/fTzw=",0)</f>
        <v>0</v>
      </c>
      <c r="BJ30">
        <f>IF('Data Analysis'!752:752,"AAAAAF/fTz0=",0)</f>
        <v>0</v>
      </c>
      <c r="BK30">
        <f>IF('Data Analysis'!753:753,"AAAAAF/fTz4=",0)</f>
        <v>0</v>
      </c>
      <c r="BL30">
        <f>IF('Data Analysis'!754:754,"AAAAAF/fTz8=",0)</f>
        <v>0</v>
      </c>
      <c r="BM30">
        <f>IF('Data Analysis'!755:755,"AAAAAF/fT0A=",0)</f>
        <v>0</v>
      </c>
      <c r="BN30">
        <f>IF('Data Analysis'!756:756,"AAAAAF/fT0E=",0)</f>
        <v>0</v>
      </c>
      <c r="BO30">
        <f>IF('Data Analysis'!757:757,"AAAAAF/fT0I=",0)</f>
        <v>0</v>
      </c>
      <c r="BP30">
        <f>IF('Data Analysis'!758:758,"AAAAAF/fT0M=",0)</f>
        <v>0</v>
      </c>
      <c r="BQ30">
        <f>IF('Data Analysis'!759:759,"AAAAAF/fT0Q=",0)</f>
        <v>0</v>
      </c>
      <c r="BR30">
        <f>IF('Data Analysis'!760:760,"AAAAAF/fT0U=",0)</f>
        <v>0</v>
      </c>
      <c r="BS30">
        <f>IF('Data Analysis'!761:761,"AAAAAF/fT0Y=",0)</f>
        <v>0</v>
      </c>
      <c r="BT30">
        <f>IF('Data Analysis'!762:762,"AAAAAF/fT0c=",0)</f>
        <v>0</v>
      </c>
      <c r="BU30">
        <f>IF('Data Analysis'!763:763,"AAAAAF/fT0g=",0)</f>
        <v>0</v>
      </c>
      <c r="BV30">
        <f>IF('Data Analysis'!764:764,"AAAAAF/fT0k=",0)</f>
        <v>0</v>
      </c>
      <c r="BW30">
        <f>IF('Data Analysis'!765:765,"AAAAAF/fT0o=",0)</f>
        <v>0</v>
      </c>
      <c r="BX30">
        <f>IF('Data Analysis'!766:766,"AAAAAF/fT0s=",0)</f>
        <v>0</v>
      </c>
      <c r="BY30">
        <f>IF('Data Analysis'!767:767,"AAAAAF/fT0w=",0)</f>
        <v>0</v>
      </c>
      <c r="BZ30">
        <f>IF('Data Analysis'!768:768,"AAAAAF/fT00=",0)</f>
        <v>0</v>
      </c>
      <c r="CA30">
        <f>IF('Data Analysis'!769:769,"AAAAAF/fT04=",0)</f>
        <v>0</v>
      </c>
      <c r="CB30">
        <f>IF('Data Analysis'!770:770,"AAAAAF/fT08=",0)</f>
        <v>0</v>
      </c>
      <c r="CC30">
        <f>IF('Data Analysis'!771:771,"AAAAAF/fT1A=",0)</f>
        <v>0</v>
      </c>
      <c r="CD30">
        <f>IF('Data Analysis'!772:772,"AAAAAF/fT1E=",0)</f>
        <v>0</v>
      </c>
      <c r="CE30">
        <f>IF('Data Analysis'!773:773,"AAAAAF/fT1I=",0)</f>
        <v>0</v>
      </c>
      <c r="CF30">
        <f>IF('Data Analysis'!774:774,"AAAAAF/fT1M=",0)</f>
        <v>0</v>
      </c>
      <c r="CG30">
        <f>IF('Data Analysis'!775:775,"AAAAAF/fT1Q=",0)</f>
        <v>0</v>
      </c>
      <c r="CH30">
        <f>IF('Data Analysis'!776:776,"AAAAAF/fT1U=",0)</f>
        <v>0</v>
      </c>
      <c r="CI30">
        <f>IF('Data Analysis'!777:777,"AAAAAF/fT1Y=",0)</f>
        <v>0</v>
      </c>
      <c r="CJ30">
        <f>IF('Data Analysis'!778:778,"AAAAAF/fT1c=",0)</f>
        <v>0</v>
      </c>
      <c r="CK30">
        <f>IF('Data Analysis'!779:779,"AAAAAF/fT1g=",0)</f>
        <v>0</v>
      </c>
      <c r="CL30">
        <f>IF('Data Analysis'!780:780,"AAAAAF/fT1k=",0)</f>
        <v>0</v>
      </c>
      <c r="CM30">
        <f>IF('Data Analysis'!781:781,"AAAAAF/fT1o=",0)</f>
        <v>0</v>
      </c>
      <c r="CN30">
        <f>IF('Data Analysis'!782:782,"AAAAAF/fT1s=",0)</f>
        <v>0</v>
      </c>
      <c r="CO30">
        <f>IF('Data Analysis'!783:783,"AAAAAF/fT1w=",0)</f>
        <v>0</v>
      </c>
      <c r="CP30">
        <f>IF('Data Analysis'!784:784,"AAAAAF/fT10=",0)</f>
        <v>0</v>
      </c>
      <c r="CQ30">
        <f>IF('Data Analysis'!785:785,"AAAAAF/fT14=",0)</f>
        <v>0</v>
      </c>
      <c r="CR30">
        <f>IF('Data Analysis'!786:786,"AAAAAF/fT18=",0)</f>
        <v>0</v>
      </c>
      <c r="CS30">
        <f>IF('Data Analysis'!787:787,"AAAAAF/fT2A=",0)</f>
        <v>0</v>
      </c>
      <c r="CT30">
        <f>IF('Data Analysis'!788:788,"AAAAAF/fT2E=",0)</f>
        <v>0</v>
      </c>
      <c r="CU30">
        <f>IF('Data Analysis'!789:789,"AAAAAF/fT2I=",0)</f>
        <v>0</v>
      </c>
      <c r="CV30">
        <f>IF('Data Analysis'!790:790,"AAAAAF/fT2M=",0)</f>
        <v>0</v>
      </c>
      <c r="CW30">
        <f>IF('Data Analysis'!791:791,"AAAAAF/fT2Q=",0)</f>
        <v>0</v>
      </c>
      <c r="CX30">
        <f>IF('Data Analysis'!792:792,"AAAAAF/fT2U=",0)</f>
        <v>0</v>
      </c>
      <c r="CY30">
        <f>IF('Data Analysis'!793:793,"AAAAAF/fT2Y=",0)</f>
        <v>0</v>
      </c>
      <c r="CZ30">
        <f>IF('Data Analysis'!794:794,"AAAAAF/fT2c=",0)</f>
        <v>0</v>
      </c>
      <c r="DA30">
        <f>IF('Data Analysis'!795:795,"AAAAAF/fT2g=",0)</f>
        <v>0</v>
      </c>
      <c r="DB30">
        <f>IF('Data Analysis'!796:796,"AAAAAF/fT2k=",0)</f>
        <v>0</v>
      </c>
      <c r="DC30">
        <f>IF('Data Analysis'!797:797,"AAAAAF/fT2o=",0)</f>
        <v>0</v>
      </c>
      <c r="DD30">
        <f>IF('Data Analysis'!798:798,"AAAAAF/fT2s=",0)</f>
        <v>0</v>
      </c>
      <c r="DE30">
        <f>IF('Data Analysis'!799:799,"AAAAAF/fT2w=",0)</f>
        <v>0</v>
      </c>
      <c r="DF30">
        <f>IF('Data Analysis'!800:800,"AAAAAF/fT20=",0)</f>
        <v>0</v>
      </c>
      <c r="DG30">
        <f>IF('Data Analysis'!801:801,"AAAAAF/fT24=",0)</f>
        <v>0</v>
      </c>
      <c r="DH30">
        <f>IF('Data Analysis'!802:802,"AAAAAF/fT28=",0)</f>
        <v>0</v>
      </c>
      <c r="DI30">
        <f>IF('Data Analysis'!803:803,"AAAAAF/fT3A=",0)</f>
        <v>0</v>
      </c>
      <c r="DJ30">
        <f>IF('Data Analysis'!804:804,"AAAAAF/fT3E=",0)</f>
        <v>0</v>
      </c>
      <c r="DK30">
        <f>IF('Data Analysis'!805:805,"AAAAAF/fT3I=",0)</f>
        <v>0</v>
      </c>
      <c r="DL30">
        <f>IF('Data Analysis'!806:806,"AAAAAF/fT3M=",0)</f>
        <v>0</v>
      </c>
      <c r="DM30">
        <f>IF('Data Analysis'!807:807,"AAAAAF/fT3Q=",0)</f>
        <v>0</v>
      </c>
      <c r="DN30">
        <f>IF('Data Analysis'!808:808,"AAAAAF/fT3U=",0)</f>
        <v>0</v>
      </c>
      <c r="DO30">
        <f>IF('Data Analysis'!809:809,"AAAAAF/fT3Y=",0)</f>
        <v>0</v>
      </c>
      <c r="DP30">
        <f>IF('Data Analysis'!810:810,"AAAAAF/fT3c=",0)</f>
        <v>0</v>
      </c>
      <c r="DQ30">
        <f>IF('Data Analysis'!811:811,"AAAAAF/fT3g=",0)</f>
        <v>0</v>
      </c>
      <c r="DR30">
        <f>IF('Data Analysis'!812:812,"AAAAAF/fT3k=",0)</f>
        <v>0</v>
      </c>
      <c r="DS30">
        <f>IF('Data Analysis'!813:813,"AAAAAF/fT3o=",0)</f>
        <v>0</v>
      </c>
      <c r="DT30">
        <f>IF('Data Analysis'!814:814,"AAAAAF/fT3s=",0)</f>
        <v>0</v>
      </c>
      <c r="DU30">
        <f>IF('Data Analysis'!815:815,"AAAAAF/fT3w=",0)</f>
        <v>0</v>
      </c>
      <c r="DV30">
        <f>IF('Data Analysis'!816:816,"AAAAAF/fT30=",0)</f>
        <v>0</v>
      </c>
      <c r="DW30">
        <f>IF('Data Analysis'!817:817,"AAAAAF/fT34=",0)</f>
        <v>0</v>
      </c>
      <c r="DX30">
        <f>IF('Data Analysis'!818:818,"AAAAAF/fT38=",0)</f>
        <v>0</v>
      </c>
      <c r="DY30">
        <f>IF('Data Analysis'!819:819,"AAAAAF/fT4A=",0)</f>
        <v>0</v>
      </c>
      <c r="DZ30">
        <f>IF('Data Analysis'!820:820,"AAAAAF/fT4E=",0)</f>
        <v>0</v>
      </c>
      <c r="EA30">
        <f>IF('Data Analysis'!821:821,"AAAAAF/fT4I=",0)</f>
        <v>0</v>
      </c>
      <c r="EB30">
        <f>IF('Data Analysis'!822:822,"AAAAAF/fT4M=",0)</f>
        <v>0</v>
      </c>
      <c r="EC30">
        <f>IF('Data Analysis'!823:823,"AAAAAF/fT4Q=",0)</f>
        <v>0</v>
      </c>
      <c r="ED30">
        <f>IF('Data Analysis'!824:824,"AAAAAF/fT4U=",0)</f>
        <v>0</v>
      </c>
      <c r="EE30">
        <f>IF('Data Analysis'!825:825,"AAAAAF/fT4Y=",0)</f>
        <v>0</v>
      </c>
      <c r="EF30">
        <f>IF('Data Analysis'!826:826,"AAAAAF/fT4c=",0)</f>
        <v>0</v>
      </c>
      <c r="EG30">
        <f>IF('Data Analysis'!827:827,"AAAAAF/fT4g=",0)</f>
        <v>0</v>
      </c>
      <c r="EH30">
        <f>IF('Data Analysis'!828:828,"AAAAAF/fT4k=",0)</f>
        <v>0</v>
      </c>
      <c r="EI30">
        <f>IF('Data Analysis'!829:829,"AAAAAF/fT4o=",0)</f>
        <v>0</v>
      </c>
      <c r="EJ30">
        <f>IF('Data Analysis'!830:830,"AAAAAF/fT4s=",0)</f>
        <v>0</v>
      </c>
      <c r="EK30">
        <f>IF('Data Analysis'!831:831,"AAAAAF/fT4w=",0)</f>
        <v>0</v>
      </c>
      <c r="EL30">
        <f>IF('Data Analysis'!832:832,"AAAAAF/fT40=",0)</f>
        <v>0</v>
      </c>
      <c r="EM30">
        <f>IF('Data Analysis'!833:833,"AAAAAF/fT44=",0)</f>
        <v>0</v>
      </c>
      <c r="EN30">
        <f>IF('Data Analysis'!834:834,"AAAAAF/fT48=",0)</f>
        <v>0</v>
      </c>
      <c r="EO30">
        <f>IF('Data Analysis'!835:835,"AAAAAF/fT5A=",0)</f>
        <v>0</v>
      </c>
      <c r="EP30">
        <f>IF('Data Analysis'!836:836,"AAAAAF/fT5E=",0)</f>
        <v>0</v>
      </c>
      <c r="EQ30">
        <f>IF('Data Analysis'!837:837,"AAAAAF/fT5I=",0)</f>
        <v>0</v>
      </c>
      <c r="ER30">
        <f>IF('Data Analysis'!838:838,"AAAAAF/fT5M=",0)</f>
        <v>0</v>
      </c>
      <c r="ES30">
        <f>IF('Data Analysis'!839:839,"AAAAAF/fT5Q=",0)</f>
        <v>0</v>
      </c>
      <c r="ET30">
        <f>IF('Data Analysis'!840:840,"AAAAAF/fT5U=",0)</f>
        <v>0</v>
      </c>
      <c r="EU30">
        <f>IF('Data Analysis'!841:841,"AAAAAF/fT5Y=",0)</f>
        <v>0</v>
      </c>
      <c r="EV30">
        <f>IF('Data Analysis'!842:842,"AAAAAF/fT5c=",0)</f>
        <v>0</v>
      </c>
      <c r="EW30">
        <f>IF('Data Analysis'!843:843,"AAAAAF/fT5g=",0)</f>
        <v>0</v>
      </c>
      <c r="EX30">
        <f>IF('Data Analysis'!844:844,"AAAAAF/fT5k=",0)</f>
        <v>0</v>
      </c>
      <c r="EY30">
        <f>IF('Data Analysis'!845:845,"AAAAAF/fT5o=",0)</f>
        <v>0</v>
      </c>
      <c r="EZ30">
        <f>IF('Data Analysis'!846:846,"AAAAAF/fT5s=",0)</f>
        <v>0</v>
      </c>
      <c r="FA30">
        <f>IF('Data Analysis'!847:847,"AAAAAF/fT5w=",0)</f>
        <v>0</v>
      </c>
      <c r="FB30">
        <f>IF('Data Analysis'!848:848,"AAAAAF/fT50=",0)</f>
        <v>0</v>
      </c>
      <c r="FC30">
        <f>IF('Data Analysis'!849:849,"AAAAAF/fT54=",0)</f>
        <v>0</v>
      </c>
      <c r="FD30">
        <f>IF('Data Analysis'!850:850,"AAAAAF/fT58=",0)</f>
        <v>0</v>
      </c>
      <c r="FE30">
        <f>IF('Data Analysis'!851:851,"AAAAAF/fT6A=",0)</f>
        <v>0</v>
      </c>
      <c r="FF30">
        <f>IF('Data Analysis'!852:852,"AAAAAF/fT6E=",0)</f>
        <v>0</v>
      </c>
      <c r="FG30">
        <f>IF('Data Analysis'!853:853,"AAAAAF/fT6I=",0)</f>
        <v>0</v>
      </c>
      <c r="FH30">
        <f>IF('Data Analysis'!854:854,"AAAAAF/fT6M=",0)</f>
        <v>0</v>
      </c>
      <c r="FI30">
        <f>IF('Data Analysis'!855:855,"AAAAAF/fT6Q=",0)</f>
        <v>0</v>
      </c>
      <c r="FJ30">
        <f>IF('Data Analysis'!856:856,"AAAAAF/fT6U=",0)</f>
        <v>0</v>
      </c>
      <c r="FK30">
        <f>IF('Data Analysis'!857:857,"AAAAAF/fT6Y=",0)</f>
        <v>0</v>
      </c>
      <c r="FL30">
        <f>IF('Data Analysis'!858:858,"AAAAAF/fT6c=",0)</f>
        <v>0</v>
      </c>
      <c r="FM30">
        <f>IF('Data Analysis'!859:859,"AAAAAF/fT6g=",0)</f>
        <v>0</v>
      </c>
      <c r="FN30">
        <f>IF('Data Analysis'!860:860,"AAAAAF/fT6k=",0)</f>
        <v>0</v>
      </c>
      <c r="FO30">
        <f>IF('Data Analysis'!861:861,"AAAAAF/fT6o=",0)</f>
        <v>0</v>
      </c>
      <c r="FP30">
        <f>IF('Data Analysis'!862:862,"AAAAAF/fT6s=",0)</f>
        <v>0</v>
      </c>
      <c r="FQ30">
        <f>IF('Data Analysis'!863:863,"AAAAAF/fT6w=",0)</f>
        <v>0</v>
      </c>
      <c r="FR30">
        <f>IF('Data Analysis'!864:864,"AAAAAF/fT60=",0)</f>
        <v>0</v>
      </c>
      <c r="FS30">
        <f>IF('Data Analysis'!865:865,"AAAAAF/fT64=",0)</f>
        <v>0</v>
      </c>
      <c r="FT30">
        <f>IF('Data Analysis'!866:866,"AAAAAF/fT68=",0)</f>
        <v>0</v>
      </c>
      <c r="FU30">
        <f>IF('Data Analysis'!867:867,"AAAAAF/fT7A=",0)</f>
        <v>0</v>
      </c>
      <c r="FV30">
        <f>IF('Data Analysis'!868:868,"AAAAAF/fT7E=",0)</f>
        <v>0</v>
      </c>
      <c r="FW30">
        <f>IF('Data Analysis'!869:869,"AAAAAF/fT7I=",0)</f>
        <v>0</v>
      </c>
      <c r="FX30">
        <f>IF('Data Analysis'!870:870,"AAAAAF/fT7M=",0)</f>
        <v>0</v>
      </c>
      <c r="FY30">
        <f>IF('Data Analysis'!871:871,"AAAAAF/fT7Q=",0)</f>
        <v>0</v>
      </c>
      <c r="FZ30">
        <f>IF('Data Analysis'!872:872,"AAAAAF/fT7U=",0)</f>
        <v>0</v>
      </c>
      <c r="GA30">
        <f>IF('Data Analysis'!873:873,"AAAAAF/fT7Y=",0)</f>
        <v>0</v>
      </c>
      <c r="GB30">
        <f>IF('Data Analysis'!874:874,"AAAAAF/fT7c=",0)</f>
        <v>0</v>
      </c>
      <c r="GC30">
        <f>IF('Data Analysis'!875:875,"AAAAAF/fT7g=",0)</f>
        <v>0</v>
      </c>
      <c r="GD30">
        <f>IF('Data Analysis'!876:876,"AAAAAF/fT7k=",0)</f>
        <v>0</v>
      </c>
      <c r="GE30">
        <f>IF('Data Analysis'!877:877,"AAAAAF/fT7o=",0)</f>
        <v>0</v>
      </c>
      <c r="GF30">
        <f>IF('Data Analysis'!878:878,"AAAAAF/fT7s=",0)</f>
        <v>0</v>
      </c>
      <c r="GG30">
        <f>IF('Data Analysis'!879:879,"AAAAAF/fT7w=",0)</f>
        <v>0</v>
      </c>
      <c r="GH30">
        <f>IF('Data Analysis'!880:880,"AAAAAF/fT70=",0)</f>
        <v>0</v>
      </c>
      <c r="GI30">
        <f>IF('Data Analysis'!881:881,"AAAAAF/fT74=",0)</f>
        <v>0</v>
      </c>
      <c r="GJ30">
        <f>IF('Data Analysis'!882:882,"AAAAAF/fT78=",0)</f>
        <v>0</v>
      </c>
      <c r="GK30">
        <f>IF('Data Analysis'!883:883,"AAAAAF/fT8A=",0)</f>
        <v>0</v>
      </c>
      <c r="GL30">
        <f>IF('Data Analysis'!884:884,"AAAAAF/fT8E=",0)</f>
        <v>0</v>
      </c>
      <c r="GM30">
        <f>IF('Data Analysis'!885:885,"AAAAAF/fT8I=",0)</f>
        <v>0</v>
      </c>
      <c r="GN30">
        <f>IF('Data Analysis'!886:886,"AAAAAF/fT8M=",0)</f>
        <v>0</v>
      </c>
      <c r="GO30">
        <f>IF('Data Analysis'!887:887,"AAAAAF/fT8Q=",0)</f>
        <v>0</v>
      </c>
      <c r="GP30">
        <f>IF('Data Analysis'!888:888,"AAAAAF/fT8U=",0)</f>
        <v>0</v>
      </c>
      <c r="GQ30">
        <f>IF('Data Analysis'!889:889,"AAAAAF/fT8Y=",0)</f>
        <v>0</v>
      </c>
      <c r="GR30">
        <f>IF('Data Analysis'!890:890,"AAAAAF/fT8c=",0)</f>
        <v>0</v>
      </c>
      <c r="GS30">
        <f>IF('Data Analysis'!891:891,"AAAAAF/fT8g=",0)</f>
        <v>0</v>
      </c>
      <c r="GT30">
        <f>IF('Data Analysis'!892:892,"AAAAAF/fT8k=",0)</f>
        <v>0</v>
      </c>
      <c r="GU30">
        <f>IF('Data Analysis'!893:893,"AAAAAF/fT8o=",0)</f>
        <v>0</v>
      </c>
      <c r="GV30">
        <f>IF('Data Analysis'!894:894,"AAAAAF/fT8s=",0)</f>
        <v>0</v>
      </c>
      <c r="GW30">
        <f>IF('Data Analysis'!895:895,"AAAAAF/fT8w=",0)</f>
        <v>0</v>
      </c>
      <c r="GX30">
        <f>IF('Data Analysis'!896:896,"AAAAAF/fT80=",0)</f>
        <v>0</v>
      </c>
      <c r="GY30">
        <f>IF('Data Analysis'!897:897,"AAAAAF/fT84=",0)</f>
        <v>0</v>
      </c>
      <c r="GZ30">
        <f>IF('Data Analysis'!898:898,"AAAAAF/fT88=",0)</f>
        <v>0</v>
      </c>
      <c r="HA30">
        <f>IF('Data Analysis'!899:899,"AAAAAF/fT9A=",0)</f>
        <v>0</v>
      </c>
      <c r="HB30">
        <f>IF('Data Analysis'!900:900,"AAAAAF/fT9E=",0)</f>
        <v>0</v>
      </c>
      <c r="HC30">
        <f>IF('Data Analysis'!901:901,"AAAAAF/fT9I=",0)</f>
        <v>0</v>
      </c>
      <c r="HD30">
        <f>IF('Data Analysis'!902:902,"AAAAAF/fT9M=",0)</f>
        <v>0</v>
      </c>
      <c r="HE30">
        <f>IF('Data Analysis'!903:903,"AAAAAF/fT9Q=",0)</f>
        <v>0</v>
      </c>
      <c r="HF30">
        <f>IF('Data Analysis'!904:904,"AAAAAF/fT9U=",0)</f>
        <v>0</v>
      </c>
      <c r="HG30">
        <f>IF('Data Analysis'!905:905,"AAAAAF/fT9Y=",0)</f>
        <v>0</v>
      </c>
      <c r="HH30">
        <f>IF('Data Analysis'!906:906,"AAAAAF/fT9c=",0)</f>
        <v>0</v>
      </c>
      <c r="HI30">
        <f>IF('Data Analysis'!907:907,"AAAAAF/fT9g=",0)</f>
        <v>0</v>
      </c>
      <c r="HJ30">
        <f>IF('Data Analysis'!908:908,"AAAAAF/fT9k=",0)</f>
        <v>0</v>
      </c>
      <c r="HK30">
        <f>IF('Data Analysis'!909:909,"AAAAAF/fT9o=",0)</f>
        <v>0</v>
      </c>
      <c r="HL30">
        <f>IF('Data Analysis'!910:910,"AAAAAF/fT9s=",0)</f>
        <v>0</v>
      </c>
      <c r="HM30">
        <f>IF('Data Analysis'!911:911,"AAAAAF/fT9w=",0)</f>
        <v>0</v>
      </c>
      <c r="HN30">
        <f>IF('Data Analysis'!912:912,"AAAAAF/fT90=",0)</f>
        <v>0</v>
      </c>
      <c r="HO30">
        <f>IF('Data Analysis'!913:913,"AAAAAF/fT94=",0)</f>
        <v>0</v>
      </c>
      <c r="HP30">
        <f>IF('Data Analysis'!914:914,"AAAAAF/fT98=",0)</f>
        <v>0</v>
      </c>
      <c r="HQ30">
        <f>IF('Data Analysis'!915:915,"AAAAAF/fT+A=",0)</f>
        <v>0</v>
      </c>
      <c r="HR30">
        <f>IF('Data Analysis'!916:916,"AAAAAF/fT+E=",0)</f>
        <v>0</v>
      </c>
      <c r="HS30">
        <f>IF('Data Analysis'!917:917,"AAAAAF/fT+I=",0)</f>
        <v>0</v>
      </c>
      <c r="HT30">
        <f>IF('Data Analysis'!918:918,"AAAAAF/fT+M=",0)</f>
        <v>0</v>
      </c>
      <c r="HU30">
        <f>IF('Data Analysis'!919:919,"AAAAAF/fT+Q=",0)</f>
        <v>0</v>
      </c>
      <c r="HV30">
        <f>IF('Data Analysis'!920:920,"AAAAAF/fT+U=",0)</f>
        <v>0</v>
      </c>
      <c r="HW30">
        <f>IF('Data Analysis'!921:921,"AAAAAF/fT+Y=",0)</f>
        <v>0</v>
      </c>
      <c r="HX30">
        <f>IF('Data Analysis'!922:922,"AAAAAF/fT+c=",0)</f>
        <v>0</v>
      </c>
      <c r="HY30">
        <f>IF('Data Analysis'!923:923,"AAAAAF/fT+g=",0)</f>
        <v>0</v>
      </c>
      <c r="HZ30">
        <f>IF('Data Analysis'!924:924,"AAAAAF/fT+k=",0)</f>
        <v>0</v>
      </c>
      <c r="IA30">
        <f>IF('Data Analysis'!925:925,"AAAAAF/fT+o=",0)</f>
        <v>0</v>
      </c>
      <c r="IB30">
        <f>IF('Data Analysis'!926:926,"AAAAAF/fT+s=",0)</f>
        <v>0</v>
      </c>
      <c r="IC30">
        <f>IF('Data Analysis'!927:927,"AAAAAF/fT+w=",0)</f>
        <v>0</v>
      </c>
      <c r="ID30">
        <f>IF('Data Analysis'!928:928,"AAAAAF/fT+0=",0)</f>
        <v>0</v>
      </c>
      <c r="IE30">
        <f>IF('Data Analysis'!929:929,"AAAAAF/fT+4=",0)</f>
        <v>0</v>
      </c>
      <c r="IF30">
        <f>IF('Data Analysis'!930:930,"AAAAAF/fT+8=",0)</f>
        <v>0</v>
      </c>
      <c r="IG30">
        <f>IF('Data Analysis'!931:931,"AAAAAF/fT/A=",0)</f>
        <v>0</v>
      </c>
      <c r="IH30">
        <f>IF('Data Analysis'!932:932,"AAAAAF/fT/E=",0)</f>
        <v>0</v>
      </c>
      <c r="II30">
        <f>IF('Data Analysis'!933:933,"AAAAAF/fT/I=",0)</f>
        <v>0</v>
      </c>
      <c r="IJ30">
        <f>IF('Data Analysis'!934:934,"AAAAAF/fT/M=",0)</f>
        <v>0</v>
      </c>
      <c r="IK30">
        <f>IF('Data Analysis'!935:935,"AAAAAF/fT/Q=",0)</f>
        <v>0</v>
      </c>
      <c r="IL30">
        <f>IF('Data Analysis'!936:936,"AAAAAF/fT/U=",0)</f>
        <v>0</v>
      </c>
      <c r="IM30">
        <f>IF('Data Analysis'!937:937,"AAAAAF/fT/Y=",0)</f>
        <v>0</v>
      </c>
      <c r="IN30">
        <f>IF('Data Analysis'!938:938,"AAAAAF/fT/c=",0)</f>
        <v>0</v>
      </c>
      <c r="IO30">
        <f>IF('Data Analysis'!939:939,"AAAAAF/fT/g=",0)</f>
        <v>0</v>
      </c>
      <c r="IP30">
        <f>IF('Data Analysis'!940:940,"AAAAAF/fT/k=",0)</f>
        <v>0</v>
      </c>
      <c r="IQ30">
        <f>IF('Data Analysis'!941:941,"AAAAAF/fT/o=",0)</f>
        <v>0</v>
      </c>
      <c r="IR30">
        <f>IF('Data Analysis'!942:942,"AAAAAF/fT/s=",0)</f>
        <v>0</v>
      </c>
      <c r="IS30">
        <f>IF('Data Analysis'!943:943,"AAAAAF/fT/w=",0)</f>
        <v>0</v>
      </c>
      <c r="IT30">
        <f>IF('Data Analysis'!944:944,"AAAAAF/fT/0=",0)</f>
        <v>0</v>
      </c>
      <c r="IU30">
        <f>IF('Data Analysis'!945:945,"AAAAAF/fT/4=",0)</f>
        <v>0</v>
      </c>
      <c r="IV30">
        <f>IF('Data Analysis'!946:946,"AAAAAF/fT/8=",0)</f>
        <v>0</v>
      </c>
    </row>
    <row r="31" spans="1:256" x14ac:dyDescent="0.2">
      <c r="A31">
        <f>IF('Data Analysis'!947:947,"AAAAAHXe/wA=",0)</f>
        <v>0</v>
      </c>
      <c r="B31">
        <f>IF('Data Analysis'!948:948,"AAAAAHXe/wE=",0)</f>
        <v>0</v>
      </c>
      <c r="C31">
        <f>IF('Data Analysis'!949:949,"AAAAAHXe/wI=",0)</f>
        <v>0</v>
      </c>
      <c r="D31">
        <f>IF('Data Analysis'!950:950,"AAAAAHXe/wM=",0)</f>
        <v>0</v>
      </c>
      <c r="E31">
        <f>IF('Data Analysis'!951:951,"AAAAAHXe/wQ=",0)</f>
        <v>0</v>
      </c>
      <c r="F31">
        <f>IF('Data Analysis'!952:952,"AAAAAHXe/wU=",0)</f>
        <v>0</v>
      </c>
      <c r="G31">
        <f>IF('Data Analysis'!953:953,"AAAAAHXe/wY=",0)</f>
        <v>0</v>
      </c>
      <c r="H31">
        <f>IF('Data Analysis'!954:954,"AAAAAHXe/wc=",0)</f>
        <v>0</v>
      </c>
      <c r="I31">
        <f>IF('Data Analysis'!955:955,"AAAAAHXe/wg=",0)</f>
        <v>0</v>
      </c>
      <c r="J31">
        <f>IF('Data Analysis'!956:956,"AAAAAHXe/wk=",0)</f>
        <v>0</v>
      </c>
      <c r="K31">
        <f>IF('Data Analysis'!957:957,"AAAAAHXe/wo=",0)</f>
        <v>0</v>
      </c>
      <c r="L31">
        <f>IF('Data Analysis'!958:958,"AAAAAHXe/ws=",0)</f>
        <v>0</v>
      </c>
      <c r="M31">
        <f>IF('Data Analysis'!959:959,"AAAAAHXe/ww=",0)</f>
        <v>0</v>
      </c>
      <c r="N31">
        <f>IF('Data Analysis'!960:960,"AAAAAHXe/w0=",0)</f>
        <v>0</v>
      </c>
      <c r="O31">
        <f>IF('Data Analysis'!961:961,"AAAAAHXe/w4=",0)</f>
        <v>0</v>
      </c>
      <c r="P31">
        <f>IF('Data Analysis'!962:962,"AAAAAHXe/w8=",0)</f>
        <v>0</v>
      </c>
      <c r="Q31">
        <f>IF('Data Analysis'!963:963,"AAAAAHXe/xA=",0)</f>
        <v>0</v>
      </c>
      <c r="R31">
        <f>IF('Data Analysis'!964:964,"AAAAAHXe/xE=",0)</f>
        <v>0</v>
      </c>
      <c r="S31">
        <f>IF('Data Analysis'!965:965,"AAAAAHXe/xI=",0)</f>
        <v>0</v>
      </c>
      <c r="T31">
        <f>IF('Data Analysis'!966:966,"AAAAAHXe/xM=",0)</f>
        <v>0</v>
      </c>
      <c r="U31">
        <f>IF('Data Analysis'!967:967,"AAAAAHXe/xQ=",0)</f>
        <v>0</v>
      </c>
      <c r="V31">
        <f>IF('Data Analysis'!968:968,"AAAAAHXe/xU=",0)</f>
        <v>0</v>
      </c>
      <c r="W31">
        <f>IF('Data Analysis'!969:969,"AAAAAHXe/xY=",0)</f>
        <v>0</v>
      </c>
      <c r="X31">
        <f>IF('Data Analysis'!970:970,"AAAAAHXe/xc=",0)</f>
        <v>0</v>
      </c>
      <c r="Y31">
        <f>IF('Data Analysis'!971:971,"AAAAAHXe/xg=",0)</f>
        <v>0</v>
      </c>
      <c r="Z31">
        <f>IF('Data Analysis'!972:972,"AAAAAHXe/xk=",0)</f>
        <v>0</v>
      </c>
      <c r="AA31">
        <f>IF('Data Analysis'!973:973,"AAAAAHXe/xo=",0)</f>
        <v>0</v>
      </c>
      <c r="AB31">
        <f>IF('Data Analysis'!974:974,"AAAAAHXe/xs=",0)</f>
        <v>0</v>
      </c>
      <c r="AC31">
        <f>IF('Data Analysis'!975:975,"AAAAAHXe/xw=",0)</f>
        <v>0</v>
      </c>
      <c r="AD31">
        <f>IF('Data Analysis'!976:976,"AAAAAHXe/x0=",0)</f>
        <v>0</v>
      </c>
      <c r="AE31">
        <f>IF('Data Analysis'!977:977,"AAAAAHXe/x4=",0)</f>
        <v>0</v>
      </c>
      <c r="AF31">
        <f>IF('Data Analysis'!978:978,"AAAAAHXe/x8=",0)</f>
        <v>0</v>
      </c>
      <c r="AG31">
        <f>IF('Data Analysis'!979:979,"AAAAAHXe/yA=",0)</f>
        <v>0</v>
      </c>
      <c r="AH31">
        <f>IF('Data Analysis'!980:980,"AAAAAHXe/yE=",0)</f>
        <v>0</v>
      </c>
      <c r="AI31">
        <f>IF('Data Analysis'!981:981,"AAAAAHXe/yI=",0)</f>
        <v>0</v>
      </c>
      <c r="AJ31">
        <f>IF('Data Analysis'!982:982,"AAAAAHXe/yM=",0)</f>
        <v>0</v>
      </c>
      <c r="AK31">
        <f>IF('Data Analysis'!983:983,"AAAAAHXe/yQ=",0)</f>
        <v>0</v>
      </c>
      <c r="AL31">
        <f>IF('Data Analysis'!984:984,"AAAAAHXe/yU=",0)</f>
        <v>0</v>
      </c>
      <c r="AM31">
        <f>IF('Data Analysis'!985:985,"AAAAAHXe/yY=",0)</f>
        <v>0</v>
      </c>
      <c r="AN31">
        <f>IF('Data Analysis'!986:986,"AAAAAHXe/yc=",0)</f>
        <v>0</v>
      </c>
      <c r="AO31">
        <f>IF('Data Analysis'!987:987,"AAAAAHXe/yg=",0)</f>
        <v>0</v>
      </c>
      <c r="AP31">
        <f>IF('Data Analysis'!988:988,"AAAAAHXe/yk=",0)</f>
        <v>0</v>
      </c>
      <c r="AQ31">
        <f>IF('Data Analysis'!989:989,"AAAAAHXe/yo=",0)</f>
        <v>0</v>
      </c>
      <c r="AR31">
        <f>IF('Data Analysis'!990:990,"AAAAAHXe/ys=",0)</f>
        <v>0</v>
      </c>
      <c r="AS31">
        <f>IF('Data Analysis'!991:991,"AAAAAHXe/yw=",0)</f>
        <v>0</v>
      </c>
      <c r="AT31">
        <f>IF('Data Analysis'!992:992,"AAAAAHXe/y0=",0)</f>
        <v>0</v>
      </c>
      <c r="AU31">
        <f>IF('Data Analysis'!993:993,"AAAAAHXe/y4=",0)</f>
        <v>0</v>
      </c>
      <c r="AV31">
        <f>IF('Data Analysis'!994:994,"AAAAAHXe/y8=",0)</f>
        <v>0</v>
      </c>
      <c r="AW31">
        <f>IF('Data Analysis'!995:995,"AAAAAHXe/zA=",0)</f>
        <v>0</v>
      </c>
      <c r="AX31">
        <f>IF('Data Analysis'!996:996,"AAAAAHXe/zE=",0)</f>
        <v>0</v>
      </c>
      <c r="AY31">
        <f>IF('Data Analysis'!997:997,"AAAAAHXe/zI=",0)</f>
        <v>0</v>
      </c>
      <c r="AZ31">
        <f>IF('Data Analysis'!998:998,"AAAAAHXe/zM=",0)</f>
        <v>0</v>
      </c>
      <c r="BA31">
        <f>IF('Data Analysis'!999:999,"AAAAAHXe/zQ=",0)</f>
        <v>0</v>
      </c>
      <c r="BB31">
        <f>IF('Data Analysis'!1000:1000,"AAAAAHXe/zU=",0)</f>
        <v>0</v>
      </c>
      <c r="BC31">
        <f>IF('Data Analysis'!1001:1001,"AAAAAHXe/zY=",0)</f>
        <v>0</v>
      </c>
      <c r="BD31">
        <f>IF('Data Analysis'!1002:1002,"AAAAAHXe/zc=",0)</f>
        <v>0</v>
      </c>
      <c r="BE31">
        <f>IF('Data Analysis'!1003:1003,"AAAAAHXe/zg=",0)</f>
        <v>0</v>
      </c>
      <c r="BF31">
        <f>IF('Data Analysis'!1004:1004,"AAAAAHXe/zk=",0)</f>
        <v>0</v>
      </c>
      <c r="BG31">
        <f>IF('Data Analysis'!1005:1005,"AAAAAHXe/zo=",0)</f>
        <v>0</v>
      </c>
      <c r="BH31">
        <f>IF('Data Analysis'!1006:1006,"AAAAAHXe/zs=",0)</f>
        <v>0</v>
      </c>
      <c r="BI31">
        <f>IF('Data Analysis'!1007:1007,"AAAAAHXe/zw=",0)</f>
        <v>0</v>
      </c>
      <c r="BJ31">
        <f>IF('Data Analysis'!1008:1008,"AAAAAHXe/z0=",0)</f>
        <v>0</v>
      </c>
      <c r="BK31">
        <f>IF('Data Analysis'!1009:1009,"AAAAAHXe/z4=",0)</f>
        <v>0</v>
      </c>
      <c r="BL31">
        <f>IF('Data Analysis'!1010:1010,"AAAAAHXe/z8=",0)</f>
        <v>0</v>
      </c>
      <c r="BM31">
        <f>IF('Data Analysis'!1011:1011,"AAAAAHXe/0A=",0)</f>
        <v>0</v>
      </c>
      <c r="BN31">
        <f>IF('Data Analysis'!1012:1012,"AAAAAHXe/0E=",0)</f>
        <v>0</v>
      </c>
      <c r="BO31">
        <f>IF('Data Analysis'!1013:1013,"AAAAAHXe/0I=",0)</f>
        <v>0</v>
      </c>
      <c r="BP31">
        <f>IF('Data Analysis'!1014:1014,"AAAAAHXe/0M=",0)</f>
        <v>0</v>
      </c>
      <c r="BQ31">
        <f>IF('Data Analysis'!1015:1015,"AAAAAHXe/0Q=",0)</f>
        <v>0</v>
      </c>
      <c r="BR31">
        <f>IF('Data Analysis'!1016:1016,"AAAAAHXe/0U=",0)</f>
        <v>0</v>
      </c>
      <c r="BS31">
        <f>IF('Data Analysis'!1017:1017,"AAAAAHXe/0Y=",0)</f>
        <v>0</v>
      </c>
      <c r="BT31">
        <f>IF('Data Analysis'!1018:1018,"AAAAAHXe/0c=",0)</f>
        <v>0</v>
      </c>
      <c r="BU31">
        <f>IF('Data Analysis'!1019:1019,"AAAAAHXe/0g=",0)</f>
        <v>0</v>
      </c>
      <c r="BV31">
        <f>IF('Data Analysis'!1020:1020,"AAAAAHXe/0k=",0)</f>
        <v>0</v>
      </c>
      <c r="BW31">
        <f>IF('Data Analysis'!1021:1021,"AAAAAHXe/0o=",0)</f>
        <v>0</v>
      </c>
      <c r="BX31">
        <f>IF('Data Analysis'!1022:1022,"AAAAAHXe/0s=",0)</f>
        <v>0</v>
      </c>
      <c r="BY31">
        <f>IF('Data Analysis'!1023:1023,"AAAAAHXe/0w=",0)</f>
        <v>0</v>
      </c>
      <c r="BZ31">
        <f>IF('Data Analysis'!1024:1024,"AAAAAHXe/00=",0)</f>
        <v>0</v>
      </c>
      <c r="CA31">
        <f>IF('Data Analysis'!1025:1025,"AAAAAHXe/04=",0)</f>
        <v>0</v>
      </c>
      <c r="CB31">
        <f>IF('Data Analysis'!1026:1026,"AAAAAHXe/08=",0)</f>
        <v>0</v>
      </c>
      <c r="CC31">
        <f>IF('Data Analysis'!1027:1027,"AAAAAHXe/1A=",0)</f>
        <v>0</v>
      </c>
      <c r="CD31">
        <f>IF('Data Analysis'!1028:1028,"AAAAAHXe/1E=",0)</f>
        <v>0</v>
      </c>
      <c r="CE31">
        <f>IF('Data Analysis'!1029:1029,"AAAAAHXe/1I=",0)</f>
        <v>0</v>
      </c>
      <c r="CF31">
        <f>IF('Data Analysis'!1030:1030,"AAAAAHXe/1M=",0)</f>
        <v>0</v>
      </c>
      <c r="CG31">
        <f>IF('Data Analysis'!1031:1031,"AAAAAHXe/1Q=",0)</f>
        <v>0</v>
      </c>
      <c r="CH31">
        <f>IF('Data Analysis'!1032:1032,"AAAAAHXe/1U=",0)</f>
        <v>0</v>
      </c>
      <c r="CI31">
        <f>IF('Data Analysis'!1033:1033,"AAAAAHXe/1Y=",0)</f>
        <v>0</v>
      </c>
      <c r="CJ31">
        <f>IF('Data Analysis'!1034:1034,"AAAAAHXe/1c=",0)</f>
        <v>0</v>
      </c>
      <c r="CK31">
        <f>IF('Data Analysis'!1035:1035,"AAAAAHXe/1g=",0)</f>
        <v>0</v>
      </c>
      <c r="CL31">
        <f>IF('Data Analysis'!1036:1036,"AAAAAHXe/1k=",0)</f>
        <v>0</v>
      </c>
      <c r="CM31">
        <f>IF('Data Analysis'!1037:1037,"AAAAAHXe/1o=",0)</f>
        <v>0</v>
      </c>
      <c r="CN31">
        <f>IF('Data Analysis'!1038:1038,"AAAAAHXe/1s=",0)</f>
        <v>0</v>
      </c>
      <c r="CO31">
        <f>IF('Data Analysis'!1039:1039,"AAAAAHXe/1w=",0)</f>
        <v>0</v>
      </c>
      <c r="CP31">
        <f>IF('Data Analysis'!1040:1040,"AAAAAHXe/10=",0)</f>
        <v>0</v>
      </c>
      <c r="CQ31">
        <f>IF('Data Analysis'!1041:1041,"AAAAAHXe/14=",0)</f>
        <v>0</v>
      </c>
      <c r="CR31">
        <f>IF('Data Analysis'!1042:1042,"AAAAAHXe/18=",0)</f>
        <v>0</v>
      </c>
      <c r="CS31">
        <f>IF('Data Analysis'!1043:1043,"AAAAAHXe/2A=",0)</f>
        <v>0</v>
      </c>
      <c r="CT31">
        <f>IF('Data Analysis'!1044:1044,"AAAAAHXe/2E=",0)</f>
        <v>0</v>
      </c>
      <c r="CU31">
        <f>IF('Data Analysis'!1045:1045,"AAAAAHXe/2I=",0)</f>
        <v>0</v>
      </c>
      <c r="CV31">
        <f>IF('Data Analysis'!1046:1046,"AAAAAHXe/2M=",0)</f>
        <v>0</v>
      </c>
      <c r="CW31">
        <f>IF('Data Analysis'!1047:1047,"AAAAAHXe/2Q=",0)</f>
        <v>0</v>
      </c>
      <c r="CX31">
        <f>IF('Data Analysis'!1048:1048,"AAAAAHXe/2U=",0)</f>
        <v>0</v>
      </c>
      <c r="CY31">
        <f>IF('Data Analysis'!1049:1049,"AAAAAHXe/2Y=",0)</f>
        <v>0</v>
      </c>
      <c r="CZ31">
        <f>IF('Data Analysis'!1050:1050,"AAAAAHXe/2c=",0)</f>
        <v>0</v>
      </c>
      <c r="DA31">
        <f>IF('Data Analysis'!1051:1051,"AAAAAHXe/2g=",0)</f>
        <v>0</v>
      </c>
      <c r="DB31">
        <f>IF('Data Analysis'!1052:1052,"AAAAAHXe/2k=",0)</f>
        <v>0</v>
      </c>
      <c r="DC31">
        <f>IF('Data Analysis'!1053:1053,"AAAAAHXe/2o=",0)</f>
        <v>0</v>
      </c>
      <c r="DD31">
        <f>IF('Data Analysis'!1054:1054,"AAAAAHXe/2s=",0)</f>
        <v>0</v>
      </c>
      <c r="DE31">
        <f>IF('Data Analysis'!1055:1055,"AAAAAHXe/2w=",0)</f>
        <v>0</v>
      </c>
      <c r="DF31">
        <f>IF('Data Analysis'!1056:1056,"AAAAAHXe/20=",0)</f>
        <v>0</v>
      </c>
      <c r="DG31">
        <f>IF('Data Analysis'!1057:1057,"AAAAAHXe/24=",0)</f>
        <v>0</v>
      </c>
      <c r="DH31">
        <f>IF('Data Analysis'!1058:1058,"AAAAAHXe/28=",0)</f>
        <v>0</v>
      </c>
      <c r="DI31">
        <f>IF('Data Analysis'!1059:1059,"AAAAAHXe/3A=",0)</f>
        <v>0</v>
      </c>
      <c r="DJ31">
        <f>IF('Data Analysis'!1060:1060,"AAAAAHXe/3E=",0)</f>
        <v>0</v>
      </c>
      <c r="DK31">
        <f>IF('Data Analysis'!1061:1061,"AAAAAHXe/3I=",0)</f>
        <v>0</v>
      </c>
      <c r="DL31">
        <f>IF('Data Analysis'!1062:1062,"AAAAAHXe/3M=",0)</f>
        <v>0</v>
      </c>
      <c r="DM31">
        <f>IF('Data Analysis'!1063:1063,"AAAAAHXe/3Q=",0)</f>
        <v>0</v>
      </c>
      <c r="DN31">
        <f>IF('Data Analysis'!1064:1064,"AAAAAHXe/3U=",0)</f>
        <v>0</v>
      </c>
      <c r="DO31">
        <f>IF('Data Analysis'!1065:1065,"AAAAAHXe/3Y=",0)</f>
        <v>0</v>
      </c>
      <c r="DP31">
        <f>IF('Data Analysis'!1066:1066,"AAAAAHXe/3c=",0)</f>
        <v>0</v>
      </c>
      <c r="DQ31">
        <f>IF('Data Analysis'!1067:1067,"AAAAAHXe/3g=",0)</f>
        <v>0</v>
      </c>
      <c r="DR31">
        <f>IF('Data Analysis'!1068:1068,"AAAAAHXe/3k=",0)</f>
        <v>0</v>
      </c>
      <c r="DS31">
        <f>IF('Data Analysis'!1069:1069,"AAAAAHXe/3o=",0)</f>
        <v>0</v>
      </c>
      <c r="DT31">
        <f>IF('Data Analysis'!1070:1070,"AAAAAHXe/3s=",0)</f>
        <v>0</v>
      </c>
      <c r="DU31">
        <f>IF('Data Analysis'!1071:1071,"AAAAAHXe/3w=",0)</f>
        <v>0</v>
      </c>
      <c r="DV31">
        <f>IF('Data Analysis'!1072:1072,"AAAAAHXe/30=",0)</f>
        <v>0</v>
      </c>
      <c r="DW31">
        <f>IF('Data Analysis'!1073:1073,"AAAAAHXe/34=",0)</f>
        <v>0</v>
      </c>
      <c r="DX31">
        <f>IF('Data Analysis'!1074:1074,"AAAAAHXe/38=",0)</f>
        <v>0</v>
      </c>
      <c r="DY31">
        <f>IF('Data Analysis'!1075:1075,"AAAAAHXe/4A=",0)</f>
        <v>0</v>
      </c>
      <c r="DZ31">
        <f>IF('Data Analysis'!1076:1076,"AAAAAHXe/4E=",0)</f>
        <v>0</v>
      </c>
      <c r="EA31">
        <f>IF('Data Analysis'!1077:1077,"AAAAAHXe/4I=",0)</f>
        <v>0</v>
      </c>
      <c r="EB31">
        <f>IF('Data Analysis'!1078:1078,"AAAAAHXe/4M=",0)</f>
        <v>0</v>
      </c>
      <c r="EC31">
        <f>IF('Data Analysis'!1079:1079,"AAAAAHXe/4Q=",0)</f>
        <v>0</v>
      </c>
      <c r="ED31">
        <f>IF('Data Analysis'!1080:1080,"AAAAAHXe/4U=",0)</f>
        <v>0</v>
      </c>
      <c r="EE31">
        <f>IF('Data Analysis'!1081:1081,"AAAAAHXe/4Y=",0)</f>
        <v>0</v>
      </c>
      <c r="EF31">
        <f>IF('Data Analysis'!1082:1082,"AAAAAHXe/4c=",0)</f>
        <v>0</v>
      </c>
      <c r="EG31">
        <f>IF('Data Analysis'!1083:1083,"AAAAAHXe/4g=",0)</f>
        <v>0</v>
      </c>
      <c r="EH31">
        <f>IF('Data Analysis'!1084:1084,"AAAAAHXe/4k=",0)</f>
        <v>0</v>
      </c>
      <c r="EI31">
        <f>IF('Data Analysis'!1085:1085,"AAAAAHXe/4o=",0)</f>
        <v>0</v>
      </c>
      <c r="EJ31">
        <f>IF('Data Analysis'!1086:1086,"AAAAAHXe/4s=",0)</f>
        <v>0</v>
      </c>
      <c r="EK31">
        <f>IF('Data Analysis'!1087:1087,"AAAAAHXe/4w=",0)</f>
        <v>0</v>
      </c>
      <c r="EL31">
        <f>IF('Data Analysis'!1088:1088,"AAAAAHXe/40=",0)</f>
        <v>0</v>
      </c>
      <c r="EM31">
        <f>IF('Data Analysis'!1089:1089,"AAAAAHXe/44=",0)</f>
        <v>0</v>
      </c>
      <c r="EN31">
        <f>IF('Data Analysis'!1090:1090,"AAAAAHXe/48=",0)</f>
        <v>0</v>
      </c>
      <c r="EO31">
        <f>IF('Data Analysis'!1091:1091,"AAAAAHXe/5A=",0)</f>
        <v>0</v>
      </c>
      <c r="EP31">
        <f>IF('Data Analysis'!1092:1092,"AAAAAHXe/5E=",0)</f>
        <v>0</v>
      </c>
      <c r="EQ31">
        <f>IF('Data Analysis'!1093:1093,"AAAAAHXe/5I=",0)</f>
        <v>0</v>
      </c>
      <c r="ER31">
        <f>IF('Data Analysis'!1094:1094,"AAAAAHXe/5M=",0)</f>
        <v>0</v>
      </c>
      <c r="ES31">
        <f>IF('Data Analysis'!1095:1095,"AAAAAHXe/5Q=",0)</f>
        <v>0</v>
      </c>
      <c r="ET31">
        <f>IF('Data Analysis'!1096:1096,"AAAAAHXe/5U=",0)</f>
        <v>0</v>
      </c>
      <c r="EU31">
        <f>IF('Data Analysis'!1097:1097,"AAAAAHXe/5Y=",0)</f>
        <v>0</v>
      </c>
      <c r="EV31">
        <f>IF('Data Analysis'!1098:1098,"AAAAAHXe/5c=",0)</f>
        <v>0</v>
      </c>
      <c r="EW31">
        <f>IF('Data Analysis'!1099:1099,"AAAAAHXe/5g=",0)</f>
        <v>0</v>
      </c>
      <c r="EX31">
        <f>IF('Data Analysis'!1100:1100,"AAAAAHXe/5k=",0)</f>
        <v>0</v>
      </c>
      <c r="EY31">
        <f>IF('Data Analysis'!1101:1101,"AAAAAHXe/5o=",0)</f>
        <v>0</v>
      </c>
      <c r="EZ31">
        <f>IF('Data Analysis'!1102:1102,"AAAAAHXe/5s=",0)</f>
        <v>0</v>
      </c>
      <c r="FA31">
        <f>IF('Data Analysis'!1103:1103,"AAAAAHXe/5w=",0)</f>
        <v>0</v>
      </c>
      <c r="FB31">
        <f>IF('Data Analysis'!1104:1104,"AAAAAHXe/50=",0)</f>
        <v>0</v>
      </c>
      <c r="FC31">
        <f>IF('Data Analysis'!1105:1105,"AAAAAHXe/54=",0)</f>
        <v>0</v>
      </c>
      <c r="FD31">
        <f>IF('Data Analysis'!1106:1106,"AAAAAHXe/58=",0)</f>
        <v>0</v>
      </c>
      <c r="FE31">
        <f>IF('Data Analysis'!1107:1107,"AAAAAHXe/6A=",0)</f>
        <v>0</v>
      </c>
      <c r="FF31">
        <f>IF('Data Analysis'!1108:1108,"AAAAAHXe/6E=",0)</f>
        <v>0</v>
      </c>
      <c r="FG31">
        <f>IF('Data Analysis'!1109:1109,"AAAAAHXe/6I=",0)</f>
        <v>0</v>
      </c>
      <c r="FH31">
        <f>IF('Data Analysis'!1110:1110,"AAAAAHXe/6M=",0)</f>
        <v>0</v>
      </c>
      <c r="FI31">
        <f>IF('Data Analysis'!1111:1111,"AAAAAHXe/6Q=",0)</f>
        <v>0</v>
      </c>
      <c r="FJ31">
        <f>IF('Data Analysis'!1112:1112,"AAAAAHXe/6U=",0)</f>
        <v>0</v>
      </c>
      <c r="FK31">
        <f>IF('Data Analysis'!1113:1113,"AAAAAHXe/6Y=",0)</f>
        <v>0</v>
      </c>
      <c r="FL31">
        <f>IF('Data Analysis'!1114:1114,"AAAAAHXe/6c=",0)</f>
        <v>0</v>
      </c>
      <c r="FM31">
        <f>IF('Data Analysis'!1115:1115,"AAAAAHXe/6g=",0)</f>
        <v>0</v>
      </c>
      <c r="FN31">
        <f>IF('Data Analysis'!1116:1116,"AAAAAHXe/6k=",0)</f>
        <v>0</v>
      </c>
      <c r="FO31">
        <f>IF('Data Analysis'!1117:1117,"AAAAAHXe/6o=",0)</f>
        <v>0</v>
      </c>
      <c r="FP31">
        <f>IF('Data Analysis'!1118:1118,"AAAAAHXe/6s=",0)</f>
        <v>0</v>
      </c>
      <c r="FQ31">
        <f>IF('Data Analysis'!1119:1119,"AAAAAHXe/6w=",0)</f>
        <v>0</v>
      </c>
      <c r="FR31">
        <f>IF('Data Analysis'!1120:1120,"AAAAAHXe/60=",0)</f>
        <v>0</v>
      </c>
      <c r="FS31">
        <f>IF('Data Analysis'!1121:1121,"AAAAAHXe/64=",0)</f>
        <v>0</v>
      </c>
      <c r="FT31">
        <f>IF('Data Analysis'!1122:1122,"AAAAAHXe/68=",0)</f>
        <v>0</v>
      </c>
      <c r="FU31">
        <f>IF('Data Analysis'!1123:1123,"AAAAAHXe/7A=",0)</f>
        <v>0</v>
      </c>
      <c r="FV31">
        <f>IF('Data Analysis'!1124:1124,"AAAAAHXe/7E=",0)</f>
        <v>0</v>
      </c>
      <c r="FW31">
        <f>IF('Data Analysis'!1125:1125,"AAAAAHXe/7I=",0)</f>
        <v>0</v>
      </c>
      <c r="FX31">
        <f>IF('Data Analysis'!1126:1126,"AAAAAHXe/7M=",0)</f>
        <v>0</v>
      </c>
      <c r="FY31">
        <f>IF('Data Analysis'!1127:1127,"AAAAAHXe/7Q=",0)</f>
        <v>0</v>
      </c>
      <c r="FZ31">
        <f>IF('Data Analysis'!1128:1128,"AAAAAHXe/7U=",0)</f>
        <v>0</v>
      </c>
      <c r="GA31">
        <f>IF('Data Analysis'!1129:1129,"AAAAAHXe/7Y=",0)</f>
        <v>0</v>
      </c>
      <c r="GB31">
        <f>IF('Data Analysis'!1130:1130,"AAAAAHXe/7c=",0)</f>
        <v>0</v>
      </c>
      <c r="GC31">
        <f>IF('Data Analysis'!1131:1131,"AAAAAHXe/7g=",0)</f>
        <v>0</v>
      </c>
      <c r="GD31">
        <f>IF('Data Analysis'!1132:1132,"AAAAAHXe/7k=",0)</f>
        <v>0</v>
      </c>
      <c r="GE31">
        <f>IF('Data Analysis'!1133:1133,"AAAAAHXe/7o=",0)</f>
        <v>0</v>
      </c>
      <c r="GF31">
        <f>IF('Data Analysis'!1134:1134,"AAAAAHXe/7s=",0)</f>
        <v>0</v>
      </c>
      <c r="GG31">
        <f>IF('Data Analysis'!1135:1135,"AAAAAHXe/7w=",0)</f>
        <v>0</v>
      </c>
      <c r="GH31">
        <f>IF('Data Analysis'!1136:1136,"AAAAAHXe/70=",0)</f>
        <v>0</v>
      </c>
      <c r="GI31">
        <f>IF('Data Analysis'!1137:1137,"AAAAAHXe/74=",0)</f>
        <v>0</v>
      </c>
      <c r="GJ31">
        <f>IF('Data Analysis'!1138:1138,"AAAAAHXe/78=",0)</f>
        <v>0</v>
      </c>
      <c r="GK31">
        <f>IF('Data Analysis'!1139:1139,"AAAAAHXe/8A=",0)</f>
        <v>0</v>
      </c>
      <c r="GL31">
        <f>IF('Data Analysis'!1140:1140,"AAAAAHXe/8E=",0)</f>
        <v>0</v>
      </c>
      <c r="GM31">
        <f>IF('Data Analysis'!1141:1141,"AAAAAHXe/8I=",0)</f>
        <v>0</v>
      </c>
      <c r="GN31">
        <f>IF('Data Analysis'!1142:1142,"AAAAAHXe/8M=",0)</f>
        <v>0</v>
      </c>
      <c r="GO31">
        <f>IF('Data Analysis'!1143:1143,"AAAAAHXe/8Q=",0)</f>
        <v>0</v>
      </c>
      <c r="GP31">
        <f>IF('Data Analysis'!1144:1144,"AAAAAHXe/8U=",0)</f>
        <v>0</v>
      </c>
      <c r="GQ31">
        <f>IF('Data Analysis'!1145:1145,"AAAAAHXe/8Y=",0)</f>
        <v>0</v>
      </c>
      <c r="GR31">
        <f>IF('Data Analysis'!1146:1146,"AAAAAHXe/8c=",0)</f>
        <v>0</v>
      </c>
      <c r="GS31">
        <f>IF('Data Analysis'!1147:1147,"AAAAAHXe/8g=",0)</f>
        <v>0</v>
      </c>
      <c r="GT31">
        <f>IF('Data Analysis'!1148:1148,"AAAAAHXe/8k=",0)</f>
        <v>0</v>
      </c>
      <c r="GU31">
        <f>IF('Data Analysis'!1149:1149,"AAAAAHXe/8o=",0)</f>
        <v>0</v>
      </c>
      <c r="GV31">
        <f>IF('Data Analysis'!1150:1150,"AAAAAHXe/8s=",0)</f>
        <v>0</v>
      </c>
      <c r="GW31">
        <f>IF('Data Analysis'!1151:1151,"AAAAAHXe/8w=",0)</f>
        <v>0</v>
      </c>
      <c r="GX31">
        <f>IF('Data Analysis'!1152:1152,"AAAAAHXe/80=",0)</f>
        <v>0</v>
      </c>
      <c r="GY31">
        <f>IF('Data Analysis'!1153:1153,"AAAAAHXe/84=",0)</f>
        <v>0</v>
      </c>
      <c r="GZ31">
        <f>IF('Data Analysis'!1154:1154,"AAAAAHXe/88=",0)</f>
        <v>0</v>
      </c>
      <c r="HA31">
        <f>IF('Data Analysis'!1155:1155,"AAAAAHXe/9A=",0)</f>
        <v>0</v>
      </c>
      <c r="HB31">
        <f>IF('Data Analysis'!1156:1156,"AAAAAHXe/9E=",0)</f>
        <v>0</v>
      </c>
      <c r="HC31">
        <f>IF('Data Analysis'!1157:1157,"AAAAAHXe/9I=",0)</f>
        <v>0</v>
      </c>
      <c r="HD31">
        <f>IF('Data Analysis'!1158:1158,"AAAAAHXe/9M=",0)</f>
        <v>0</v>
      </c>
      <c r="HE31">
        <f>IF('Data Analysis'!1159:1159,"AAAAAHXe/9Q=",0)</f>
        <v>0</v>
      </c>
      <c r="HF31">
        <f>IF('Data Analysis'!1160:1160,"AAAAAHXe/9U=",0)</f>
        <v>0</v>
      </c>
      <c r="HG31">
        <f>IF('Data Analysis'!1161:1161,"AAAAAHXe/9Y=",0)</f>
        <v>0</v>
      </c>
      <c r="HH31">
        <f>IF('Data Analysis'!1162:1162,"AAAAAHXe/9c=",0)</f>
        <v>0</v>
      </c>
      <c r="HI31">
        <f>IF('Data Analysis'!1163:1163,"AAAAAHXe/9g=",0)</f>
        <v>0</v>
      </c>
      <c r="HJ31">
        <f>IF('Data Analysis'!1164:1164,"AAAAAHXe/9k=",0)</f>
        <v>0</v>
      </c>
      <c r="HK31">
        <f>IF('Data Analysis'!1165:1165,"AAAAAHXe/9o=",0)</f>
        <v>0</v>
      </c>
      <c r="HL31">
        <f>IF('Data Analysis'!1166:1166,"AAAAAHXe/9s=",0)</f>
        <v>0</v>
      </c>
      <c r="HM31">
        <f>IF('Data Analysis'!1167:1167,"AAAAAHXe/9w=",0)</f>
        <v>0</v>
      </c>
      <c r="HN31">
        <f>IF('Data Analysis'!1168:1168,"AAAAAHXe/90=",0)</f>
        <v>0</v>
      </c>
      <c r="HO31">
        <f>IF('Data Analysis'!1169:1169,"AAAAAHXe/94=",0)</f>
        <v>0</v>
      </c>
      <c r="HP31">
        <f>IF('Data Analysis'!1170:1170,"AAAAAHXe/98=",0)</f>
        <v>0</v>
      </c>
      <c r="HQ31">
        <f>IF('Data Analysis'!1171:1171,"AAAAAHXe/+A=",0)</f>
        <v>0</v>
      </c>
      <c r="HR31">
        <f>IF('Data Analysis'!1172:1172,"AAAAAHXe/+E=",0)</f>
        <v>0</v>
      </c>
      <c r="HS31">
        <f>IF('Data Analysis'!1173:1173,"AAAAAHXe/+I=",0)</f>
        <v>0</v>
      </c>
      <c r="HT31">
        <f>IF('Data Analysis'!1174:1174,"AAAAAHXe/+M=",0)</f>
        <v>0</v>
      </c>
      <c r="HU31">
        <f>IF('Data Analysis'!1175:1175,"AAAAAHXe/+Q=",0)</f>
        <v>0</v>
      </c>
      <c r="HV31">
        <f>IF('Data Analysis'!1176:1176,"AAAAAHXe/+U=",0)</f>
        <v>0</v>
      </c>
      <c r="HW31">
        <f>IF('Data Analysis'!1177:1177,"AAAAAHXe/+Y=",0)</f>
        <v>0</v>
      </c>
      <c r="HX31">
        <f>IF('Data Analysis'!1178:1178,"AAAAAHXe/+c=",0)</f>
        <v>0</v>
      </c>
      <c r="HY31">
        <f>IF('Data Analysis'!1179:1179,"AAAAAHXe/+g=",0)</f>
        <v>0</v>
      </c>
      <c r="HZ31">
        <f>IF('Data Analysis'!1180:1180,"AAAAAHXe/+k=",0)</f>
        <v>0</v>
      </c>
      <c r="IA31">
        <f>IF('Data Analysis'!1181:1181,"AAAAAHXe/+o=",0)</f>
        <v>0</v>
      </c>
      <c r="IB31">
        <f>IF('Data Analysis'!1182:1182,"AAAAAHXe/+s=",0)</f>
        <v>0</v>
      </c>
      <c r="IC31">
        <f>IF('Data Analysis'!1183:1183,"AAAAAHXe/+w=",0)</f>
        <v>0</v>
      </c>
      <c r="ID31">
        <f>IF('Data Analysis'!1184:1184,"AAAAAHXe/+0=",0)</f>
        <v>0</v>
      </c>
      <c r="IE31">
        <f>IF('Data Analysis'!1185:1185,"AAAAAHXe/+4=",0)</f>
        <v>0</v>
      </c>
      <c r="IF31">
        <f>IF('Data Analysis'!1186:1186,"AAAAAHXe/+8=",0)</f>
        <v>0</v>
      </c>
      <c r="IG31">
        <f>IF('Data Analysis'!1187:1187,"AAAAAHXe//A=",0)</f>
        <v>0</v>
      </c>
      <c r="IH31">
        <f>IF('Data Analysis'!1188:1188,"AAAAAHXe//E=",0)</f>
        <v>0</v>
      </c>
      <c r="II31">
        <f>IF('Data Analysis'!1189:1189,"AAAAAHXe//I=",0)</f>
        <v>0</v>
      </c>
      <c r="IJ31">
        <f>IF('Data Analysis'!1190:1190,"AAAAAHXe//M=",0)</f>
        <v>0</v>
      </c>
      <c r="IK31">
        <f>IF('Data Analysis'!1191:1191,"AAAAAHXe//Q=",0)</f>
        <v>0</v>
      </c>
      <c r="IL31">
        <f>IF('Data Analysis'!1192:1192,"AAAAAHXe//U=",0)</f>
        <v>0</v>
      </c>
      <c r="IM31">
        <f>IF('Data Analysis'!1193:1193,"AAAAAHXe//Y=",0)</f>
        <v>0</v>
      </c>
      <c r="IN31">
        <f>IF('Data Analysis'!1194:1194,"AAAAAHXe//c=",0)</f>
        <v>0</v>
      </c>
      <c r="IO31">
        <f>IF('Data Analysis'!1195:1195,"AAAAAHXe//g=",0)</f>
        <v>0</v>
      </c>
      <c r="IP31">
        <f>IF('Data Analysis'!1196:1196,"AAAAAHXe//k=",0)</f>
        <v>0</v>
      </c>
      <c r="IQ31">
        <f>IF('Data Analysis'!1197:1197,"AAAAAHXe//o=",0)</f>
        <v>0</v>
      </c>
      <c r="IR31">
        <f>IF('Data Analysis'!1198:1198,"AAAAAHXe//s=",0)</f>
        <v>0</v>
      </c>
      <c r="IS31">
        <f>IF('Data Analysis'!1199:1199,"AAAAAHXe//w=",0)</f>
        <v>0</v>
      </c>
      <c r="IT31">
        <f>IF('Data Analysis'!1200:1200,"AAAAAHXe//0=",0)</f>
        <v>0</v>
      </c>
      <c r="IU31">
        <f>IF('Data Analysis'!1201:1201,"AAAAAHXe//4=",0)</f>
        <v>0</v>
      </c>
      <c r="IV31">
        <f>IF('Data Analysis'!1202:1202,"AAAAAHXe//8=",0)</f>
        <v>0</v>
      </c>
    </row>
    <row r="32" spans="1:256" x14ac:dyDescent="0.2">
      <c r="A32">
        <f>IF('Data Analysis'!1203:1203,"AAAAAE3/+gA=",0)</f>
        <v>0</v>
      </c>
      <c r="B32">
        <f>IF('Data Analysis'!1204:1204,"AAAAAE3/+gE=",0)</f>
        <v>0</v>
      </c>
      <c r="C32">
        <f>IF('Data Analysis'!1205:1205,"AAAAAE3/+gI=",0)</f>
        <v>0</v>
      </c>
      <c r="D32">
        <f>IF('Data Analysis'!1206:1206,"AAAAAE3/+gM=",0)</f>
        <v>0</v>
      </c>
      <c r="E32">
        <f>IF('Data Analysis'!1207:1207,"AAAAAE3/+gQ=",0)</f>
        <v>0</v>
      </c>
      <c r="F32">
        <f>IF('Data Analysis'!1208:1208,"AAAAAE3/+gU=",0)</f>
        <v>0</v>
      </c>
      <c r="G32">
        <f>IF('Data Analysis'!1209:1209,"AAAAAE3/+gY=",0)</f>
        <v>0</v>
      </c>
      <c r="H32">
        <f>IF('Data Analysis'!1210:1210,"AAAAAE3/+gc=",0)</f>
        <v>0</v>
      </c>
      <c r="I32">
        <f>IF('Data Analysis'!1211:1211,"AAAAAE3/+gg=",0)</f>
        <v>0</v>
      </c>
      <c r="J32">
        <f>IF('Data Analysis'!1212:1212,"AAAAAE3/+gk=",0)</f>
        <v>0</v>
      </c>
      <c r="K32">
        <f>IF('Data Analysis'!1213:1213,"AAAAAE3/+go=",0)</f>
        <v>0</v>
      </c>
      <c r="L32">
        <f>IF('Data Analysis'!1214:1214,"AAAAAE3/+gs=",0)</f>
        <v>0</v>
      </c>
      <c r="M32">
        <f>IF('Data Analysis'!1215:1215,"AAAAAE3/+gw=",0)</f>
        <v>0</v>
      </c>
      <c r="N32">
        <f>IF('Data Analysis'!1216:1216,"AAAAAE3/+g0=",0)</f>
        <v>0</v>
      </c>
      <c r="O32">
        <f>IF('Data Analysis'!1217:1217,"AAAAAE3/+g4=",0)</f>
        <v>0</v>
      </c>
      <c r="P32">
        <f>IF('Data Analysis'!1218:1218,"AAAAAE3/+g8=",0)</f>
        <v>0</v>
      </c>
      <c r="Q32">
        <f>IF('Data Analysis'!1219:1219,"AAAAAE3/+hA=",0)</f>
        <v>0</v>
      </c>
      <c r="R32">
        <f>IF('Data Analysis'!1220:1220,"AAAAAE3/+hE=",0)</f>
        <v>0</v>
      </c>
      <c r="S32">
        <f>IF('Data Analysis'!1221:1221,"AAAAAE3/+hI=",0)</f>
        <v>0</v>
      </c>
      <c r="T32">
        <f>IF('Data Analysis'!1222:1222,"AAAAAE3/+hM=",0)</f>
        <v>0</v>
      </c>
      <c r="U32">
        <f>IF('Data Analysis'!1223:1223,"AAAAAE3/+hQ=",0)</f>
        <v>0</v>
      </c>
      <c r="V32">
        <f>IF('Data Analysis'!1224:1224,"AAAAAE3/+hU=",0)</f>
        <v>0</v>
      </c>
      <c r="W32">
        <f>IF('Data Analysis'!1225:1225,"AAAAAE3/+hY=",0)</f>
        <v>0</v>
      </c>
      <c r="X32">
        <f>IF('Data Analysis'!1226:1226,"AAAAAE3/+hc=",0)</f>
        <v>0</v>
      </c>
      <c r="Y32">
        <f>IF('Data Analysis'!1227:1227,"AAAAAE3/+hg=",0)</f>
        <v>0</v>
      </c>
      <c r="Z32">
        <f>IF('Data Analysis'!1228:1228,"AAAAAE3/+hk=",0)</f>
        <v>0</v>
      </c>
      <c r="AA32">
        <f>IF('Data Analysis'!1229:1229,"AAAAAE3/+ho=",0)</f>
        <v>0</v>
      </c>
      <c r="AB32">
        <f>IF('Data Analysis'!1230:1230,"AAAAAE3/+hs=",0)</f>
        <v>0</v>
      </c>
      <c r="AC32">
        <f>IF('Data Analysis'!1231:1231,"AAAAAE3/+hw=",0)</f>
        <v>0</v>
      </c>
      <c r="AD32">
        <f>IF('Data Analysis'!1232:1232,"AAAAAE3/+h0=",0)</f>
        <v>0</v>
      </c>
      <c r="AE32">
        <f>IF('Data Analysis'!1233:1233,"AAAAAE3/+h4=",0)</f>
        <v>0</v>
      </c>
      <c r="AF32">
        <f>IF('Data Analysis'!1234:1234,"AAAAAE3/+h8=",0)</f>
        <v>0</v>
      </c>
      <c r="AG32">
        <f>IF('Data Analysis'!1235:1235,"AAAAAE3/+iA=",0)</f>
        <v>0</v>
      </c>
      <c r="AH32">
        <f>IF('Data Analysis'!1236:1236,"AAAAAE3/+iE=",0)</f>
        <v>0</v>
      </c>
      <c r="AI32">
        <f>IF('Data Analysis'!1237:1237,"AAAAAE3/+iI=",0)</f>
        <v>0</v>
      </c>
      <c r="AJ32">
        <f>IF('Data Analysis'!1238:1238,"AAAAAE3/+iM=",0)</f>
        <v>0</v>
      </c>
      <c r="AK32">
        <f>IF('Data Analysis'!1239:1239,"AAAAAE3/+iQ=",0)</f>
        <v>0</v>
      </c>
      <c r="AL32">
        <f>IF('Data Analysis'!1240:1240,"AAAAAE3/+iU=",0)</f>
        <v>0</v>
      </c>
      <c r="AM32">
        <f>IF('Data Analysis'!1241:1241,"AAAAAE3/+iY=",0)</f>
        <v>0</v>
      </c>
      <c r="AN32">
        <f>IF('Data Analysis'!1242:1242,"AAAAAE3/+ic=",0)</f>
        <v>0</v>
      </c>
      <c r="AO32">
        <f>IF('Data Analysis'!1243:1243,"AAAAAE3/+ig=",0)</f>
        <v>0</v>
      </c>
      <c r="AP32">
        <f>IF('Data Analysis'!1244:1244,"AAAAAE3/+ik=",0)</f>
        <v>0</v>
      </c>
      <c r="AQ32">
        <f>IF('Data Analysis'!1245:1245,"AAAAAE3/+io=",0)</f>
        <v>0</v>
      </c>
      <c r="AR32">
        <f>IF('Data Analysis'!1246:1246,"AAAAAE3/+is=",0)</f>
        <v>0</v>
      </c>
      <c r="AS32">
        <f>IF('Data Analysis'!1247:1247,"AAAAAE3/+iw=",0)</f>
        <v>0</v>
      </c>
      <c r="AT32">
        <f>IF('Data Analysis'!1248:1248,"AAAAAE3/+i0=",0)</f>
        <v>0</v>
      </c>
      <c r="AU32">
        <f>IF('Data Analysis'!1249:1249,"AAAAAE3/+i4=",0)</f>
        <v>0</v>
      </c>
      <c r="AV32">
        <f>IF('Data Analysis'!1250:1250,"AAAAAE3/+i8=",0)</f>
        <v>0</v>
      </c>
      <c r="AW32">
        <f>IF('Data Analysis'!1251:1251,"AAAAAE3/+jA=",0)</f>
        <v>0</v>
      </c>
      <c r="AX32">
        <f>IF('Data Analysis'!1252:1252,"AAAAAE3/+jE=",0)</f>
        <v>0</v>
      </c>
      <c r="AY32">
        <f>IF('Data Analysis'!1253:1253,"AAAAAE3/+jI=",0)</f>
        <v>0</v>
      </c>
      <c r="AZ32">
        <f>IF('Data Analysis'!1254:1254,"AAAAAE3/+jM=",0)</f>
        <v>0</v>
      </c>
      <c r="BA32">
        <f>IF('Data Analysis'!1255:1255,"AAAAAE3/+jQ=",0)</f>
        <v>0</v>
      </c>
      <c r="BB32">
        <f>IF('Data Analysis'!1256:1256,"AAAAAE3/+jU=",0)</f>
        <v>0</v>
      </c>
      <c r="BC32">
        <f>IF('Data Analysis'!1257:1257,"AAAAAE3/+jY=",0)</f>
        <v>0</v>
      </c>
      <c r="BD32">
        <f>IF('Data Analysis'!1258:1258,"AAAAAE3/+jc=",0)</f>
        <v>0</v>
      </c>
      <c r="BE32">
        <f>IF('Data Analysis'!1259:1259,"AAAAAE3/+jg=",0)</f>
        <v>0</v>
      </c>
      <c r="BF32">
        <f>IF('Data Analysis'!1260:1260,"AAAAAE3/+jk=",0)</f>
        <v>0</v>
      </c>
      <c r="BG32">
        <f>IF('Data Analysis'!1261:1261,"AAAAAE3/+jo=",0)</f>
        <v>0</v>
      </c>
      <c r="BH32">
        <f>IF('Data Analysis'!1262:1262,"AAAAAE3/+js=",0)</f>
        <v>0</v>
      </c>
      <c r="BI32">
        <f>IF('Data Analysis'!1263:1263,"AAAAAE3/+jw=",0)</f>
        <v>0</v>
      </c>
      <c r="BJ32">
        <f>IF('Data Analysis'!1264:1264,"AAAAAE3/+j0=",0)</f>
        <v>0</v>
      </c>
      <c r="BK32">
        <f>IF('Data Analysis'!1265:1265,"AAAAAE3/+j4=",0)</f>
        <v>0</v>
      </c>
      <c r="BL32">
        <f>IF('Data Analysis'!1266:1266,"AAAAAE3/+j8=",0)</f>
        <v>0</v>
      </c>
      <c r="BM32">
        <f>IF('Data Analysis'!1267:1267,"AAAAAE3/+kA=",0)</f>
        <v>0</v>
      </c>
      <c r="BN32">
        <f>IF('Data Analysis'!1268:1268,"AAAAAE3/+kE=",0)</f>
        <v>0</v>
      </c>
      <c r="BO32">
        <f>IF('Data Analysis'!1269:1269,"AAAAAE3/+kI=",0)</f>
        <v>0</v>
      </c>
      <c r="BP32">
        <f>IF('Data Analysis'!1270:1270,"AAAAAE3/+kM=",0)</f>
        <v>0</v>
      </c>
      <c r="BQ32">
        <f>IF('Data Analysis'!1271:1271,"AAAAAE3/+kQ=",0)</f>
        <v>0</v>
      </c>
      <c r="BR32">
        <f>IF('Data Analysis'!1272:1272,"AAAAAE3/+kU=",0)</f>
        <v>0</v>
      </c>
      <c r="BS32">
        <f>IF('Data Analysis'!1273:1273,"AAAAAE3/+kY=",0)</f>
        <v>0</v>
      </c>
      <c r="BT32">
        <f>IF('Data Analysis'!1274:1274,"AAAAAE3/+kc=",0)</f>
        <v>0</v>
      </c>
      <c r="BU32">
        <f>IF('Data Analysis'!1275:1275,"AAAAAE3/+kg=",0)</f>
        <v>0</v>
      </c>
      <c r="BV32">
        <f>IF('Data Analysis'!1276:1276,"AAAAAE3/+kk=",0)</f>
        <v>0</v>
      </c>
      <c r="BW32">
        <f>IF('Data Analysis'!1277:1277,"AAAAAE3/+ko=",0)</f>
        <v>0</v>
      </c>
      <c r="BX32">
        <f>IF('Data Analysis'!1278:1278,"AAAAAE3/+ks=",0)</f>
        <v>0</v>
      </c>
      <c r="BY32">
        <f>IF('Data Analysis'!1279:1279,"AAAAAE3/+kw=",0)</f>
        <v>0</v>
      </c>
      <c r="BZ32">
        <f>IF('Data Analysis'!1280:1280,"AAAAAE3/+k0=",0)</f>
        <v>0</v>
      </c>
      <c r="CA32">
        <f>IF('Data Analysis'!1281:1281,"AAAAAE3/+k4=",0)</f>
        <v>0</v>
      </c>
      <c r="CB32">
        <f>IF('Data Analysis'!1282:1282,"AAAAAE3/+k8=",0)</f>
        <v>0</v>
      </c>
      <c r="CC32">
        <f>IF('Data Analysis'!1283:1283,"AAAAAE3/+lA=",0)</f>
        <v>0</v>
      </c>
      <c r="CD32">
        <f>IF('Data Analysis'!1284:1284,"AAAAAE3/+lE=",0)</f>
        <v>0</v>
      </c>
      <c r="CE32">
        <f>IF('Data Analysis'!1285:1285,"AAAAAE3/+lI=",0)</f>
        <v>0</v>
      </c>
      <c r="CF32">
        <f>IF('Data Analysis'!1286:1286,"AAAAAE3/+lM=",0)</f>
        <v>0</v>
      </c>
      <c r="CG32">
        <f>IF('Data Analysis'!1287:1287,"AAAAAE3/+lQ=",0)</f>
        <v>0</v>
      </c>
      <c r="CH32">
        <f>IF('Data Analysis'!1288:1288,"AAAAAE3/+lU=",0)</f>
        <v>0</v>
      </c>
      <c r="CI32">
        <f>IF('Data Analysis'!1289:1289,"AAAAAE3/+lY=",0)</f>
        <v>0</v>
      </c>
      <c r="CJ32">
        <f>IF('Data Analysis'!1290:1290,"AAAAAE3/+lc=",0)</f>
        <v>0</v>
      </c>
      <c r="CK32">
        <f>IF('Data Analysis'!1291:1291,"AAAAAE3/+lg=",0)</f>
        <v>0</v>
      </c>
      <c r="CL32">
        <f>IF('Data Analysis'!1292:1292,"AAAAAE3/+lk=",0)</f>
        <v>0</v>
      </c>
      <c r="CM32">
        <f>IF('Data Analysis'!1293:1293,"AAAAAE3/+lo=",0)</f>
        <v>0</v>
      </c>
      <c r="CN32">
        <f>IF('Data Analysis'!1294:1294,"AAAAAE3/+ls=",0)</f>
        <v>0</v>
      </c>
      <c r="CO32">
        <f>IF('Data Analysis'!1295:1295,"AAAAAE3/+lw=",0)</f>
        <v>0</v>
      </c>
      <c r="CP32">
        <f>IF('Data Analysis'!1296:1296,"AAAAAE3/+l0=",0)</f>
        <v>0</v>
      </c>
      <c r="CQ32">
        <f>IF('Data Analysis'!1297:1297,"AAAAAE3/+l4=",0)</f>
        <v>0</v>
      </c>
      <c r="CR32">
        <f>IF('Data Analysis'!1298:1298,"AAAAAE3/+l8=",0)</f>
        <v>0</v>
      </c>
      <c r="CS32">
        <f>IF('Data Analysis'!1299:1299,"AAAAAE3/+mA=",0)</f>
        <v>0</v>
      </c>
      <c r="CT32">
        <f>IF('Data Analysis'!1300:1300,"AAAAAE3/+mE=",0)</f>
        <v>0</v>
      </c>
      <c r="CU32">
        <f>IF('Data Analysis'!1301:1301,"AAAAAE3/+mI=",0)</f>
        <v>0</v>
      </c>
      <c r="CV32">
        <f>IF('Data Analysis'!1302:1302,"AAAAAE3/+mM=",0)</f>
        <v>0</v>
      </c>
      <c r="CW32">
        <f>IF('Data Analysis'!1303:1303,"AAAAAE3/+mQ=",0)</f>
        <v>0</v>
      </c>
      <c r="CX32">
        <f>IF('Data Analysis'!1304:1304,"AAAAAE3/+mU=",0)</f>
        <v>0</v>
      </c>
      <c r="CY32">
        <f>IF('Data Analysis'!1305:1305,"AAAAAE3/+mY=",0)</f>
        <v>0</v>
      </c>
      <c r="CZ32">
        <f>IF('Data Analysis'!1306:1306,"AAAAAE3/+mc=",0)</f>
        <v>0</v>
      </c>
      <c r="DA32">
        <f>IF('Data Analysis'!1307:1307,"AAAAAE3/+mg=",0)</f>
        <v>0</v>
      </c>
      <c r="DB32">
        <f>IF('Data Analysis'!1308:1308,"AAAAAE3/+mk=",0)</f>
        <v>0</v>
      </c>
      <c r="DC32">
        <f>IF('Data Analysis'!1309:1309,"AAAAAE3/+mo=",0)</f>
        <v>0</v>
      </c>
      <c r="DD32">
        <f>IF('Data Analysis'!1310:1310,"AAAAAE3/+ms=",0)</f>
        <v>0</v>
      </c>
      <c r="DE32">
        <f>IF('Data Analysis'!1311:1311,"AAAAAE3/+mw=",0)</f>
        <v>0</v>
      </c>
      <c r="DF32">
        <f>IF('Data Analysis'!1312:1312,"AAAAAE3/+m0=",0)</f>
        <v>0</v>
      </c>
      <c r="DG32">
        <f>IF('Data Analysis'!1313:1313,"AAAAAE3/+m4=",0)</f>
        <v>0</v>
      </c>
      <c r="DH32">
        <f>IF('Data Analysis'!1314:1314,"AAAAAE3/+m8=",0)</f>
        <v>0</v>
      </c>
      <c r="DI32">
        <f>IF('Data Analysis'!1315:1315,"AAAAAE3/+nA=",0)</f>
        <v>0</v>
      </c>
      <c r="DJ32">
        <f>IF('Data Analysis'!1316:1316,"AAAAAE3/+nE=",0)</f>
        <v>0</v>
      </c>
      <c r="DK32">
        <f>IF('Data Analysis'!1317:1317,"AAAAAE3/+nI=",0)</f>
        <v>0</v>
      </c>
      <c r="DL32">
        <f>IF('Data Analysis'!1318:1318,"AAAAAE3/+nM=",0)</f>
        <v>0</v>
      </c>
      <c r="DM32">
        <f>IF('Data Analysis'!1319:1319,"AAAAAE3/+nQ=",0)</f>
        <v>0</v>
      </c>
      <c r="DN32">
        <f>IF('Data Analysis'!1320:1320,"AAAAAE3/+nU=",0)</f>
        <v>0</v>
      </c>
      <c r="DO32">
        <f>IF('Data Analysis'!1321:1321,"AAAAAE3/+nY=",0)</f>
        <v>0</v>
      </c>
      <c r="DP32">
        <f>IF('Data Analysis'!1322:1322,"AAAAAE3/+nc=",0)</f>
        <v>0</v>
      </c>
      <c r="DQ32">
        <f>IF('Data Analysis'!1323:1323,"AAAAAE3/+ng=",0)</f>
        <v>0</v>
      </c>
      <c r="DR32">
        <f>IF('Data Analysis'!1324:1324,"AAAAAE3/+nk=",0)</f>
        <v>0</v>
      </c>
      <c r="DS32">
        <f>IF('Data Analysis'!1325:1325,"AAAAAE3/+no=",0)</f>
        <v>0</v>
      </c>
      <c r="DT32">
        <f>IF('Data Analysis'!1326:1326,"AAAAAE3/+ns=",0)</f>
        <v>0</v>
      </c>
      <c r="DU32">
        <f>IF('Data Analysis'!1327:1327,"AAAAAE3/+nw=",0)</f>
        <v>0</v>
      </c>
      <c r="DV32">
        <f>IF('Data Analysis'!1328:1328,"AAAAAE3/+n0=",0)</f>
        <v>0</v>
      </c>
      <c r="DW32">
        <f>IF('Data Analysis'!1329:1329,"AAAAAE3/+n4=",0)</f>
        <v>0</v>
      </c>
      <c r="DX32">
        <f>IF('Data Analysis'!1330:1330,"AAAAAE3/+n8=",0)</f>
        <v>0</v>
      </c>
      <c r="DY32">
        <f>IF('Data Analysis'!1331:1331,"AAAAAE3/+oA=",0)</f>
        <v>0</v>
      </c>
      <c r="DZ32">
        <f>IF('Data Analysis'!1332:1332,"AAAAAE3/+oE=",0)</f>
        <v>0</v>
      </c>
      <c r="EA32">
        <f>IF('Data Analysis'!1333:1333,"AAAAAE3/+oI=",0)</f>
        <v>0</v>
      </c>
      <c r="EB32">
        <f>IF('Data Analysis'!1334:1334,"AAAAAE3/+oM=",0)</f>
        <v>0</v>
      </c>
      <c r="EC32">
        <f>IF('Data Analysis'!1335:1335,"AAAAAE3/+oQ=",0)</f>
        <v>0</v>
      </c>
      <c r="ED32">
        <f>IF('Data Analysis'!1336:1336,"AAAAAE3/+oU=",0)</f>
        <v>0</v>
      </c>
      <c r="EE32">
        <f>IF('Data Analysis'!1337:1337,"AAAAAE3/+oY=",0)</f>
        <v>0</v>
      </c>
      <c r="EF32">
        <f>IF('Data Analysis'!1338:1338,"AAAAAE3/+oc=",0)</f>
        <v>0</v>
      </c>
      <c r="EG32">
        <f>IF('Data Analysis'!1339:1339,"AAAAAE3/+og=",0)</f>
        <v>0</v>
      </c>
      <c r="EH32">
        <f>IF('Data Analysis'!1340:1340,"AAAAAE3/+ok=",0)</f>
        <v>0</v>
      </c>
      <c r="EI32">
        <f>IF('Data Analysis'!1341:1341,"AAAAAE3/+oo=",0)</f>
        <v>0</v>
      </c>
      <c r="EJ32">
        <f>IF('Data Analysis'!1342:1342,"AAAAAE3/+os=",0)</f>
        <v>0</v>
      </c>
      <c r="EK32">
        <f>IF('Data Analysis'!1343:1343,"AAAAAE3/+ow=",0)</f>
        <v>0</v>
      </c>
      <c r="EL32">
        <f>IF('Data Analysis'!1344:1344,"AAAAAE3/+o0=",0)</f>
        <v>0</v>
      </c>
      <c r="EM32">
        <f>IF('Data Analysis'!1345:1345,"AAAAAE3/+o4=",0)</f>
        <v>0</v>
      </c>
      <c r="EN32">
        <f>IF('Data Analysis'!1346:1346,"AAAAAE3/+o8=",0)</f>
        <v>0</v>
      </c>
      <c r="EO32">
        <f>IF('Data Analysis'!1347:1347,"AAAAAE3/+pA=",0)</f>
        <v>0</v>
      </c>
      <c r="EP32">
        <f>IF('Data Analysis'!1348:1348,"AAAAAE3/+pE=",0)</f>
        <v>0</v>
      </c>
      <c r="EQ32">
        <f>IF('Data Analysis'!1349:1349,"AAAAAE3/+pI=",0)</f>
        <v>0</v>
      </c>
      <c r="ER32">
        <f>IF('Data Analysis'!1350:1350,"AAAAAE3/+pM=",0)</f>
        <v>0</v>
      </c>
      <c r="ES32">
        <f>IF('Data Analysis'!1351:1351,"AAAAAE3/+pQ=",0)</f>
        <v>0</v>
      </c>
      <c r="ET32">
        <f>IF('Data Analysis'!1352:1352,"AAAAAE3/+pU=",0)</f>
        <v>0</v>
      </c>
      <c r="EU32">
        <f>IF('Data Analysis'!1353:1353,"AAAAAE3/+pY=",0)</f>
        <v>0</v>
      </c>
      <c r="EV32">
        <f>IF('Data Analysis'!1354:1354,"AAAAAE3/+pc=",0)</f>
        <v>0</v>
      </c>
      <c r="EW32">
        <f>IF('Data Analysis'!1355:1355,"AAAAAE3/+pg=",0)</f>
        <v>0</v>
      </c>
      <c r="EX32">
        <f>IF('Data Analysis'!1356:1356,"AAAAAE3/+pk=",0)</f>
        <v>0</v>
      </c>
      <c r="EY32">
        <f>IF('Data Analysis'!1357:1357,"AAAAAE3/+po=",0)</f>
        <v>0</v>
      </c>
      <c r="EZ32">
        <f>IF('Data Analysis'!1358:1358,"AAAAAE3/+ps=",0)</f>
        <v>0</v>
      </c>
      <c r="FA32">
        <f>IF('Data Analysis'!1359:1359,"AAAAAE3/+pw=",0)</f>
        <v>0</v>
      </c>
      <c r="FB32">
        <f>IF('Data Analysis'!1360:1360,"AAAAAE3/+p0=",0)</f>
        <v>0</v>
      </c>
      <c r="FC32">
        <f>IF('Data Analysis'!1361:1361,"AAAAAE3/+p4=",0)</f>
        <v>0</v>
      </c>
      <c r="FD32">
        <f>IF('Data Analysis'!1362:1362,"AAAAAE3/+p8=",0)</f>
        <v>0</v>
      </c>
      <c r="FE32">
        <f>IF('Data Analysis'!1363:1363,"AAAAAE3/+qA=",0)</f>
        <v>0</v>
      </c>
      <c r="FF32">
        <f>IF('Data Analysis'!1364:1364,"AAAAAE3/+qE=",0)</f>
        <v>0</v>
      </c>
      <c r="FG32">
        <f>IF('Data Analysis'!1365:1365,"AAAAAE3/+qI=",0)</f>
        <v>0</v>
      </c>
      <c r="FH32">
        <f>IF('Data Analysis'!1366:1366,"AAAAAE3/+qM=",0)</f>
        <v>0</v>
      </c>
      <c r="FI32">
        <f>IF('Data Analysis'!1367:1367,"AAAAAE3/+qQ=",0)</f>
        <v>0</v>
      </c>
      <c r="FJ32">
        <f>IF('Data Analysis'!1368:1368,"AAAAAE3/+qU=",0)</f>
        <v>0</v>
      </c>
      <c r="FK32">
        <f>IF('Data Analysis'!1369:1369,"AAAAAE3/+qY=",0)</f>
        <v>0</v>
      </c>
      <c r="FL32">
        <f>IF('Data Analysis'!1370:1370,"AAAAAE3/+qc=",0)</f>
        <v>0</v>
      </c>
      <c r="FM32">
        <f>IF('Data Analysis'!1371:1371,"AAAAAE3/+qg=",0)</f>
        <v>0</v>
      </c>
      <c r="FN32">
        <f>IF('Data Analysis'!1372:1372,"AAAAAE3/+qk=",0)</f>
        <v>0</v>
      </c>
      <c r="FO32">
        <f>IF('Data Analysis'!1373:1373,"AAAAAE3/+qo=",0)</f>
        <v>0</v>
      </c>
      <c r="FP32">
        <f>IF('Data Analysis'!1374:1374,"AAAAAE3/+qs=",0)</f>
        <v>0</v>
      </c>
      <c r="FQ32">
        <f>IF('Data Analysis'!1375:1375,"AAAAAE3/+qw=",0)</f>
        <v>0</v>
      </c>
      <c r="FR32">
        <f>IF('Data Analysis'!1376:1376,"AAAAAE3/+q0=",0)</f>
        <v>0</v>
      </c>
      <c r="FS32">
        <f>IF('Data Analysis'!1377:1377,"AAAAAE3/+q4=",0)</f>
        <v>0</v>
      </c>
      <c r="FT32">
        <f>IF('Data Analysis'!1378:1378,"AAAAAE3/+q8=",0)</f>
        <v>0</v>
      </c>
      <c r="FU32">
        <f>IF('Data Analysis'!1379:1379,"AAAAAE3/+rA=",0)</f>
        <v>0</v>
      </c>
      <c r="FV32">
        <f>IF('Data Analysis'!1380:1380,"AAAAAE3/+rE=",0)</f>
        <v>0</v>
      </c>
      <c r="FW32">
        <f>IF('Data Analysis'!1381:1381,"AAAAAE3/+rI=",0)</f>
        <v>0</v>
      </c>
      <c r="FX32">
        <f>IF('Data Analysis'!1382:1382,"AAAAAE3/+rM=",0)</f>
        <v>0</v>
      </c>
      <c r="FY32">
        <f>IF('Data Analysis'!1383:1383,"AAAAAE3/+rQ=",0)</f>
        <v>0</v>
      </c>
      <c r="FZ32">
        <f>IF('Data Analysis'!1384:1384,"AAAAAE3/+rU=",0)</f>
        <v>0</v>
      </c>
      <c r="GA32">
        <f>IF('Data Analysis'!1385:1385,"AAAAAE3/+rY=",0)</f>
        <v>0</v>
      </c>
      <c r="GB32">
        <f>IF('Data Analysis'!1386:1386,"AAAAAE3/+rc=",0)</f>
        <v>0</v>
      </c>
      <c r="GC32">
        <f>IF('Data Analysis'!1387:1387,"AAAAAE3/+rg=",0)</f>
        <v>0</v>
      </c>
      <c r="GD32">
        <f>IF('Data Analysis'!1388:1388,"AAAAAE3/+rk=",0)</f>
        <v>0</v>
      </c>
      <c r="GE32">
        <f>IF('Data Analysis'!1389:1389,"AAAAAE3/+ro=",0)</f>
        <v>0</v>
      </c>
      <c r="GF32">
        <f>IF('Data Analysis'!1390:1390,"AAAAAE3/+rs=",0)</f>
        <v>0</v>
      </c>
      <c r="GG32">
        <f>IF('Data Analysis'!1391:1391,"AAAAAE3/+rw=",0)</f>
        <v>0</v>
      </c>
      <c r="GH32">
        <f>IF('Data Analysis'!1392:1392,"AAAAAE3/+r0=",0)</f>
        <v>0</v>
      </c>
      <c r="GI32">
        <f>IF('Data Analysis'!1393:1393,"AAAAAE3/+r4=",0)</f>
        <v>0</v>
      </c>
      <c r="GJ32">
        <f>IF('Data Analysis'!1394:1394,"AAAAAE3/+r8=",0)</f>
        <v>0</v>
      </c>
      <c r="GK32">
        <f>IF('Data Analysis'!1395:1395,"AAAAAE3/+sA=",0)</f>
        <v>0</v>
      </c>
      <c r="GL32">
        <f>IF('Data Analysis'!1396:1396,"AAAAAE3/+sE=",0)</f>
        <v>0</v>
      </c>
      <c r="GM32">
        <f>IF('Data Analysis'!1397:1397,"AAAAAE3/+sI=",0)</f>
        <v>0</v>
      </c>
      <c r="GN32">
        <f>IF('Data Analysis'!1398:1398,"AAAAAE3/+sM=",0)</f>
        <v>0</v>
      </c>
      <c r="GO32">
        <f>IF('Data Analysis'!1399:1399,"AAAAAE3/+sQ=",0)</f>
        <v>0</v>
      </c>
      <c r="GP32">
        <f>IF('Data Analysis'!1400:1400,"AAAAAE3/+sU=",0)</f>
        <v>0</v>
      </c>
      <c r="GQ32">
        <f>IF('Data Analysis'!1401:1401,"AAAAAE3/+sY=",0)</f>
        <v>0</v>
      </c>
      <c r="GR32">
        <f>IF('Data Analysis'!1402:1402,"AAAAAE3/+sc=",0)</f>
        <v>0</v>
      </c>
      <c r="GS32">
        <f>IF('Data Analysis'!1403:1403,"AAAAAE3/+sg=",0)</f>
        <v>0</v>
      </c>
      <c r="GT32">
        <f>IF('Data Analysis'!1404:1404,"AAAAAE3/+sk=",0)</f>
        <v>0</v>
      </c>
      <c r="GU32">
        <f>IF('Data Analysis'!1405:1405,"AAAAAE3/+so=",0)</f>
        <v>0</v>
      </c>
      <c r="GV32">
        <f>IF('Data Analysis'!1406:1406,"AAAAAE3/+ss=",0)</f>
        <v>0</v>
      </c>
      <c r="GW32">
        <f>IF('Data Analysis'!1407:1407,"AAAAAE3/+sw=",0)</f>
        <v>0</v>
      </c>
      <c r="GX32">
        <f>IF('Data Analysis'!1408:1408,"AAAAAE3/+s0=",0)</f>
        <v>0</v>
      </c>
      <c r="GY32">
        <f>IF('Data Analysis'!1409:1409,"AAAAAE3/+s4=",0)</f>
        <v>0</v>
      </c>
      <c r="GZ32">
        <f>IF('Data Analysis'!1410:1410,"AAAAAE3/+s8=",0)</f>
        <v>0</v>
      </c>
      <c r="HA32">
        <f>IF('Data Analysis'!1411:1411,"AAAAAE3/+tA=",0)</f>
        <v>0</v>
      </c>
      <c r="HB32">
        <f>IF('Data Analysis'!1412:1412,"AAAAAE3/+tE=",0)</f>
        <v>0</v>
      </c>
      <c r="HC32">
        <f>IF('Data Analysis'!1413:1413,"AAAAAE3/+tI=",0)</f>
        <v>0</v>
      </c>
      <c r="HD32">
        <f>IF('Data Analysis'!1414:1414,"AAAAAE3/+tM=",0)</f>
        <v>0</v>
      </c>
      <c r="HE32">
        <f>IF('Data Analysis'!1415:1415,"AAAAAE3/+tQ=",0)</f>
        <v>0</v>
      </c>
      <c r="HF32">
        <f>IF('Data Analysis'!1416:1416,"AAAAAE3/+tU=",0)</f>
        <v>0</v>
      </c>
      <c r="HG32">
        <f>IF('Data Analysis'!1417:1417,"AAAAAE3/+tY=",0)</f>
        <v>0</v>
      </c>
      <c r="HH32">
        <f>IF('Data Analysis'!1418:1418,"AAAAAE3/+tc=",0)</f>
        <v>0</v>
      </c>
      <c r="HI32">
        <f>IF('Data Analysis'!1419:1419,"AAAAAE3/+tg=",0)</f>
        <v>0</v>
      </c>
      <c r="HJ32">
        <f>IF('Data Analysis'!1420:1420,"AAAAAE3/+tk=",0)</f>
        <v>0</v>
      </c>
      <c r="HK32">
        <f>IF('Data Analysis'!1421:1421,"AAAAAE3/+to=",0)</f>
        <v>0</v>
      </c>
      <c r="HL32">
        <f>IF('Data Analysis'!1422:1422,"AAAAAE3/+ts=",0)</f>
        <v>0</v>
      </c>
      <c r="HM32">
        <f>IF('Data Analysis'!1423:1423,"AAAAAE3/+tw=",0)</f>
        <v>0</v>
      </c>
      <c r="HN32">
        <f>IF('Data Analysis'!1424:1424,"AAAAAE3/+t0=",0)</f>
        <v>0</v>
      </c>
      <c r="HO32">
        <f>IF('Data Analysis'!1425:1425,"AAAAAE3/+t4=",0)</f>
        <v>0</v>
      </c>
      <c r="HP32">
        <f>IF('Data Analysis'!1426:1426,"AAAAAE3/+t8=",0)</f>
        <v>0</v>
      </c>
      <c r="HQ32">
        <f>IF('Data Analysis'!1427:1427,"AAAAAE3/+uA=",0)</f>
        <v>0</v>
      </c>
      <c r="HR32">
        <f>IF('Data Analysis'!1428:1428,"AAAAAE3/+uE=",0)</f>
        <v>0</v>
      </c>
      <c r="HS32">
        <f>IF('Data Analysis'!1429:1429,"AAAAAE3/+uI=",0)</f>
        <v>0</v>
      </c>
      <c r="HT32">
        <f>IF('Data Analysis'!1430:1430,"AAAAAE3/+uM=",0)</f>
        <v>0</v>
      </c>
      <c r="HU32">
        <f>IF('Data Analysis'!1431:1431,"AAAAAE3/+uQ=",0)</f>
        <v>0</v>
      </c>
      <c r="HV32">
        <f>IF('Data Analysis'!1432:1432,"AAAAAE3/+uU=",0)</f>
        <v>0</v>
      </c>
      <c r="HW32">
        <f>IF('Data Analysis'!1433:1433,"AAAAAE3/+uY=",0)</f>
        <v>0</v>
      </c>
      <c r="HX32">
        <f>IF('Data Analysis'!1434:1434,"AAAAAE3/+uc=",0)</f>
        <v>0</v>
      </c>
      <c r="HY32">
        <f>IF('Data Analysis'!1435:1435,"AAAAAE3/+ug=",0)</f>
        <v>0</v>
      </c>
      <c r="HZ32">
        <f>IF('Data Analysis'!1436:1436,"AAAAAE3/+uk=",0)</f>
        <v>0</v>
      </c>
      <c r="IA32">
        <f>IF('Data Analysis'!1437:1437,"AAAAAE3/+uo=",0)</f>
        <v>0</v>
      </c>
      <c r="IB32">
        <f>IF('Data Analysis'!1438:1438,"AAAAAE3/+us=",0)</f>
        <v>0</v>
      </c>
      <c r="IC32">
        <f>IF('Data Analysis'!1439:1439,"AAAAAE3/+uw=",0)</f>
        <v>0</v>
      </c>
      <c r="ID32">
        <f>IF('Data Analysis'!1440:1440,"AAAAAE3/+u0=",0)</f>
        <v>0</v>
      </c>
      <c r="IE32">
        <f>IF('Data Analysis'!1441:1441,"AAAAAE3/+u4=",0)</f>
        <v>0</v>
      </c>
      <c r="IF32">
        <f>IF('Data Analysis'!1442:1442,"AAAAAE3/+u8=",0)</f>
        <v>0</v>
      </c>
      <c r="IG32">
        <f>IF('Data Analysis'!1443:1443,"AAAAAE3/+vA=",0)</f>
        <v>0</v>
      </c>
      <c r="IH32">
        <f>IF('Data Analysis'!1444:1444,"AAAAAE3/+vE=",0)</f>
        <v>0</v>
      </c>
      <c r="II32">
        <f>IF('Data Analysis'!1445:1445,"AAAAAE3/+vI=",0)</f>
        <v>0</v>
      </c>
      <c r="IJ32">
        <f>IF('Data Analysis'!1446:1446,"AAAAAE3/+vM=",0)</f>
        <v>0</v>
      </c>
      <c r="IK32">
        <f>IF('Data Analysis'!1447:1447,"AAAAAE3/+vQ=",0)</f>
        <v>0</v>
      </c>
      <c r="IL32">
        <f>IF('Data Analysis'!1448:1448,"AAAAAE3/+vU=",0)</f>
        <v>0</v>
      </c>
      <c r="IM32">
        <f>IF('Data Analysis'!1449:1449,"AAAAAE3/+vY=",0)</f>
        <v>0</v>
      </c>
      <c r="IN32">
        <f>IF('Data Analysis'!1450:1450,"AAAAAE3/+vc=",0)</f>
        <v>0</v>
      </c>
      <c r="IO32">
        <f>IF('Data Analysis'!1451:1451,"AAAAAE3/+vg=",0)</f>
        <v>0</v>
      </c>
      <c r="IP32">
        <f>IF('Data Analysis'!1452:1452,"AAAAAE3/+vk=",0)</f>
        <v>0</v>
      </c>
      <c r="IQ32">
        <f>IF('Data Analysis'!1453:1453,"AAAAAE3/+vo=",0)</f>
        <v>0</v>
      </c>
      <c r="IR32">
        <f>IF('Data Analysis'!1454:1454,"AAAAAE3/+vs=",0)</f>
        <v>0</v>
      </c>
      <c r="IS32">
        <f>IF('Data Analysis'!1455:1455,"AAAAAE3/+vw=",0)</f>
        <v>0</v>
      </c>
      <c r="IT32">
        <f>IF('Data Analysis'!1456:1456,"AAAAAE3/+v0=",0)</f>
        <v>0</v>
      </c>
      <c r="IU32">
        <f>IF('Data Analysis'!1457:1457,"AAAAAE3/+v4=",0)</f>
        <v>0</v>
      </c>
      <c r="IV32">
        <f>IF('Data Analysis'!1458:1458,"AAAAAE3/+v8=",0)</f>
        <v>0</v>
      </c>
    </row>
    <row r="33" spans="1:256" x14ac:dyDescent="0.2">
      <c r="A33">
        <f>IF('Data Analysis'!1459:1459,"AAAAAHf92gA=",0)</f>
        <v>0</v>
      </c>
      <c r="B33">
        <f>IF('Data Analysis'!1460:1460,"AAAAAHf92gE=",0)</f>
        <v>0</v>
      </c>
      <c r="C33">
        <f>IF('Data Analysis'!1461:1461,"AAAAAHf92gI=",0)</f>
        <v>0</v>
      </c>
      <c r="D33">
        <f>IF('Data Analysis'!1462:1462,"AAAAAHf92gM=",0)</f>
        <v>0</v>
      </c>
      <c r="E33">
        <f>IF('Data Analysis'!1463:1463,"AAAAAHf92gQ=",0)</f>
        <v>0</v>
      </c>
      <c r="F33">
        <f>IF('Data Analysis'!1464:1464,"AAAAAHf92gU=",0)</f>
        <v>0</v>
      </c>
      <c r="G33">
        <f>IF('Data Analysis'!1465:1465,"AAAAAHf92gY=",0)</f>
        <v>0</v>
      </c>
      <c r="H33">
        <f>IF('Data Analysis'!1466:1466,"AAAAAHf92gc=",0)</f>
        <v>0</v>
      </c>
      <c r="I33">
        <f>IF('Data Analysis'!1467:1467,"AAAAAHf92gg=",0)</f>
        <v>0</v>
      </c>
      <c r="J33">
        <f>IF('Data Analysis'!1468:1468,"AAAAAHf92gk=",0)</f>
        <v>0</v>
      </c>
      <c r="K33">
        <f>IF('Data Analysis'!1469:1469,"AAAAAHf92go=",0)</f>
        <v>0</v>
      </c>
      <c r="L33">
        <f>IF('Data Analysis'!1470:1470,"AAAAAHf92gs=",0)</f>
        <v>0</v>
      </c>
      <c r="M33">
        <f>IF('Data Analysis'!1471:1471,"AAAAAHf92gw=",0)</f>
        <v>0</v>
      </c>
      <c r="N33">
        <f>IF('Data Analysis'!1472:1472,"AAAAAHf92g0=",0)</f>
        <v>0</v>
      </c>
      <c r="O33">
        <f>IF('Data Analysis'!1473:1473,"AAAAAHf92g4=",0)</f>
        <v>0</v>
      </c>
      <c r="P33">
        <f>IF('Data Analysis'!1474:1474,"AAAAAHf92g8=",0)</f>
        <v>0</v>
      </c>
      <c r="Q33">
        <f>IF('Data Analysis'!1475:1475,"AAAAAHf92hA=",0)</f>
        <v>0</v>
      </c>
      <c r="R33">
        <f>IF('Data Analysis'!1476:1476,"AAAAAHf92hE=",0)</f>
        <v>0</v>
      </c>
      <c r="S33">
        <f>IF('Data Analysis'!1477:1477,"AAAAAHf92hI=",0)</f>
        <v>0</v>
      </c>
      <c r="T33">
        <f>IF('Data Analysis'!1478:1478,"AAAAAHf92hM=",0)</f>
        <v>0</v>
      </c>
      <c r="U33">
        <f>IF('Data Analysis'!1479:1479,"AAAAAHf92hQ=",0)</f>
        <v>0</v>
      </c>
      <c r="V33">
        <f>IF('Data Analysis'!1480:1480,"AAAAAHf92hU=",0)</f>
        <v>0</v>
      </c>
      <c r="W33">
        <f>IF('Data Analysis'!1481:1481,"AAAAAHf92hY=",0)</f>
        <v>0</v>
      </c>
      <c r="X33">
        <f>IF('Data Analysis'!1482:1482,"AAAAAHf92hc=",0)</f>
        <v>0</v>
      </c>
      <c r="Y33">
        <f>IF('Data Analysis'!1483:1483,"AAAAAHf92hg=",0)</f>
        <v>0</v>
      </c>
      <c r="Z33">
        <f>IF('Data Analysis'!1484:1484,"AAAAAHf92hk=",0)</f>
        <v>0</v>
      </c>
      <c r="AA33">
        <f>IF('Data Analysis'!1485:1485,"AAAAAHf92ho=",0)</f>
        <v>0</v>
      </c>
      <c r="AB33">
        <f>IF('Data Analysis'!1486:1486,"AAAAAHf92hs=",0)</f>
        <v>0</v>
      </c>
      <c r="AC33">
        <f>IF('Data Analysis'!1487:1487,"AAAAAHf92hw=",0)</f>
        <v>0</v>
      </c>
      <c r="AD33">
        <f>IF('Data Analysis'!1488:1488,"AAAAAHf92h0=",0)</f>
        <v>0</v>
      </c>
      <c r="AE33">
        <f>IF('Data Analysis'!1489:1489,"AAAAAHf92h4=",0)</f>
        <v>0</v>
      </c>
      <c r="AF33">
        <f>IF('Data Analysis'!1490:1490,"AAAAAHf92h8=",0)</f>
        <v>0</v>
      </c>
      <c r="AG33">
        <f>IF('Data Analysis'!1491:1491,"AAAAAHf92iA=",0)</f>
        <v>0</v>
      </c>
      <c r="AH33">
        <f>IF('Data Analysis'!1492:1492,"AAAAAHf92iE=",0)</f>
        <v>0</v>
      </c>
      <c r="AI33">
        <f>IF('Data Analysis'!1493:1493,"AAAAAHf92iI=",0)</f>
        <v>0</v>
      </c>
      <c r="AJ33">
        <f>IF('Data Analysis'!1494:1494,"AAAAAHf92iM=",0)</f>
        <v>0</v>
      </c>
      <c r="AK33">
        <f>IF('Data Analysis'!1495:1495,"AAAAAHf92iQ=",0)</f>
        <v>0</v>
      </c>
      <c r="AL33">
        <f>IF('Data Analysis'!1496:1496,"AAAAAHf92iU=",0)</f>
        <v>0</v>
      </c>
      <c r="AM33">
        <f>IF('Data Analysis'!1497:1497,"AAAAAHf92iY=",0)</f>
        <v>0</v>
      </c>
      <c r="AN33">
        <f>IF('Data Analysis'!1498:1498,"AAAAAHf92ic=",0)</f>
        <v>0</v>
      </c>
      <c r="AO33">
        <f>IF('Data Analysis'!1499:1499,"AAAAAHf92ig=",0)</f>
        <v>0</v>
      </c>
      <c r="AP33">
        <f>IF('Data Analysis'!1500:1500,"AAAAAHf92ik=",0)</f>
        <v>0</v>
      </c>
      <c r="AQ33">
        <f>IF('Data Analysis'!1501:1501,"AAAAAHf92io=",0)</f>
        <v>0</v>
      </c>
      <c r="AR33">
        <f>IF('Data Analysis'!1502:1502,"AAAAAHf92is=",0)</f>
        <v>0</v>
      </c>
      <c r="AS33">
        <f>IF('Data Analysis'!1503:1503,"AAAAAHf92iw=",0)</f>
        <v>0</v>
      </c>
      <c r="AT33">
        <f>IF('Data Analysis'!1504:1504,"AAAAAHf92i0=",0)</f>
        <v>0</v>
      </c>
      <c r="AU33">
        <f>IF('Data Analysis'!1505:1505,"AAAAAHf92i4=",0)</f>
        <v>0</v>
      </c>
      <c r="AV33">
        <f>IF('Data Analysis'!1506:1506,"AAAAAHf92i8=",0)</f>
        <v>0</v>
      </c>
      <c r="AW33">
        <f>IF('Data Analysis'!1507:1507,"AAAAAHf92jA=",0)</f>
        <v>0</v>
      </c>
      <c r="AX33">
        <f>IF('Data Analysis'!1508:1508,"AAAAAHf92jE=",0)</f>
        <v>0</v>
      </c>
      <c r="AY33">
        <f>IF('Data Analysis'!1509:1509,"AAAAAHf92jI=",0)</f>
        <v>0</v>
      </c>
      <c r="AZ33">
        <f>IF('Data Analysis'!1510:1510,"AAAAAHf92jM=",0)</f>
        <v>0</v>
      </c>
      <c r="BA33">
        <f>IF('Data Analysis'!1511:1511,"AAAAAHf92jQ=",0)</f>
        <v>0</v>
      </c>
      <c r="BB33">
        <f>IF('Data Analysis'!1512:1512,"AAAAAHf92jU=",0)</f>
        <v>0</v>
      </c>
      <c r="BC33">
        <f>IF('Data Analysis'!1513:1513,"AAAAAHf92jY=",0)</f>
        <v>0</v>
      </c>
      <c r="BD33">
        <f>IF('Data Analysis'!1514:1514,"AAAAAHf92jc=",0)</f>
        <v>0</v>
      </c>
      <c r="BE33">
        <f>IF('Data Analysis'!1515:1515,"AAAAAHf92jg=",0)</f>
        <v>0</v>
      </c>
      <c r="BF33">
        <f>IF('Data Analysis'!1516:1516,"AAAAAHf92jk=",0)</f>
        <v>0</v>
      </c>
      <c r="BG33">
        <f>IF('Data Analysis'!1517:1517,"AAAAAHf92jo=",0)</f>
        <v>0</v>
      </c>
      <c r="BH33">
        <f>IF('Data Analysis'!1518:1518,"AAAAAHf92js=",0)</f>
        <v>0</v>
      </c>
      <c r="BI33">
        <f>IF('Data Analysis'!1519:1519,"AAAAAHf92jw=",0)</f>
        <v>0</v>
      </c>
      <c r="BJ33">
        <f>IF('Data Analysis'!1520:1520,"AAAAAHf92j0=",0)</f>
        <v>0</v>
      </c>
      <c r="BK33">
        <f>IF('Data Analysis'!1521:1521,"AAAAAHf92j4=",0)</f>
        <v>0</v>
      </c>
      <c r="BL33">
        <f>IF('Data Analysis'!1522:1522,"AAAAAHf92j8=",0)</f>
        <v>0</v>
      </c>
      <c r="BM33">
        <f>IF('Data Analysis'!1523:1523,"AAAAAHf92kA=",0)</f>
        <v>0</v>
      </c>
      <c r="BN33">
        <f>IF('Data Analysis'!1524:1524,"AAAAAHf92kE=",0)</f>
        <v>0</v>
      </c>
      <c r="BO33">
        <f>IF('Data Analysis'!1525:1525,"AAAAAHf92kI=",0)</f>
        <v>0</v>
      </c>
      <c r="BP33">
        <f>IF('Data Analysis'!1526:1526,"AAAAAHf92kM=",0)</f>
        <v>0</v>
      </c>
      <c r="BQ33">
        <f>IF('Data Analysis'!1527:1527,"AAAAAHf92kQ=",0)</f>
        <v>0</v>
      </c>
      <c r="BR33">
        <f>IF('Data Analysis'!1528:1528,"AAAAAHf92kU=",0)</f>
        <v>0</v>
      </c>
      <c r="BS33">
        <f>IF('Data Analysis'!1529:1529,"AAAAAHf92kY=",0)</f>
        <v>0</v>
      </c>
      <c r="BT33">
        <f>IF('Data Analysis'!1530:1530,"AAAAAHf92kc=",0)</f>
        <v>0</v>
      </c>
      <c r="BU33">
        <f>IF('Data Analysis'!1531:1531,"AAAAAHf92kg=",0)</f>
        <v>0</v>
      </c>
      <c r="BV33">
        <f>IF('Data Analysis'!1532:1532,"AAAAAHf92kk=",0)</f>
        <v>0</v>
      </c>
      <c r="BW33">
        <f>IF('Data Analysis'!1533:1533,"AAAAAHf92ko=",0)</f>
        <v>0</v>
      </c>
      <c r="BX33">
        <f>IF('Data Analysis'!1534:1534,"AAAAAHf92ks=",0)</f>
        <v>0</v>
      </c>
      <c r="BY33">
        <f>IF('Data Analysis'!1535:1535,"AAAAAHf92kw=",0)</f>
        <v>0</v>
      </c>
      <c r="BZ33">
        <f>IF('Data Analysis'!1536:1536,"AAAAAHf92k0=",0)</f>
        <v>0</v>
      </c>
      <c r="CA33">
        <f>IF('Data Analysis'!1537:1537,"AAAAAHf92k4=",0)</f>
        <v>0</v>
      </c>
      <c r="CB33">
        <f>IF('Data Analysis'!1538:1538,"AAAAAHf92k8=",0)</f>
        <v>0</v>
      </c>
      <c r="CC33">
        <f>IF('Data Analysis'!1539:1539,"AAAAAHf92lA=",0)</f>
        <v>0</v>
      </c>
      <c r="CD33">
        <f>IF('Data Analysis'!1540:1540,"AAAAAHf92lE=",0)</f>
        <v>0</v>
      </c>
      <c r="CE33">
        <f>IF('Data Analysis'!1541:1541,"AAAAAHf92lI=",0)</f>
        <v>0</v>
      </c>
      <c r="CF33">
        <f>IF('Data Analysis'!1542:1542,"AAAAAHf92lM=",0)</f>
        <v>0</v>
      </c>
      <c r="CG33">
        <f>IF('Data Analysis'!1543:1543,"AAAAAHf92lQ=",0)</f>
        <v>0</v>
      </c>
      <c r="CH33">
        <f>IF('Data Analysis'!1544:1544,"AAAAAHf92lU=",0)</f>
        <v>0</v>
      </c>
      <c r="CI33">
        <f>IF('Data Analysis'!1545:1545,"AAAAAHf92lY=",0)</f>
        <v>0</v>
      </c>
      <c r="CJ33">
        <f>IF('Data Analysis'!1546:1546,"AAAAAHf92lc=",0)</f>
        <v>0</v>
      </c>
      <c r="CK33">
        <f>IF('Data Analysis'!1547:1547,"AAAAAHf92lg=",0)</f>
        <v>0</v>
      </c>
      <c r="CL33">
        <f>IF('Data Analysis'!1548:1548,"AAAAAHf92lk=",0)</f>
        <v>0</v>
      </c>
      <c r="CM33">
        <f>IF('Data Analysis'!1549:1549,"AAAAAHf92lo=",0)</f>
        <v>0</v>
      </c>
      <c r="CN33">
        <f>IF('Data Analysis'!1550:1550,"AAAAAHf92ls=",0)</f>
        <v>0</v>
      </c>
      <c r="CO33">
        <f>IF('Data Analysis'!1551:1551,"AAAAAHf92lw=",0)</f>
        <v>0</v>
      </c>
      <c r="CP33">
        <f>IF('Data Analysis'!1552:1552,"AAAAAHf92l0=",0)</f>
        <v>0</v>
      </c>
      <c r="CQ33">
        <f>IF('Data Analysis'!1553:1553,"AAAAAHf92l4=",0)</f>
        <v>0</v>
      </c>
      <c r="CR33">
        <f>IF('Data Analysis'!1554:1554,"AAAAAHf92l8=",0)</f>
        <v>0</v>
      </c>
      <c r="CS33">
        <f>IF('Data Analysis'!1555:1555,"AAAAAHf92mA=",0)</f>
        <v>0</v>
      </c>
      <c r="CT33">
        <f>IF('Data Analysis'!1556:1556,"AAAAAHf92mE=",0)</f>
        <v>0</v>
      </c>
      <c r="CU33">
        <f>IF('Data Analysis'!1557:1557,"AAAAAHf92mI=",0)</f>
        <v>0</v>
      </c>
      <c r="CV33">
        <f>IF('Data Analysis'!1558:1558,"AAAAAHf92mM=",0)</f>
        <v>0</v>
      </c>
      <c r="CW33">
        <f>IF('Data Analysis'!1559:1559,"AAAAAHf92mQ=",0)</f>
        <v>0</v>
      </c>
      <c r="CX33">
        <f>IF('Data Analysis'!1560:1560,"AAAAAHf92mU=",0)</f>
        <v>0</v>
      </c>
      <c r="CY33">
        <f>IF('Data Analysis'!1561:1561,"AAAAAHf92mY=",0)</f>
        <v>0</v>
      </c>
      <c r="CZ33">
        <f>IF('Data Analysis'!1562:1562,"AAAAAHf92mc=",0)</f>
        <v>0</v>
      </c>
      <c r="DA33">
        <f>IF('Data Analysis'!1563:1563,"AAAAAHf92mg=",0)</f>
        <v>0</v>
      </c>
      <c r="DB33">
        <f>IF('Data Analysis'!1564:1564,"AAAAAHf92mk=",0)</f>
        <v>0</v>
      </c>
      <c r="DC33">
        <f>IF('Data Analysis'!1565:1565,"AAAAAHf92mo=",0)</f>
        <v>0</v>
      </c>
      <c r="DD33">
        <f>IF('Data Analysis'!1566:1566,"AAAAAHf92ms=",0)</f>
        <v>0</v>
      </c>
      <c r="DE33">
        <f>IF('Data Analysis'!1567:1567,"AAAAAHf92mw=",0)</f>
        <v>0</v>
      </c>
      <c r="DF33">
        <f>IF('Data Analysis'!1568:1568,"AAAAAHf92m0=",0)</f>
        <v>0</v>
      </c>
      <c r="DG33">
        <f>IF('Data Analysis'!1569:1569,"AAAAAHf92m4=",0)</f>
        <v>0</v>
      </c>
      <c r="DH33">
        <f>IF('Data Analysis'!1570:1570,"AAAAAHf92m8=",0)</f>
        <v>0</v>
      </c>
      <c r="DI33">
        <f>IF('Data Analysis'!1571:1571,"AAAAAHf92nA=",0)</f>
        <v>0</v>
      </c>
      <c r="DJ33">
        <f>IF('Data Analysis'!1572:1572,"AAAAAHf92nE=",0)</f>
        <v>0</v>
      </c>
      <c r="DK33">
        <f>IF('Data Analysis'!1573:1573,"AAAAAHf92nI=",0)</f>
        <v>0</v>
      </c>
      <c r="DL33">
        <f>IF('Data Analysis'!1574:1574,"AAAAAHf92nM=",0)</f>
        <v>0</v>
      </c>
      <c r="DM33">
        <f>IF('Data Analysis'!1575:1575,"AAAAAHf92nQ=",0)</f>
        <v>0</v>
      </c>
      <c r="DN33">
        <f>IF('Data Analysis'!1576:1576,"AAAAAHf92nU=",0)</f>
        <v>0</v>
      </c>
      <c r="DO33">
        <f>IF('Data Analysis'!1577:1577,"AAAAAHf92nY=",0)</f>
        <v>0</v>
      </c>
      <c r="DP33">
        <f>IF('Data Analysis'!1578:1578,"AAAAAHf92nc=",0)</f>
        <v>0</v>
      </c>
      <c r="DQ33">
        <f>IF('Data Analysis'!1579:1579,"AAAAAHf92ng=",0)</f>
        <v>0</v>
      </c>
      <c r="DR33">
        <f>IF('Data Analysis'!1580:1580,"AAAAAHf92nk=",0)</f>
        <v>0</v>
      </c>
      <c r="DS33">
        <f>IF('Data Analysis'!1581:1581,"AAAAAHf92no=",0)</f>
        <v>0</v>
      </c>
      <c r="DT33">
        <f>IF('Data Analysis'!1582:1582,"AAAAAHf92ns=",0)</f>
        <v>0</v>
      </c>
      <c r="DU33">
        <f>IF('Data Analysis'!1583:1583,"AAAAAHf92nw=",0)</f>
        <v>0</v>
      </c>
      <c r="DV33">
        <f>IF('Data Analysis'!1584:1584,"AAAAAHf92n0=",0)</f>
        <v>0</v>
      </c>
      <c r="DW33">
        <f>IF('Data Analysis'!1585:1585,"AAAAAHf92n4=",0)</f>
        <v>0</v>
      </c>
      <c r="DX33">
        <f>IF('Data Analysis'!1586:1586,"AAAAAHf92n8=",0)</f>
        <v>0</v>
      </c>
      <c r="DY33">
        <f>IF('Data Analysis'!1587:1587,"AAAAAHf92oA=",0)</f>
        <v>0</v>
      </c>
      <c r="DZ33">
        <f>IF('Data Analysis'!1588:1588,"AAAAAHf92oE=",0)</f>
        <v>0</v>
      </c>
      <c r="EA33">
        <f>IF('Data Analysis'!1589:1589,"AAAAAHf92oI=",0)</f>
        <v>0</v>
      </c>
      <c r="EB33">
        <f>IF('Data Analysis'!1590:1590,"AAAAAHf92oM=",0)</f>
        <v>0</v>
      </c>
      <c r="EC33">
        <f>IF('Data Analysis'!1591:1591,"AAAAAHf92oQ=",0)</f>
        <v>0</v>
      </c>
      <c r="ED33">
        <f>IF('Data Analysis'!1592:1592,"AAAAAHf92oU=",0)</f>
        <v>0</v>
      </c>
      <c r="EE33">
        <f>IF('Data Analysis'!1593:1593,"AAAAAHf92oY=",0)</f>
        <v>0</v>
      </c>
      <c r="EF33">
        <f>IF('Data Analysis'!1594:1594,"AAAAAHf92oc=",0)</f>
        <v>0</v>
      </c>
      <c r="EG33">
        <f>IF('Data Analysis'!1595:1595,"AAAAAHf92og=",0)</f>
        <v>0</v>
      </c>
      <c r="EH33">
        <f>IF('Data Analysis'!1596:1596,"AAAAAHf92ok=",0)</f>
        <v>0</v>
      </c>
      <c r="EI33">
        <f>IF('Data Analysis'!1597:1597,"AAAAAHf92oo=",0)</f>
        <v>0</v>
      </c>
      <c r="EJ33">
        <f>IF('Data Analysis'!1598:1598,"AAAAAHf92os=",0)</f>
        <v>0</v>
      </c>
      <c r="EK33">
        <f>IF('Data Analysis'!1599:1599,"AAAAAHf92ow=",0)</f>
        <v>0</v>
      </c>
      <c r="EL33">
        <f>IF('Data Analysis'!1600:1600,"AAAAAHf92o0=",0)</f>
        <v>0</v>
      </c>
      <c r="EM33">
        <f>IF('Data Analysis'!1601:1601,"AAAAAHf92o4=",0)</f>
        <v>0</v>
      </c>
      <c r="EN33">
        <f>IF('Data Analysis'!1602:1602,"AAAAAHf92o8=",0)</f>
        <v>0</v>
      </c>
      <c r="EO33">
        <f>IF('Data Analysis'!1603:1603,"AAAAAHf92pA=",0)</f>
        <v>0</v>
      </c>
      <c r="EP33">
        <f>IF('Data Analysis'!1604:1604,"AAAAAHf92pE=",0)</f>
        <v>0</v>
      </c>
      <c r="EQ33">
        <f>IF('Data Analysis'!1605:1605,"AAAAAHf92pI=",0)</f>
        <v>0</v>
      </c>
      <c r="ER33">
        <f>IF('Data Analysis'!1606:1606,"AAAAAHf92pM=",0)</f>
        <v>0</v>
      </c>
      <c r="ES33">
        <f>IF('Data Analysis'!1607:1607,"AAAAAHf92pQ=",0)</f>
        <v>0</v>
      </c>
      <c r="ET33">
        <f>IF('Data Analysis'!1608:1608,"AAAAAHf92pU=",0)</f>
        <v>0</v>
      </c>
      <c r="EU33">
        <f>IF('Data Analysis'!1609:1609,"AAAAAHf92pY=",0)</f>
        <v>0</v>
      </c>
      <c r="EV33">
        <f>IF('Data Analysis'!1610:1610,"AAAAAHf92pc=",0)</f>
        <v>0</v>
      </c>
      <c r="EW33">
        <f>IF('Data Analysis'!1611:1611,"AAAAAHf92pg=",0)</f>
        <v>0</v>
      </c>
      <c r="EX33">
        <f>IF('Data Analysis'!1612:1612,"AAAAAHf92pk=",0)</f>
        <v>0</v>
      </c>
      <c r="EY33">
        <f>IF('Data Analysis'!1613:1613,"AAAAAHf92po=",0)</f>
        <v>0</v>
      </c>
      <c r="EZ33">
        <f>IF('Data Analysis'!1614:1614,"AAAAAHf92ps=",0)</f>
        <v>0</v>
      </c>
      <c r="FA33">
        <f>IF('Data Analysis'!1615:1615,"AAAAAHf92pw=",0)</f>
        <v>0</v>
      </c>
      <c r="FB33">
        <f>IF('Data Analysis'!1616:1616,"AAAAAHf92p0=",0)</f>
        <v>0</v>
      </c>
      <c r="FC33">
        <f>IF('Data Analysis'!1617:1617,"AAAAAHf92p4=",0)</f>
        <v>0</v>
      </c>
      <c r="FD33">
        <f>IF('Data Analysis'!1618:1618,"AAAAAHf92p8=",0)</f>
        <v>0</v>
      </c>
      <c r="FE33">
        <f>IF('Data Analysis'!1619:1619,"AAAAAHf92qA=",0)</f>
        <v>0</v>
      </c>
      <c r="FF33">
        <f>IF('Data Analysis'!1620:1620,"AAAAAHf92qE=",0)</f>
        <v>0</v>
      </c>
      <c r="FG33">
        <f>IF('Data Analysis'!1621:1621,"AAAAAHf92qI=",0)</f>
        <v>0</v>
      </c>
      <c r="FH33">
        <f>IF('Data Analysis'!1622:1622,"AAAAAHf92qM=",0)</f>
        <v>0</v>
      </c>
      <c r="FI33">
        <f>IF('Data Analysis'!1623:1623,"AAAAAHf92qQ=",0)</f>
        <v>0</v>
      </c>
      <c r="FJ33">
        <f>IF('Data Analysis'!1624:1624,"AAAAAHf92qU=",0)</f>
        <v>0</v>
      </c>
      <c r="FK33">
        <f>IF('Data Analysis'!1625:1625,"AAAAAHf92qY=",0)</f>
        <v>0</v>
      </c>
      <c r="FL33">
        <f>IF('Data Analysis'!1626:1626,"AAAAAHf92qc=",0)</f>
        <v>0</v>
      </c>
      <c r="FM33">
        <f>IF('Data Analysis'!1627:1627,"AAAAAHf92qg=",0)</f>
        <v>0</v>
      </c>
      <c r="FN33">
        <f>IF('Data Analysis'!1628:1628,"AAAAAHf92qk=",0)</f>
        <v>0</v>
      </c>
      <c r="FO33">
        <f>IF('Data Analysis'!1629:1629,"AAAAAHf92qo=",0)</f>
        <v>0</v>
      </c>
      <c r="FP33">
        <f>IF('Data Analysis'!1630:1630,"AAAAAHf92qs=",0)</f>
        <v>0</v>
      </c>
      <c r="FQ33">
        <f>IF('Data Analysis'!1631:1631,"AAAAAHf92qw=",0)</f>
        <v>0</v>
      </c>
      <c r="FR33">
        <f>IF('Data Analysis'!1632:1632,"AAAAAHf92q0=",0)</f>
        <v>0</v>
      </c>
      <c r="FS33">
        <f>IF('Data Analysis'!1633:1633,"AAAAAHf92q4=",0)</f>
        <v>0</v>
      </c>
      <c r="FT33">
        <f>IF('Data Analysis'!1634:1634,"AAAAAHf92q8=",0)</f>
        <v>0</v>
      </c>
      <c r="FU33">
        <f>IF('Data Analysis'!1635:1635,"AAAAAHf92rA=",0)</f>
        <v>0</v>
      </c>
      <c r="FV33">
        <f>IF('Data Analysis'!1636:1636,"AAAAAHf92rE=",0)</f>
        <v>0</v>
      </c>
      <c r="FW33">
        <f>IF('Data Analysis'!1637:1637,"AAAAAHf92rI=",0)</f>
        <v>0</v>
      </c>
      <c r="FX33">
        <f>IF('Data Analysis'!1638:1638,"AAAAAHf92rM=",0)</f>
        <v>0</v>
      </c>
      <c r="FY33">
        <f>IF('Data Analysis'!1639:1639,"AAAAAHf92rQ=",0)</f>
        <v>0</v>
      </c>
      <c r="FZ33">
        <f>IF('Data Analysis'!1640:1640,"AAAAAHf92rU=",0)</f>
        <v>0</v>
      </c>
      <c r="GA33">
        <f>IF('Data Analysis'!1641:1641,"AAAAAHf92rY=",0)</f>
        <v>0</v>
      </c>
      <c r="GB33">
        <f>IF('Data Analysis'!1642:1642,"AAAAAHf92rc=",0)</f>
        <v>0</v>
      </c>
      <c r="GC33">
        <f>IF('Data Analysis'!1643:1643,"AAAAAHf92rg=",0)</f>
        <v>0</v>
      </c>
      <c r="GD33">
        <f>IF('Data Analysis'!1644:1644,"AAAAAHf92rk=",0)</f>
        <v>0</v>
      </c>
      <c r="GE33">
        <f>IF('Data Analysis'!1645:1645,"AAAAAHf92ro=",0)</f>
        <v>0</v>
      </c>
      <c r="GF33">
        <f>IF('Data Analysis'!1646:1646,"AAAAAHf92rs=",0)</f>
        <v>0</v>
      </c>
      <c r="GG33">
        <f>IF('Data Analysis'!1647:1647,"AAAAAHf92rw=",0)</f>
        <v>0</v>
      </c>
      <c r="GH33">
        <f>IF('Data Analysis'!1648:1648,"AAAAAHf92r0=",0)</f>
        <v>0</v>
      </c>
      <c r="GI33">
        <f>IF('Data Analysis'!1649:1649,"AAAAAHf92r4=",0)</f>
        <v>0</v>
      </c>
      <c r="GJ33">
        <f>IF('Data Analysis'!1650:1650,"AAAAAHf92r8=",0)</f>
        <v>0</v>
      </c>
      <c r="GK33">
        <f>IF('Data Analysis'!1651:1651,"AAAAAHf92sA=",0)</f>
        <v>0</v>
      </c>
      <c r="GL33">
        <f>IF('Data Analysis'!1652:1652,"AAAAAHf92sE=",0)</f>
        <v>0</v>
      </c>
      <c r="GM33">
        <f>IF('Data Analysis'!1653:1653,"AAAAAHf92sI=",0)</f>
        <v>0</v>
      </c>
      <c r="GN33">
        <f>IF('Data Analysis'!1654:1654,"AAAAAHf92sM=",0)</f>
        <v>0</v>
      </c>
      <c r="GO33">
        <f>IF('Data Analysis'!1655:1655,"AAAAAHf92sQ=",0)</f>
        <v>0</v>
      </c>
      <c r="GP33">
        <f>IF('Data Analysis'!1656:1656,"AAAAAHf92sU=",0)</f>
        <v>0</v>
      </c>
      <c r="GQ33">
        <f>IF('Data Analysis'!1657:1657,"AAAAAHf92sY=",0)</f>
        <v>0</v>
      </c>
      <c r="GR33">
        <f>IF('Data Analysis'!1658:1658,"AAAAAHf92sc=",0)</f>
        <v>0</v>
      </c>
      <c r="GS33">
        <f>IF('Data Analysis'!1659:1659,"AAAAAHf92sg=",0)</f>
        <v>0</v>
      </c>
      <c r="GT33">
        <f>IF('Data Analysis'!1660:1660,"AAAAAHf92sk=",0)</f>
        <v>0</v>
      </c>
      <c r="GU33">
        <f>IF('Data Analysis'!1661:1661,"AAAAAHf92so=",0)</f>
        <v>0</v>
      </c>
      <c r="GV33">
        <f>IF('Data Analysis'!1662:1662,"AAAAAHf92ss=",0)</f>
        <v>0</v>
      </c>
      <c r="GW33">
        <f>IF('Data Analysis'!1663:1663,"AAAAAHf92sw=",0)</f>
        <v>0</v>
      </c>
      <c r="GX33">
        <f>IF('Data Analysis'!1664:1664,"AAAAAHf92s0=",0)</f>
        <v>0</v>
      </c>
      <c r="GY33">
        <f>IF('Data Analysis'!1665:1665,"AAAAAHf92s4=",0)</f>
        <v>0</v>
      </c>
      <c r="GZ33">
        <f>IF('Data Analysis'!1666:1666,"AAAAAHf92s8=",0)</f>
        <v>0</v>
      </c>
      <c r="HA33">
        <f>IF('Data Analysis'!1667:1667,"AAAAAHf92tA=",0)</f>
        <v>0</v>
      </c>
      <c r="HB33">
        <f>IF('Data Analysis'!1668:1668,"AAAAAHf92tE=",0)</f>
        <v>0</v>
      </c>
      <c r="HC33">
        <f>IF('Data Analysis'!1669:1669,"AAAAAHf92tI=",0)</f>
        <v>0</v>
      </c>
      <c r="HD33">
        <f>IF('Data Analysis'!1670:1670,"AAAAAHf92tM=",0)</f>
        <v>0</v>
      </c>
      <c r="HE33">
        <f>IF('Data Analysis'!1671:1671,"AAAAAHf92tQ=",0)</f>
        <v>0</v>
      </c>
      <c r="HF33">
        <f>IF('Data Analysis'!1672:1672,"AAAAAHf92tU=",0)</f>
        <v>0</v>
      </c>
      <c r="HG33">
        <f>IF('Data Analysis'!1673:1673,"AAAAAHf92tY=",0)</f>
        <v>0</v>
      </c>
      <c r="HH33">
        <f>IF('Data Analysis'!1674:1674,"AAAAAHf92tc=",0)</f>
        <v>0</v>
      </c>
      <c r="HI33">
        <f>IF('Data Analysis'!1675:1675,"AAAAAHf92tg=",0)</f>
        <v>0</v>
      </c>
      <c r="HJ33">
        <f>IF('Data Analysis'!1676:1676,"AAAAAHf92tk=",0)</f>
        <v>0</v>
      </c>
      <c r="HK33">
        <f>IF('Data Analysis'!1677:1677,"AAAAAHf92to=",0)</f>
        <v>0</v>
      </c>
      <c r="HL33">
        <f>IF('Data Analysis'!1678:1678,"AAAAAHf92ts=",0)</f>
        <v>0</v>
      </c>
      <c r="HM33">
        <f>IF('Data Analysis'!1679:1679,"AAAAAHf92tw=",0)</f>
        <v>0</v>
      </c>
      <c r="HN33">
        <f>IF('Data Analysis'!1680:1680,"AAAAAHf92t0=",0)</f>
        <v>0</v>
      </c>
      <c r="HO33">
        <f>IF('Data Analysis'!1681:1681,"AAAAAHf92t4=",0)</f>
        <v>0</v>
      </c>
      <c r="HP33">
        <f>IF('Data Analysis'!1682:1682,"AAAAAHf92t8=",0)</f>
        <v>0</v>
      </c>
      <c r="HQ33">
        <f>IF('Data Analysis'!1683:1683,"AAAAAHf92uA=",0)</f>
        <v>0</v>
      </c>
      <c r="HR33">
        <f>IF('Data Analysis'!1684:1684,"AAAAAHf92uE=",0)</f>
        <v>0</v>
      </c>
      <c r="HS33">
        <f>IF('Data Analysis'!1685:1685,"AAAAAHf92uI=",0)</f>
        <v>0</v>
      </c>
      <c r="HT33">
        <f>IF('Data Analysis'!1686:1686,"AAAAAHf92uM=",0)</f>
        <v>0</v>
      </c>
      <c r="HU33">
        <f>IF('Data Analysis'!1687:1687,"AAAAAHf92uQ=",0)</f>
        <v>0</v>
      </c>
      <c r="HV33">
        <f>IF('Data Analysis'!1688:1688,"AAAAAHf92uU=",0)</f>
        <v>0</v>
      </c>
      <c r="HW33">
        <f>IF('Data Analysis'!1689:1689,"AAAAAHf92uY=",0)</f>
        <v>0</v>
      </c>
      <c r="HX33">
        <f>IF('Data Analysis'!1690:1690,"AAAAAHf92uc=",0)</f>
        <v>0</v>
      </c>
      <c r="HY33">
        <f>IF('Data Analysis'!1691:1691,"AAAAAHf92ug=",0)</f>
        <v>0</v>
      </c>
      <c r="HZ33">
        <f>IF('Data Analysis'!1692:1692,"AAAAAHf92uk=",0)</f>
        <v>0</v>
      </c>
      <c r="IA33">
        <f>IF('Data Analysis'!1693:1693,"AAAAAHf92uo=",0)</f>
        <v>0</v>
      </c>
      <c r="IB33">
        <f>IF('Data Analysis'!1694:1694,"AAAAAHf92us=",0)</f>
        <v>0</v>
      </c>
      <c r="IC33">
        <f>IF('Data Analysis'!1695:1695,"AAAAAHf92uw=",0)</f>
        <v>0</v>
      </c>
      <c r="ID33">
        <f>IF('Data Analysis'!1696:1696,"AAAAAHf92u0=",0)</f>
        <v>0</v>
      </c>
      <c r="IE33">
        <f>IF('Data Analysis'!1697:1697,"AAAAAHf92u4=",0)</f>
        <v>0</v>
      </c>
      <c r="IF33">
        <f>IF('Data Analysis'!1698:1698,"AAAAAHf92u8=",0)</f>
        <v>0</v>
      </c>
      <c r="IG33">
        <f>IF('Data Analysis'!1699:1699,"AAAAAHf92vA=",0)</f>
        <v>0</v>
      </c>
      <c r="IH33">
        <f>IF('Data Analysis'!1700:1700,"AAAAAHf92vE=",0)</f>
        <v>0</v>
      </c>
      <c r="II33">
        <f>IF('Data Analysis'!1701:1701,"AAAAAHf92vI=",0)</f>
        <v>0</v>
      </c>
      <c r="IJ33">
        <f>IF('Data Analysis'!1702:1702,"AAAAAHf92vM=",0)</f>
        <v>0</v>
      </c>
      <c r="IK33">
        <f>IF('Data Analysis'!1703:1703,"AAAAAHf92vQ=",0)</f>
        <v>0</v>
      </c>
      <c r="IL33">
        <f>IF('Data Analysis'!1704:1704,"AAAAAHf92vU=",0)</f>
        <v>0</v>
      </c>
      <c r="IM33">
        <f>IF('Data Analysis'!1705:1705,"AAAAAHf92vY=",0)</f>
        <v>0</v>
      </c>
      <c r="IN33">
        <f>IF('Data Analysis'!1706:1706,"AAAAAHf92vc=",0)</f>
        <v>0</v>
      </c>
      <c r="IO33">
        <f>IF('Data Analysis'!1707:1707,"AAAAAHf92vg=",0)</f>
        <v>0</v>
      </c>
      <c r="IP33">
        <f>IF('Data Analysis'!1708:1708,"AAAAAHf92vk=",0)</f>
        <v>0</v>
      </c>
      <c r="IQ33">
        <f>IF('Data Analysis'!1709:1709,"AAAAAHf92vo=",0)</f>
        <v>0</v>
      </c>
      <c r="IR33">
        <f>IF('Data Analysis'!1710:1710,"AAAAAHf92vs=",0)</f>
        <v>0</v>
      </c>
      <c r="IS33">
        <f>IF('Data Analysis'!1711:1711,"AAAAAHf92vw=",0)</f>
        <v>0</v>
      </c>
      <c r="IT33">
        <f>IF('Data Analysis'!1712:1712,"AAAAAHf92v0=",0)</f>
        <v>0</v>
      </c>
      <c r="IU33">
        <f>IF('Data Analysis'!1713:1713,"AAAAAHf92v4=",0)</f>
        <v>0</v>
      </c>
      <c r="IV33">
        <f>IF('Data Analysis'!1714:1714,"AAAAAHf92v8=",0)</f>
        <v>0</v>
      </c>
    </row>
    <row r="34" spans="1:256" x14ac:dyDescent="0.2">
      <c r="A34">
        <f>IF('Data Analysis'!1715:1715,"AAAAAB/trwA=",0)</f>
        <v>0</v>
      </c>
      <c r="B34">
        <f>IF('Data Analysis'!1716:1716,"AAAAAB/trwE=",0)</f>
        <v>0</v>
      </c>
      <c r="C34">
        <f>IF('Data Analysis'!1717:1717,"AAAAAB/trwI=",0)</f>
        <v>0</v>
      </c>
      <c r="D34">
        <f>IF('Data Analysis'!1718:1718,"AAAAAB/trwM=",0)</f>
        <v>0</v>
      </c>
      <c r="E34">
        <f>IF('Data Analysis'!1719:1719,"AAAAAB/trwQ=",0)</f>
        <v>0</v>
      </c>
      <c r="F34">
        <f>IF('Data Analysis'!1720:1720,"AAAAAB/trwU=",0)</f>
        <v>0</v>
      </c>
      <c r="G34">
        <f>IF('Data Analysis'!1721:1721,"AAAAAB/trwY=",0)</f>
        <v>0</v>
      </c>
      <c r="H34">
        <f>IF('Data Analysis'!1722:1722,"AAAAAB/trwc=",0)</f>
        <v>0</v>
      </c>
      <c r="I34">
        <f>IF('Data Analysis'!1723:1723,"AAAAAB/trwg=",0)</f>
        <v>0</v>
      </c>
      <c r="J34">
        <f>IF('Data Analysis'!1724:1724,"AAAAAB/trwk=",0)</f>
        <v>0</v>
      </c>
      <c r="K34">
        <f>IF('Data Analysis'!1725:1725,"AAAAAB/trwo=",0)</f>
        <v>0</v>
      </c>
      <c r="L34">
        <f>IF('Data Analysis'!1726:1726,"AAAAAB/trws=",0)</f>
        <v>0</v>
      </c>
      <c r="M34">
        <f>IF('Data Analysis'!1727:1727,"AAAAAB/trww=",0)</f>
        <v>0</v>
      </c>
      <c r="N34">
        <f>IF('Data Analysis'!1728:1728,"AAAAAB/trw0=",0)</f>
        <v>0</v>
      </c>
      <c r="O34">
        <f>IF('Data Analysis'!1729:1729,"AAAAAB/trw4=",0)</f>
        <v>0</v>
      </c>
      <c r="P34">
        <f>IF('Data Analysis'!1730:1730,"AAAAAB/trw8=",0)</f>
        <v>0</v>
      </c>
      <c r="Q34">
        <f>IF('Data Analysis'!1731:1731,"AAAAAB/trxA=",0)</f>
        <v>0</v>
      </c>
      <c r="R34">
        <f>IF('Data Analysis'!1732:1732,"AAAAAB/trxE=",0)</f>
        <v>0</v>
      </c>
      <c r="S34">
        <f>IF('Data Analysis'!1733:1733,"AAAAAB/trxI=",0)</f>
        <v>0</v>
      </c>
      <c r="T34">
        <f>IF('Data Analysis'!1734:1734,"AAAAAB/trxM=",0)</f>
        <v>0</v>
      </c>
      <c r="U34">
        <f>IF('Data Analysis'!1735:1735,"AAAAAB/trxQ=",0)</f>
        <v>0</v>
      </c>
      <c r="V34">
        <f>IF('Data Analysis'!1736:1736,"AAAAAB/trxU=",0)</f>
        <v>0</v>
      </c>
      <c r="W34">
        <f>IF('Data Analysis'!1737:1737,"AAAAAB/trxY=",0)</f>
        <v>0</v>
      </c>
      <c r="X34">
        <f>IF('Data Analysis'!1738:1738,"AAAAAB/trxc=",0)</f>
        <v>0</v>
      </c>
      <c r="Y34">
        <f>IF('Data Analysis'!1739:1739,"AAAAAB/trxg=",0)</f>
        <v>0</v>
      </c>
      <c r="Z34">
        <f>IF('Data Analysis'!1740:1740,"AAAAAB/trxk=",0)</f>
        <v>0</v>
      </c>
      <c r="AA34">
        <f>IF('Data Analysis'!1741:1741,"AAAAAB/trxo=",0)</f>
        <v>0</v>
      </c>
      <c r="AB34">
        <f>IF('Data Analysis'!1742:1742,"AAAAAB/trxs=",0)</f>
        <v>0</v>
      </c>
      <c r="AC34">
        <f>IF('Data Analysis'!1743:1743,"AAAAAB/trxw=",0)</f>
        <v>0</v>
      </c>
      <c r="AD34">
        <f>IF('Data Analysis'!1744:1744,"AAAAAB/trx0=",0)</f>
        <v>0</v>
      </c>
      <c r="AE34">
        <f>IF('Data Analysis'!1745:1745,"AAAAAB/trx4=",0)</f>
        <v>0</v>
      </c>
      <c r="AF34">
        <f>IF('Data Analysis'!1746:1746,"AAAAAB/trx8=",0)</f>
        <v>0</v>
      </c>
      <c r="AG34">
        <f>IF('Data Analysis'!1747:1747,"AAAAAB/tryA=",0)</f>
        <v>0</v>
      </c>
      <c r="AH34">
        <f>IF('Data Analysis'!1748:1748,"AAAAAB/tryE=",0)</f>
        <v>0</v>
      </c>
      <c r="AI34">
        <f>IF('Data Analysis'!1749:1749,"AAAAAB/tryI=",0)</f>
        <v>0</v>
      </c>
      <c r="AJ34">
        <f>IF('Data Analysis'!1750:1750,"AAAAAB/tryM=",0)</f>
        <v>0</v>
      </c>
      <c r="AK34">
        <f>IF('Data Analysis'!1751:1751,"AAAAAB/tryQ=",0)</f>
        <v>0</v>
      </c>
      <c r="AL34">
        <f>IF('Data Analysis'!1752:1752,"AAAAAB/tryU=",0)</f>
        <v>0</v>
      </c>
      <c r="AM34">
        <f>IF('Data Analysis'!1753:1753,"AAAAAB/tryY=",0)</f>
        <v>0</v>
      </c>
      <c r="AN34">
        <f>IF('Data Analysis'!1754:1754,"AAAAAB/tryc=",0)</f>
        <v>0</v>
      </c>
      <c r="AO34">
        <f>IF('Data Analysis'!1755:1755,"AAAAAB/tryg=",0)</f>
        <v>0</v>
      </c>
      <c r="AP34">
        <f>IF('Data Analysis'!1756:1756,"AAAAAB/tryk=",0)</f>
        <v>0</v>
      </c>
      <c r="AQ34">
        <f>IF('Data Analysis'!1757:1757,"AAAAAB/tryo=",0)</f>
        <v>0</v>
      </c>
      <c r="AR34">
        <f>IF('Data Analysis'!1758:1758,"AAAAAB/trys=",0)</f>
        <v>0</v>
      </c>
      <c r="AS34">
        <f>IF('Data Analysis'!1759:1759,"AAAAAB/tryw=",0)</f>
        <v>0</v>
      </c>
      <c r="AT34">
        <f>IF('Data Analysis'!1760:1760,"AAAAAB/try0=",0)</f>
        <v>0</v>
      </c>
      <c r="AU34">
        <f>IF('Data Analysis'!1761:1761,"AAAAAB/try4=",0)</f>
        <v>0</v>
      </c>
      <c r="AV34">
        <f>IF('Data Analysis'!1762:1762,"AAAAAB/try8=",0)</f>
        <v>0</v>
      </c>
      <c r="AW34">
        <f>IF('Data Analysis'!1763:1763,"AAAAAB/trzA=",0)</f>
        <v>0</v>
      </c>
      <c r="AX34">
        <f>IF('Data Analysis'!1764:1764,"AAAAAB/trzE=",0)</f>
        <v>0</v>
      </c>
      <c r="AY34">
        <f>IF('Data Analysis'!1765:1765,"AAAAAB/trzI=",0)</f>
        <v>0</v>
      </c>
      <c r="AZ34">
        <f>IF('Data Analysis'!1766:1766,"AAAAAB/trzM=",0)</f>
        <v>0</v>
      </c>
      <c r="BA34">
        <f>IF('Data Analysis'!1767:1767,"AAAAAB/trzQ=",0)</f>
        <v>0</v>
      </c>
      <c r="BB34">
        <f>IF('Data Analysis'!1768:1768,"AAAAAB/trzU=",0)</f>
        <v>0</v>
      </c>
      <c r="BC34">
        <f>IF('Data Analysis'!1769:1769,"AAAAAB/trzY=",0)</f>
        <v>0</v>
      </c>
      <c r="BD34">
        <f>IF('Data Analysis'!1770:1770,"AAAAAB/trzc=",0)</f>
        <v>0</v>
      </c>
      <c r="BE34">
        <f>IF('Data Analysis'!1771:1771,"AAAAAB/trzg=",0)</f>
        <v>0</v>
      </c>
      <c r="BF34">
        <f>IF('Data Analysis'!1772:1772,"AAAAAB/trzk=",0)</f>
        <v>0</v>
      </c>
      <c r="BG34">
        <f>IF('Data Analysis'!1773:1773,"AAAAAB/trzo=",0)</f>
        <v>0</v>
      </c>
      <c r="BH34">
        <f>IF('Data Analysis'!1774:1774,"AAAAAB/trzs=",0)</f>
        <v>0</v>
      </c>
      <c r="BI34">
        <f>IF('Data Analysis'!1775:1775,"AAAAAB/trzw=",0)</f>
        <v>0</v>
      </c>
      <c r="BJ34">
        <f>IF('Data Analysis'!1776:1776,"AAAAAB/trz0=",0)</f>
        <v>0</v>
      </c>
      <c r="BK34">
        <f>IF('Data Analysis'!1777:1777,"AAAAAB/trz4=",0)</f>
        <v>0</v>
      </c>
      <c r="BL34">
        <f>IF('Data Analysis'!1778:1778,"AAAAAB/trz8=",0)</f>
        <v>0</v>
      </c>
      <c r="BM34">
        <f>IF('Data Analysis'!1779:1779,"AAAAAB/tr0A=",0)</f>
        <v>0</v>
      </c>
      <c r="BN34">
        <f>IF('Data Analysis'!1780:1780,"AAAAAB/tr0E=",0)</f>
        <v>0</v>
      </c>
      <c r="BO34">
        <f>IF('Data Analysis'!1781:1781,"AAAAAB/tr0I=",0)</f>
        <v>0</v>
      </c>
      <c r="BP34">
        <f>IF('Data Analysis'!1782:1782,"AAAAAB/tr0M=",0)</f>
        <v>0</v>
      </c>
      <c r="BQ34">
        <f>IF('Data Analysis'!1783:1783,"AAAAAB/tr0Q=",0)</f>
        <v>0</v>
      </c>
      <c r="BR34">
        <f>IF('Data Analysis'!1784:1784,"AAAAAB/tr0U=",0)</f>
        <v>0</v>
      </c>
      <c r="BS34">
        <f>IF('Data Analysis'!1785:1785,"AAAAAB/tr0Y=",0)</f>
        <v>0</v>
      </c>
      <c r="BT34">
        <f>IF('Data Analysis'!1786:1786,"AAAAAB/tr0c=",0)</f>
        <v>0</v>
      </c>
      <c r="BU34">
        <f>IF('Data Analysis'!1787:1787,"AAAAAB/tr0g=",0)</f>
        <v>0</v>
      </c>
      <c r="BV34">
        <f>IF('Data Analysis'!1788:1788,"AAAAAB/tr0k=",0)</f>
        <v>0</v>
      </c>
      <c r="BW34">
        <f>IF('Data Analysis'!1789:1789,"AAAAAB/tr0o=",0)</f>
        <v>0</v>
      </c>
      <c r="BX34">
        <f>IF('Data Analysis'!1790:1790,"AAAAAB/tr0s=",0)</f>
        <v>0</v>
      </c>
      <c r="BY34">
        <f>IF('Data Analysis'!1791:1791,"AAAAAB/tr0w=",0)</f>
        <v>0</v>
      </c>
      <c r="BZ34">
        <f>IF('Data Analysis'!1792:1792,"AAAAAB/tr00=",0)</f>
        <v>0</v>
      </c>
      <c r="CA34">
        <f>IF('Data Analysis'!1793:1793,"AAAAAB/tr04=",0)</f>
        <v>0</v>
      </c>
      <c r="CB34">
        <f>IF('Data Analysis'!1794:1794,"AAAAAB/tr08=",0)</f>
        <v>0</v>
      </c>
      <c r="CC34">
        <f>IF('Data Analysis'!1795:1795,"AAAAAB/tr1A=",0)</f>
        <v>0</v>
      </c>
      <c r="CD34">
        <f>IF('Data Analysis'!1796:1796,"AAAAAB/tr1E=",0)</f>
        <v>0</v>
      </c>
      <c r="CE34">
        <f>IF('Data Analysis'!1797:1797,"AAAAAB/tr1I=",0)</f>
        <v>0</v>
      </c>
      <c r="CF34">
        <f>IF('Data Analysis'!1798:1798,"AAAAAB/tr1M=",0)</f>
        <v>0</v>
      </c>
      <c r="CG34">
        <f>IF('Data Analysis'!1799:1799,"AAAAAB/tr1Q=",0)</f>
        <v>0</v>
      </c>
      <c r="CH34">
        <f>IF('Data Analysis'!1800:1800,"AAAAAB/tr1U=",0)</f>
        <v>0</v>
      </c>
      <c r="CI34">
        <f>IF('Data Analysis'!1801:1801,"AAAAAB/tr1Y=",0)</f>
        <v>0</v>
      </c>
      <c r="CJ34">
        <f>IF('Data Analysis'!1802:1802,"AAAAAB/tr1c=",0)</f>
        <v>0</v>
      </c>
      <c r="CK34">
        <f>IF('Data Analysis'!1803:1803,"AAAAAB/tr1g=",0)</f>
        <v>0</v>
      </c>
      <c r="CL34">
        <f>IF('Data Analysis'!1804:1804,"AAAAAB/tr1k=",0)</f>
        <v>0</v>
      </c>
      <c r="CM34">
        <f>IF('Data Analysis'!1805:1805,"AAAAAB/tr1o=",0)</f>
        <v>0</v>
      </c>
      <c r="CN34">
        <f>IF('Data Analysis'!1806:1806,"AAAAAB/tr1s=",0)</f>
        <v>0</v>
      </c>
      <c r="CO34">
        <f>IF('Data Analysis'!1807:1807,"AAAAAB/tr1w=",0)</f>
        <v>0</v>
      </c>
      <c r="CP34">
        <f>IF('Data Analysis'!1808:1808,"AAAAAB/tr10=",0)</f>
        <v>0</v>
      </c>
      <c r="CQ34">
        <f>IF('Data Analysis'!1809:1809,"AAAAAB/tr14=",0)</f>
        <v>0</v>
      </c>
      <c r="CR34">
        <f>IF('Data Analysis'!1810:1810,"AAAAAB/tr18=",0)</f>
        <v>0</v>
      </c>
      <c r="CS34">
        <f>IF('Data Analysis'!1811:1811,"AAAAAB/tr2A=",0)</f>
        <v>0</v>
      </c>
      <c r="CT34">
        <f>IF('Data Analysis'!1812:1812,"AAAAAB/tr2E=",0)</f>
        <v>0</v>
      </c>
      <c r="CU34">
        <f>IF('Data Analysis'!1813:1813,"AAAAAB/tr2I=",0)</f>
        <v>0</v>
      </c>
      <c r="CV34">
        <f>IF('Data Analysis'!1814:1814,"AAAAAB/tr2M=",0)</f>
        <v>0</v>
      </c>
      <c r="CW34">
        <f>IF('Data Analysis'!1815:1815,"AAAAAB/tr2Q=",0)</f>
        <v>0</v>
      </c>
      <c r="CX34">
        <f>IF('Data Analysis'!1816:1816,"AAAAAB/tr2U=",0)</f>
        <v>0</v>
      </c>
      <c r="CY34">
        <f>IF('Data Analysis'!1817:1817,"AAAAAB/tr2Y=",0)</f>
        <v>0</v>
      </c>
      <c r="CZ34">
        <f>IF('Data Analysis'!1818:1818,"AAAAAB/tr2c=",0)</f>
        <v>0</v>
      </c>
      <c r="DA34">
        <f>IF('Data Analysis'!1819:1819,"AAAAAB/tr2g=",0)</f>
        <v>0</v>
      </c>
      <c r="DB34">
        <f>IF('Data Analysis'!1820:1820,"AAAAAB/tr2k=",0)</f>
        <v>0</v>
      </c>
      <c r="DC34">
        <f>IF('Data Analysis'!1821:1821,"AAAAAB/tr2o=",0)</f>
        <v>0</v>
      </c>
      <c r="DD34">
        <f>IF('Data Analysis'!1822:1822,"AAAAAB/tr2s=",0)</f>
        <v>0</v>
      </c>
      <c r="DE34">
        <f>IF('Data Analysis'!1823:1823,"AAAAAB/tr2w=",0)</f>
        <v>0</v>
      </c>
      <c r="DF34">
        <f>IF('Data Analysis'!1824:1824,"AAAAAB/tr20=",0)</f>
        <v>0</v>
      </c>
      <c r="DG34">
        <f>IF('Data Analysis'!1825:1825,"AAAAAB/tr24=",0)</f>
        <v>0</v>
      </c>
      <c r="DH34">
        <f>IF('Data Analysis'!1826:1826,"AAAAAB/tr28=",0)</f>
        <v>0</v>
      </c>
      <c r="DI34">
        <f>IF('Data Analysis'!1827:1827,"AAAAAB/tr3A=",0)</f>
        <v>0</v>
      </c>
      <c r="DJ34">
        <f>IF('Data Analysis'!1828:1828,"AAAAAB/tr3E=",0)</f>
        <v>0</v>
      </c>
      <c r="DK34">
        <f>IF('Data Analysis'!1829:1829,"AAAAAB/tr3I=",0)</f>
        <v>0</v>
      </c>
      <c r="DL34">
        <f>IF('Data Analysis'!1830:1830,"AAAAAB/tr3M=",0)</f>
        <v>0</v>
      </c>
      <c r="DM34">
        <f>IF('Data Analysis'!1831:1831,"AAAAAB/tr3Q=",0)</f>
        <v>0</v>
      </c>
      <c r="DN34">
        <f>IF('Data Analysis'!1832:1832,"AAAAAB/tr3U=",0)</f>
        <v>0</v>
      </c>
      <c r="DO34">
        <f>IF('Data Analysis'!1833:1833,"AAAAAB/tr3Y=",0)</f>
        <v>0</v>
      </c>
      <c r="DP34">
        <f>IF('Data Analysis'!1834:1834,"AAAAAB/tr3c=",0)</f>
        <v>0</v>
      </c>
      <c r="DQ34">
        <f>IF('Data Analysis'!1835:1835,"AAAAAB/tr3g=",0)</f>
        <v>0</v>
      </c>
      <c r="DR34">
        <f>IF('Data Analysis'!1836:1836,"AAAAAB/tr3k=",0)</f>
        <v>0</v>
      </c>
      <c r="DS34">
        <f>IF('Data Analysis'!1837:1837,"AAAAAB/tr3o=",0)</f>
        <v>0</v>
      </c>
      <c r="DT34">
        <f>IF('Data Analysis'!1838:1838,"AAAAAB/tr3s=",0)</f>
        <v>0</v>
      </c>
      <c r="DU34">
        <f>IF('Data Analysis'!1839:1839,"AAAAAB/tr3w=",0)</f>
        <v>0</v>
      </c>
      <c r="DV34">
        <f>IF('Data Analysis'!1840:1840,"AAAAAB/tr30=",0)</f>
        <v>0</v>
      </c>
      <c r="DW34">
        <f>IF('Data Analysis'!1841:1841,"AAAAAB/tr34=",0)</f>
        <v>0</v>
      </c>
      <c r="DX34">
        <f>IF('Data Analysis'!1842:1842,"AAAAAB/tr38=",0)</f>
        <v>0</v>
      </c>
      <c r="DY34">
        <f>IF('Data Analysis'!1843:1843,"AAAAAB/tr4A=",0)</f>
        <v>0</v>
      </c>
      <c r="DZ34">
        <f>IF('Data Analysis'!1844:1844,"AAAAAB/tr4E=",0)</f>
        <v>0</v>
      </c>
      <c r="EA34">
        <f>IF('Data Analysis'!1845:1845,"AAAAAB/tr4I=",0)</f>
        <v>0</v>
      </c>
      <c r="EB34">
        <f>IF('Data Analysis'!1846:1846,"AAAAAB/tr4M=",0)</f>
        <v>0</v>
      </c>
      <c r="EC34">
        <f>IF('Data Analysis'!1847:1847,"AAAAAB/tr4Q=",0)</f>
        <v>0</v>
      </c>
      <c r="ED34">
        <f>IF('Data Analysis'!1848:1848,"AAAAAB/tr4U=",0)</f>
        <v>0</v>
      </c>
      <c r="EE34">
        <f>IF('Data Analysis'!1849:1849,"AAAAAB/tr4Y=",0)</f>
        <v>0</v>
      </c>
      <c r="EF34">
        <f>IF('Data Analysis'!1850:1850,"AAAAAB/tr4c=",0)</f>
        <v>0</v>
      </c>
      <c r="EG34">
        <f>IF('Data Analysis'!1851:1851,"AAAAAB/tr4g=",0)</f>
        <v>0</v>
      </c>
      <c r="EH34">
        <f>IF('Data Analysis'!1852:1852,"AAAAAB/tr4k=",0)</f>
        <v>0</v>
      </c>
      <c r="EI34">
        <f>IF('Data Analysis'!1853:1853,"AAAAAB/tr4o=",0)</f>
        <v>0</v>
      </c>
      <c r="EJ34">
        <f>IF('Data Analysis'!1854:1854,"AAAAAB/tr4s=",0)</f>
        <v>0</v>
      </c>
      <c r="EK34">
        <f>IF('Data Analysis'!1855:1855,"AAAAAB/tr4w=",0)</f>
        <v>0</v>
      </c>
      <c r="EL34">
        <f>IF('Data Analysis'!1856:1856,"AAAAAB/tr40=",0)</f>
        <v>0</v>
      </c>
      <c r="EM34">
        <f>IF('Data Analysis'!1857:1857,"AAAAAB/tr44=",0)</f>
        <v>0</v>
      </c>
      <c r="EN34">
        <f>IF('Data Analysis'!1858:1858,"AAAAAB/tr48=",0)</f>
        <v>0</v>
      </c>
      <c r="EO34">
        <f>IF('Data Analysis'!1859:1859,"AAAAAB/tr5A=",0)</f>
        <v>0</v>
      </c>
      <c r="EP34">
        <f>IF('Data Analysis'!1860:1860,"AAAAAB/tr5E=",0)</f>
        <v>0</v>
      </c>
      <c r="EQ34">
        <f>IF('Data Analysis'!1861:1861,"AAAAAB/tr5I=",0)</f>
        <v>0</v>
      </c>
      <c r="ER34">
        <f>IF('Data Analysis'!1862:1862,"AAAAAB/tr5M=",0)</f>
        <v>0</v>
      </c>
      <c r="ES34">
        <f>IF('Data Analysis'!1863:1863,"AAAAAB/tr5Q=",0)</f>
        <v>0</v>
      </c>
      <c r="ET34">
        <f>IF('Data Analysis'!1864:1864,"AAAAAB/tr5U=",0)</f>
        <v>0</v>
      </c>
      <c r="EU34">
        <f>IF('Data Analysis'!1865:1865,"AAAAAB/tr5Y=",0)</f>
        <v>0</v>
      </c>
      <c r="EV34">
        <f>IF('Data Analysis'!1866:1866,"AAAAAB/tr5c=",0)</f>
        <v>0</v>
      </c>
      <c r="EW34">
        <f>IF('Data Analysis'!1867:1867,"AAAAAB/tr5g=",0)</f>
        <v>0</v>
      </c>
      <c r="EX34">
        <f>IF('Data Analysis'!1868:1868,"AAAAAB/tr5k=",0)</f>
        <v>0</v>
      </c>
      <c r="EY34">
        <f>IF('Data Analysis'!1869:1869,"AAAAAB/tr5o=",0)</f>
        <v>0</v>
      </c>
      <c r="EZ34">
        <f>IF('Data Analysis'!1870:1870,"AAAAAB/tr5s=",0)</f>
        <v>0</v>
      </c>
      <c r="FA34">
        <f>IF('Data Analysis'!1871:1871,"AAAAAB/tr5w=",0)</f>
        <v>0</v>
      </c>
      <c r="FB34">
        <f>IF('Data Analysis'!1872:1872,"AAAAAB/tr50=",0)</f>
        <v>0</v>
      </c>
      <c r="FC34">
        <f>IF('Data Analysis'!1873:1873,"AAAAAB/tr54=",0)</f>
        <v>0</v>
      </c>
      <c r="FD34">
        <f>IF('Data Analysis'!1874:1874,"AAAAAB/tr58=",0)</f>
        <v>0</v>
      </c>
      <c r="FE34">
        <f>IF('Data Analysis'!1875:1875,"AAAAAB/tr6A=",0)</f>
        <v>0</v>
      </c>
      <c r="FF34">
        <f>IF('Data Analysis'!1876:1876,"AAAAAB/tr6E=",0)</f>
        <v>0</v>
      </c>
      <c r="FG34">
        <f>IF('Data Analysis'!1877:1877,"AAAAAB/tr6I=",0)</f>
        <v>0</v>
      </c>
      <c r="FH34">
        <f>IF('Data Analysis'!1878:1878,"AAAAAB/tr6M=",0)</f>
        <v>0</v>
      </c>
      <c r="FI34">
        <f>IF('Data Analysis'!1879:1879,"AAAAAB/tr6Q=",0)</f>
        <v>0</v>
      </c>
      <c r="FJ34">
        <f>IF('Data Analysis'!1880:1880,"AAAAAB/tr6U=",0)</f>
        <v>0</v>
      </c>
      <c r="FK34">
        <f>IF('Data Analysis'!1881:1881,"AAAAAB/tr6Y=",0)</f>
        <v>0</v>
      </c>
      <c r="FL34">
        <f>IF('Data Analysis'!1882:1882,"AAAAAB/tr6c=",0)</f>
        <v>0</v>
      </c>
      <c r="FM34">
        <f>IF('Data Analysis'!1883:1883,"AAAAAB/tr6g=",0)</f>
        <v>0</v>
      </c>
      <c r="FN34">
        <f>IF('Data Analysis'!1884:1884,"AAAAAB/tr6k=",0)</f>
        <v>0</v>
      </c>
      <c r="FO34">
        <f>IF('Data Analysis'!1885:1885,"AAAAAB/tr6o=",0)</f>
        <v>0</v>
      </c>
      <c r="FP34">
        <f>IF('Data Analysis'!1886:1886,"AAAAAB/tr6s=",0)</f>
        <v>0</v>
      </c>
      <c r="FQ34">
        <f>IF('Data Analysis'!1887:1887,"AAAAAB/tr6w=",0)</f>
        <v>0</v>
      </c>
      <c r="FR34">
        <f>IF('Data Analysis'!1888:1888,"AAAAAB/tr60=",0)</f>
        <v>0</v>
      </c>
      <c r="FS34">
        <f>IF('Data Analysis'!1889:1889,"AAAAAB/tr64=",0)</f>
        <v>0</v>
      </c>
      <c r="FT34">
        <f>IF('Data Analysis'!1890:1890,"AAAAAB/tr68=",0)</f>
        <v>0</v>
      </c>
      <c r="FU34">
        <f>IF('Data Analysis'!1891:1891,"AAAAAB/tr7A=",0)</f>
        <v>0</v>
      </c>
      <c r="FV34">
        <f>IF('Data Analysis'!1892:1892,"AAAAAB/tr7E=",0)</f>
        <v>0</v>
      </c>
      <c r="FW34">
        <f>IF('Data Analysis'!1893:1893,"AAAAAB/tr7I=",0)</f>
        <v>0</v>
      </c>
      <c r="FX34">
        <f>IF('Data Analysis'!1894:1894,"AAAAAB/tr7M=",0)</f>
        <v>0</v>
      </c>
      <c r="FY34">
        <f>IF('Data Analysis'!1895:1895,"AAAAAB/tr7Q=",0)</f>
        <v>0</v>
      </c>
      <c r="FZ34">
        <f>IF('Data Analysis'!1896:1896,"AAAAAB/tr7U=",0)</f>
        <v>0</v>
      </c>
      <c r="GA34">
        <f>IF('Data Analysis'!1897:1897,"AAAAAB/tr7Y=",0)</f>
        <v>0</v>
      </c>
      <c r="GB34">
        <f>IF('Data Analysis'!1898:1898,"AAAAAB/tr7c=",0)</f>
        <v>0</v>
      </c>
      <c r="GC34">
        <f>IF('Data Analysis'!1899:1899,"AAAAAB/tr7g=",0)</f>
        <v>0</v>
      </c>
      <c r="GD34">
        <f>IF('Data Analysis'!1900:1900,"AAAAAB/tr7k=",0)</f>
        <v>0</v>
      </c>
      <c r="GE34">
        <f>IF('Data Analysis'!1901:1901,"AAAAAB/tr7o=",0)</f>
        <v>0</v>
      </c>
      <c r="GF34">
        <f>IF('Data Analysis'!1902:1902,"AAAAAB/tr7s=",0)</f>
        <v>0</v>
      </c>
      <c r="GG34">
        <f>IF('Data Analysis'!1903:1903,"AAAAAB/tr7w=",0)</f>
        <v>0</v>
      </c>
      <c r="GH34">
        <f>IF('Data Analysis'!1904:1904,"AAAAAB/tr70=",0)</f>
        <v>0</v>
      </c>
      <c r="GI34">
        <f>IF('Data Analysis'!1905:1905,"AAAAAB/tr74=",0)</f>
        <v>0</v>
      </c>
      <c r="GJ34">
        <f>IF('Data Analysis'!1906:1906,"AAAAAB/tr78=",0)</f>
        <v>0</v>
      </c>
      <c r="GK34">
        <f>IF('Data Analysis'!1907:1907,"AAAAAB/tr8A=",0)</f>
        <v>0</v>
      </c>
      <c r="GL34">
        <f>IF('Data Analysis'!1908:1908,"AAAAAB/tr8E=",0)</f>
        <v>0</v>
      </c>
      <c r="GM34">
        <f>IF('Data Analysis'!1909:1909,"AAAAAB/tr8I=",0)</f>
        <v>0</v>
      </c>
      <c r="GN34">
        <f>IF('Data Analysis'!1910:1910,"AAAAAB/tr8M=",0)</f>
        <v>0</v>
      </c>
      <c r="GO34">
        <f>IF('Data Analysis'!1911:1911,"AAAAAB/tr8Q=",0)</f>
        <v>0</v>
      </c>
      <c r="GP34">
        <f>IF('Data Analysis'!1912:1912,"AAAAAB/tr8U=",0)</f>
        <v>0</v>
      </c>
      <c r="GQ34">
        <f>IF('Data Analysis'!1913:1913,"AAAAAB/tr8Y=",0)</f>
        <v>0</v>
      </c>
      <c r="GR34">
        <f>IF('Data Analysis'!1914:1914,"AAAAAB/tr8c=",0)</f>
        <v>0</v>
      </c>
      <c r="GS34">
        <f>IF('Data Analysis'!1915:1915,"AAAAAB/tr8g=",0)</f>
        <v>0</v>
      </c>
      <c r="GT34">
        <f>IF('Data Analysis'!1916:1916,"AAAAAB/tr8k=",0)</f>
        <v>0</v>
      </c>
      <c r="GU34">
        <f>IF('Data Analysis'!1917:1917,"AAAAAB/tr8o=",0)</f>
        <v>0</v>
      </c>
      <c r="GV34">
        <f>IF('Data Analysis'!1918:1918,"AAAAAB/tr8s=",0)</f>
        <v>0</v>
      </c>
      <c r="GW34">
        <f>IF('Data Analysis'!1919:1919,"AAAAAB/tr8w=",0)</f>
        <v>0</v>
      </c>
      <c r="GX34">
        <f>IF('Data Analysis'!1920:1920,"AAAAAB/tr80=",0)</f>
        <v>0</v>
      </c>
      <c r="GY34">
        <f>IF('Data Analysis'!1921:1921,"AAAAAB/tr84=",0)</f>
        <v>0</v>
      </c>
      <c r="GZ34">
        <f>IF('Data Analysis'!1922:1922,"AAAAAB/tr88=",0)</f>
        <v>0</v>
      </c>
      <c r="HA34">
        <f>IF('Data Analysis'!1923:1923,"AAAAAB/tr9A=",0)</f>
        <v>0</v>
      </c>
      <c r="HB34">
        <f>IF('Data Analysis'!1924:1924,"AAAAAB/tr9E=",0)</f>
        <v>0</v>
      </c>
      <c r="HC34">
        <f>IF('Data Analysis'!1925:1925,"AAAAAB/tr9I=",0)</f>
        <v>0</v>
      </c>
      <c r="HD34">
        <f>IF('Data Analysis'!1926:1926,"AAAAAB/tr9M=",0)</f>
        <v>0</v>
      </c>
      <c r="HE34">
        <f>IF('Data Analysis'!1927:1927,"AAAAAB/tr9Q=",0)</f>
        <v>0</v>
      </c>
      <c r="HF34">
        <f>IF('Data Analysis'!1928:1928,"AAAAAB/tr9U=",0)</f>
        <v>0</v>
      </c>
      <c r="HG34">
        <f>IF('Data Analysis'!1929:1929,"AAAAAB/tr9Y=",0)</f>
        <v>0</v>
      </c>
      <c r="HH34">
        <f>IF('Data Analysis'!1930:1930,"AAAAAB/tr9c=",0)</f>
        <v>0</v>
      </c>
      <c r="HI34">
        <f>IF('Data Analysis'!1931:1931,"AAAAAB/tr9g=",0)</f>
        <v>0</v>
      </c>
      <c r="HJ34">
        <f>IF('Data Analysis'!1932:1932,"AAAAAB/tr9k=",0)</f>
        <v>0</v>
      </c>
      <c r="HK34">
        <f>IF('Data Analysis'!1933:1933,"AAAAAB/tr9o=",0)</f>
        <v>0</v>
      </c>
      <c r="HL34">
        <f>IF('Data Analysis'!1934:1934,"AAAAAB/tr9s=",0)</f>
        <v>0</v>
      </c>
      <c r="HM34">
        <f>IF('Data Analysis'!1935:1935,"AAAAAB/tr9w=",0)</f>
        <v>0</v>
      </c>
      <c r="HN34">
        <f>IF('Data Analysis'!1936:1936,"AAAAAB/tr90=",0)</f>
        <v>0</v>
      </c>
      <c r="HO34">
        <f>IF('Data Analysis'!1937:1937,"AAAAAB/tr94=",0)</f>
        <v>0</v>
      </c>
      <c r="HP34">
        <f>IF('Data Analysis'!1938:1938,"AAAAAB/tr98=",0)</f>
        <v>0</v>
      </c>
      <c r="HQ34">
        <f>IF('Data Analysis'!1939:1939,"AAAAAB/tr+A=",0)</f>
        <v>0</v>
      </c>
      <c r="HR34">
        <f>IF('Data Analysis'!1940:1940,"AAAAAB/tr+E=",0)</f>
        <v>0</v>
      </c>
      <c r="HS34">
        <f>IF('Data Analysis'!1941:1941,"AAAAAB/tr+I=",0)</f>
        <v>0</v>
      </c>
      <c r="HT34">
        <f>IF('Data Analysis'!1942:1942,"AAAAAB/tr+M=",0)</f>
        <v>0</v>
      </c>
      <c r="HU34">
        <f>IF('Data Analysis'!1943:1943,"AAAAAB/tr+Q=",0)</f>
        <v>0</v>
      </c>
      <c r="HV34">
        <f>IF('Data Analysis'!1944:1944,"AAAAAB/tr+U=",0)</f>
        <v>0</v>
      </c>
      <c r="HW34">
        <f>IF('Data Analysis'!1945:1945,"AAAAAB/tr+Y=",0)</f>
        <v>0</v>
      </c>
      <c r="HX34">
        <f>IF('Data Analysis'!1946:1946,"AAAAAB/tr+c=",0)</f>
        <v>0</v>
      </c>
      <c r="HY34">
        <f>IF('Data Analysis'!1947:1947,"AAAAAB/tr+g=",0)</f>
        <v>0</v>
      </c>
      <c r="HZ34">
        <f>IF('Data Analysis'!1948:1948,"AAAAAB/tr+k=",0)</f>
        <v>0</v>
      </c>
      <c r="IA34">
        <f>IF('Data Analysis'!1949:1949,"AAAAAB/tr+o=",0)</f>
        <v>0</v>
      </c>
      <c r="IB34">
        <f>IF('Data Analysis'!1950:1950,"AAAAAB/tr+s=",0)</f>
        <v>0</v>
      </c>
      <c r="IC34">
        <f>IF('Data Analysis'!1951:1951,"AAAAAB/tr+w=",0)</f>
        <v>0</v>
      </c>
      <c r="ID34">
        <f>IF('Data Analysis'!1952:1952,"AAAAAB/tr+0=",0)</f>
        <v>0</v>
      </c>
      <c r="IE34">
        <f>IF('Data Analysis'!1953:1953,"AAAAAB/tr+4=",0)</f>
        <v>0</v>
      </c>
      <c r="IF34">
        <f>IF('Data Analysis'!1954:1954,"AAAAAB/tr+8=",0)</f>
        <v>0</v>
      </c>
      <c r="IG34">
        <f>IF('Data Analysis'!1955:1955,"AAAAAB/tr/A=",0)</f>
        <v>0</v>
      </c>
      <c r="IH34">
        <f>IF('Data Analysis'!1956:1956,"AAAAAB/tr/E=",0)</f>
        <v>0</v>
      </c>
      <c r="II34">
        <f>IF('Data Analysis'!1957:1957,"AAAAAB/tr/I=",0)</f>
        <v>0</v>
      </c>
      <c r="IJ34">
        <f>IF('Data Analysis'!1958:1958,"AAAAAB/tr/M=",0)</f>
        <v>0</v>
      </c>
      <c r="IK34">
        <f>IF('Data Analysis'!1959:1959,"AAAAAB/tr/Q=",0)</f>
        <v>0</v>
      </c>
      <c r="IL34">
        <f>IF('Data Analysis'!1960:1960,"AAAAAB/tr/U=",0)</f>
        <v>0</v>
      </c>
      <c r="IM34">
        <f>IF('Data Analysis'!1961:1961,"AAAAAB/tr/Y=",0)</f>
        <v>0</v>
      </c>
      <c r="IN34">
        <f>IF('Data Analysis'!1962:1962,"AAAAAB/tr/c=",0)</f>
        <v>0</v>
      </c>
      <c r="IO34">
        <f>IF('Data Analysis'!1963:1963,"AAAAAB/tr/g=",0)</f>
        <v>0</v>
      </c>
      <c r="IP34">
        <f>IF('Data Analysis'!1964:1964,"AAAAAB/tr/k=",0)</f>
        <v>0</v>
      </c>
      <c r="IQ34">
        <f>IF('Data Analysis'!1965:1965,"AAAAAB/tr/o=",0)</f>
        <v>0</v>
      </c>
      <c r="IR34">
        <f>IF('Data Analysis'!1966:1966,"AAAAAB/tr/s=",0)</f>
        <v>0</v>
      </c>
      <c r="IS34">
        <f>IF('Data Analysis'!1967:1967,"AAAAAB/tr/w=",0)</f>
        <v>0</v>
      </c>
      <c r="IT34">
        <f>IF('Data Analysis'!1968:1968,"AAAAAB/tr/0=",0)</f>
        <v>0</v>
      </c>
      <c r="IU34">
        <f>IF('Data Analysis'!1969:1969,"AAAAAB/tr/4=",0)</f>
        <v>0</v>
      </c>
      <c r="IV34">
        <f>IF('Data Analysis'!1970:1970,"AAAAAB/tr/8=",0)</f>
        <v>0</v>
      </c>
    </row>
    <row r="35" spans="1:256" x14ac:dyDescent="0.2">
      <c r="A35">
        <f>IF('Data Analysis'!1971:1971,"AAAAAG/7+wA=",0)</f>
        <v>0</v>
      </c>
      <c r="B35">
        <f>IF('Data Analysis'!1972:1972,"AAAAAG/7+wE=",0)</f>
        <v>0</v>
      </c>
      <c r="C35">
        <f>IF('Data Analysis'!1973:1973,"AAAAAG/7+wI=",0)</f>
        <v>0</v>
      </c>
      <c r="D35">
        <f>IF('Data Analysis'!1974:1974,"AAAAAG/7+wM=",0)</f>
        <v>0</v>
      </c>
      <c r="E35">
        <f>IF('Data Analysis'!1975:1975,"AAAAAG/7+wQ=",0)</f>
        <v>0</v>
      </c>
      <c r="F35">
        <f>IF('Data Analysis'!1976:1976,"AAAAAG/7+wU=",0)</f>
        <v>0</v>
      </c>
      <c r="G35">
        <f>IF('Data Analysis'!1977:1977,"AAAAAG/7+wY=",0)</f>
        <v>0</v>
      </c>
      <c r="H35">
        <f>IF('Data Analysis'!1978:1978,"AAAAAG/7+wc=",0)</f>
        <v>0</v>
      </c>
      <c r="I35">
        <f>IF('Data Analysis'!1979:1979,"AAAAAG/7+wg=",0)</f>
        <v>0</v>
      </c>
      <c r="J35">
        <f>IF('Data Analysis'!1980:1980,"AAAAAG/7+wk=",0)</f>
        <v>0</v>
      </c>
      <c r="K35">
        <f>IF('Data Analysis'!1981:1981,"AAAAAG/7+wo=",0)</f>
        <v>0</v>
      </c>
      <c r="L35">
        <f>IF('Data Analysis'!1982:1982,"AAAAAG/7+ws=",0)</f>
        <v>0</v>
      </c>
      <c r="M35">
        <f>IF('Data Analysis'!1983:1983,"AAAAAG/7+ww=",0)</f>
        <v>0</v>
      </c>
      <c r="N35">
        <f>IF('Data Analysis'!1984:1984,"AAAAAG/7+w0=",0)</f>
        <v>0</v>
      </c>
      <c r="O35">
        <f>IF('Data Analysis'!1985:1985,"AAAAAG/7+w4=",0)</f>
        <v>0</v>
      </c>
      <c r="P35">
        <f>IF('Data Analysis'!1986:1986,"AAAAAG/7+w8=",0)</f>
        <v>0</v>
      </c>
      <c r="Q35">
        <f>IF('Data Analysis'!1987:1987,"AAAAAG/7+xA=",0)</f>
        <v>0</v>
      </c>
      <c r="R35">
        <f>IF('Data Analysis'!1988:1988,"AAAAAG/7+xE=",0)</f>
        <v>0</v>
      </c>
      <c r="S35">
        <f>IF('Data Analysis'!1989:1989,"AAAAAG/7+xI=",0)</f>
        <v>0</v>
      </c>
      <c r="T35">
        <f>IF('Data Analysis'!1990:1990,"AAAAAG/7+xM=",0)</f>
        <v>0</v>
      </c>
      <c r="U35">
        <f>IF('Data Analysis'!1991:1991,"AAAAAG/7+xQ=",0)</f>
        <v>0</v>
      </c>
      <c r="V35">
        <f>IF('Data Analysis'!1992:1992,"AAAAAG/7+xU=",0)</f>
        <v>0</v>
      </c>
      <c r="W35">
        <f>IF('Data Analysis'!1993:1993,"AAAAAG/7+xY=",0)</f>
        <v>0</v>
      </c>
      <c r="X35">
        <f>IF('Data Analysis'!1994:1994,"AAAAAG/7+xc=",0)</f>
        <v>0</v>
      </c>
      <c r="Y35">
        <f>IF('Data Analysis'!1995:1995,"AAAAAG/7+xg=",0)</f>
        <v>0</v>
      </c>
      <c r="Z35">
        <f>IF('Data Analysis'!1996:1996,"AAAAAG/7+xk=",0)</f>
        <v>0</v>
      </c>
      <c r="AA35">
        <f>IF('Data Analysis'!1997:1997,"AAAAAG/7+xo=",0)</f>
        <v>0</v>
      </c>
      <c r="AB35">
        <f>IF('Data Analysis'!1998:1998,"AAAAAG/7+xs=",0)</f>
        <v>0</v>
      </c>
      <c r="AC35">
        <f>IF('Data Analysis'!1999:1999,"AAAAAG/7+xw=",0)</f>
        <v>0</v>
      </c>
      <c r="AD35">
        <f>IF('Data Analysis'!2000:2000,"AAAAAG/7+x0=",0)</f>
        <v>0</v>
      </c>
      <c r="AE35">
        <f>IF('Data Analysis'!2001:2001,"AAAAAG/7+x4=",0)</f>
        <v>0</v>
      </c>
      <c r="AF35">
        <f>IF('Data Analysis'!2002:2002,"AAAAAG/7+x8=",0)</f>
        <v>0</v>
      </c>
      <c r="AG35">
        <f>IF('Data Analysis'!2003:2003,"AAAAAG/7+yA=",0)</f>
        <v>0</v>
      </c>
      <c r="AH35">
        <f>IF('Data Analysis'!2004:2004,"AAAAAG/7+yE=",0)</f>
        <v>0</v>
      </c>
      <c r="AI35">
        <f>IF('Data Analysis'!2005:2005,"AAAAAG/7+yI=",0)</f>
        <v>0</v>
      </c>
      <c r="AJ35">
        <f>IF('Data Analysis'!2006:2006,"AAAAAG/7+yM=",0)</f>
        <v>0</v>
      </c>
      <c r="AK35">
        <f>IF('Data Analysis'!2007:2007,"AAAAAG/7+yQ=",0)</f>
        <v>0</v>
      </c>
      <c r="AL35">
        <f>IF('Data Analysis'!2008:2008,"AAAAAG/7+yU=",0)</f>
        <v>0</v>
      </c>
      <c r="AM35">
        <f>IF('Data Analysis'!2009:2009,"AAAAAG/7+yY=",0)</f>
        <v>0</v>
      </c>
      <c r="AN35">
        <f>IF('Data Analysis'!2010:2010,"AAAAAG/7+yc=",0)</f>
        <v>0</v>
      </c>
      <c r="AO35">
        <f>IF('Data Analysis'!2011:2011,"AAAAAG/7+yg=",0)</f>
        <v>0</v>
      </c>
      <c r="AP35">
        <f>IF('Data Analysis'!2012:2012,"AAAAAG/7+yk=",0)</f>
        <v>0</v>
      </c>
      <c r="AQ35">
        <f>IF('Data Analysis'!2013:2013,"AAAAAG/7+yo=",0)</f>
        <v>0</v>
      </c>
      <c r="AR35">
        <f>IF('Data Analysis'!2014:2014,"AAAAAG/7+ys=",0)</f>
        <v>0</v>
      </c>
      <c r="AS35">
        <f>IF('Data Analysis'!2015:2015,"AAAAAG/7+yw=",0)</f>
        <v>0</v>
      </c>
      <c r="AT35">
        <f>IF('Data Analysis'!2016:2016,"AAAAAG/7+y0=",0)</f>
        <v>0</v>
      </c>
      <c r="AU35">
        <f>IF('Data Analysis'!2017:2017,"AAAAAG/7+y4=",0)</f>
        <v>0</v>
      </c>
      <c r="AV35">
        <f>IF('Data Analysis'!2018:2018,"AAAAAG/7+y8=",0)</f>
        <v>0</v>
      </c>
      <c r="AW35">
        <f>IF('Data Analysis'!2019:2019,"AAAAAG/7+zA=",0)</f>
        <v>0</v>
      </c>
      <c r="AX35">
        <f>IF('Data Analysis'!2020:2020,"AAAAAG/7+zE=",0)</f>
        <v>0</v>
      </c>
      <c r="AY35">
        <f>IF('Data Analysis'!2021:2021,"AAAAAG/7+zI=",0)</f>
        <v>0</v>
      </c>
      <c r="AZ35">
        <f>IF('Data Analysis'!2022:2022,"AAAAAG/7+zM=",0)</f>
        <v>0</v>
      </c>
      <c r="BA35">
        <f>IF('Data Analysis'!2023:2023,"AAAAAG/7+zQ=",0)</f>
        <v>0</v>
      </c>
      <c r="BB35">
        <f>IF('Data Analysis'!2024:2024,"AAAAAG/7+zU=",0)</f>
        <v>0</v>
      </c>
      <c r="BC35">
        <f>IF('Data Analysis'!2025:2025,"AAAAAG/7+zY=",0)</f>
        <v>0</v>
      </c>
      <c r="BD35">
        <f>IF('Data Analysis'!2026:2026,"AAAAAG/7+zc=",0)</f>
        <v>0</v>
      </c>
      <c r="BE35">
        <f>IF('Data Analysis'!2027:2027,"AAAAAG/7+zg=",0)</f>
        <v>0</v>
      </c>
      <c r="BF35">
        <f>IF('Data Analysis'!2028:2028,"AAAAAG/7+zk=",0)</f>
        <v>0</v>
      </c>
      <c r="BG35">
        <f>IF('Data Analysis'!2029:2029,"AAAAAG/7+zo=",0)</f>
        <v>0</v>
      </c>
      <c r="BH35">
        <f>IF('Data Analysis'!2030:2030,"AAAAAG/7+zs=",0)</f>
        <v>0</v>
      </c>
      <c r="BI35">
        <f>IF('Data Analysis'!2031:2031,"AAAAAG/7+zw=",0)</f>
        <v>0</v>
      </c>
      <c r="BJ35">
        <f>IF('Data Analysis'!2032:2032,"AAAAAG/7+z0=",0)</f>
        <v>0</v>
      </c>
      <c r="BK35">
        <f>IF('Data Analysis'!2033:2033,"AAAAAG/7+z4=",0)</f>
        <v>0</v>
      </c>
      <c r="BL35">
        <f>IF('Data Analysis'!2034:2034,"AAAAAG/7+z8=",0)</f>
        <v>0</v>
      </c>
      <c r="BM35">
        <f>IF('Data Analysis'!2035:2035,"AAAAAG/7+0A=",0)</f>
        <v>0</v>
      </c>
      <c r="BN35">
        <f>IF('Data Analysis'!2036:2036,"AAAAAG/7+0E=",0)</f>
        <v>0</v>
      </c>
      <c r="BO35">
        <f>IF('Data Analysis'!2037:2037,"AAAAAG/7+0I=",0)</f>
        <v>0</v>
      </c>
      <c r="BP35">
        <f>IF('Data Analysis'!2038:2038,"AAAAAG/7+0M=",0)</f>
        <v>0</v>
      </c>
      <c r="BQ35">
        <f>IF('Data Analysis'!2039:2039,"AAAAAG/7+0Q=",0)</f>
        <v>0</v>
      </c>
      <c r="BR35">
        <f>IF('Data Analysis'!2040:2040,"AAAAAG/7+0U=",0)</f>
        <v>0</v>
      </c>
      <c r="BS35">
        <f>IF('Data Analysis'!2041:2041,"AAAAAG/7+0Y=",0)</f>
        <v>0</v>
      </c>
      <c r="BT35">
        <f>IF('Data Analysis'!2042:2042,"AAAAAG/7+0c=",0)</f>
        <v>0</v>
      </c>
      <c r="BU35">
        <f>IF('Data Analysis'!2043:2043,"AAAAAG/7+0g=",0)</f>
        <v>0</v>
      </c>
      <c r="BV35">
        <f>IF('Data Analysis'!2044:2044,"AAAAAG/7+0k=",0)</f>
        <v>0</v>
      </c>
      <c r="BW35">
        <f>IF('Data Analysis'!2045:2045,"AAAAAG/7+0o=",0)</f>
        <v>0</v>
      </c>
      <c r="BX35">
        <f>IF('Data Analysis'!2046:2046,"AAAAAG/7+0s=",0)</f>
        <v>0</v>
      </c>
      <c r="BY35">
        <f>IF('Data Analysis'!2047:2047,"AAAAAG/7+0w=",0)</f>
        <v>0</v>
      </c>
      <c r="BZ35">
        <f>IF('Data Analysis'!2048:2048,"AAAAAG/7+00=",0)</f>
        <v>0</v>
      </c>
      <c r="CA35">
        <f>IF('Data Analysis'!2049:2049,"AAAAAG/7+04=",0)</f>
        <v>0</v>
      </c>
      <c r="CB35">
        <f>IF('Data Analysis'!2050:2050,"AAAAAG/7+08=",0)</f>
        <v>0</v>
      </c>
      <c r="CC35">
        <f>IF('Data Analysis'!2051:2051,"AAAAAG/7+1A=",0)</f>
        <v>0</v>
      </c>
      <c r="CD35">
        <f>IF('Data Analysis'!2052:2052,"AAAAAG/7+1E=",0)</f>
        <v>0</v>
      </c>
      <c r="CE35">
        <f>IF('Data Analysis'!2053:2053,"AAAAAG/7+1I=",0)</f>
        <v>0</v>
      </c>
      <c r="CF35">
        <f>IF('Data Analysis'!2054:2054,"AAAAAG/7+1M=",0)</f>
        <v>0</v>
      </c>
      <c r="CG35">
        <f>IF('Data Analysis'!2055:2055,"AAAAAG/7+1Q=",0)</f>
        <v>0</v>
      </c>
      <c r="CH35">
        <f>IF('Data Analysis'!2056:2056,"AAAAAG/7+1U=",0)</f>
        <v>0</v>
      </c>
      <c r="CI35">
        <f>IF('Data Analysis'!2057:2057,"AAAAAG/7+1Y=",0)</f>
        <v>0</v>
      </c>
      <c r="CJ35">
        <f>IF('Data Analysis'!2058:2058,"AAAAAG/7+1c=",0)</f>
        <v>0</v>
      </c>
      <c r="CK35">
        <f>IF('Data Analysis'!2059:2059,"AAAAAG/7+1g=",0)</f>
        <v>0</v>
      </c>
      <c r="CL35">
        <f>IF('Data Analysis'!2060:2060,"AAAAAG/7+1k=",0)</f>
        <v>0</v>
      </c>
      <c r="CM35">
        <f>IF('Data Analysis'!2061:2061,"AAAAAG/7+1o=",0)</f>
        <v>0</v>
      </c>
      <c r="CN35">
        <f>IF('Data Analysis'!2062:2062,"AAAAAG/7+1s=",0)</f>
        <v>0</v>
      </c>
      <c r="CO35">
        <f>IF('Data Analysis'!2063:2063,"AAAAAG/7+1w=",0)</f>
        <v>0</v>
      </c>
      <c r="CP35">
        <f>IF('Data Analysis'!2064:2064,"AAAAAG/7+10=",0)</f>
        <v>0</v>
      </c>
      <c r="CQ35">
        <f>IF('Data Analysis'!2065:2065,"AAAAAG/7+14=",0)</f>
        <v>0</v>
      </c>
      <c r="CR35">
        <f>IF('Data Analysis'!2066:2066,"AAAAAG/7+18=",0)</f>
        <v>0</v>
      </c>
      <c r="CS35">
        <f>IF('Data Analysis'!2067:2067,"AAAAAG/7+2A=",0)</f>
        <v>0</v>
      </c>
      <c r="CT35">
        <f>IF('Data Analysis'!2068:2068,"AAAAAG/7+2E=",0)</f>
        <v>0</v>
      </c>
      <c r="CU35">
        <f>IF('Data Analysis'!2069:2069,"AAAAAG/7+2I=",0)</f>
        <v>0</v>
      </c>
      <c r="CV35">
        <f>IF('Data Analysis'!2070:2070,"AAAAAG/7+2M=",0)</f>
        <v>0</v>
      </c>
      <c r="CW35">
        <f>IF('Data Analysis'!2071:2071,"AAAAAG/7+2Q=",0)</f>
        <v>0</v>
      </c>
      <c r="CX35">
        <f>IF('Data Analysis'!2072:2072,"AAAAAG/7+2U=",0)</f>
        <v>0</v>
      </c>
      <c r="CY35">
        <f>IF('Data Analysis'!2073:2073,"AAAAAG/7+2Y=",0)</f>
        <v>0</v>
      </c>
      <c r="CZ35">
        <f>IF('Data Analysis'!2074:2074,"AAAAAG/7+2c=",0)</f>
        <v>0</v>
      </c>
      <c r="DA35">
        <f>IF('Data Analysis'!2075:2075,"AAAAAG/7+2g=",0)</f>
        <v>0</v>
      </c>
      <c r="DB35">
        <f>IF('Data Analysis'!2076:2076,"AAAAAG/7+2k=",0)</f>
        <v>0</v>
      </c>
      <c r="DC35">
        <f>IF('Data Analysis'!2077:2077,"AAAAAG/7+2o=",0)</f>
        <v>0</v>
      </c>
      <c r="DD35">
        <f>IF('Data Analysis'!2078:2078,"AAAAAG/7+2s=",0)</f>
        <v>0</v>
      </c>
      <c r="DE35">
        <f>IF('Data Analysis'!2079:2079,"AAAAAG/7+2w=",0)</f>
        <v>0</v>
      </c>
      <c r="DF35">
        <f>IF('Data Analysis'!2080:2080,"AAAAAG/7+20=",0)</f>
        <v>0</v>
      </c>
      <c r="DG35">
        <f>IF('Data Analysis'!2081:2081,"AAAAAG/7+24=",0)</f>
        <v>0</v>
      </c>
      <c r="DH35">
        <f>IF('Data Analysis'!2082:2082,"AAAAAG/7+28=",0)</f>
        <v>0</v>
      </c>
      <c r="DI35">
        <f>IF('Data Analysis'!2083:2083,"AAAAAG/7+3A=",0)</f>
        <v>0</v>
      </c>
      <c r="DJ35">
        <f>IF('Data Analysis'!2084:2084,"AAAAAG/7+3E=",0)</f>
        <v>0</v>
      </c>
      <c r="DK35">
        <f>IF('Data Analysis'!2085:2085,"AAAAAG/7+3I=",0)</f>
        <v>0</v>
      </c>
      <c r="DL35">
        <f>IF('Data Analysis'!2086:2086,"AAAAAG/7+3M=",0)</f>
        <v>0</v>
      </c>
      <c r="DM35">
        <f>IF('Data Analysis'!2087:2087,"AAAAAG/7+3Q=",0)</f>
        <v>0</v>
      </c>
      <c r="DN35">
        <f>IF('Data Analysis'!2088:2088,"AAAAAG/7+3U=",0)</f>
        <v>0</v>
      </c>
      <c r="DO35">
        <f>IF('Data Analysis'!2089:2089,"AAAAAG/7+3Y=",0)</f>
        <v>0</v>
      </c>
      <c r="DP35">
        <f>IF('Data Analysis'!2090:2090,"AAAAAG/7+3c=",0)</f>
        <v>0</v>
      </c>
      <c r="DQ35">
        <f>IF('Data Analysis'!2091:2091,"AAAAAG/7+3g=",0)</f>
        <v>0</v>
      </c>
      <c r="DR35">
        <f>IF('Data Analysis'!2092:2092,"AAAAAG/7+3k=",0)</f>
        <v>0</v>
      </c>
      <c r="DS35">
        <f>IF('Data Analysis'!2093:2093,"AAAAAG/7+3o=",0)</f>
        <v>0</v>
      </c>
      <c r="DT35">
        <f>IF('Data Analysis'!2094:2094,"AAAAAG/7+3s=",0)</f>
        <v>0</v>
      </c>
      <c r="DU35">
        <f>IF('Data Analysis'!2095:2095,"AAAAAG/7+3w=",0)</f>
        <v>0</v>
      </c>
      <c r="DV35">
        <f>IF('Data Analysis'!2096:2096,"AAAAAG/7+30=",0)</f>
        <v>0</v>
      </c>
      <c r="DW35">
        <f>IF('Data Analysis'!2097:2097,"AAAAAG/7+34=",0)</f>
        <v>0</v>
      </c>
      <c r="DX35">
        <f>IF('Data Analysis'!2098:2098,"AAAAAG/7+38=",0)</f>
        <v>0</v>
      </c>
      <c r="DY35">
        <f>IF('Data Analysis'!2099:2099,"AAAAAG/7+4A=",0)</f>
        <v>0</v>
      </c>
      <c r="DZ35">
        <f>IF('Data Analysis'!2100:2100,"AAAAAG/7+4E=",0)</f>
        <v>0</v>
      </c>
      <c r="EA35">
        <f>IF('Data Analysis'!2101:2101,"AAAAAG/7+4I=",0)</f>
        <v>0</v>
      </c>
      <c r="EB35">
        <f>IF('Data Analysis'!2102:2102,"AAAAAG/7+4M=",0)</f>
        <v>0</v>
      </c>
      <c r="EC35">
        <f>IF('Data Analysis'!2103:2103,"AAAAAG/7+4Q=",0)</f>
        <v>0</v>
      </c>
      <c r="ED35">
        <f>IF('Data Analysis'!2104:2104,"AAAAAG/7+4U=",0)</f>
        <v>0</v>
      </c>
      <c r="EE35">
        <f>IF('Data Analysis'!2105:2105,"AAAAAG/7+4Y=",0)</f>
        <v>0</v>
      </c>
      <c r="EF35">
        <f>IF('Data Analysis'!2106:2106,"AAAAAG/7+4c=",0)</f>
        <v>0</v>
      </c>
      <c r="EG35">
        <f>IF('Data Analysis'!2107:2107,"AAAAAG/7+4g=",0)</f>
        <v>0</v>
      </c>
      <c r="EH35">
        <f>IF('Data Analysis'!2108:2108,"AAAAAG/7+4k=",0)</f>
        <v>0</v>
      </c>
      <c r="EI35">
        <f>IF('Data Analysis'!2109:2109,"AAAAAG/7+4o=",0)</f>
        <v>0</v>
      </c>
      <c r="EJ35">
        <f>IF('Data Analysis'!2110:2110,"AAAAAG/7+4s=",0)</f>
        <v>0</v>
      </c>
      <c r="EK35">
        <f>IF('Data Analysis'!2111:2111,"AAAAAG/7+4w=",0)</f>
        <v>0</v>
      </c>
      <c r="EL35">
        <f>IF('Data Analysis'!2112:2112,"AAAAAG/7+40=",0)</f>
        <v>0</v>
      </c>
      <c r="EM35">
        <f>IF('Data Analysis'!2113:2113,"AAAAAG/7+44=",0)</f>
        <v>0</v>
      </c>
      <c r="EN35">
        <f>IF('Data Analysis'!2114:2114,"AAAAAG/7+48=",0)</f>
        <v>0</v>
      </c>
      <c r="EO35">
        <f>IF('Data Analysis'!2115:2115,"AAAAAG/7+5A=",0)</f>
        <v>0</v>
      </c>
      <c r="EP35">
        <f>IF('Data Analysis'!2116:2116,"AAAAAG/7+5E=",0)</f>
        <v>0</v>
      </c>
      <c r="EQ35">
        <f>IF('Data Analysis'!2117:2117,"AAAAAG/7+5I=",0)</f>
        <v>0</v>
      </c>
      <c r="ER35">
        <f>IF('Data Analysis'!2118:2118,"AAAAAG/7+5M=",0)</f>
        <v>0</v>
      </c>
      <c r="ES35">
        <f>IF('Data Analysis'!2119:2119,"AAAAAG/7+5Q=",0)</f>
        <v>0</v>
      </c>
      <c r="ET35">
        <f>IF('Data Analysis'!2120:2120,"AAAAAG/7+5U=",0)</f>
        <v>0</v>
      </c>
      <c r="EU35">
        <f>IF('Data Analysis'!2121:2121,"AAAAAG/7+5Y=",0)</f>
        <v>0</v>
      </c>
      <c r="EV35">
        <f>IF('Data Analysis'!2122:2122,"AAAAAG/7+5c=",0)</f>
        <v>0</v>
      </c>
      <c r="EW35">
        <f>IF('Data Analysis'!2123:2123,"AAAAAG/7+5g=",0)</f>
        <v>0</v>
      </c>
      <c r="EX35">
        <f>IF('Data Analysis'!2124:2124,"AAAAAG/7+5k=",0)</f>
        <v>0</v>
      </c>
      <c r="EY35">
        <f>IF('Data Analysis'!2125:2125,"AAAAAG/7+5o=",0)</f>
        <v>0</v>
      </c>
      <c r="EZ35">
        <f>IF('Data Analysis'!2126:2126,"AAAAAG/7+5s=",0)</f>
        <v>0</v>
      </c>
      <c r="FA35">
        <f>IF('Data Analysis'!2127:2127,"AAAAAG/7+5w=",0)</f>
        <v>0</v>
      </c>
      <c r="FB35">
        <f>IF('Data Analysis'!2128:2128,"AAAAAG/7+50=",0)</f>
        <v>0</v>
      </c>
      <c r="FC35">
        <f>IF('Data Analysis'!2129:2129,"AAAAAG/7+54=",0)</f>
        <v>0</v>
      </c>
      <c r="FD35">
        <f>IF('Data Analysis'!2130:2130,"AAAAAG/7+58=",0)</f>
        <v>0</v>
      </c>
      <c r="FE35">
        <f>IF('Data Analysis'!2131:2131,"AAAAAG/7+6A=",0)</f>
        <v>0</v>
      </c>
      <c r="FF35">
        <f>IF('Data Analysis'!2132:2132,"AAAAAG/7+6E=",0)</f>
        <v>0</v>
      </c>
      <c r="FG35">
        <f>IF('Data Analysis'!2133:2133,"AAAAAG/7+6I=",0)</f>
        <v>0</v>
      </c>
      <c r="FH35">
        <f>IF('Data Analysis'!2134:2134,"AAAAAG/7+6M=",0)</f>
        <v>0</v>
      </c>
      <c r="FI35">
        <f>IF('Data Analysis'!2135:2135,"AAAAAG/7+6Q=",0)</f>
        <v>0</v>
      </c>
      <c r="FJ35">
        <f>IF('Data Analysis'!2136:2136,"AAAAAG/7+6U=",0)</f>
        <v>0</v>
      </c>
      <c r="FK35">
        <f>IF('Data Analysis'!2137:2137,"AAAAAG/7+6Y=",0)</f>
        <v>0</v>
      </c>
      <c r="FL35">
        <f>IF('Data Analysis'!2138:2138,"AAAAAG/7+6c=",0)</f>
        <v>0</v>
      </c>
      <c r="FM35">
        <f>IF('Data Analysis'!2139:2139,"AAAAAG/7+6g=",0)</f>
        <v>0</v>
      </c>
      <c r="FN35">
        <f>IF('Data Analysis'!2140:2140,"AAAAAG/7+6k=",0)</f>
        <v>0</v>
      </c>
      <c r="FO35">
        <f>IF('Data Analysis'!2141:2141,"AAAAAG/7+6o=",0)</f>
        <v>0</v>
      </c>
      <c r="FP35">
        <f>IF('Data Analysis'!2142:2142,"AAAAAG/7+6s=",0)</f>
        <v>0</v>
      </c>
      <c r="FQ35">
        <f>IF('Data Analysis'!2143:2143,"AAAAAG/7+6w=",0)</f>
        <v>0</v>
      </c>
      <c r="FR35">
        <f>IF('Data Analysis'!2144:2144,"AAAAAG/7+60=",0)</f>
        <v>0</v>
      </c>
      <c r="FS35">
        <f>IF('Data Analysis'!2145:2145,"AAAAAG/7+64=",0)</f>
        <v>0</v>
      </c>
      <c r="FT35">
        <f>IF('Data Analysis'!2146:2146,"AAAAAG/7+68=",0)</f>
        <v>0</v>
      </c>
      <c r="FU35">
        <f>IF('Data Analysis'!2147:2147,"AAAAAG/7+7A=",0)</f>
        <v>0</v>
      </c>
      <c r="FV35">
        <f>IF('Data Analysis'!2148:2148,"AAAAAG/7+7E=",0)</f>
        <v>0</v>
      </c>
      <c r="FW35">
        <f>IF('Data Analysis'!2149:2149,"AAAAAG/7+7I=",0)</f>
        <v>0</v>
      </c>
      <c r="FX35">
        <f>IF('Data Analysis'!2150:2150,"AAAAAG/7+7M=",0)</f>
        <v>0</v>
      </c>
      <c r="FY35">
        <f>IF('Data Analysis'!2151:2151,"AAAAAG/7+7Q=",0)</f>
        <v>0</v>
      </c>
      <c r="FZ35">
        <f>IF('Data Analysis'!2152:2152,"AAAAAG/7+7U=",0)</f>
        <v>0</v>
      </c>
      <c r="GA35">
        <f>IF('Data Analysis'!2153:2153,"AAAAAG/7+7Y=",0)</f>
        <v>0</v>
      </c>
      <c r="GB35">
        <f>IF('Data Analysis'!2154:2154,"AAAAAG/7+7c=",0)</f>
        <v>0</v>
      </c>
      <c r="GC35">
        <f>IF('Data Analysis'!2155:2155,"AAAAAG/7+7g=",0)</f>
        <v>0</v>
      </c>
      <c r="GD35">
        <f>IF('Data Analysis'!2156:2156,"AAAAAG/7+7k=",0)</f>
        <v>0</v>
      </c>
      <c r="GE35">
        <f>IF('Data Analysis'!2157:2157,"AAAAAG/7+7o=",0)</f>
        <v>0</v>
      </c>
      <c r="GF35">
        <f>IF('Data Analysis'!2158:2158,"AAAAAG/7+7s=",0)</f>
        <v>0</v>
      </c>
      <c r="GG35">
        <f>IF('Data Analysis'!2159:2159,"AAAAAG/7+7w=",0)</f>
        <v>0</v>
      </c>
      <c r="GH35">
        <f>IF('Data Analysis'!2160:2160,"AAAAAG/7+70=",0)</f>
        <v>0</v>
      </c>
      <c r="GI35">
        <f>IF('Data Analysis'!2161:2161,"AAAAAG/7+74=",0)</f>
        <v>0</v>
      </c>
      <c r="GJ35">
        <f>IF('Data Analysis'!2162:2162,"AAAAAG/7+78=",0)</f>
        <v>0</v>
      </c>
      <c r="GK35">
        <f>IF('Data Analysis'!2163:2163,"AAAAAG/7+8A=",0)</f>
        <v>0</v>
      </c>
      <c r="GL35">
        <f>IF('Data Analysis'!2164:2164,"AAAAAG/7+8E=",0)</f>
        <v>0</v>
      </c>
      <c r="GM35">
        <f>IF('Data Analysis'!2165:2165,"AAAAAG/7+8I=",0)</f>
        <v>0</v>
      </c>
      <c r="GN35">
        <f>IF('Data Analysis'!2166:2166,"AAAAAG/7+8M=",0)</f>
        <v>0</v>
      </c>
      <c r="GO35">
        <f>IF('Data Analysis'!2167:2167,"AAAAAG/7+8Q=",0)</f>
        <v>0</v>
      </c>
      <c r="GP35">
        <f>IF('Data Analysis'!2168:2168,"AAAAAG/7+8U=",0)</f>
        <v>0</v>
      </c>
      <c r="GQ35">
        <f>IF('Data Analysis'!2169:2169,"AAAAAG/7+8Y=",0)</f>
        <v>0</v>
      </c>
      <c r="GR35">
        <f>IF('Data Analysis'!2170:2170,"AAAAAG/7+8c=",0)</f>
        <v>0</v>
      </c>
      <c r="GS35">
        <f>IF('Data Analysis'!2171:2171,"AAAAAG/7+8g=",0)</f>
        <v>0</v>
      </c>
      <c r="GT35">
        <f>IF('Data Analysis'!2172:2172,"AAAAAG/7+8k=",0)</f>
        <v>0</v>
      </c>
      <c r="GU35">
        <f>IF('Data Analysis'!2173:2173,"AAAAAG/7+8o=",0)</f>
        <v>0</v>
      </c>
      <c r="GV35">
        <f>IF('Data Analysis'!2174:2174,"AAAAAG/7+8s=",0)</f>
        <v>0</v>
      </c>
      <c r="GW35">
        <f>IF('Data Analysis'!2175:2175,"AAAAAG/7+8w=",0)</f>
        <v>0</v>
      </c>
      <c r="GX35">
        <f>IF('Data Analysis'!2176:2176,"AAAAAG/7+80=",0)</f>
        <v>0</v>
      </c>
      <c r="GY35">
        <f>IF('Data Analysis'!2177:2177,"AAAAAG/7+84=",0)</f>
        <v>0</v>
      </c>
      <c r="GZ35">
        <f>IF('Data Analysis'!2178:2178,"AAAAAG/7+88=",0)</f>
        <v>0</v>
      </c>
      <c r="HA35">
        <f>IF('Data Analysis'!2179:2179,"AAAAAG/7+9A=",0)</f>
        <v>0</v>
      </c>
      <c r="HB35">
        <f>IF('Data Analysis'!2180:2180,"AAAAAG/7+9E=",0)</f>
        <v>0</v>
      </c>
      <c r="HC35">
        <f>IF('Data Analysis'!2181:2181,"AAAAAG/7+9I=",0)</f>
        <v>0</v>
      </c>
      <c r="HD35">
        <f>IF('Data Analysis'!2182:2182,"AAAAAG/7+9M=",0)</f>
        <v>0</v>
      </c>
      <c r="HE35">
        <f>IF('Data Analysis'!2183:2183,"AAAAAG/7+9Q=",0)</f>
        <v>0</v>
      </c>
      <c r="HF35">
        <f>IF('Data Analysis'!2184:2184,"AAAAAG/7+9U=",0)</f>
        <v>0</v>
      </c>
      <c r="HG35">
        <f>IF('Data Analysis'!2185:2185,"AAAAAG/7+9Y=",0)</f>
        <v>0</v>
      </c>
      <c r="HH35">
        <f>IF('Data Analysis'!2186:2186,"AAAAAG/7+9c=",0)</f>
        <v>0</v>
      </c>
      <c r="HI35">
        <f>IF('Data Analysis'!2187:2187,"AAAAAG/7+9g=",0)</f>
        <v>0</v>
      </c>
      <c r="HJ35">
        <f>IF('Data Analysis'!2188:2188,"AAAAAG/7+9k=",0)</f>
        <v>0</v>
      </c>
      <c r="HK35">
        <f>IF('Data Analysis'!2189:2189,"AAAAAG/7+9o=",0)</f>
        <v>0</v>
      </c>
      <c r="HL35">
        <f>IF('Data Analysis'!2190:2190,"AAAAAG/7+9s=",0)</f>
        <v>0</v>
      </c>
      <c r="HM35">
        <f>IF('Data Analysis'!2191:2191,"AAAAAG/7+9w=",0)</f>
        <v>0</v>
      </c>
      <c r="HN35">
        <f>IF('Data Analysis'!2192:2192,"AAAAAG/7+90=",0)</f>
        <v>0</v>
      </c>
      <c r="HO35">
        <f>IF('Data Analysis'!2193:2193,"AAAAAG/7+94=",0)</f>
        <v>0</v>
      </c>
      <c r="HP35">
        <f>IF('Data Analysis'!2194:2194,"AAAAAG/7+98=",0)</f>
        <v>0</v>
      </c>
      <c r="HQ35">
        <f>IF('Data Analysis'!2195:2195,"AAAAAG/7++A=",0)</f>
        <v>0</v>
      </c>
      <c r="HR35">
        <f>IF('Data Analysis'!2196:2196,"AAAAAG/7++E=",0)</f>
        <v>0</v>
      </c>
      <c r="HS35">
        <f>IF('Data Analysis'!2197:2197,"AAAAAG/7++I=",0)</f>
        <v>0</v>
      </c>
      <c r="HT35">
        <f>IF('Data Analysis'!2198:2198,"AAAAAG/7++M=",0)</f>
        <v>0</v>
      </c>
      <c r="HU35">
        <f>IF('Data Analysis'!2199:2199,"AAAAAG/7++Q=",0)</f>
        <v>0</v>
      </c>
      <c r="HV35">
        <f>IF('Data Analysis'!2200:2200,"AAAAAG/7++U=",0)</f>
        <v>0</v>
      </c>
      <c r="HW35">
        <f>IF('Data Analysis'!A:A,"AAAAAG/7++Y=",0)</f>
        <v>0</v>
      </c>
      <c r="HX35" t="str">
        <f>IF('Data Analysis'!B:B,"AAAAAG/7++c=",0)</f>
        <v>AAAAAG/7++c=</v>
      </c>
      <c r="HY35" t="str">
        <f>IF('Data Analysis'!C:C,"AAAAAG/7++g=",0)</f>
        <v>AAAAAG/7++g=</v>
      </c>
      <c r="HZ35" t="str">
        <f>IF('Data Analysis'!D:D,"AAAAAG/7++k=",0)</f>
        <v>AAAAAG/7++k=</v>
      </c>
      <c r="IA35">
        <f>IF('Data Analysis'!E:E,"AAAAAG/7++o=",0)</f>
        <v>0</v>
      </c>
      <c r="IB35">
        <f>IF('Data Analysis'!F:F,"AAAAAG/7++s=",0)</f>
        <v>0</v>
      </c>
      <c r="IC35">
        <f>IF('Data Analysis'!G:G,"AAAAAG/7++w=",0)</f>
        <v>0</v>
      </c>
      <c r="ID35">
        <f>IF('Data Analysis'!H:H,"AAAAAG/7++0=",0)</f>
        <v>0</v>
      </c>
      <c r="IE35" t="str">
        <f>IF('Data Analysis'!I:I,"AAAAAG/7++4=",0)</f>
        <v>AAAAAG/7++4=</v>
      </c>
      <c r="IF35" t="str">
        <f>IF('Data Analysis'!J:J,"AAAAAG/7++8=",0)</f>
        <v>AAAAAG/7++8=</v>
      </c>
      <c r="IG35">
        <f>IF('Data Analysis'!K:K,"AAAAAG/7+/A=",0)</f>
        <v>0</v>
      </c>
      <c r="IH35" t="str">
        <f>IF('Data Analysis'!L:L,"AAAAAG/7+/E=",0)</f>
        <v>AAAAAG/7+/E=</v>
      </c>
      <c r="II35">
        <f>IF('Data Analysis'!M:M,"AAAAAG/7+/I=",0)</f>
        <v>0</v>
      </c>
      <c r="IJ35">
        <f>IF('Data Analysis'!N:N,"AAAAAG/7+/M=",0)</f>
        <v>0</v>
      </c>
      <c r="IK35">
        <f>IF('Data Analysis'!O:O,"AAAAAG/7+/Q=",0)</f>
        <v>0</v>
      </c>
      <c r="IL35">
        <f>IF('Data Analysis'!P:P,"AAAAAG/7+/U=",0)</f>
        <v>0</v>
      </c>
      <c r="IM35">
        <f>IF('Data Analysis'!Q:Q,"AAAAAG/7+/Y=",0)</f>
        <v>0</v>
      </c>
      <c r="IN35">
        <f>IF('Data Analysis'!R:R,"AAAAAG/7+/c=",0)</f>
        <v>0</v>
      </c>
      <c r="IO35">
        <f>IF('Data Analysis'!S:S,"AAAAAG/7+/g=",0)</f>
        <v>0</v>
      </c>
      <c r="IP35">
        <f>IF('Data Analysis'!T:T,"AAAAAG/7+/k=",0)</f>
        <v>0</v>
      </c>
      <c r="IQ35">
        <f>IF('Data Analysis'!U:U,"AAAAAG/7+/o=",0)</f>
        <v>0</v>
      </c>
      <c r="IR35">
        <f>IF('Data Analysis'!V:V,"AAAAAG/7+/s=",0)</f>
        <v>0</v>
      </c>
      <c r="IS35">
        <f>IF('Data Analysis'!W:W,"AAAAAG/7+/w=",0)</f>
        <v>0</v>
      </c>
      <c r="IT35">
        <f>IF('Match Prediction Analysis'!1:1,"AAAAAG/7+/0=",0)</f>
        <v>0</v>
      </c>
      <c r="IU35" t="e">
        <f>AND('Match Prediction Analysis'!A1,"AAAAAG/7+/4=")</f>
        <v>#VALUE!</v>
      </c>
      <c r="IV35" t="e">
        <f>AND('Match Prediction Analysis'!B1,"AAAAAG/7+/8=")</f>
        <v>#VALUE!</v>
      </c>
    </row>
    <row r="36" spans="1:256" x14ac:dyDescent="0.2">
      <c r="A36" t="e">
        <f>AND('Match Prediction Analysis'!C1,"AAAAAD7PXQA=")</f>
        <v>#VALUE!</v>
      </c>
      <c r="B36" t="e">
        <f>AND('Match Prediction Analysis'!D1,"AAAAAD7PXQE=")</f>
        <v>#VALUE!</v>
      </c>
      <c r="C36" t="e">
        <f>AND('Match Prediction Analysis'!E1,"AAAAAD7PXQI=")</f>
        <v>#VALUE!</v>
      </c>
      <c r="D36" t="e">
        <f>AND('Match Prediction Analysis'!F1,"AAAAAD7PXQM=")</f>
        <v>#VALUE!</v>
      </c>
      <c r="E36" t="e">
        <f>AND('Match Prediction Analysis'!G1,"AAAAAD7PXQQ=")</f>
        <v>#VALUE!</v>
      </c>
      <c r="F36" t="e">
        <f>AND('Match Prediction Analysis'!H1,"AAAAAD7PXQU=")</f>
        <v>#VALUE!</v>
      </c>
      <c r="G36" t="e">
        <f>AND('Match Prediction Analysis'!I1,"AAAAAD7PXQY=")</f>
        <v>#VALUE!</v>
      </c>
      <c r="H36" t="e">
        <f>AND('Match Prediction Analysis'!J1,"AAAAAD7PXQc=")</f>
        <v>#VALUE!</v>
      </c>
      <c r="I36" t="e">
        <f>AND('Match Prediction Analysis'!K1,"AAAAAD7PXQg=")</f>
        <v>#VALUE!</v>
      </c>
      <c r="J36" t="e">
        <f>AND('Match Prediction Analysis'!L1,"AAAAAD7PXQk=")</f>
        <v>#VALUE!</v>
      </c>
      <c r="K36" t="e">
        <f>AND('Match Prediction Analysis'!M1,"AAAAAD7PXQo=")</f>
        <v>#VALUE!</v>
      </c>
      <c r="L36" t="e">
        <f>AND('Match Prediction Analysis'!N1,"AAAAAD7PXQs=")</f>
        <v>#VALUE!</v>
      </c>
      <c r="M36" t="e">
        <f>AND('Match Prediction Analysis'!O1,"AAAAAD7PXQw=")</f>
        <v>#VALUE!</v>
      </c>
      <c r="N36" t="e">
        <f>AND('Match Prediction Analysis'!P1,"AAAAAD7PXQ0=")</f>
        <v>#VALUE!</v>
      </c>
      <c r="O36" t="e">
        <f>AND('Match Prediction Analysis'!Q1,"AAAAAD7PXQ4=")</f>
        <v>#VALUE!</v>
      </c>
      <c r="P36" t="e">
        <f>AND('Match Prediction Analysis'!R1,"AAAAAD7PXQ8=")</f>
        <v>#VALUE!</v>
      </c>
      <c r="Q36">
        <f>IF('Match Prediction Analysis'!2:2,"AAAAAD7PXRA=",0)</f>
        <v>0</v>
      </c>
      <c r="R36" t="e">
        <f>AND('Match Prediction Analysis'!A2,"AAAAAD7PXRE=")</f>
        <v>#VALUE!</v>
      </c>
      <c r="S36" t="e">
        <f>AND('Match Prediction Analysis'!B2,"AAAAAD7PXRI=")</f>
        <v>#VALUE!</v>
      </c>
      <c r="T36" t="e">
        <f>AND('Match Prediction Analysis'!C2,"AAAAAD7PXRM=")</f>
        <v>#VALUE!</v>
      </c>
      <c r="U36" t="e">
        <f>AND('Match Prediction Analysis'!D2,"AAAAAD7PXRQ=")</f>
        <v>#VALUE!</v>
      </c>
      <c r="V36" t="e">
        <f>AND('Match Prediction Analysis'!E2,"AAAAAD7PXRU=")</f>
        <v>#VALUE!</v>
      </c>
      <c r="W36" t="e">
        <f>AND('Match Prediction Analysis'!F2,"AAAAAD7PXRY=")</f>
        <v>#VALUE!</v>
      </c>
      <c r="X36" t="e">
        <f>AND('Match Prediction Analysis'!G2,"AAAAAD7PXRc=")</f>
        <v>#VALUE!</v>
      </c>
      <c r="Y36" t="e">
        <f>AND('Match Prediction Analysis'!H2,"AAAAAD7PXRg=")</f>
        <v>#VALUE!</v>
      </c>
      <c r="Z36" t="e">
        <f>AND('Match Prediction Analysis'!I2,"AAAAAD7PXRk=")</f>
        <v>#VALUE!</v>
      </c>
      <c r="AA36" t="e">
        <f>AND('Match Prediction Analysis'!J2,"AAAAAD7PXRo=")</f>
        <v>#VALUE!</v>
      </c>
      <c r="AB36" t="e">
        <f>AND('Match Prediction Analysis'!K2,"AAAAAD7PXRs=")</f>
        <v>#VALUE!</v>
      </c>
      <c r="AC36" t="e">
        <f>AND('Match Prediction Analysis'!L2,"AAAAAD7PXRw=")</f>
        <v>#VALUE!</v>
      </c>
      <c r="AD36" t="e">
        <f>AND('Match Prediction Analysis'!M2,"AAAAAD7PXR0=")</f>
        <v>#VALUE!</v>
      </c>
      <c r="AE36" t="e">
        <f>AND('Match Prediction Analysis'!N2,"AAAAAD7PXR4=")</f>
        <v>#VALUE!</v>
      </c>
      <c r="AF36" t="e">
        <f>AND('Match Prediction Analysis'!O2,"AAAAAD7PXR8=")</f>
        <v>#VALUE!</v>
      </c>
      <c r="AG36" t="e">
        <f>AND('Match Prediction Analysis'!P2,"AAAAAD7PXSA=")</f>
        <v>#VALUE!</v>
      </c>
      <c r="AH36" t="e">
        <f>AND('Match Prediction Analysis'!Q2,"AAAAAD7PXSE=")</f>
        <v>#VALUE!</v>
      </c>
      <c r="AI36" t="e">
        <f>AND('Match Prediction Analysis'!R2,"AAAAAD7PXSI=")</f>
        <v>#VALUE!</v>
      </c>
      <c r="AJ36">
        <f>IF('Match Prediction Analysis'!3:3,"AAAAAD7PXSM=",0)</f>
        <v>0</v>
      </c>
      <c r="AK36" t="e">
        <f>AND('Match Prediction Analysis'!A3,"AAAAAD7PXSQ=")</f>
        <v>#VALUE!</v>
      </c>
      <c r="AL36" t="e">
        <f>AND('Match Prediction Analysis'!B3,"AAAAAD7PXSU=")</f>
        <v>#VALUE!</v>
      </c>
      <c r="AM36" t="e">
        <f>AND('Match Prediction Analysis'!C3,"AAAAAD7PXSY=")</f>
        <v>#VALUE!</v>
      </c>
      <c r="AN36" t="e">
        <f>AND('Match Prediction Analysis'!D3,"AAAAAD7PXSc=")</f>
        <v>#VALUE!</v>
      </c>
      <c r="AO36" t="e">
        <f>AND('Match Prediction Analysis'!E3,"AAAAAD7PXSg=")</f>
        <v>#VALUE!</v>
      </c>
      <c r="AP36" t="e">
        <f>AND('Match Prediction Analysis'!F3,"AAAAAD7PXSk=")</f>
        <v>#VALUE!</v>
      </c>
      <c r="AQ36" t="e">
        <f>AND('Match Prediction Analysis'!G3,"AAAAAD7PXSo=")</f>
        <v>#VALUE!</v>
      </c>
      <c r="AR36" t="e">
        <f>AND('Match Prediction Analysis'!H3,"AAAAAD7PXSs=")</f>
        <v>#VALUE!</v>
      </c>
      <c r="AS36" t="e">
        <f>AND('Match Prediction Analysis'!I3,"AAAAAD7PXSw=")</f>
        <v>#VALUE!</v>
      </c>
      <c r="AT36" t="e">
        <f>AND('Match Prediction Analysis'!J3,"AAAAAD7PXS0=")</f>
        <v>#VALUE!</v>
      </c>
      <c r="AU36" t="e">
        <f>AND('Match Prediction Analysis'!K3,"AAAAAD7PXS4=")</f>
        <v>#VALUE!</v>
      </c>
      <c r="AV36" t="e">
        <f>AND('Match Prediction Analysis'!L3,"AAAAAD7PXS8=")</f>
        <v>#VALUE!</v>
      </c>
      <c r="AW36" t="e">
        <f>AND('Match Prediction Analysis'!M3,"AAAAAD7PXTA=")</f>
        <v>#VALUE!</v>
      </c>
      <c r="AX36" t="e">
        <f>AND('Match Prediction Analysis'!N3,"AAAAAD7PXTE=")</f>
        <v>#VALUE!</v>
      </c>
      <c r="AY36" t="e">
        <f>AND('Match Prediction Analysis'!O3,"AAAAAD7PXTI=")</f>
        <v>#VALUE!</v>
      </c>
      <c r="AZ36" t="e">
        <f>AND('Match Prediction Analysis'!P3,"AAAAAD7PXTM=")</f>
        <v>#VALUE!</v>
      </c>
      <c r="BA36" t="e">
        <f>AND('Match Prediction Analysis'!Q3,"AAAAAD7PXTQ=")</f>
        <v>#VALUE!</v>
      </c>
      <c r="BB36" t="e">
        <f>AND('Match Prediction Analysis'!R3,"AAAAAD7PXTU=")</f>
        <v>#VALUE!</v>
      </c>
      <c r="BC36">
        <f>IF('Match Prediction Analysis'!4:4,"AAAAAD7PXTY=",0)</f>
        <v>0</v>
      </c>
      <c r="BD36" t="e">
        <f>AND('Match Prediction Analysis'!A4,"AAAAAD7PXTc=")</f>
        <v>#VALUE!</v>
      </c>
      <c r="BE36" t="e">
        <f>AND('Match Prediction Analysis'!B4,"AAAAAD7PXTg=")</f>
        <v>#VALUE!</v>
      </c>
      <c r="BF36" t="e">
        <f>AND('Match Prediction Analysis'!C4,"AAAAAD7PXTk=")</f>
        <v>#VALUE!</v>
      </c>
      <c r="BG36" t="e">
        <f>AND('Match Prediction Analysis'!D4,"AAAAAD7PXTo=")</f>
        <v>#VALUE!</v>
      </c>
      <c r="BH36" t="e">
        <f>AND('Match Prediction Analysis'!E4,"AAAAAD7PXTs=")</f>
        <v>#VALUE!</v>
      </c>
      <c r="BI36" t="e">
        <f>AND('Match Prediction Analysis'!F4,"AAAAAD7PXTw=")</f>
        <v>#VALUE!</v>
      </c>
      <c r="BJ36" t="e">
        <f>AND('Match Prediction Analysis'!G4,"AAAAAD7PXT0=")</f>
        <v>#VALUE!</v>
      </c>
      <c r="BK36" t="e">
        <f>AND('Match Prediction Analysis'!H4,"AAAAAD7PXT4=")</f>
        <v>#VALUE!</v>
      </c>
      <c r="BL36" t="e">
        <f>AND('Match Prediction Analysis'!I4,"AAAAAD7PXT8=")</f>
        <v>#VALUE!</v>
      </c>
      <c r="BM36" t="e">
        <f>AND('Match Prediction Analysis'!J4,"AAAAAD7PXUA=")</f>
        <v>#VALUE!</v>
      </c>
      <c r="BN36" t="e">
        <f>AND('Match Prediction Analysis'!K4,"AAAAAD7PXUE=")</f>
        <v>#VALUE!</v>
      </c>
      <c r="BO36" t="e">
        <f>AND('Match Prediction Analysis'!L4,"AAAAAD7PXUI=")</f>
        <v>#VALUE!</v>
      </c>
      <c r="BP36" t="e">
        <f>AND('Match Prediction Analysis'!M4,"AAAAAD7PXUM=")</f>
        <v>#VALUE!</v>
      </c>
      <c r="BQ36" t="e">
        <f>AND('Match Prediction Analysis'!N4,"AAAAAD7PXUQ=")</f>
        <v>#VALUE!</v>
      </c>
      <c r="BR36" t="e">
        <f>AND('Match Prediction Analysis'!O4,"AAAAAD7PXUU=")</f>
        <v>#VALUE!</v>
      </c>
      <c r="BS36" t="e">
        <f>AND('Match Prediction Analysis'!P4,"AAAAAD7PXUY=")</f>
        <v>#VALUE!</v>
      </c>
      <c r="BT36" t="e">
        <f>AND('Match Prediction Analysis'!Q4,"AAAAAD7PXUc=")</f>
        <v>#VALUE!</v>
      </c>
      <c r="BU36" t="e">
        <f>AND('Match Prediction Analysis'!R4,"AAAAAD7PXUg=")</f>
        <v>#VALUE!</v>
      </c>
      <c r="BV36">
        <f>IF('Match Prediction Analysis'!5:5,"AAAAAD7PXUk=",0)</f>
        <v>0</v>
      </c>
      <c r="BW36" t="e">
        <f>AND('Match Prediction Analysis'!A5,"AAAAAD7PXUo=")</f>
        <v>#VALUE!</v>
      </c>
      <c r="BX36" t="e">
        <f>AND('Match Prediction Analysis'!B5,"AAAAAD7PXUs=")</f>
        <v>#VALUE!</v>
      </c>
      <c r="BY36" t="e">
        <f>AND('Match Prediction Analysis'!C5,"AAAAAD7PXUw=")</f>
        <v>#VALUE!</v>
      </c>
      <c r="BZ36" t="e">
        <f>AND('Match Prediction Analysis'!D5,"AAAAAD7PXU0=")</f>
        <v>#VALUE!</v>
      </c>
      <c r="CA36" t="e">
        <f>AND('Match Prediction Analysis'!E5,"AAAAAD7PXU4=")</f>
        <v>#VALUE!</v>
      </c>
      <c r="CB36" t="e">
        <f>AND('Match Prediction Analysis'!F5,"AAAAAD7PXU8=")</f>
        <v>#VALUE!</v>
      </c>
      <c r="CC36" t="e">
        <f>AND('Match Prediction Analysis'!G5,"AAAAAD7PXVA=")</f>
        <v>#VALUE!</v>
      </c>
      <c r="CD36" t="e">
        <f>AND('Match Prediction Analysis'!H5,"AAAAAD7PXVE=")</f>
        <v>#VALUE!</v>
      </c>
      <c r="CE36" t="e">
        <f>AND('Match Prediction Analysis'!I5,"AAAAAD7PXVI=")</f>
        <v>#VALUE!</v>
      </c>
      <c r="CF36" t="e">
        <f>AND('Match Prediction Analysis'!J5,"AAAAAD7PXVM=")</f>
        <v>#VALUE!</v>
      </c>
      <c r="CG36" t="e">
        <f>AND('Match Prediction Analysis'!K5,"AAAAAD7PXVQ=")</f>
        <v>#VALUE!</v>
      </c>
      <c r="CH36" t="e">
        <f>AND('Match Prediction Analysis'!L5,"AAAAAD7PXVU=")</f>
        <v>#VALUE!</v>
      </c>
      <c r="CI36" t="e">
        <f>AND('Match Prediction Analysis'!M5,"AAAAAD7PXVY=")</f>
        <v>#VALUE!</v>
      </c>
      <c r="CJ36" t="e">
        <f>AND('Match Prediction Analysis'!N5,"AAAAAD7PXVc=")</f>
        <v>#VALUE!</v>
      </c>
      <c r="CK36" t="e">
        <f>AND('Match Prediction Analysis'!O5,"AAAAAD7PXVg=")</f>
        <v>#VALUE!</v>
      </c>
      <c r="CL36" t="e">
        <f>AND('Match Prediction Analysis'!P5,"AAAAAD7PXVk=")</f>
        <v>#VALUE!</v>
      </c>
      <c r="CM36" t="e">
        <f>AND('Match Prediction Analysis'!Q5,"AAAAAD7PXVo=")</f>
        <v>#VALUE!</v>
      </c>
      <c r="CN36" t="e">
        <f>AND('Match Prediction Analysis'!R5,"AAAAAD7PXVs=")</f>
        <v>#VALUE!</v>
      </c>
      <c r="CO36">
        <f>IF('Match Prediction Analysis'!6:6,"AAAAAD7PXVw=",0)</f>
        <v>0</v>
      </c>
      <c r="CP36" t="e">
        <f>AND('Match Prediction Analysis'!A6,"AAAAAD7PXV0=")</f>
        <v>#VALUE!</v>
      </c>
      <c r="CQ36" t="e">
        <f>AND('Match Prediction Analysis'!B6,"AAAAAD7PXV4=")</f>
        <v>#VALUE!</v>
      </c>
      <c r="CR36" t="e">
        <f>AND('Match Prediction Analysis'!C6,"AAAAAD7PXV8=")</f>
        <v>#VALUE!</v>
      </c>
      <c r="CS36" t="e">
        <f>AND('Match Prediction Analysis'!D6,"AAAAAD7PXWA=")</f>
        <v>#VALUE!</v>
      </c>
      <c r="CT36" t="e">
        <f>AND('Match Prediction Analysis'!E6,"AAAAAD7PXWE=")</f>
        <v>#VALUE!</v>
      </c>
      <c r="CU36" t="e">
        <f>AND('Match Prediction Analysis'!F6,"AAAAAD7PXWI=")</f>
        <v>#VALUE!</v>
      </c>
      <c r="CV36" t="e">
        <f>AND('Match Prediction Analysis'!G6,"AAAAAD7PXWM=")</f>
        <v>#VALUE!</v>
      </c>
      <c r="CW36" t="e">
        <f>AND('Match Prediction Analysis'!H6,"AAAAAD7PXWQ=")</f>
        <v>#VALUE!</v>
      </c>
      <c r="CX36" t="e">
        <f>AND('Match Prediction Analysis'!I6,"AAAAAD7PXWU=")</f>
        <v>#VALUE!</v>
      </c>
      <c r="CY36" t="e">
        <f>AND('Match Prediction Analysis'!J6,"AAAAAD7PXWY=")</f>
        <v>#VALUE!</v>
      </c>
      <c r="CZ36" t="e">
        <f>AND('Match Prediction Analysis'!K6,"AAAAAD7PXWc=")</f>
        <v>#VALUE!</v>
      </c>
      <c r="DA36" t="e">
        <f>AND('Match Prediction Analysis'!L6,"AAAAAD7PXWg=")</f>
        <v>#VALUE!</v>
      </c>
      <c r="DB36" t="e">
        <f>AND('Match Prediction Analysis'!M6,"AAAAAD7PXWk=")</f>
        <v>#VALUE!</v>
      </c>
      <c r="DC36" t="e">
        <f>AND('Match Prediction Analysis'!N6,"AAAAAD7PXWo=")</f>
        <v>#VALUE!</v>
      </c>
      <c r="DD36" t="e">
        <f>AND('Match Prediction Analysis'!O6,"AAAAAD7PXWs=")</f>
        <v>#VALUE!</v>
      </c>
      <c r="DE36" t="e">
        <f>AND('Match Prediction Analysis'!P6,"AAAAAD7PXWw=")</f>
        <v>#VALUE!</v>
      </c>
      <c r="DF36" t="e">
        <f>AND('Match Prediction Analysis'!Q6,"AAAAAD7PXW0=")</f>
        <v>#VALUE!</v>
      </c>
      <c r="DG36" t="e">
        <f>AND('Match Prediction Analysis'!R6,"AAAAAD7PXW4=")</f>
        <v>#VALUE!</v>
      </c>
      <c r="DH36">
        <f>IF('Match Prediction Analysis'!7:7,"AAAAAD7PXW8=",0)</f>
        <v>0</v>
      </c>
      <c r="DI36" t="e">
        <f>AND('Match Prediction Analysis'!A7,"AAAAAD7PXXA=")</f>
        <v>#VALUE!</v>
      </c>
      <c r="DJ36" t="e">
        <f>AND('Match Prediction Analysis'!B7,"AAAAAD7PXXE=")</f>
        <v>#VALUE!</v>
      </c>
      <c r="DK36" t="e">
        <f>AND('Match Prediction Analysis'!C7,"AAAAAD7PXXI=")</f>
        <v>#VALUE!</v>
      </c>
      <c r="DL36" t="e">
        <f>AND('Match Prediction Analysis'!D7,"AAAAAD7PXXM=")</f>
        <v>#VALUE!</v>
      </c>
      <c r="DM36" t="e">
        <f>AND('Match Prediction Analysis'!E7,"AAAAAD7PXXQ=")</f>
        <v>#VALUE!</v>
      </c>
      <c r="DN36" t="e">
        <f>AND('Match Prediction Analysis'!F7,"AAAAAD7PXXU=")</f>
        <v>#VALUE!</v>
      </c>
      <c r="DO36" t="e">
        <f>AND('Match Prediction Analysis'!G7,"AAAAAD7PXXY=")</f>
        <v>#VALUE!</v>
      </c>
      <c r="DP36" t="e">
        <f>AND('Match Prediction Analysis'!H7,"AAAAAD7PXXc=")</f>
        <v>#VALUE!</v>
      </c>
      <c r="DQ36" t="e">
        <f>AND('Match Prediction Analysis'!I7,"AAAAAD7PXXg=")</f>
        <v>#VALUE!</v>
      </c>
      <c r="DR36" t="e">
        <f>AND('Match Prediction Analysis'!J7,"AAAAAD7PXXk=")</f>
        <v>#VALUE!</v>
      </c>
      <c r="DS36" t="e">
        <f>AND('Match Prediction Analysis'!K7,"AAAAAD7PXXo=")</f>
        <v>#VALUE!</v>
      </c>
      <c r="DT36" t="e">
        <f>AND('Match Prediction Analysis'!L7,"AAAAAD7PXXs=")</f>
        <v>#VALUE!</v>
      </c>
      <c r="DU36" t="e">
        <f>AND('Match Prediction Analysis'!M7,"AAAAAD7PXXw=")</f>
        <v>#VALUE!</v>
      </c>
      <c r="DV36" t="e">
        <f>AND('Match Prediction Analysis'!N7,"AAAAAD7PXX0=")</f>
        <v>#VALUE!</v>
      </c>
      <c r="DW36" t="e">
        <f>AND('Match Prediction Analysis'!O7,"AAAAAD7PXX4=")</f>
        <v>#VALUE!</v>
      </c>
      <c r="DX36" t="e">
        <f>AND('Match Prediction Analysis'!P7,"AAAAAD7PXX8=")</f>
        <v>#VALUE!</v>
      </c>
      <c r="DY36" t="e">
        <f>AND('Match Prediction Analysis'!Q7,"AAAAAD7PXYA=")</f>
        <v>#VALUE!</v>
      </c>
      <c r="DZ36" t="e">
        <f>AND('Match Prediction Analysis'!R7,"AAAAAD7PXYE=")</f>
        <v>#VALUE!</v>
      </c>
      <c r="EA36">
        <f>IF('Match Prediction Analysis'!8:8,"AAAAAD7PXYI=",0)</f>
        <v>0</v>
      </c>
      <c r="EB36" t="e">
        <f>AND('Match Prediction Analysis'!A8,"AAAAAD7PXYM=")</f>
        <v>#VALUE!</v>
      </c>
      <c r="EC36" t="e">
        <f>AND('Match Prediction Analysis'!B8,"AAAAAD7PXYQ=")</f>
        <v>#VALUE!</v>
      </c>
      <c r="ED36" t="e">
        <f>AND('Match Prediction Analysis'!C8,"AAAAAD7PXYU=")</f>
        <v>#VALUE!</v>
      </c>
      <c r="EE36" t="e">
        <f>AND('Match Prediction Analysis'!D8,"AAAAAD7PXYY=")</f>
        <v>#VALUE!</v>
      </c>
      <c r="EF36" t="e">
        <f>AND('Match Prediction Analysis'!E8,"AAAAAD7PXYc=")</f>
        <v>#VALUE!</v>
      </c>
      <c r="EG36" t="e">
        <f>AND('Match Prediction Analysis'!F8,"AAAAAD7PXYg=")</f>
        <v>#VALUE!</v>
      </c>
      <c r="EH36" t="e">
        <f>AND('Match Prediction Analysis'!G8,"AAAAAD7PXYk=")</f>
        <v>#VALUE!</v>
      </c>
      <c r="EI36" t="e">
        <f>AND('Match Prediction Analysis'!H8,"AAAAAD7PXYo=")</f>
        <v>#VALUE!</v>
      </c>
      <c r="EJ36" t="e">
        <f>AND('Match Prediction Analysis'!I8,"AAAAAD7PXYs=")</f>
        <v>#VALUE!</v>
      </c>
      <c r="EK36" t="e">
        <f>AND('Match Prediction Analysis'!J8,"AAAAAD7PXYw=")</f>
        <v>#VALUE!</v>
      </c>
      <c r="EL36" t="e">
        <f>AND('Match Prediction Analysis'!K8,"AAAAAD7PXY0=")</f>
        <v>#VALUE!</v>
      </c>
      <c r="EM36" t="e">
        <f>AND('Match Prediction Analysis'!L8,"AAAAAD7PXY4=")</f>
        <v>#VALUE!</v>
      </c>
      <c r="EN36" t="e">
        <f>AND('Match Prediction Analysis'!M8,"AAAAAD7PXY8=")</f>
        <v>#VALUE!</v>
      </c>
      <c r="EO36" t="e">
        <f>AND('Match Prediction Analysis'!N8,"AAAAAD7PXZA=")</f>
        <v>#VALUE!</v>
      </c>
      <c r="EP36" t="e">
        <f>AND('Match Prediction Analysis'!O8,"AAAAAD7PXZE=")</f>
        <v>#VALUE!</v>
      </c>
      <c r="EQ36" t="e">
        <f>AND('Match Prediction Analysis'!P8,"AAAAAD7PXZI=")</f>
        <v>#VALUE!</v>
      </c>
      <c r="ER36" t="e">
        <f>AND('Match Prediction Analysis'!Q8,"AAAAAD7PXZM=")</f>
        <v>#VALUE!</v>
      </c>
      <c r="ES36" t="e">
        <f>AND('Match Prediction Analysis'!R8,"AAAAAD7PXZQ=")</f>
        <v>#VALUE!</v>
      </c>
      <c r="ET36">
        <f>IF('Match Prediction Analysis'!9:9,"AAAAAD7PXZU=",0)</f>
        <v>0</v>
      </c>
      <c r="EU36" t="e">
        <f>AND('Match Prediction Analysis'!A9,"AAAAAD7PXZY=")</f>
        <v>#VALUE!</v>
      </c>
      <c r="EV36" t="e">
        <f>AND('Match Prediction Analysis'!B9,"AAAAAD7PXZc=")</f>
        <v>#VALUE!</v>
      </c>
      <c r="EW36" t="e">
        <f>AND('Match Prediction Analysis'!C9,"AAAAAD7PXZg=")</f>
        <v>#VALUE!</v>
      </c>
      <c r="EX36" t="e">
        <f>AND('Match Prediction Analysis'!D9,"AAAAAD7PXZk=")</f>
        <v>#VALUE!</v>
      </c>
      <c r="EY36" t="e">
        <f>AND('Match Prediction Analysis'!E9,"AAAAAD7PXZo=")</f>
        <v>#VALUE!</v>
      </c>
      <c r="EZ36" t="e">
        <f>AND('Match Prediction Analysis'!F9,"AAAAAD7PXZs=")</f>
        <v>#VALUE!</v>
      </c>
      <c r="FA36" t="e">
        <f>AND('Match Prediction Analysis'!G9,"AAAAAD7PXZw=")</f>
        <v>#VALUE!</v>
      </c>
      <c r="FB36" t="e">
        <f>AND('Match Prediction Analysis'!H9,"AAAAAD7PXZ0=")</f>
        <v>#VALUE!</v>
      </c>
      <c r="FC36" t="e">
        <f>AND('Match Prediction Analysis'!I9,"AAAAAD7PXZ4=")</f>
        <v>#VALUE!</v>
      </c>
      <c r="FD36" t="e">
        <f>AND('Match Prediction Analysis'!J9,"AAAAAD7PXZ8=")</f>
        <v>#VALUE!</v>
      </c>
      <c r="FE36" t="e">
        <f>AND('Match Prediction Analysis'!K9,"AAAAAD7PXaA=")</f>
        <v>#VALUE!</v>
      </c>
      <c r="FF36" t="e">
        <f>AND('Match Prediction Analysis'!L9,"AAAAAD7PXaE=")</f>
        <v>#VALUE!</v>
      </c>
      <c r="FG36" t="e">
        <f>AND('Match Prediction Analysis'!M9,"AAAAAD7PXaI=")</f>
        <v>#VALUE!</v>
      </c>
      <c r="FH36" t="e">
        <f>AND('Match Prediction Analysis'!N9,"AAAAAD7PXaM=")</f>
        <v>#VALUE!</v>
      </c>
      <c r="FI36" t="e">
        <f>AND('Match Prediction Analysis'!O9,"AAAAAD7PXaQ=")</f>
        <v>#VALUE!</v>
      </c>
      <c r="FJ36" t="e">
        <f>AND('Match Prediction Analysis'!P9,"AAAAAD7PXaU=")</f>
        <v>#VALUE!</v>
      </c>
      <c r="FK36" t="e">
        <f>AND('Match Prediction Analysis'!Q9,"AAAAAD7PXaY=")</f>
        <v>#VALUE!</v>
      </c>
      <c r="FL36" t="e">
        <f>AND('Match Prediction Analysis'!R9,"AAAAAD7PXac=")</f>
        <v>#VALUE!</v>
      </c>
      <c r="FM36">
        <f>IF('Match Prediction Analysis'!10:10,"AAAAAD7PXag=",0)</f>
        <v>0</v>
      </c>
      <c r="FN36" t="e">
        <f>AND('Match Prediction Analysis'!A10,"AAAAAD7PXak=")</f>
        <v>#VALUE!</v>
      </c>
      <c r="FO36" t="e">
        <f>AND('Match Prediction Analysis'!B10,"AAAAAD7PXao=")</f>
        <v>#VALUE!</v>
      </c>
      <c r="FP36" t="e">
        <f>AND('Match Prediction Analysis'!C10,"AAAAAD7PXas=")</f>
        <v>#VALUE!</v>
      </c>
      <c r="FQ36" t="e">
        <f>AND('Match Prediction Analysis'!D10,"AAAAAD7PXaw=")</f>
        <v>#VALUE!</v>
      </c>
      <c r="FR36" t="e">
        <f>AND('Match Prediction Analysis'!E10,"AAAAAD7PXa0=")</f>
        <v>#VALUE!</v>
      </c>
      <c r="FS36" t="e">
        <f>AND('Match Prediction Analysis'!F10,"AAAAAD7PXa4=")</f>
        <v>#VALUE!</v>
      </c>
      <c r="FT36" t="e">
        <f>AND('Match Prediction Analysis'!G10,"AAAAAD7PXa8=")</f>
        <v>#VALUE!</v>
      </c>
      <c r="FU36" t="e">
        <f>AND('Match Prediction Analysis'!H10,"AAAAAD7PXbA=")</f>
        <v>#VALUE!</v>
      </c>
      <c r="FV36" t="e">
        <f>AND('Match Prediction Analysis'!I10,"AAAAAD7PXbE=")</f>
        <v>#VALUE!</v>
      </c>
      <c r="FW36" t="e">
        <f>AND('Match Prediction Analysis'!J10,"AAAAAD7PXbI=")</f>
        <v>#VALUE!</v>
      </c>
      <c r="FX36" t="e">
        <f>AND('Match Prediction Analysis'!K10,"AAAAAD7PXbM=")</f>
        <v>#VALUE!</v>
      </c>
      <c r="FY36" t="e">
        <f>AND('Match Prediction Analysis'!L10,"AAAAAD7PXbQ=")</f>
        <v>#VALUE!</v>
      </c>
      <c r="FZ36" t="e">
        <f>AND('Match Prediction Analysis'!M10,"AAAAAD7PXbU=")</f>
        <v>#VALUE!</v>
      </c>
      <c r="GA36" t="e">
        <f>AND('Match Prediction Analysis'!N10,"AAAAAD7PXbY=")</f>
        <v>#VALUE!</v>
      </c>
      <c r="GB36" t="e">
        <f>AND('Match Prediction Analysis'!O10,"AAAAAD7PXbc=")</f>
        <v>#VALUE!</v>
      </c>
      <c r="GC36" t="e">
        <f>AND('Match Prediction Analysis'!P10,"AAAAAD7PXbg=")</f>
        <v>#VALUE!</v>
      </c>
      <c r="GD36" t="e">
        <f>AND('Match Prediction Analysis'!Q10,"AAAAAD7PXbk=")</f>
        <v>#VALUE!</v>
      </c>
      <c r="GE36" t="e">
        <f>AND('Match Prediction Analysis'!R10,"AAAAAD7PXbo=")</f>
        <v>#VALUE!</v>
      </c>
      <c r="GF36">
        <f>IF('Match Prediction Analysis'!11:11,"AAAAAD7PXbs=",0)</f>
        <v>0</v>
      </c>
      <c r="GG36" t="e">
        <f>AND('Match Prediction Analysis'!A11,"AAAAAD7PXbw=")</f>
        <v>#VALUE!</v>
      </c>
      <c r="GH36" t="e">
        <f>AND('Match Prediction Analysis'!B11,"AAAAAD7PXb0=")</f>
        <v>#VALUE!</v>
      </c>
      <c r="GI36" t="e">
        <f>AND('Match Prediction Analysis'!C11,"AAAAAD7PXb4=")</f>
        <v>#VALUE!</v>
      </c>
      <c r="GJ36" t="e">
        <f>AND('Match Prediction Analysis'!D11,"AAAAAD7PXb8=")</f>
        <v>#VALUE!</v>
      </c>
      <c r="GK36" t="e">
        <f>AND('Match Prediction Analysis'!E11,"AAAAAD7PXcA=")</f>
        <v>#VALUE!</v>
      </c>
      <c r="GL36" t="e">
        <f>AND('Match Prediction Analysis'!F11,"AAAAAD7PXcE=")</f>
        <v>#VALUE!</v>
      </c>
      <c r="GM36" t="e">
        <f>AND('Match Prediction Analysis'!G11,"AAAAAD7PXcI=")</f>
        <v>#VALUE!</v>
      </c>
      <c r="GN36" t="e">
        <f>AND('Match Prediction Analysis'!H11,"AAAAAD7PXcM=")</f>
        <v>#VALUE!</v>
      </c>
      <c r="GO36" t="e">
        <f>AND('Match Prediction Analysis'!I11,"AAAAAD7PXcQ=")</f>
        <v>#VALUE!</v>
      </c>
      <c r="GP36" t="e">
        <f>AND('Match Prediction Analysis'!J11,"AAAAAD7PXcU=")</f>
        <v>#VALUE!</v>
      </c>
      <c r="GQ36" t="e">
        <f>AND('Match Prediction Analysis'!K11,"AAAAAD7PXcY=")</f>
        <v>#VALUE!</v>
      </c>
      <c r="GR36" t="e">
        <f>AND('Match Prediction Analysis'!L11,"AAAAAD7PXcc=")</f>
        <v>#VALUE!</v>
      </c>
      <c r="GS36" t="e">
        <f>AND('Match Prediction Analysis'!M11,"AAAAAD7PXcg=")</f>
        <v>#VALUE!</v>
      </c>
      <c r="GT36" t="e">
        <f>AND('Match Prediction Analysis'!N11,"AAAAAD7PXck=")</f>
        <v>#VALUE!</v>
      </c>
      <c r="GU36" t="e">
        <f>AND('Match Prediction Analysis'!O11,"AAAAAD7PXco=")</f>
        <v>#VALUE!</v>
      </c>
      <c r="GV36" t="e">
        <f>AND('Match Prediction Analysis'!P11,"AAAAAD7PXcs=")</f>
        <v>#VALUE!</v>
      </c>
      <c r="GW36" t="e">
        <f>AND('Match Prediction Analysis'!Q11,"AAAAAD7PXcw=")</f>
        <v>#VALUE!</v>
      </c>
      <c r="GX36" t="e">
        <f>AND('Match Prediction Analysis'!R11,"AAAAAD7PXc0=")</f>
        <v>#VALUE!</v>
      </c>
      <c r="GY36">
        <f>IF('Match Prediction Analysis'!12:12,"AAAAAD7PXc4=",0)</f>
        <v>0</v>
      </c>
      <c r="GZ36" t="e">
        <f>AND('Match Prediction Analysis'!A12,"AAAAAD7PXc8=")</f>
        <v>#VALUE!</v>
      </c>
      <c r="HA36" t="e">
        <f>AND('Match Prediction Analysis'!B12,"AAAAAD7PXdA=")</f>
        <v>#VALUE!</v>
      </c>
      <c r="HB36" t="e">
        <f>AND('Match Prediction Analysis'!C12,"AAAAAD7PXdE=")</f>
        <v>#VALUE!</v>
      </c>
      <c r="HC36" t="e">
        <f>AND('Match Prediction Analysis'!D12,"AAAAAD7PXdI=")</f>
        <v>#VALUE!</v>
      </c>
      <c r="HD36" t="e">
        <f>AND('Match Prediction Analysis'!E12,"AAAAAD7PXdM=")</f>
        <v>#VALUE!</v>
      </c>
      <c r="HE36" t="e">
        <f>AND('Match Prediction Analysis'!F12,"AAAAAD7PXdQ=")</f>
        <v>#VALUE!</v>
      </c>
      <c r="HF36" t="e">
        <f>AND('Match Prediction Analysis'!G12,"AAAAAD7PXdU=")</f>
        <v>#VALUE!</v>
      </c>
      <c r="HG36" t="e">
        <f>AND('Match Prediction Analysis'!H12,"AAAAAD7PXdY=")</f>
        <v>#VALUE!</v>
      </c>
      <c r="HH36" t="e">
        <f>AND('Match Prediction Analysis'!I12,"AAAAAD7PXdc=")</f>
        <v>#VALUE!</v>
      </c>
      <c r="HI36" t="e">
        <f>AND('Match Prediction Analysis'!J12,"AAAAAD7PXdg=")</f>
        <v>#VALUE!</v>
      </c>
      <c r="HJ36" t="e">
        <f>AND('Match Prediction Analysis'!K12,"AAAAAD7PXdk=")</f>
        <v>#VALUE!</v>
      </c>
      <c r="HK36" t="e">
        <f>AND('Match Prediction Analysis'!L12,"AAAAAD7PXdo=")</f>
        <v>#VALUE!</v>
      </c>
      <c r="HL36" t="e">
        <f>AND('Match Prediction Analysis'!M12,"AAAAAD7PXds=")</f>
        <v>#VALUE!</v>
      </c>
      <c r="HM36" t="e">
        <f>AND('Match Prediction Analysis'!N12,"AAAAAD7PXdw=")</f>
        <v>#VALUE!</v>
      </c>
      <c r="HN36" t="e">
        <f>AND('Match Prediction Analysis'!O12,"AAAAAD7PXd0=")</f>
        <v>#VALUE!</v>
      </c>
      <c r="HO36" t="e">
        <f>AND('Match Prediction Analysis'!P12,"AAAAAD7PXd4=")</f>
        <v>#VALUE!</v>
      </c>
      <c r="HP36" t="e">
        <f>AND('Match Prediction Analysis'!Q12,"AAAAAD7PXd8=")</f>
        <v>#VALUE!</v>
      </c>
      <c r="HQ36" t="e">
        <f>AND('Match Prediction Analysis'!R12,"AAAAAD7PXeA=")</f>
        <v>#VALUE!</v>
      </c>
      <c r="HR36">
        <f>IF('Match Prediction Analysis'!13:13,"AAAAAD7PXeE=",0)</f>
        <v>0</v>
      </c>
      <c r="HS36" t="e">
        <f>AND('Match Prediction Analysis'!A13,"AAAAAD7PXeI=")</f>
        <v>#VALUE!</v>
      </c>
      <c r="HT36" t="e">
        <f>AND('Match Prediction Analysis'!B13,"AAAAAD7PXeM=")</f>
        <v>#VALUE!</v>
      </c>
      <c r="HU36" t="e">
        <f>AND('Match Prediction Analysis'!C13,"AAAAAD7PXeQ=")</f>
        <v>#VALUE!</v>
      </c>
      <c r="HV36" t="e">
        <f>AND('Match Prediction Analysis'!D13,"AAAAAD7PXeU=")</f>
        <v>#VALUE!</v>
      </c>
      <c r="HW36" t="e">
        <f>AND('Match Prediction Analysis'!E13,"AAAAAD7PXeY=")</f>
        <v>#VALUE!</v>
      </c>
      <c r="HX36" t="e">
        <f>AND('Match Prediction Analysis'!F13,"AAAAAD7PXec=")</f>
        <v>#VALUE!</v>
      </c>
      <c r="HY36" t="e">
        <f>AND('Match Prediction Analysis'!G13,"AAAAAD7PXeg=")</f>
        <v>#VALUE!</v>
      </c>
      <c r="HZ36" t="e">
        <f>AND('Match Prediction Analysis'!H13,"AAAAAD7PXek=")</f>
        <v>#VALUE!</v>
      </c>
      <c r="IA36" t="e">
        <f>AND('Match Prediction Analysis'!I13,"AAAAAD7PXeo=")</f>
        <v>#VALUE!</v>
      </c>
      <c r="IB36" t="e">
        <f>AND('Match Prediction Analysis'!J13,"AAAAAD7PXes=")</f>
        <v>#VALUE!</v>
      </c>
      <c r="IC36" t="e">
        <f>AND('Match Prediction Analysis'!K13,"AAAAAD7PXew=")</f>
        <v>#VALUE!</v>
      </c>
      <c r="ID36" t="e">
        <f>AND('Match Prediction Analysis'!L13,"AAAAAD7PXe0=")</f>
        <v>#VALUE!</v>
      </c>
      <c r="IE36" t="e">
        <f>AND('Match Prediction Analysis'!M13,"AAAAAD7PXe4=")</f>
        <v>#VALUE!</v>
      </c>
      <c r="IF36" t="e">
        <f>AND('Match Prediction Analysis'!N13,"AAAAAD7PXe8=")</f>
        <v>#VALUE!</v>
      </c>
      <c r="IG36" t="e">
        <f>AND('Match Prediction Analysis'!O13,"AAAAAD7PXfA=")</f>
        <v>#VALUE!</v>
      </c>
      <c r="IH36" t="e">
        <f>AND('Match Prediction Analysis'!P13,"AAAAAD7PXfE=")</f>
        <v>#VALUE!</v>
      </c>
      <c r="II36" t="e">
        <f>AND('Match Prediction Analysis'!Q13,"AAAAAD7PXfI=")</f>
        <v>#VALUE!</v>
      </c>
      <c r="IJ36" t="e">
        <f>AND('Match Prediction Analysis'!R13,"AAAAAD7PXfM=")</f>
        <v>#VALUE!</v>
      </c>
      <c r="IK36">
        <f>IF('Match Prediction Analysis'!14:14,"AAAAAD7PXfQ=",0)</f>
        <v>0</v>
      </c>
      <c r="IL36" t="e">
        <f>AND('Match Prediction Analysis'!A14,"AAAAAD7PXfU=")</f>
        <v>#VALUE!</v>
      </c>
      <c r="IM36" t="e">
        <f>AND('Match Prediction Analysis'!B14,"AAAAAD7PXfY=")</f>
        <v>#VALUE!</v>
      </c>
      <c r="IN36" t="e">
        <f>AND('Match Prediction Analysis'!C14,"AAAAAD7PXfc=")</f>
        <v>#VALUE!</v>
      </c>
      <c r="IO36" t="e">
        <f>AND('Match Prediction Analysis'!D14,"AAAAAD7PXfg=")</f>
        <v>#VALUE!</v>
      </c>
      <c r="IP36" t="e">
        <f>AND('Match Prediction Analysis'!E14,"AAAAAD7PXfk=")</f>
        <v>#VALUE!</v>
      </c>
      <c r="IQ36" t="e">
        <f>AND('Match Prediction Analysis'!F14,"AAAAAD7PXfo=")</f>
        <v>#VALUE!</v>
      </c>
      <c r="IR36" t="e">
        <f>AND('Match Prediction Analysis'!G14,"AAAAAD7PXfs=")</f>
        <v>#VALUE!</v>
      </c>
      <c r="IS36" t="e">
        <f>AND('Match Prediction Analysis'!H14,"AAAAAD7PXfw=")</f>
        <v>#VALUE!</v>
      </c>
      <c r="IT36" t="e">
        <f>AND('Match Prediction Analysis'!I14,"AAAAAD7PXf0=")</f>
        <v>#VALUE!</v>
      </c>
      <c r="IU36" t="e">
        <f>AND('Match Prediction Analysis'!J14,"AAAAAD7PXf4=")</f>
        <v>#VALUE!</v>
      </c>
      <c r="IV36" t="e">
        <f>AND('Match Prediction Analysis'!K14,"AAAAAD7PXf8=")</f>
        <v>#VALUE!</v>
      </c>
    </row>
    <row r="37" spans="1:256" x14ac:dyDescent="0.2">
      <c r="A37" t="e">
        <f>AND('Match Prediction Analysis'!L14,"AAAAAHsr/wA=")</f>
        <v>#VALUE!</v>
      </c>
      <c r="B37" t="e">
        <f>AND('Match Prediction Analysis'!M14,"AAAAAHsr/wE=")</f>
        <v>#VALUE!</v>
      </c>
      <c r="C37" t="e">
        <f>AND('Match Prediction Analysis'!N14,"AAAAAHsr/wI=")</f>
        <v>#VALUE!</v>
      </c>
      <c r="D37" t="e">
        <f>AND('Match Prediction Analysis'!O14,"AAAAAHsr/wM=")</f>
        <v>#VALUE!</v>
      </c>
      <c r="E37" t="e">
        <f>AND('Match Prediction Analysis'!P14,"AAAAAHsr/wQ=")</f>
        <v>#VALUE!</v>
      </c>
      <c r="F37" t="e">
        <f>AND('Match Prediction Analysis'!Q14,"AAAAAHsr/wU=")</f>
        <v>#VALUE!</v>
      </c>
      <c r="G37" t="e">
        <f>AND('Match Prediction Analysis'!R14,"AAAAAHsr/wY=")</f>
        <v>#VALUE!</v>
      </c>
      <c r="H37">
        <f>IF('Match Prediction Analysis'!15:15,"AAAAAHsr/wc=",0)</f>
        <v>0</v>
      </c>
      <c r="I37" t="e">
        <f>AND('Match Prediction Analysis'!A15,"AAAAAHsr/wg=")</f>
        <v>#VALUE!</v>
      </c>
      <c r="J37" t="e">
        <f>AND('Match Prediction Analysis'!B15,"AAAAAHsr/wk=")</f>
        <v>#VALUE!</v>
      </c>
      <c r="K37" t="e">
        <f>AND('Match Prediction Analysis'!C15,"AAAAAHsr/wo=")</f>
        <v>#VALUE!</v>
      </c>
      <c r="L37" t="e">
        <f>AND('Match Prediction Analysis'!D15,"AAAAAHsr/ws=")</f>
        <v>#VALUE!</v>
      </c>
      <c r="M37" t="e">
        <f>AND('Match Prediction Analysis'!E15,"AAAAAHsr/ww=")</f>
        <v>#VALUE!</v>
      </c>
      <c r="N37" t="e">
        <f>AND('Match Prediction Analysis'!F15,"AAAAAHsr/w0=")</f>
        <v>#VALUE!</v>
      </c>
      <c r="O37" t="e">
        <f>AND('Match Prediction Analysis'!G15,"AAAAAHsr/w4=")</f>
        <v>#VALUE!</v>
      </c>
      <c r="P37" t="e">
        <f>AND('Match Prediction Analysis'!H15,"AAAAAHsr/w8=")</f>
        <v>#VALUE!</v>
      </c>
      <c r="Q37" t="e">
        <f>AND('Match Prediction Analysis'!I15,"AAAAAHsr/xA=")</f>
        <v>#VALUE!</v>
      </c>
      <c r="R37" t="e">
        <f>AND('Match Prediction Analysis'!J15,"AAAAAHsr/xE=")</f>
        <v>#VALUE!</v>
      </c>
      <c r="S37" t="e">
        <f>AND('Match Prediction Analysis'!K15,"AAAAAHsr/xI=")</f>
        <v>#VALUE!</v>
      </c>
      <c r="T37" t="e">
        <f>AND('Match Prediction Analysis'!L15,"AAAAAHsr/xM=")</f>
        <v>#VALUE!</v>
      </c>
      <c r="U37" t="e">
        <f>AND('Match Prediction Analysis'!M15,"AAAAAHsr/xQ=")</f>
        <v>#VALUE!</v>
      </c>
      <c r="V37" t="e">
        <f>AND('Match Prediction Analysis'!N15,"AAAAAHsr/xU=")</f>
        <v>#VALUE!</v>
      </c>
      <c r="W37" t="e">
        <f>AND('Match Prediction Analysis'!O15,"AAAAAHsr/xY=")</f>
        <v>#VALUE!</v>
      </c>
      <c r="X37" t="e">
        <f>AND('Match Prediction Analysis'!P15,"AAAAAHsr/xc=")</f>
        <v>#VALUE!</v>
      </c>
      <c r="Y37" t="e">
        <f>AND('Match Prediction Analysis'!Q15,"AAAAAHsr/xg=")</f>
        <v>#VALUE!</v>
      </c>
      <c r="Z37" t="e">
        <f>AND('Match Prediction Analysis'!R15,"AAAAAHsr/xk=")</f>
        <v>#VALUE!</v>
      </c>
      <c r="AA37">
        <f>IF('Match Prediction Analysis'!16:16,"AAAAAHsr/xo=",0)</f>
        <v>0</v>
      </c>
      <c r="AB37" t="e">
        <f>AND('Match Prediction Analysis'!A16,"AAAAAHsr/xs=")</f>
        <v>#VALUE!</v>
      </c>
      <c r="AC37" t="e">
        <f>AND('Match Prediction Analysis'!B16,"AAAAAHsr/xw=")</f>
        <v>#VALUE!</v>
      </c>
      <c r="AD37" t="e">
        <f>AND('Match Prediction Analysis'!C16,"AAAAAHsr/x0=")</f>
        <v>#VALUE!</v>
      </c>
      <c r="AE37" t="e">
        <f>AND('Match Prediction Analysis'!D16,"AAAAAHsr/x4=")</f>
        <v>#VALUE!</v>
      </c>
      <c r="AF37" t="e">
        <f>AND('Match Prediction Analysis'!E16,"AAAAAHsr/x8=")</f>
        <v>#VALUE!</v>
      </c>
      <c r="AG37" t="e">
        <f>AND('Match Prediction Analysis'!F16,"AAAAAHsr/yA=")</f>
        <v>#VALUE!</v>
      </c>
      <c r="AH37" t="e">
        <f>AND('Match Prediction Analysis'!G16,"AAAAAHsr/yE=")</f>
        <v>#VALUE!</v>
      </c>
      <c r="AI37" t="e">
        <f>AND('Match Prediction Analysis'!H16,"AAAAAHsr/yI=")</f>
        <v>#VALUE!</v>
      </c>
      <c r="AJ37" t="e">
        <f>AND('Match Prediction Analysis'!I16,"AAAAAHsr/yM=")</f>
        <v>#VALUE!</v>
      </c>
      <c r="AK37" t="e">
        <f>AND('Match Prediction Analysis'!J16,"AAAAAHsr/yQ=")</f>
        <v>#VALUE!</v>
      </c>
      <c r="AL37" t="e">
        <f>AND('Match Prediction Analysis'!K16,"AAAAAHsr/yU=")</f>
        <v>#VALUE!</v>
      </c>
      <c r="AM37" t="e">
        <f>AND('Match Prediction Analysis'!L16,"AAAAAHsr/yY=")</f>
        <v>#VALUE!</v>
      </c>
      <c r="AN37" t="e">
        <f>AND('Match Prediction Analysis'!M16,"AAAAAHsr/yc=")</f>
        <v>#VALUE!</v>
      </c>
      <c r="AO37" t="e">
        <f>AND('Match Prediction Analysis'!N16,"AAAAAHsr/yg=")</f>
        <v>#VALUE!</v>
      </c>
      <c r="AP37" t="e">
        <f>AND('Match Prediction Analysis'!O16,"AAAAAHsr/yk=")</f>
        <v>#VALUE!</v>
      </c>
      <c r="AQ37" t="e">
        <f>AND('Match Prediction Analysis'!P16,"AAAAAHsr/yo=")</f>
        <v>#VALUE!</v>
      </c>
      <c r="AR37" t="e">
        <f>AND('Match Prediction Analysis'!Q16,"AAAAAHsr/ys=")</f>
        <v>#VALUE!</v>
      </c>
      <c r="AS37" t="e">
        <f>AND('Match Prediction Analysis'!R16,"AAAAAHsr/yw=")</f>
        <v>#VALUE!</v>
      </c>
      <c r="AT37">
        <f>IF('Match Prediction Analysis'!17:17,"AAAAAHsr/y0=",0)</f>
        <v>0</v>
      </c>
      <c r="AU37" t="e">
        <f>AND('Match Prediction Analysis'!A17,"AAAAAHsr/y4=")</f>
        <v>#VALUE!</v>
      </c>
      <c r="AV37" t="e">
        <f>AND('Match Prediction Analysis'!B17,"AAAAAHsr/y8=")</f>
        <v>#VALUE!</v>
      </c>
      <c r="AW37" t="e">
        <f>AND('Match Prediction Analysis'!C17,"AAAAAHsr/zA=")</f>
        <v>#VALUE!</v>
      </c>
      <c r="AX37" t="e">
        <f>AND('Match Prediction Analysis'!D17,"AAAAAHsr/zE=")</f>
        <v>#VALUE!</v>
      </c>
      <c r="AY37" t="e">
        <f>AND('Match Prediction Analysis'!E17,"AAAAAHsr/zI=")</f>
        <v>#VALUE!</v>
      </c>
      <c r="AZ37" t="e">
        <f>AND('Match Prediction Analysis'!F17,"AAAAAHsr/zM=")</f>
        <v>#VALUE!</v>
      </c>
      <c r="BA37" t="e">
        <f>AND('Match Prediction Analysis'!G17,"AAAAAHsr/zQ=")</f>
        <v>#VALUE!</v>
      </c>
      <c r="BB37" t="e">
        <f>AND('Match Prediction Analysis'!H17,"AAAAAHsr/zU=")</f>
        <v>#VALUE!</v>
      </c>
      <c r="BC37" t="e">
        <f>AND('Match Prediction Analysis'!I17,"AAAAAHsr/zY=")</f>
        <v>#VALUE!</v>
      </c>
      <c r="BD37" t="e">
        <f>AND('Match Prediction Analysis'!J17,"AAAAAHsr/zc=")</f>
        <v>#VALUE!</v>
      </c>
      <c r="BE37" t="e">
        <f>AND('Match Prediction Analysis'!K17,"AAAAAHsr/zg=")</f>
        <v>#VALUE!</v>
      </c>
      <c r="BF37" t="e">
        <f>AND('Match Prediction Analysis'!L17,"AAAAAHsr/zk=")</f>
        <v>#VALUE!</v>
      </c>
      <c r="BG37" t="e">
        <f>AND('Match Prediction Analysis'!M17,"AAAAAHsr/zo=")</f>
        <v>#VALUE!</v>
      </c>
      <c r="BH37" t="e">
        <f>AND('Match Prediction Analysis'!N17,"AAAAAHsr/zs=")</f>
        <v>#VALUE!</v>
      </c>
      <c r="BI37" t="e">
        <f>AND('Match Prediction Analysis'!O17,"AAAAAHsr/zw=")</f>
        <v>#VALUE!</v>
      </c>
      <c r="BJ37" t="e">
        <f>AND('Match Prediction Analysis'!P17,"AAAAAHsr/z0=")</f>
        <v>#VALUE!</v>
      </c>
      <c r="BK37" t="e">
        <f>AND('Match Prediction Analysis'!Q17,"AAAAAHsr/z4=")</f>
        <v>#VALUE!</v>
      </c>
      <c r="BL37" t="e">
        <f>AND('Match Prediction Analysis'!R17,"AAAAAHsr/z8=")</f>
        <v>#VALUE!</v>
      </c>
      <c r="BM37">
        <f>IF('Match Prediction Analysis'!18:18,"AAAAAHsr/0A=",0)</f>
        <v>0</v>
      </c>
      <c r="BN37" t="e">
        <f>AND('Match Prediction Analysis'!A18,"AAAAAHsr/0E=")</f>
        <v>#VALUE!</v>
      </c>
      <c r="BO37" t="e">
        <f>AND('Match Prediction Analysis'!B18,"AAAAAHsr/0I=")</f>
        <v>#VALUE!</v>
      </c>
      <c r="BP37" t="e">
        <f>AND('Match Prediction Analysis'!C18,"AAAAAHsr/0M=")</f>
        <v>#VALUE!</v>
      </c>
      <c r="BQ37" t="e">
        <f>AND('Match Prediction Analysis'!D18,"AAAAAHsr/0Q=")</f>
        <v>#VALUE!</v>
      </c>
      <c r="BR37" t="e">
        <f>AND('Match Prediction Analysis'!E18,"AAAAAHsr/0U=")</f>
        <v>#VALUE!</v>
      </c>
      <c r="BS37" t="e">
        <f>AND('Match Prediction Analysis'!F18,"AAAAAHsr/0Y=")</f>
        <v>#VALUE!</v>
      </c>
      <c r="BT37" t="e">
        <f>AND('Match Prediction Analysis'!G18,"AAAAAHsr/0c=")</f>
        <v>#VALUE!</v>
      </c>
      <c r="BU37" t="e">
        <f>AND('Match Prediction Analysis'!H18,"AAAAAHsr/0g=")</f>
        <v>#VALUE!</v>
      </c>
      <c r="BV37" t="e">
        <f>AND('Match Prediction Analysis'!I18,"AAAAAHsr/0k=")</f>
        <v>#VALUE!</v>
      </c>
      <c r="BW37" t="e">
        <f>AND('Match Prediction Analysis'!J18,"AAAAAHsr/0o=")</f>
        <v>#VALUE!</v>
      </c>
      <c r="BX37" t="e">
        <f>AND('Match Prediction Analysis'!K18,"AAAAAHsr/0s=")</f>
        <v>#VALUE!</v>
      </c>
      <c r="BY37" t="e">
        <f>AND('Match Prediction Analysis'!L18,"AAAAAHsr/0w=")</f>
        <v>#VALUE!</v>
      </c>
      <c r="BZ37" t="e">
        <f>AND('Match Prediction Analysis'!M18,"AAAAAHsr/00=")</f>
        <v>#VALUE!</v>
      </c>
      <c r="CA37" t="e">
        <f>AND('Match Prediction Analysis'!N18,"AAAAAHsr/04=")</f>
        <v>#VALUE!</v>
      </c>
      <c r="CB37" t="e">
        <f>AND('Match Prediction Analysis'!O18,"AAAAAHsr/08=")</f>
        <v>#VALUE!</v>
      </c>
      <c r="CC37" t="e">
        <f>AND('Match Prediction Analysis'!P18,"AAAAAHsr/1A=")</f>
        <v>#VALUE!</v>
      </c>
      <c r="CD37" t="e">
        <f>AND('Match Prediction Analysis'!Q18,"AAAAAHsr/1E=")</f>
        <v>#VALUE!</v>
      </c>
      <c r="CE37" t="e">
        <f>AND('Match Prediction Analysis'!R18,"AAAAAHsr/1I=")</f>
        <v>#VALUE!</v>
      </c>
      <c r="CF37">
        <f>IF('Match Prediction Analysis'!19:19,"AAAAAHsr/1M=",0)</f>
        <v>0</v>
      </c>
      <c r="CG37" t="e">
        <f>AND('Match Prediction Analysis'!A19,"AAAAAHsr/1Q=")</f>
        <v>#VALUE!</v>
      </c>
      <c r="CH37" t="e">
        <f>AND('Match Prediction Analysis'!B19,"AAAAAHsr/1U=")</f>
        <v>#VALUE!</v>
      </c>
      <c r="CI37" t="e">
        <f>AND('Match Prediction Analysis'!C19,"AAAAAHsr/1Y=")</f>
        <v>#VALUE!</v>
      </c>
      <c r="CJ37" t="e">
        <f>AND('Match Prediction Analysis'!D19,"AAAAAHsr/1c=")</f>
        <v>#VALUE!</v>
      </c>
      <c r="CK37" t="e">
        <f>AND('Match Prediction Analysis'!E19,"AAAAAHsr/1g=")</f>
        <v>#VALUE!</v>
      </c>
      <c r="CL37" t="e">
        <f>AND('Match Prediction Analysis'!F19,"AAAAAHsr/1k=")</f>
        <v>#VALUE!</v>
      </c>
      <c r="CM37" t="e">
        <f>AND('Match Prediction Analysis'!G19,"AAAAAHsr/1o=")</f>
        <v>#VALUE!</v>
      </c>
      <c r="CN37" t="e">
        <f>AND('Match Prediction Analysis'!H19,"AAAAAHsr/1s=")</f>
        <v>#VALUE!</v>
      </c>
      <c r="CO37" t="e">
        <f>AND('Match Prediction Analysis'!I19,"AAAAAHsr/1w=")</f>
        <v>#VALUE!</v>
      </c>
      <c r="CP37" t="e">
        <f>AND('Match Prediction Analysis'!J19,"AAAAAHsr/10=")</f>
        <v>#VALUE!</v>
      </c>
      <c r="CQ37" t="e">
        <f>AND('Match Prediction Analysis'!K19,"AAAAAHsr/14=")</f>
        <v>#VALUE!</v>
      </c>
      <c r="CR37" t="e">
        <f>AND('Match Prediction Analysis'!L19,"AAAAAHsr/18=")</f>
        <v>#VALUE!</v>
      </c>
      <c r="CS37" t="e">
        <f>AND('Match Prediction Analysis'!M19,"AAAAAHsr/2A=")</f>
        <v>#VALUE!</v>
      </c>
      <c r="CT37" t="e">
        <f>AND('Match Prediction Analysis'!N19,"AAAAAHsr/2E=")</f>
        <v>#VALUE!</v>
      </c>
      <c r="CU37" t="e">
        <f>AND('Match Prediction Analysis'!O19,"AAAAAHsr/2I=")</f>
        <v>#VALUE!</v>
      </c>
      <c r="CV37" t="e">
        <f>AND('Match Prediction Analysis'!P19,"AAAAAHsr/2M=")</f>
        <v>#VALUE!</v>
      </c>
      <c r="CW37" t="e">
        <f>AND('Match Prediction Analysis'!Q19,"AAAAAHsr/2Q=")</f>
        <v>#VALUE!</v>
      </c>
      <c r="CX37" t="e">
        <f>AND('Match Prediction Analysis'!R19,"AAAAAHsr/2U=")</f>
        <v>#VALUE!</v>
      </c>
      <c r="CY37">
        <f>IF('Match Prediction Analysis'!20:20,"AAAAAHsr/2Y=",0)</f>
        <v>0</v>
      </c>
      <c r="CZ37" t="e">
        <f>AND('Match Prediction Analysis'!A20,"AAAAAHsr/2c=")</f>
        <v>#VALUE!</v>
      </c>
      <c r="DA37" t="e">
        <f>AND('Match Prediction Analysis'!B20,"AAAAAHsr/2g=")</f>
        <v>#VALUE!</v>
      </c>
      <c r="DB37" t="e">
        <f>AND('Match Prediction Analysis'!C20,"AAAAAHsr/2k=")</f>
        <v>#VALUE!</v>
      </c>
      <c r="DC37" t="e">
        <f>AND('Match Prediction Analysis'!D20,"AAAAAHsr/2o=")</f>
        <v>#VALUE!</v>
      </c>
      <c r="DD37" t="e">
        <f>AND('Match Prediction Analysis'!E20,"AAAAAHsr/2s=")</f>
        <v>#VALUE!</v>
      </c>
      <c r="DE37" t="e">
        <f>AND('Match Prediction Analysis'!F20,"AAAAAHsr/2w=")</f>
        <v>#VALUE!</v>
      </c>
      <c r="DF37" t="e">
        <f>AND('Match Prediction Analysis'!G20,"AAAAAHsr/20=")</f>
        <v>#VALUE!</v>
      </c>
      <c r="DG37" t="e">
        <f>AND('Match Prediction Analysis'!H20,"AAAAAHsr/24=")</f>
        <v>#VALUE!</v>
      </c>
      <c r="DH37" t="e">
        <f>AND('Match Prediction Analysis'!I20,"AAAAAHsr/28=")</f>
        <v>#VALUE!</v>
      </c>
      <c r="DI37" t="e">
        <f>AND('Match Prediction Analysis'!J20,"AAAAAHsr/3A=")</f>
        <v>#VALUE!</v>
      </c>
      <c r="DJ37" t="e">
        <f>AND('Match Prediction Analysis'!K20,"AAAAAHsr/3E=")</f>
        <v>#VALUE!</v>
      </c>
      <c r="DK37" t="e">
        <f>AND('Match Prediction Analysis'!L20,"AAAAAHsr/3I=")</f>
        <v>#VALUE!</v>
      </c>
      <c r="DL37" t="e">
        <f>AND('Match Prediction Analysis'!M20,"AAAAAHsr/3M=")</f>
        <v>#VALUE!</v>
      </c>
      <c r="DM37" t="e">
        <f>AND('Match Prediction Analysis'!N20,"AAAAAHsr/3Q=")</f>
        <v>#VALUE!</v>
      </c>
      <c r="DN37" t="e">
        <f>AND('Match Prediction Analysis'!O20,"AAAAAHsr/3U=")</f>
        <v>#VALUE!</v>
      </c>
      <c r="DO37" t="e">
        <f>AND('Match Prediction Analysis'!P20,"AAAAAHsr/3Y=")</f>
        <v>#VALUE!</v>
      </c>
      <c r="DP37" t="e">
        <f>AND('Match Prediction Analysis'!Q20,"AAAAAHsr/3c=")</f>
        <v>#VALUE!</v>
      </c>
      <c r="DQ37" t="e">
        <f>AND('Match Prediction Analysis'!R20,"AAAAAHsr/3g=")</f>
        <v>#VALUE!</v>
      </c>
      <c r="DR37">
        <f>IF('Match Prediction Analysis'!21:21,"AAAAAHsr/3k=",0)</f>
        <v>0</v>
      </c>
      <c r="DS37" t="e">
        <f>AND('Match Prediction Analysis'!A21,"AAAAAHsr/3o=")</f>
        <v>#VALUE!</v>
      </c>
      <c r="DT37" t="e">
        <f>AND('Match Prediction Analysis'!B21,"AAAAAHsr/3s=")</f>
        <v>#VALUE!</v>
      </c>
      <c r="DU37" t="e">
        <f>AND('Match Prediction Analysis'!C21,"AAAAAHsr/3w=")</f>
        <v>#VALUE!</v>
      </c>
      <c r="DV37" t="e">
        <f>AND('Match Prediction Analysis'!D21,"AAAAAHsr/30=")</f>
        <v>#VALUE!</v>
      </c>
      <c r="DW37" t="e">
        <f>AND('Match Prediction Analysis'!E21,"AAAAAHsr/34=")</f>
        <v>#VALUE!</v>
      </c>
      <c r="DX37" t="e">
        <f>AND('Match Prediction Analysis'!F21,"AAAAAHsr/38=")</f>
        <v>#VALUE!</v>
      </c>
      <c r="DY37" t="e">
        <f>AND('Match Prediction Analysis'!G21,"AAAAAHsr/4A=")</f>
        <v>#VALUE!</v>
      </c>
      <c r="DZ37" t="e">
        <f>AND('Match Prediction Analysis'!H21,"AAAAAHsr/4E=")</f>
        <v>#VALUE!</v>
      </c>
      <c r="EA37" t="e">
        <f>AND('Match Prediction Analysis'!I21,"AAAAAHsr/4I=")</f>
        <v>#VALUE!</v>
      </c>
      <c r="EB37" t="e">
        <f>AND('Match Prediction Analysis'!J21,"AAAAAHsr/4M=")</f>
        <v>#VALUE!</v>
      </c>
      <c r="EC37" t="e">
        <f>AND('Match Prediction Analysis'!K21,"AAAAAHsr/4Q=")</f>
        <v>#VALUE!</v>
      </c>
      <c r="ED37" t="e">
        <f>AND('Match Prediction Analysis'!L21,"AAAAAHsr/4U=")</f>
        <v>#VALUE!</v>
      </c>
      <c r="EE37" t="e">
        <f>AND('Match Prediction Analysis'!M21,"AAAAAHsr/4Y=")</f>
        <v>#VALUE!</v>
      </c>
      <c r="EF37" t="e">
        <f>AND('Match Prediction Analysis'!N21,"AAAAAHsr/4c=")</f>
        <v>#VALUE!</v>
      </c>
      <c r="EG37" t="e">
        <f>AND('Match Prediction Analysis'!O21,"AAAAAHsr/4g=")</f>
        <v>#VALUE!</v>
      </c>
      <c r="EH37" t="e">
        <f>AND('Match Prediction Analysis'!P21,"AAAAAHsr/4k=")</f>
        <v>#VALUE!</v>
      </c>
      <c r="EI37" t="e">
        <f>AND('Match Prediction Analysis'!Q21,"AAAAAHsr/4o=")</f>
        <v>#VALUE!</v>
      </c>
      <c r="EJ37" t="e">
        <f>AND('Match Prediction Analysis'!R21,"AAAAAHsr/4s=")</f>
        <v>#VALUE!</v>
      </c>
      <c r="EK37">
        <f>IF('Match Prediction Analysis'!22:22,"AAAAAHsr/4w=",0)</f>
        <v>0</v>
      </c>
      <c r="EL37" t="e">
        <f>AND('Match Prediction Analysis'!A22,"AAAAAHsr/40=")</f>
        <v>#VALUE!</v>
      </c>
      <c r="EM37" t="e">
        <f>AND('Match Prediction Analysis'!B22,"AAAAAHsr/44=")</f>
        <v>#VALUE!</v>
      </c>
      <c r="EN37" t="e">
        <f>AND('Match Prediction Analysis'!C22,"AAAAAHsr/48=")</f>
        <v>#VALUE!</v>
      </c>
      <c r="EO37" t="e">
        <f>AND('Match Prediction Analysis'!D22,"AAAAAHsr/5A=")</f>
        <v>#VALUE!</v>
      </c>
      <c r="EP37" t="e">
        <f>AND('Match Prediction Analysis'!E22,"AAAAAHsr/5E=")</f>
        <v>#VALUE!</v>
      </c>
      <c r="EQ37" t="e">
        <f>AND('Match Prediction Analysis'!F22,"AAAAAHsr/5I=")</f>
        <v>#VALUE!</v>
      </c>
      <c r="ER37" t="e">
        <f>AND('Match Prediction Analysis'!G22,"AAAAAHsr/5M=")</f>
        <v>#VALUE!</v>
      </c>
      <c r="ES37" t="e">
        <f>AND('Match Prediction Analysis'!H22,"AAAAAHsr/5Q=")</f>
        <v>#VALUE!</v>
      </c>
      <c r="ET37" t="e">
        <f>AND('Match Prediction Analysis'!I22,"AAAAAHsr/5U=")</f>
        <v>#VALUE!</v>
      </c>
      <c r="EU37" t="e">
        <f>AND('Match Prediction Analysis'!J22,"AAAAAHsr/5Y=")</f>
        <v>#VALUE!</v>
      </c>
      <c r="EV37" t="e">
        <f>AND('Match Prediction Analysis'!K22,"AAAAAHsr/5c=")</f>
        <v>#VALUE!</v>
      </c>
      <c r="EW37" t="e">
        <f>AND('Match Prediction Analysis'!L22,"AAAAAHsr/5g=")</f>
        <v>#VALUE!</v>
      </c>
      <c r="EX37" t="e">
        <f>AND('Match Prediction Analysis'!M22,"AAAAAHsr/5k=")</f>
        <v>#VALUE!</v>
      </c>
      <c r="EY37" t="e">
        <f>AND('Match Prediction Analysis'!N22,"AAAAAHsr/5o=")</f>
        <v>#VALUE!</v>
      </c>
      <c r="EZ37" t="e">
        <f>AND('Match Prediction Analysis'!O22,"AAAAAHsr/5s=")</f>
        <v>#VALUE!</v>
      </c>
      <c r="FA37" t="e">
        <f>AND('Match Prediction Analysis'!P22,"AAAAAHsr/5w=")</f>
        <v>#VALUE!</v>
      </c>
      <c r="FB37" t="e">
        <f>AND('Match Prediction Analysis'!Q22,"AAAAAHsr/50=")</f>
        <v>#VALUE!</v>
      </c>
      <c r="FC37" t="e">
        <f>AND('Match Prediction Analysis'!R22,"AAAAAHsr/54=")</f>
        <v>#VALUE!</v>
      </c>
      <c r="FD37">
        <f>IF('Match Prediction Analysis'!23:23,"AAAAAHsr/58=",0)</f>
        <v>0</v>
      </c>
      <c r="FE37" t="e">
        <f>AND('Match Prediction Analysis'!A23,"AAAAAHsr/6A=")</f>
        <v>#VALUE!</v>
      </c>
      <c r="FF37" t="e">
        <f>AND('Match Prediction Analysis'!B23,"AAAAAHsr/6E=")</f>
        <v>#VALUE!</v>
      </c>
      <c r="FG37" t="e">
        <f>AND('Match Prediction Analysis'!C23,"AAAAAHsr/6I=")</f>
        <v>#VALUE!</v>
      </c>
      <c r="FH37" t="e">
        <f>AND('Match Prediction Analysis'!D23,"AAAAAHsr/6M=")</f>
        <v>#VALUE!</v>
      </c>
      <c r="FI37" t="e">
        <f>AND('Match Prediction Analysis'!E23,"AAAAAHsr/6Q=")</f>
        <v>#VALUE!</v>
      </c>
      <c r="FJ37" t="e">
        <f>AND('Match Prediction Analysis'!F23,"AAAAAHsr/6U=")</f>
        <v>#VALUE!</v>
      </c>
      <c r="FK37" t="e">
        <f>AND('Match Prediction Analysis'!G23,"AAAAAHsr/6Y=")</f>
        <v>#VALUE!</v>
      </c>
      <c r="FL37" t="e">
        <f>AND('Match Prediction Analysis'!H23,"AAAAAHsr/6c=")</f>
        <v>#VALUE!</v>
      </c>
      <c r="FM37" t="e">
        <f>AND('Match Prediction Analysis'!I23,"AAAAAHsr/6g=")</f>
        <v>#VALUE!</v>
      </c>
      <c r="FN37" t="e">
        <f>AND('Match Prediction Analysis'!J23,"AAAAAHsr/6k=")</f>
        <v>#VALUE!</v>
      </c>
      <c r="FO37" t="e">
        <f>AND('Match Prediction Analysis'!K23,"AAAAAHsr/6o=")</f>
        <v>#VALUE!</v>
      </c>
      <c r="FP37" t="e">
        <f>AND('Match Prediction Analysis'!L23,"AAAAAHsr/6s=")</f>
        <v>#VALUE!</v>
      </c>
      <c r="FQ37" t="e">
        <f>AND('Match Prediction Analysis'!M23,"AAAAAHsr/6w=")</f>
        <v>#VALUE!</v>
      </c>
      <c r="FR37" t="e">
        <f>AND('Match Prediction Analysis'!N23,"AAAAAHsr/60=")</f>
        <v>#VALUE!</v>
      </c>
      <c r="FS37" t="e">
        <f>AND('Match Prediction Analysis'!O23,"AAAAAHsr/64=")</f>
        <v>#VALUE!</v>
      </c>
      <c r="FT37" t="e">
        <f>AND('Match Prediction Analysis'!P23,"AAAAAHsr/68=")</f>
        <v>#VALUE!</v>
      </c>
      <c r="FU37" t="e">
        <f>AND('Match Prediction Analysis'!Q23,"AAAAAHsr/7A=")</f>
        <v>#VALUE!</v>
      </c>
      <c r="FV37" t="e">
        <f>AND('Match Prediction Analysis'!R23,"AAAAAHsr/7E=")</f>
        <v>#VALUE!</v>
      </c>
      <c r="FW37">
        <f>IF('Match Prediction Analysis'!24:24,"AAAAAHsr/7I=",0)</f>
        <v>0</v>
      </c>
      <c r="FX37" t="e">
        <f>AND('Match Prediction Analysis'!A24,"AAAAAHsr/7M=")</f>
        <v>#VALUE!</v>
      </c>
      <c r="FY37" t="e">
        <f>AND('Match Prediction Analysis'!B24,"AAAAAHsr/7Q=")</f>
        <v>#VALUE!</v>
      </c>
      <c r="FZ37" t="e">
        <f>AND('Match Prediction Analysis'!C24,"AAAAAHsr/7U=")</f>
        <v>#VALUE!</v>
      </c>
      <c r="GA37" t="e">
        <f>AND('Match Prediction Analysis'!D24,"AAAAAHsr/7Y=")</f>
        <v>#VALUE!</v>
      </c>
      <c r="GB37" t="e">
        <f>AND('Match Prediction Analysis'!E24,"AAAAAHsr/7c=")</f>
        <v>#VALUE!</v>
      </c>
      <c r="GC37" t="e">
        <f>AND('Match Prediction Analysis'!F24,"AAAAAHsr/7g=")</f>
        <v>#VALUE!</v>
      </c>
      <c r="GD37" t="e">
        <f>AND('Match Prediction Analysis'!G24,"AAAAAHsr/7k=")</f>
        <v>#VALUE!</v>
      </c>
      <c r="GE37" t="e">
        <f>AND('Match Prediction Analysis'!H24,"AAAAAHsr/7o=")</f>
        <v>#VALUE!</v>
      </c>
      <c r="GF37" t="e">
        <f>AND('Match Prediction Analysis'!I24,"AAAAAHsr/7s=")</f>
        <v>#VALUE!</v>
      </c>
      <c r="GG37" t="e">
        <f>AND('Match Prediction Analysis'!J24,"AAAAAHsr/7w=")</f>
        <v>#VALUE!</v>
      </c>
      <c r="GH37" t="e">
        <f>AND('Match Prediction Analysis'!K24,"AAAAAHsr/70=")</f>
        <v>#VALUE!</v>
      </c>
      <c r="GI37" t="e">
        <f>AND('Match Prediction Analysis'!L24,"AAAAAHsr/74=")</f>
        <v>#VALUE!</v>
      </c>
      <c r="GJ37" t="e">
        <f>AND('Match Prediction Analysis'!M24,"AAAAAHsr/78=")</f>
        <v>#VALUE!</v>
      </c>
      <c r="GK37" t="e">
        <f>AND('Match Prediction Analysis'!N24,"AAAAAHsr/8A=")</f>
        <v>#VALUE!</v>
      </c>
      <c r="GL37" t="e">
        <f>AND('Match Prediction Analysis'!O24,"AAAAAHsr/8E=")</f>
        <v>#VALUE!</v>
      </c>
      <c r="GM37" t="e">
        <f>AND('Match Prediction Analysis'!P24,"AAAAAHsr/8I=")</f>
        <v>#VALUE!</v>
      </c>
      <c r="GN37" t="e">
        <f>AND('Match Prediction Analysis'!Q24,"AAAAAHsr/8M=")</f>
        <v>#VALUE!</v>
      </c>
      <c r="GO37" t="e">
        <f>AND('Match Prediction Analysis'!R24,"AAAAAHsr/8Q=")</f>
        <v>#VALUE!</v>
      </c>
      <c r="GP37">
        <f>IF('Match Prediction Analysis'!25:25,"AAAAAHsr/8U=",0)</f>
        <v>0</v>
      </c>
      <c r="GQ37" t="e">
        <f>AND('Match Prediction Analysis'!A25,"AAAAAHsr/8Y=")</f>
        <v>#VALUE!</v>
      </c>
      <c r="GR37" t="e">
        <f>AND('Match Prediction Analysis'!B25,"AAAAAHsr/8c=")</f>
        <v>#VALUE!</v>
      </c>
      <c r="GS37" t="e">
        <f>AND('Match Prediction Analysis'!C25,"AAAAAHsr/8g=")</f>
        <v>#VALUE!</v>
      </c>
      <c r="GT37" t="e">
        <f>AND('Match Prediction Analysis'!D25,"AAAAAHsr/8k=")</f>
        <v>#VALUE!</v>
      </c>
      <c r="GU37" t="e">
        <f>AND('Match Prediction Analysis'!E25,"AAAAAHsr/8o=")</f>
        <v>#VALUE!</v>
      </c>
      <c r="GV37" t="e">
        <f>AND('Match Prediction Analysis'!F25,"AAAAAHsr/8s=")</f>
        <v>#VALUE!</v>
      </c>
      <c r="GW37" t="e">
        <f>AND('Match Prediction Analysis'!G25,"AAAAAHsr/8w=")</f>
        <v>#VALUE!</v>
      </c>
      <c r="GX37" t="e">
        <f>AND('Match Prediction Analysis'!H25,"AAAAAHsr/80=")</f>
        <v>#VALUE!</v>
      </c>
      <c r="GY37" t="e">
        <f>AND('Match Prediction Analysis'!I25,"AAAAAHsr/84=")</f>
        <v>#VALUE!</v>
      </c>
      <c r="GZ37" t="e">
        <f>AND('Match Prediction Analysis'!J25,"AAAAAHsr/88=")</f>
        <v>#VALUE!</v>
      </c>
      <c r="HA37" t="e">
        <f>AND('Match Prediction Analysis'!K25,"AAAAAHsr/9A=")</f>
        <v>#VALUE!</v>
      </c>
      <c r="HB37" t="e">
        <f>AND('Match Prediction Analysis'!L25,"AAAAAHsr/9E=")</f>
        <v>#VALUE!</v>
      </c>
      <c r="HC37" t="e">
        <f>AND('Match Prediction Analysis'!M25,"AAAAAHsr/9I=")</f>
        <v>#VALUE!</v>
      </c>
      <c r="HD37" t="e">
        <f>AND('Match Prediction Analysis'!N25,"AAAAAHsr/9M=")</f>
        <v>#VALUE!</v>
      </c>
      <c r="HE37" t="e">
        <f>AND('Match Prediction Analysis'!O25,"AAAAAHsr/9Q=")</f>
        <v>#VALUE!</v>
      </c>
      <c r="HF37" t="e">
        <f>AND('Match Prediction Analysis'!P25,"AAAAAHsr/9U=")</f>
        <v>#VALUE!</v>
      </c>
      <c r="HG37" t="e">
        <f>AND('Match Prediction Analysis'!Q25,"AAAAAHsr/9Y=")</f>
        <v>#VALUE!</v>
      </c>
      <c r="HH37" t="e">
        <f>AND('Match Prediction Analysis'!R25,"AAAAAHsr/9c=")</f>
        <v>#VALUE!</v>
      </c>
      <c r="HI37">
        <f>IF('Match Prediction Analysis'!26:26,"AAAAAHsr/9g=",0)</f>
        <v>0</v>
      </c>
      <c r="HJ37" t="e">
        <f>AND('Match Prediction Analysis'!A26,"AAAAAHsr/9k=")</f>
        <v>#VALUE!</v>
      </c>
      <c r="HK37" t="e">
        <f>AND('Match Prediction Analysis'!B26,"AAAAAHsr/9o=")</f>
        <v>#VALUE!</v>
      </c>
      <c r="HL37" t="e">
        <f>AND('Match Prediction Analysis'!C26,"AAAAAHsr/9s=")</f>
        <v>#VALUE!</v>
      </c>
      <c r="HM37" t="e">
        <f>AND('Match Prediction Analysis'!D26,"AAAAAHsr/9w=")</f>
        <v>#VALUE!</v>
      </c>
      <c r="HN37" t="e">
        <f>AND('Match Prediction Analysis'!E26,"AAAAAHsr/90=")</f>
        <v>#VALUE!</v>
      </c>
      <c r="HO37" t="e">
        <f>AND('Match Prediction Analysis'!F26,"AAAAAHsr/94=")</f>
        <v>#VALUE!</v>
      </c>
      <c r="HP37" t="e">
        <f>AND('Match Prediction Analysis'!G26,"AAAAAHsr/98=")</f>
        <v>#VALUE!</v>
      </c>
      <c r="HQ37" t="e">
        <f>AND('Match Prediction Analysis'!H26,"AAAAAHsr/+A=")</f>
        <v>#VALUE!</v>
      </c>
      <c r="HR37" t="e">
        <f>AND('Match Prediction Analysis'!I26,"AAAAAHsr/+E=")</f>
        <v>#VALUE!</v>
      </c>
      <c r="HS37" t="e">
        <f>AND('Match Prediction Analysis'!J26,"AAAAAHsr/+I=")</f>
        <v>#VALUE!</v>
      </c>
      <c r="HT37" t="e">
        <f>AND('Match Prediction Analysis'!K26,"AAAAAHsr/+M=")</f>
        <v>#VALUE!</v>
      </c>
      <c r="HU37" t="e">
        <f>AND('Match Prediction Analysis'!L26,"AAAAAHsr/+Q=")</f>
        <v>#VALUE!</v>
      </c>
      <c r="HV37" t="e">
        <f>AND('Match Prediction Analysis'!M26,"AAAAAHsr/+U=")</f>
        <v>#VALUE!</v>
      </c>
      <c r="HW37" t="e">
        <f>AND('Match Prediction Analysis'!N26,"AAAAAHsr/+Y=")</f>
        <v>#VALUE!</v>
      </c>
      <c r="HX37" t="e">
        <f>AND('Match Prediction Analysis'!O26,"AAAAAHsr/+c=")</f>
        <v>#VALUE!</v>
      </c>
      <c r="HY37" t="e">
        <f>AND('Match Prediction Analysis'!P26,"AAAAAHsr/+g=")</f>
        <v>#VALUE!</v>
      </c>
      <c r="HZ37" t="e">
        <f>AND('Match Prediction Analysis'!Q26,"AAAAAHsr/+k=")</f>
        <v>#VALUE!</v>
      </c>
      <c r="IA37" t="e">
        <f>AND('Match Prediction Analysis'!R26,"AAAAAHsr/+o=")</f>
        <v>#VALUE!</v>
      </c>
      <c r="IB37">
        <f>IF('Match Prediction Analysis'!27:27,"AAAAAHsr/+s=",0)</f>
        <v>0</v>
      </c>
      <c r="IC37" t="e">
        <f>AND('Match Prediction Analysis'!A27,"AAAAAHsr/+w=")</f>
        <v>#VALUE!</v>
      </c>
      <c r="ID37" t="e">
        <f>AND('Match Prediction Analysis'!B27,"AAAAAHsr/+0=")</f>
        <v>#VALUE!</v>
      </c>
      <c r="IE37" t="e">
        <f>AND('Match Prediction Analysis'!C27,"AAAAAHsr/+4=")</f>
        <v>#VALUE!</v>
      </c>
      <c r="IF37" t="e">
        <f>AND('Match Prediction Analysis'!D27,"AAAAAHsr/+8=")</f>
        <v>#VALUE!</v>
      </c>
      <c r="IG37" t="e">
        <f>AND('Match Prediction Analysis'!E27,"AAAAAHsr//A=")</f>
        <v>#VALUE!</v>
      </c>
      <c r="IH37" t="e">
        <f>AND('Match Prediction Analysis'!F27,"AAAAAHsr//E=")</f>
        <v>#VALUE!</v>
      </c>
      <c r="II37" t="e">
        <f>AND('Match Prediction Analysis'!G27,"AAAAAHsr//I=")</f>
        <v>#VALUE!</v>
      </c>
      <c r="IJ37" t="e">
        <f>AND('Match Prediction Analysis'!H27,"AAAAAHsr//M=")</f>
        <v>#VALUE!</v>
      </c>
      <c r="IK37" t="e">
        <f>AND('Match Prediction Analysis'!I27,"AAAAAHsr//Q=")</f>
        <v>#VALUE!</v>
      </c>
      <c r="IL37" t="e">
        <f>AND('Match Prediction Analysis'!J27,"AAAAAHsr//U=")</f>
        <v>#VALUE!</v>
      </c>
      <c r="IM37" t="e">
        <f>AND('Match Prediction Analysis'!K27,"AAAAAHsr//Y=")</f>
        <v>#VALUE!</v>
      </c>
      <c r="IN37" t="e">
        <f>AND('Match Prediction Analysis'!L27,"AAAAAHsr//c=")</f>
        <v>#VALUE!</v>
      </c>
      <c r="IO37" t="e">
        <f>AND('Match Prediction Analysis'!M27,"AAAAAHsr//g=")</f>
        <v>#VALUE!</v>
      </c>
      <c r="IP37" t="e">
        <f>AND('Match Prediction Analysis'!N27,"AAAAAHsr//k=")</f>
        <v>#VALUE!</v>
      </c>
      <c r="IQ37" t="e">
        <f>AND('Match Prediction Analysis'!O27,"AAAAAHsr//o=")</f>
        <v>#VALUE!</v>
      </c>
      <c r="IR37" t="e">
        <f>AND('Match Prediction Analysis'!P27,"AAAAAHsr//s=")</f>
        <v>#VALUE!</v>
      </c>
      <c r="IS37" t="e">
        <f>AND('Match Prediction Analysis'!Q27,"AAAAAHsr//w=")</f>
        <v>#VALUE!</v>
      </c>
      <c r="IT37" t="e">
        <f>AND('Match Prediction Analysis'!R27,"AAAAAHsr//0=")</f>
        <v>#VALUE!</v>
      </c>
      <c r="IU37">
        <f>IF('Match Prediction Analysis'!28:28,"AAAAAHsr//4=",0)</f>
        <v>0</v>
      </c>
      <c r="IV37" t="e">
        <f>AND('Match Prediction Analysis'!A28,"AAAAAHsr//8=")</f>
        <v>#VALUE!</v>
      </c>
    </row>
    <row r="38" spans="1:256" x14ac:dyDescent="0.2">
      <c r="A38" t="e">
        <f>AND('Match Prediction Analysis'!B28,"AAAAAHtT3gA=")</f>
        <v>#VALUE!</v>
      </c>
      <c r="B38" t="e">
        <f>AND('Match Prediction Analysis'!C28,"AAAAAHtT3gE=")</f>
        <v>#VALUE!</v>
      </c>
      <c r="C38" t="e">
        <f>AND('Match Prediction Analysis'!D28,"AAAAAHtT3gI=")</f>
        <v>#VALUE!</v>
      </c>
      <c r="D38" t="e">
        <f>AND('Match Prediction Analysis'!E28,"AAAAAHtT3gM=")</f>
        <v>#VALUE!</v>
      </c>
      <c r="E38" t="e">
        <f>AND('Match Prediction Analysis'!F28,"AAAAAHtT3gQ=")</f>
        <v>#VALUE!</v>
      </c>
      <c r="F38" t="e">
        <f>AND('Match Prediction Analysis'!G28,"AAAAAHtT3gU=")</f>
        <v>#VALUE!</v>
      </c>
      <c r="G38" t="e">
        <f>AND('Match Prediction Analysis'!H28,"AAAAAHtT3gY=")</f>
        <v>#VALUE!</v>
      </c>
      <c r="H38" t="e">
        <f>AND('Match Prediction Analysis'!I28,"AAAAAHtT3gc=")</f>
        <v>#VALUE!</v>
      </c>
      <c r="I38" t="e">
        <f>AND('Match Prediction Analysis'!J28,"AAAAAHtT3gg=")</f>
        <v>#VALUE!</v>
      </c>
      <c r="J38" t="e">
        <f>AND('Match Prediction Analysis'!K28,"AAAAAHtT3gk=")</f>
        <v>#VALUE!</v>
      </c>
      <c r="K38" t="e">
        <f>AND('Match Prediction Analysis'!L28,"AAAAAHtT3go=")</f>
        <v>#VALUE!</v>
      </c>
      <c r="L38" t="e">
        <f>AND('Match Prediction Analysis'!M28,"AAAAAHtT3gs=")</f>
        <v>#VALUE!</v>
      </c>
      <c r="M38" t="e">
        <f>AND('Match Prediction Analysis'!N28,"AAAAAHtT3gw=")</f>
        <v>#VALUE!</v>
      </c>
      <c r="N38" t="e">
        <f>AND('Match Prediction Analysis'!O28,"AAAAAHtT3g0=")</f>
        <v>#VALUE!</v>
      </c>
      <c r="O38" t="e">
        <f>AND('Match Prediction Analysis'!P28,"AAAAAHtT3g4=")</f>
        <v>#VALUE!</v>
      </c>
      <c r="P38" t="e">
        <f>AND('Match Prediction Analysis'!Q28,"AAAAAHtT3g8=")</f>
        <v>#VALUE!</v>
      </c>
      <c r="Q38" t="e">
        <f>AND('Match Prediction Analysis'!R28,"AAAAAHtT3hA=")</f>
        <v>#VALUE!</v>
      </c>
      <c r="R38">
        <f>IF('Match Prediction Analysis'!29:29,"AAAAAHtT3hE=",0)</f>
        <v>0</v>
      </c>
      <c r="S38" t="e">
        <f>AND('Match Prediction Analysis'!A29,"AAAAAHtT3hI=")</f>
        <v>#VALUE!</v>
      </c>
      <c r="T38" t="e">
        <f>AND('Match Prediction Analysis'!B29,"AAAAAHtT3hM=")</f>
        <v>#VALUE!</v>
      </c>
      <c r="U38" t="e">
        <f>AND('Match Prediction Analysis'!C29,"AAAAAHtT3hQ=")</f>
        <v>#VALUE!</v>
      </c>
      <c r="V38" t="e">
        <f>AND('Match Prediction Analysis'!D29,"AAAAAHtT3hU=")</f>
        <v>#VALUE!</v>
      </c>
      <c r="W38" t="e">
        <f>AND('Match Prediction Analysis'!E29,"AAAAAHtT3hY=")</f>
        <v>#VALUE!</v>
      </c>
      <c r="X38" t="e">
        <f>AND('Match Prediction Analysis'!F29,"AAAAAHtT3hc=")</f>
        <v>#VALUE!</v>
      </c>
      <c r="Y38" t="e">
        <f>AND('Match Prediction Analysis'!G29,"AAAAAHtT3hg=")</f>
        <v>#VALUE!</v>
      </c>
      <c r="Z38" t="e">
        <f>AND('Match Prediction Analysis'!H29,"AAAAAHtT3hk=")</f>
        <v>#VALUE!</v>
      </c>
      <c r="AA38" t="e">
        <f>AND('Match Prediction Analysis'!I29,"AAAAAHtT3ho=")</f>
        <v>#VALUE!</v>
      </c>
      <c r="AB38" t="e">
        <f>AND('Match Prediction Analysis'!J29,"AAAAAHtT3hs=")</f>
        <v>#VALUE!</v>
      </c>
      <c r="AC38" t="e">
        <f>AND('Match Prediction Analysis'!K29,"AAAAAHtT3hw=")</f>
        <v>#VALUE!</v>
      </c>
      <c r="AD38" t="e">
        <f>AND('Match Prediction Analysis'!L29,"AAAAAHtT3h0=")</f>
        <v>#VALUE!</v>
      </c>
      <c r="AE38" t="e">
        <f>AND('Match Prediction Analysis'!M29,"AAAAAHtT3h4=")</f>
        <v>#VALUE!</v>
      </c>
      <c r="AF38" t="e">
        <f>AND('Match Prediction Analysis'!N29,"AAAAAHtT3h8=")</f>
        <v>#VALUE!</v>
      </c>
      <c r="AG38" t="e">
        <f>AND('Match Prediction Analysis'!O29,"AAAAAHtT3iA=")</f>
        <v>#VALUE!</v>
      </c>
      <c r="AH38" t="e">
        <f>AND('Match Prediction Analysis'!P29,"AAAAAHtT3iE=")</f>
        <v>#VALUE!</v>
      </c>
      <c r="AI38" t="e">
        <f>AND('Match Prediction Analysis'!Q29,"AAAAAHtT3iI=")</f>
        <v>#VALUE!</v>
      </c>
      <c r="AJ38" t="e">
        <f>AND('Match Prediction Analysis'!R29,"AAAAAHtT3iM=")</f>
        <v>#VALUE!</v>
      </c>
      <c r="AK38">
        <f>IF('Match Prediction Analysis'!30:30,"AAAAAHtT3iQ=",0)</f>
        <v>0</v>
      </c>
      <c r="AL38" t="e">
        <f>AND('Match Prediction Analysis'!A30,"AAAAAHtT3iU=")</f>
        <v>#VALUE!</v>
      </c>
      <c r="AM38" t="e">
        <f>AND('Match Prediction Analysis'!B30,"AAAAAHtT3iY=")</f>
        <v>#VALUE!</v>
      </c>
      <c r="AN38" t="e">
        <f>AND('Match Prediction Analysis'!C30,"AAAAAHtT3ic=")</f>
        <v>#VALUE!</v>
      </c>
      <c r="AO38" t="e">
        <f>AND('Match Prediction Analysis'!D30,"AAAAAHtT3ig=")</f>
        <v>#VALUE!</v>
      </c>
      <c r="AP38" t="e">
        <f>AND('Match Prediction Analysis'!E30,"AAAAAHtT3ik=")</f>
        <v>#VALUE!</v>
      </c>
      <c r="AQ38" t="e">
        <f>AND('Match Prediction Analysis'!F30,"AAAAAHtT3io=")</f>
        <v>#VALUE!</v>
      </c>
      <c r="AR38" t="e">
        <f>AND('Match Prediction Analysis'!G30,"AAAAAHtT3is=")</f>
        <v>#VALUE!</v>
      </c>
      <c r="AS38" t="e">
        <f>AND('Match Prediction Analysis'!H30,"AAAAAHtT3iw=")</f>
        <v>#VALUE!</v>
      </c>
      <c r="AT38" t="e">
        <f>AND('Match Prediction Analysis'!I30,"AAAAAHtT3i0=")</f>
        <v>#VALUE!</v>
      </c>
      <c r="AU38" t="e">
        <f>AND('Match Prediction Analysis'!J30,"AAAAAHtT3i4=")</f>
        <v>#VALUE!</v>
      </c>
      <c r="AV38" t="e">
        <f>AND('Match Prediction Analysis'!K30,"AAAAAHtT3i8=")</f>
        <v>#VALUE!</v>
      </c>
      <c r="AW38" t="e">
        <f>AND('Match Prediction Analysis'!L30,"AAAAAHtT3jA=")</f>
        <v>#VALUE!</v>
      </c>
      <c r="AX38" t="e">
        <f>AND('Match Prediction Analysis'!M30,"AAAAAHtT3jE=")</f>
        <v>#VALUE!</v>
      </c>
      <c r="AY38" t="e">
        <f>AND('Match Prediction Analysis'!N30,"AAAAAHtT3jI=")</f>
        <v>#VALUE!</v>
      </c>
      <c r="AZ38" t="e">
        <f>AND('Match Prediction Analysis'!O30,"AAAAAHtT3jM=")</f>
        <v>#VALUE!</v>
      </c>
      <c r="BA38" t="e">
        <f>AND('Match Prediction Analysis'!P30,"AAAAAHtT3jQ=")</f>
        <v>#VALUE!</v>
      </c>
      <c r="BB38" t="e">
        <f>AND('Match Prediction Analysis'!Q30,"AAAAAHtT3jU=")</f>
        <v>#VALUE!</v>
      </c>
      <c r="BC38" t="e">
        <f>AND('Match Prediction Analysis'!R30,"AAAAAHtT3jY=")</f>
        <v>#VALUE!</v>
      </c>
      <c r="BD38">
        <f>IF('Match Prediction Analysis'!31:31,"AAAAAHtT3jc=",0)</f>
        <v>0</v>
      </c>
      <c r="BE38" t="e">
        <f>AND('Match Prediction Analysis'!A31,"AAAAAHtT3jg=")</f>
        <v>#VALUE!</v>
      </c>
      <c r="BF38" t="e">
        <f>AND('Match Prediction Analysis'!B31,"AAAAAHtT3jk=")</f>
        <v>#VALUE!</v>
      </c>
      <c r="BG38" t="e">
        <f>AND('Match Prediction Analysis'!C31,"AAAAAHtT3jo=")</f>
        <v>#VALUE!</v>
      </c>
      <c r="BH38" t="e">
        <f>AND('Match Prediction Analysis'!D31,"AAAAAHtT3js=")</f>
        <v>#VALUE!</v>
      </c>
      <c r="BI38" t="e">
        <f>AND('Match Prediction Analysis'!E31,"AAAAAHtT3jw=")</f>
        <v>#VALUE!</v>
      </c>
      <c r="BJ38" t="e">
        <f>AND('Match Prediction Analysis'!F31,"AAAAAHtT3j0=")</f>
        <v>#VALUE!</v>
      </c>
      <c r="BK38" t="e">
        <f>AND('Match Prediction Analysis'!G31,"AAAAAHtT3j4=")</f>
        <v>#VALUE!</v>
      </c>
      <c r="BL38" t="e">
        <f>AND('Match Prediction Analysis'!H31,"AAAAAHtT3j8=")</f>
        <v>#VALUE!</v>
      </c>
      <c r="BM38" t="e">
        <f>AND('Match Prediction Analysis'!I31,"AAAAAHtT3kA=")</f>
        <v>#VALUE!</v>
      </c>
      <c r="BN38" t="e">
        <f>AND('Match Prediction Analysis'!J31,"AAAAAHtT3kE=")</f>
        <v>#VALUE!</v>
      </c>
      <c r="BO38" t="e">
        <f>AND('Match Prediction Analysis'!K31,"AAAAAHtT3kI=")</f>
        <v>#VALUE!</v>
      </c>
      <c r="BP38" t="e">
        <f>AND('Match Prediction Analysis'!L31,"AAAAAHtT3kM=")</f>
        <v>#VALUE!</v>
      </c>
      <c r="BQ38" t="e">
        <f>AND('Match Prediction Analysis'!M31,"AAAAAHtT3kQ=")</f>
        <v>#VALUE!</v>
      </c>
      <c r="BR38" t="e">
        <f>AND('Match Prediction Analysis'!N31,"AAAAAHtT3kU=")</f>
        <v>#VALUE!</v>
      </c>
      <c r="BS38" t="e">
        <f>AND('Match Prediction Analysis'!O31,"AAAAAHtT3kY=")</f>
        <v>#VALUE!</v>
      </c>
      <c r="BT38" t="e">
        <f>AND('Match Prediction Analysis'!P31,"AAAAAHtT3kc=")</f>
        <v>#VALUE!</v>
      </c>
      <c r="BU38" t="e">
        <f>AND('Match Prediction Analysis'!Q31,"AAAAAHtT3kg=")</f>
        <v>#VALUE!</v>
      </c>
      <c r="BV38" t="e">
        <f>AND('Match Prediction Analysis'!R31,"AAAAAHtT3kk=")</f>
        <v>#VALUE!</v>
      </c>
      <c r="BW38">
        <f>IF('Match Prediction Analysis'!32:32,"AAAAAHtT3ko=",0)</f>
        <v>0</v>
      </c>
      <c r="BX38" t="e">
        <f>AND('Match Prediction Analysis'!A32,"AAAAAHtT3ks=")</f>
        <v>#VALUE!</v>
      </c>
      <c r="BY38" t="e">
        <f>AND('Match Prediction Analysis'!B32,"AAAAAHtT3kw=")</f>
        <v>#VALUE!</v>
      </c>
      <c r="BZ38" t="e">
        <f>AND('Match Prediction Analysis'!C32,"AAAAAHtT3k0=")</f>
        <v>#VALUE!</v>
      </c>
      <c r="CA38" t="e">
        <f>AND('Match Prediction Analysis'!D32,"AAAAAHtT3k4=")</f>
        <v>#VALUE!</v>
      </c>
      <c r="CB38" t="e">
        <f>AND('Match Prediction Analysis'!E32,"AAAAAHtT3k8=")</f>
        <v>#VALUE!</v>
      </c>
      <c r="CC38" t="e">
        <f>AND('Match Prediction Analysis'!F32,"AAAAAHtT3lA=")</f>
        <v>#VALUE!</v>
      </c>
      <c r="CD38" t="e">
        <f>AND('Match Prediction Analysis'!G32,"AAAAAHtT3lE=")</f>
        <v>#VALUE!</v>
      </c>
      <c r="CE38" t="e">
        <f>AND('Match Prediction Analysis'!H32,"AAAAAHtT3lI=")</f>
        <v>#VALUE!</v>
      </c>
      <c r="CF38" t="e">
        <f>AND('Match Prediction Analysis'!I32,"AAAAAHtT3lM=")</f>
        <v>#VALUE!</v>
      </c>
      <c r="CG38" t="e">
        <f>AND('Match Prediction Analysis'!J32,"AAAAAHtT3lQ=")</f>
        <v>#VALUE!</v>
      </c>
      <c r="CH38" t="e">
        <f>AND('Match Prediction Analysis'!K32,"AAAAAHtT3lU=")</f>
        <v>#VALUE!</v>
      </c>
      <c r="CI38" t="e">
        <f>AND('Match Prediction Analysis'!L32,"AAAAAHtT3lY=")</f>
        <v>#VALUE!</v>
      </c>
      <c r="CJ38" t="e">
        <f>AND('Match Prediction Analysis'!M32,"AAAAAHtT3lc=")</f>
        <v>#VALUE!</v>
      </c>
      <c r="CK38" t="e">
        <f>AND('Match Prediction Analysis'!N32,"AAAAAHtT3lg=")</f>
        <v>#VALUE!</v>
      </c>
      <c r="CL38" t="e">
        <f>AND('Match Prediction Analysis'!O32,"AAAAAHtT3lk=")</f>
        <v>#VALUE!</v>
      </c>
      <c r="CM38" t="e">
        <f>AND('Match Prediction Analysis'!P32,"AAAAAHtT3lo=")</f>
        <v>#VALUE!</v>
      </c>
      <c r="CN38" t="e">
        <f>AND('Match Prediction Analysis'!Q32,"AAAAAHtT3ls=")</f>
        <v>#VALUE!</v>
      </c>
      <c r="CO38" t="e">
        <f>AND('Match Prediction Analysis'!R32,"AAAAAHtT3lw=")</f>
        <v>#VALUE!</v>
      </c>
      <c r="CP38">
        <f>IF('Match Prediction Analysis'!33:33,"AAAAAHtT3l0=",0)</f>
        <v>0</v>
      </c>
      <c r="CQ38" t="e">
        <f>AND('Match Prediction Analysis'!A33,"AAAAAHtT3l4=")</f>
        <v>#VALUE!</v>
      </c>
      <c r="CR38" t="e">
        <f>AND('Match Prediction Analysis'!B33,"AAAAAHtT3l8=")</f>
        <v>#VALUE!</v>
      </c>
      <c r="CS38" t="e">
        <f>AND('Match Prediction Analysis'!C33,"AAAAAHtT3mA=")</f>
        <v>#VALUE!</v>
      </c>
      <c r="CT38" t="e">
        <f>AND('Match Prediction Analysis'!D33,"AAAAAHtT3mE=")</f>
        <v>#VALUE!</v>
      </c>
      <c r="CU38" t="e">
        <f>AND('Match Prediction Analysis'!E33,"AAAAAHtT3mI=")</f>
        <v>#VALUE!</v>
      </c>
      <c r="CV38" t="e">
        <f>AND('Match Prediction Analysis'!F33,"AAAAAHtT3mM=")</f>
        <v>#VALUE!</v>
      </c>
      <c r="CW38" t="e">
        <f>AND('Match Prediction Analysis'!G33,"AAAAAHtT3mQ=")</f>
        <v>#VALUE!</v>
      </c>
      <c r="CX38" t="e">
        <f>AND('Match Prediction Analysis'!H33,"AAAAAHtT3mU=")</f>
        <v>#VALUE!</v>
      </c>
      <c r="CY38" t="e">
        <f>AND('Match Prediction Analysis'!I33,"AAAAAHtT3mY=")</f>
        <v>#VALUE!</v>
      </c>
      <c r="CZ38" t="e">
        <f>AND('Match Prediction Analysis'!J33,"AAAAAHtT3mc=")</f>
        <v>#VALUE!</v>
      </c>
      <c r="DA38" t="e">
        <f>AND('Match Prediction Analysis'!K33,"AAAAAHtT3mg=")</f>
        <v>#VALUE!</v>
      </c>
      <c r="DB38" t="e">
        <f>AND('Match Prediction Analysis'!L33,"AAAAAHtT3mk=")</f>
        <v>#VALUE!</v>
      </c>
      <c r="DC38" t="e">
        <f>AND('Match Prediction Analysis'!M33,"AAAAAHtT3mo=")</f>
        <v>#VALUE!</v>
      </c>
      <c r="DD38" t="e">
        <f>AND('Match Prediction Analysis'!N33,"AAAAAHtT3ms=")</f>
        <v>#VALUE!</v>
      </c>
      <c r="DE38" t="e">
        <f>AND('Match Prediction Analysis'!O33,"AAAAAHtT3mw=")</f>
        <v>#VALUE!</v>
      </c>
      <c r="DF38" t="e">
        <f>AND('Match Prediction Analysis'!P33,"AAAAAHtT3m0=")</f>
        <v>#VALUE!</v>
      </c>
      <c r="DG38" t="e">
        <f>AND('Match Prediction Analysis'!Q33,"AAAAAHtT3m4=")</f>
        <v>#VALUE!</v>
      </c>
      <c r="DH38" t="e">
        <f>AND('Match Prediction Analysis'!R33,"AAAAAHtT3m8=")</f>
        <v>#VALUE!</v>
      </c>
      <c r="DI38">
        <f>IF('Match Prediction Analysis'!34:34,"AAAAAHtT3nA=",0)</f>
        <v>0</v>
      </c>
      <c r="DJ38" t="e">
        <f>AND('Match Prediction Analysis'!A34,"AAAAAHtT3nE=")</f>
        <v>#VALUE!</v>
      </c>
      <c r="DK38" t="e">
        <f>AND('Match Prediction Analysis'!B34,"AAAAAHtT3nI=")</f>
        <v>#VALUE!</v>
      </c>
      <c r="DL38" t="e">
        <f>AND('Match Prediction Analysis'!C34,"AAAAAHtT3nM=")</f>
        <v>#VALUE!</v>
      </c>
      <c r="DM38" t="e">
        <f>AND('Match Prediction Analysis'!D34,"AAAAAHtT3nQ=")</f>
        <v>#VALUE!</v>
      </c>
      <c r="DN38" t="e">
        <f>AND('Match Prediction Analysis'!E34,"AAAAAHtT3nU=")</f>
        <v>#VALUE!</v>
      </c>
      <c r="DO38" t="e">
        <f>AND('Match Prediction Analysis'!F34,"AAAAAHtT3nY=")</f>
        <v>#VALUE!</v>
      </c>
      <c r="DP38" t="e">
        <f>AND('Match Prediction Analysis'!G34,"AAAAAHtT3nc=")</f>
        <v>#VALUE!</v>
      </c>
      <c r="DQ38" t="e">
        <f>AND('Match Prediction Analysis'!H34,"AAAAAHtT3ng=")</f>
        <v>#VALUE!</v>
      </c>
      <c r="DR38" t="e">
        <f>AND('Match Prediction Analysis'!I34,"AAAAAHtT3nk=")</f>
        <v>#VALUE!</v>
      </c>
      <c r="DS38" t="e">
        <f>AND('Match Prediction Analysis'!J34,"AAAAAHtT3no=")</f>
        <v>#VALUE!</v>
      </c>
      <c r="DT38" t="e">
        <f>AND('Match Prediction Analysis'!K34,"AAAAAHtT3ns=")</f>
        <v>#VALUE!</v>
      </c>
      <c r="DU38" t="e">
        <f>AND('Match Prediction Analysis'!L34,"AAAAAHtT3nw=")</f>
        <v>#VALUE!</v>
      </c>
      <c r="DV38" t="e">
        <f>AND('Match Prediction Analysis'!M34,"AAAAAHtT3n0=")</f>
        <v>#VALUE!</v>
      </c>
      <c r="DW38" t="e">
        <f>AND('Match Prediction Analysis'!N34,"AAAAAHtT3n4=")</f>
        <v>#VALUE!</v>
      </c>
      <c r="DX38" t="e">
        <f>AND('Match Prediction Analysis'!O34,"AAAAAHtT3n8=")</f>
        <v>#VALUE!</v>
      </c>
      <c r="DY38" t="e">
        <f>AND('Match Prediction Analysis'!P34,"AAAAAHtT3oA=")</f>
        <v>#VALUE!</v>
      </c>
      <c r="DZ38" t="e">
        <f>AND('Match Prediction Analysis'!Q34,"AAAAAHtT3oE=")</f>
        <v>#VALUE!</v>
      </c>
      <c r="EA38" t="e">
        <f>AND('Match Prediction Analysis'!R34,"AAAAAHtT3oI=")</f>
        <v>#VALUE!</v>
      </c>
      <c r="EB38">
        <f>IF('Match Prediction Analysis'!35:35,"AAAAAHtT3oM=",0)</f>
        <v>0</v>
      </c>
      <c r="EC38" t="e">
        <f>AND('Match Prediction Analysis'!A35,"AAAAAHtT3oQ=")</f>
        <v>#VALUE!</v>
      </c>
      <c r="ED38" t="e">
        <f>AND('Match Prediction Analysis'!B35,"AAAAAHtT3oU=")</f>
        <v>#VALUE!</v>
      </c>
      <c r="EE38" t="e">
        <f>AND('Match Prediction Analysis'!C35,"AAAAAHtT3oY=")</f>
        <v>#VALUE!</v>
      </c>
      <c r="EF38" t="e">
        <f>AND('Match Prediction Analysis'!D35,"AAAAAHtT3oc=")</f>
        <v>#VALUE!</v>
      </c>
      <c r="EG38" t="e">
        <f>AND('Match Prediction Analysis'!E35,"AAAAAHtT3og=")</f>
        <v>#VALUE!</v>
      </c>
      <c r="EH38" t="e">
        <f>AND('Match Prediction Analysis'!F35,"AAAAAHtT3ok=")</f>
        <v>#VALUE!</v>
      </c>
      <c r="EI38" t="e">
        <f>AND('Match Prediction Analysis'!G35,"AAAAAHtT3oo=")</f>
        <v>#VALUE!</v>
      </c>
      <c r="EJ38" t="e">
        <f>AND('Match Prediction Analysis'!H35,"AAAAAHtT3os=")</f>
        <v>#VALUE!</v>
      </c>
      <c r="EK38" t="e">
        <f>AND('Match Prediction Analysis'!I35,"AAAAAHtT3ow=")</f>
        <v>#VALUE!</v>
      </c>
      <c r="EL38" t="e">
        <f>AND('Match Prediction Analysis'!J35,"AAAAAHtT3o0=")</f>
        <v>#VALUE!</v>
      </c>
      <c r="EM38" t="e">
        <f>AND('Match Prediction Analysis'!K35,"AAAAAHtT3o4=")</f>
        <v>#VALUE!</v>
      </c>
      <c r="EN38" t="e">
        <f>AND('Match Prediction Analysis'!L35,"AAAAAHtT3o8=")</f>
        <v>#VALUE!</v>
      </c>
      <c r="EO38" t="e">
        <f>AND('Match Prediction Analysis'!M35,"AAAAAHtT3pA=")</f>
        <v>#VALUE!</v>
      </c>
      <c r="EP38" t="e">
        <f>AND('Match Prediction Analysis'!N35,"AAAAAHtT3pE=")</f>
        <v>#VALUE!</v>
      </c>
      <c r="EQ38" t="e">
        <f>AND('Match Prediction Analysis'!O35,"AAAAAHtT3pI=")</f>
        <v>#VALUE!</v>
      </c>
      <c r="ER38" t="e">
        <f>AND('Match Prediction Analysis'!P35,"AAAAAHtT3pM=")</f>
        <v>#VALUE!</v>
      </c>
      <c r="ES38" t="e">
        <f>AND('Match Prediction Analysis'!Q35,"AAAAAHtT3pQ=")</f>
        <v>#VALUE!</v>
      </c>
      <c r="ET38" t="e">
        <f>AND('Match Prediction Analysis'!R35,"AAAAAHtT3pU=")</f>
        <v>#VALUE!</v>
      </c>
      <c r="EU38">
        <f>IF('Match Prediction Analysis'!36:36,"AAAAAHtT3pY=",0)</f>
        <v>0</v>
      </c>
      <c r="EV38" t="e">
        <f>AND('Match Prediction Analysis'!A36,"AAAAAHtT3pc=")</f>
        <v>#VALUE!</v>
      </c>
      <c r="EW38" t="e">
        <f>AND('Match Prediction Analysis'!B36,"AAAAAHtT3pg=")</f>
        <v>#VALUE!</v>
      </c>
      <c r="EX38" t="e">
        <f>AND('Match Prediction Analysis'!C36,"AAAAAHtT3pk=")</f>
        <v>#VALUE!</v>
      </c>
      <c r="EY38" t="e">
        <f>AND('Match Prediction Analysis'!D36,"AAAAAHtT3po=")</f>
        <v>#VALUE!</v>
      </c>
      <c r="EZ38" t="e">
        <f>AND('Match Prediction Analysis'!E36,"AAAAAHtT3ps=")</f>
        <v>#VALUE!</v>
      </c>
      <c r="FA38" t="e">
        <f>AND('Match Prediction Analysis'!F36,"AAAAAHtT3pw=")</f>
        <v>#VALUE!</v>
      </c>
      <c r="FB38" t="e">
        <f>AND('Match Prediction Analysis'!G36,"AAAAAHtT3p0=")</f>
        <v>#VALUE!</v>
      </c>
      <c r="FC38" t="e">
        <f>AND('Match Prediction Analysis'!H36,"AAAAAHtT3p4=")</f>
        <v>#VALUE!</v>
      </c>
      <c r="FD38" t="e">
        <f>AND('Match Prediction Analysis'!I36,"AAAAAHtT3p8=")</f>
        <v>#VALUE!</v>
      </c>
      <c r="FE38" t="e">
        <f>AND('Match Prediction Analysis'!J36,"AAAAAHtT3qA=")</f>
        <v>#VALUE!</v>
      </c>
      <c r="FF38" t="e">
        <f>AND('Match Prediction Analysis'!K36,"AAAAAHtT3qE=")</f>
        <v>#VALUE!</v>
      </c>
      <c r="FG38" t="e">
        <f>AND('Match Prediction Analysis'!L36,"AAAAAHtT3qI=")</f>
        <v>#VALUE!</v>
      </c>
      <c r="FH38" t="e">
        <f>AND('Match Prediction Analysis'!M36,"AAAAAHtT3qM=")</f>
        <v>#VALUE!</v>
      </c>
      <c r="FI38" t="e">
        <f>AND('Match Prediction Analysis'!N36,"AAAAAHtT3qQ=")</f>
        <v>#VALUE!</v>
      </c>
      <c r="FJ38" t="e">
        <f>AND('Match Prediction Analysis'!O36,"AAAAAHtT3qU=")</f>
        <v>#VALUE!</v>
      </c>
      <c r="FK38" t="e">
        <f>AND('Match Prediction Analysis'!P36,"AAAAAHtT3qY=")</f>
        <v>#VALUE!</v>
      </c>
      <c r="FL38" t="e">
        <f>AND('Match Prediction Analysis'!Q36,"AAAAAHtT3qc=")</f>
        <v>#VALUE!</v>
      </c>
      <c r="FM38" t="e">
        <f>AND('Match Prediction Analysis'!R36,"AAAAAHtT3qg=")</f>
        <v>#VALUE!</v>
      </c>
      <c r="FN38">
        <f>IF('Match Prediction Analysis'!37:37,"AAAAAHtT3qk=",0)</f>
        <v>0</v>
      </c>
      <c r="FO38" t="e">
        <f>AND('Match Prediction Analysis'!A37,"AAAAAHtT3qo=")</f>
        <v>#VALUE!</v>
      </c>
      <c r="FP38" t="e">
        <f>AND('Match Prediction Analysis'!B37,"AAAAAHtT3qs=")</f>
        <v>#VALUE!</v>
      </c>
      <c r="FQ38" t="e">
        <f>AND('Match Prediction Analysis'!C37,"AAAAAHtT3qw=")</f>
        <v>#VALUE!</v>
      </c>
      <c r="FR38" t="e">
        <f>AND('Match Prediction Analysis'!D37,"AAAAAHtT3q0=")</f>
        <v>#VALUE!</v>
      </c>
      <c r="FS38" t="e">
        <f>AND('Match Prediction Analysis'!E37,"AAAAAHtT3q4=")</f>
        <v>#VALUE!</v>
      </c>
      <c r="FT38" t="e">
        <f>AND('Match Prediction Analysis'!F37,"AAAAAHtT3q8=")</f>
        <v>#VALUE!</v>
      </c>
      <c r="FU38" t="e">
        <f>AND('Match Prediction Analysis'!G37,"AAAAAHtT3rA=")</f>
        <v>#VALUE!</v>
      </c>
      <c r="FV38" t="e">
        <f>AND('Match Prediction Analysis'!H37,"AAAAAHtT3rE=")</f>
        <v>#VALUE!</v>
      </c>
      <c r="FW38" t="e">
        <f>AND('Match Prediction Analysis'!I37,"AAAAAHtT3rI=")</f>
        <v>#VALUE!</v>
      </c>
      <c r="FX38" t="e">
        <f>AND('Match Prediction Analysis'!J37,"AAAAAHtT3rM=")</f>
        <v>#VALUE!</v>
      </c>
      <c r="FY38" t="e">
        <f>AND('Match Prediction Analysis'!K37,"AAAAAHtT3rQ=")</f>
        <v>#VALUE!</v>
      </c>
      <c r="FZ38" t="e">
        <f>AND('Match Prediction Analysis'!L37,"AAAAAHtT3rU=")</f>
        <v>#VALUE!</v>
      </c>
      <c r="GA38" t="e">
        <f>AND('Match Prediction Analysis'!M37,"AAAAAHtT3rY=")</f>
        <v>#VALUE!</v>
      </c>
      <c r="GB38" t="e">
        <f>AND('Match Prediction Analysis'!N37,"AAAAAHtT3rc=")</f>
        <v>#VALUE!</v>
      </c>
      <c r="GC38" t="e">
        <f>AND('Match Prediction Analysis'!O37,"AAAAAHtT3rg=")</f>
        <v>#VALUE!</v>
      </c>
      <c r="GD38" t="e">
        <f>AND('Match Prediction Analysis'!P37,"AAAAAHtT3rk=")</f>
        <v>#VALUE!</v>
      </c>
      <c r="GE38" t="e">
        <f>AND('Match Prediction Analysis'!Q37,"AAAAAHtT3ro=")</f>
        <v>#VALUE!</v>
      </c>
      <c r="GF38" t="e">
        <f>AND('Match Prediction Analysis'!R37,"AAAAAHtT3rs=")</f>
        <v>#VALUE!</v>
      </c>
      <c r="GG38">
        <f>IF('Match Prediction Analysis'!38:38,"AAAAAHtT3rw=",0)</f>
        <v>0</v>
      </c>
      <c r="GH38" t="e">
        <f>AND('Match Prediction Analysis'!A38,"AAAAAHtT3r0=")</f>
        <v>#VALUE!</v>
      </c>
      <c r="GI38" t="e">
        <f>AND('Match Prediction Analysis'!B38,"AAAAAHtT3r4=")</f>
        <v>#VALUE!</v>
      </c>
      <c r="GJ38" t="e">
        <f>AND('Match Prediction Analysis'!C38,"AAAAAHtT3r8=")</f>
        <v>#VALUE!</v>
      </c>
      <c r="GK38" t="e">
        <f>AND('Match Prediction Analysis'!D38,"AAAAAHtT3sA=")</f>
        <v>#VALUE!</v>
      </c>
      <c r="GL38" t="e">
        <f>AND('Match Prediction Analysis'!E38,"AAAAAHtT3sE=")</f>
        <v>#VALUE!</v>
      </c>
      <c r="GM38" t="e">
        <f>AND('Match Prediction Analysis'!F38,"AAAAAHtT3sI=")</f>
        <v>#VALUE!</v>
      </c>
      <c r="GN38" t="e">
        <f>AND('Match Prediction Analysis'!G38,"AAAAAHtT3sM=")</f>
        <v>#VALUE!</v>
      </c>
      <c r="GO38" t="e">
        <f>AND('Match Prediction Analysis'!H38,"AAAAAHtT3sQ=")</f>
        <v>#VALUE!</v>
      </c>
      <c r="GP38" t="e">
        <f>AND('Match Prediction Analysis'!I38,"AAAAAHtT3sU=")</f>
        <v>#VALUE!</v>
      </c>
      <c r="GQ38" t="e">
        <f>AND('Match Prediction Analysis'!J38,"AAAAAHtT3sY=")</f>
        <v>#VALUE!</v>
      </c>
      <c r="GR38" t="e">
        <f>AND('Match Prediction Analysis'!K38,"AAAAAHtT3sc=")</f>
        <v>#VALUE!</v>
      </c>
      <c r="GS38" t="e">
        <f>AND('Match Prediction Analysis'!L38,"AAAAAHtT3sg=")</f>
        <v>#VALUE!</v>
      </c>
      <c r="GT38" t="e">
        <f>AND('Match Prediction Analysis'!M38,"AAAAAHtT3sk=")</f>
        <v>#VALUE!</v>
      </c>
      <c r="GU38" t="e">
        <f>AND('Match Prediction Analysis'!N38,"AAAAAHtT3so=")</f>
        <v>#VALUE!</v>
      </c>
      <c r="GV38" t="e">
        <f>AND('Match Prediction Analysis'!O38,"AAAAAHtT3ss=")</f>
        <v>#VALUE!</v>
      </c>
      <c r="GW38" t="e">
        <f>AND('Match Prediction Analysis'!P38,"AAAAAHtT3sw=")</f>
        <v>#VALUE!</v>
      </c>
      <c r="GX38" t="e">
        <f>AND('Match Prediction Analysis'!Q38,"AAAAAHtT3s0=")</f>
        <v>#VALUE!</v>
      </c>
      <c r="GY38" t="e">
        <f>AND('Match Prediction Analysis'!R38,"AAAAAHtT3s4=")</f>
        <v>#VALUE!</v>
      </c>
      <c r="GZ38">
        <f>IF('Match Prediction Analysis'!39:39,"AAAAAHtT3s8=",0)</f>
        <v>0</v>
      </c>
      <c r="HA38" t="e">
        <f>AND('Match Prediction Analysis'!A39,"AAAAAHtT3tA=")</f>
        <v>#VALUE!</v>
      </c>
      <c r="HB38" t="e">
        <f>AND('Match Prediction Analysis'!B39,"AAAAAHtT3tE=")</f>
        <v>#VALUE!</v>
      </c>
      <c r="HC38" t="e">
        <f>AND('Match Prediction Analysis'!C39,"AAAAAHtT3tI=")</f>
        <v>#VALUE!</v>
      </c>
      <c r="HD38" t="e">
        <f>AND('Match Prediction Analysis'!D39,"AAAAAHtT3tM=")</f>
        <v>#VALUE!</v>
      </c>
      <c r="HE38" t="e">
        <f>AND('Match Prediction Analysis'!E39,"AAAAAHtT3tQ=")</f>
        <v>#VALUE!</v>
      </c>
      <c r="HF38" t="e">
        <f>AND('Match Prediction Analysis'!F39,"AAAAAHtT3tU=")</f>
        <v>#VALUE!</v>
      </c>
      <c r="HG38" t="e">
        <f>AND('Match Prediction Analysis'!G39,"AAAAAHtT3tY=")</f>
        <v>#VALUE!</v>
      </c>
      <c r="HH38" t="e">
        <f>AND('Match Prediction Analysis'!H39,"AAAAAHtT3tc=")</f>
        <v>#VALUE!</v>
      </c>
      <c r="HI38" t="e">
        <f>AND('Match Prediction Analysis'!I39,"AAAAAHtT3tg=")</f>
        <v>#VALUE!</v>
      </c>
      <c r="HJ38" t="e">
        <f>AND('Match Prediction Analysis'!J39,"AAAAAHtT3tk=")</f>
        <v>#VALUE!</v>
      </c>
      <c r="HK38" t="e">
        <f>AND('Match Prediction Analysis'!K39,"AAAAAHtT3to=")</f>
        <v>#VALUE!</v>
      </c>
      <c r="HL38" t="e">
        <f>AND('Match Prediction Analysis'!L39,"AAAAAHtT3ts=")</f>
        <v>#VALUE!</v>
      </c>
      <c r="HM38" t="e">
        <f>AND('Match Prediction Analysis'!M39,"AAAAAHtT3tw=")</f>
        <v>#VALUE!</v>
      </c>
      <c r="HN38" t="e">
        <f>AND('Match Prediction Analysis'!N39,"AAAAAHtT3t0=")</f>
        <v>#VALUE!</v>
      </c>
      <c r="HO38" t="e">
        <f>AND('Match Prediction Analysis'!O39,"AAAAAHtT3t4=")</f>
        <v>#VALUE!</v>
      </c>
      <c r="HP38" t="e">
        <f>AND('Match Prediction Analysis'!P39,"AAAAAHtT3t8=")</f>
        <v>#VALUE!</v>
      </c>
      <c r="HQ38" t="e">
        <f>AND('Match Prediction Analysis'!Q39,"AAAAAHtT3uA=")</f>
        <v>#VALUE!</v>
      </c>
      <c r="HR38" t="e">
        <f>AND('Match Prediction Analysis'!R39,"AAAAAHtT3uE=")</f>
        <v>#VALUE!</v>
      </c>
      <c r="HS38">
        <f>IF('Match Prediction Analysis'!40:40,"AAAAAHtT3uI=",0)</f>
        <v>0</v>
      </c>
      <c r="HT38" t="e">
        <f>AND('Match Prediction Analysis'!A40,"AAAAAHtT3uM=")</f>
        <v>#VALUE!</v>
      </c>
      <c r="HU38" t="e">
        <f>AND('Match Prediction Analysis'!B40,"AAAAAHtT3uQ=")</f>
        <v>#VALUE!</v>
      </c>
      <c r="HV38" t="e">
        <f>AND('Match Prediction Analysis'!C40,"AAAAAHtT3uU=")</f>
        <v>#VALUE!</v>
      </c>
      <c r="HW38" t="e">
        <f>AND('Match Prediction Analysis'!D40,"AAAAAHtT3uY=")</f>
        <v>#VALUE!</v>
      </c>
      <c r="HX38" t="e">
        <f>AND('Match Prediction Analysis'!E40,"AAAAAHtT3uc=")</f>
        <v>#VALUE!</v>
      </c>
      <c r="HY38" t="e">
        <f>AND('Match Prediction Analysis'!F40,"AAAAAHtT3ug=")</f>
        <v>#VALUE!</v>
      </c>
      <c r="HZ38" t="e">
        <f>AND('Match Prediction Analysis'!G40,"AAAAAHtT3uk=")</f>
        <v>#VALUE!</v>
      </c>
      <c r="IA38" t="e">
        <f>AND('Match Prediction Analysis'!H40,"AAAAAHtT3uo=")</f>
        <v>#VALUE!</v>
      </c>
      <c r="IB38" t="e">
        <f>AND('Match Prediction Analysis'!I40,"AAAAAHtT3us=")</f>
        <v>#VALUE!</v>
      </c>
      <c r="IC38" t="e">
        <f>AND('Match Prediction Analysis'!J40,"AAAAAHtT3uw=")</f>
        <v>#VALUE!</v>
      </c>
      <c r="ID38" t="e">
        <f>AND('Match Prediction Analysis'!K40,"AAAAAHtT3u0=")</f>
        <v>#VALUE!</v>
      </c>
      <c r="IE38" t="e">
        <f>AND('Match Prediction Analysis'!L40,"AAAAAHtT3u4=")</f>
        <v>#VALUE!</v>
      </c>
      <c r="IF38" t="e">
        <f>AND('Match Prediction Analysis'!M40,"AAAAAHtT3u8=")</f>
        <v>#VALUE!</v>
      </c>
      <c r="IG38" t="e">
        <f>AND('Match Prediction Analysis'!N40,"AAAAAHtT3vA=")</f>
        <v>#VALUE!</v>
      </c>
      <c r="IH38" t="e">
        <f>AND('Match Prediction Analysis'!O40,"AAAAAHtT3vE=")</f>
        <v>#VALUE!</v>
      </c>
      <c r="II38" t="e">
        <f>AND('Match Prediction Analysis'!P40,"AAAAAHtT3vI=")</f>
        <v>#VALUE!</v>
      </c>
      <c r="IJ38" t="e">
        <f>AND('Match Prediction Analysis'!Q40,"AAAAAHtT3vM=")</f>
        <v>#VALUE!</v>
      </c>
      <c r="IK38" t="e">
        <f>AND('Match Prediction Analysis'!R40,"AAAAAHtT3vQ=")</f>
        <v>#VALUE!</v>
      </c>
      <c r="IL38">
        <f>IF('Match Prediction Analysis'!41:41,"AAAAAHtT3vU=",0)</f>
        <v>0</v>
      </c>
      <c r="IM38" t="e">
        <f>AND('Match Prediction Analysis'!A41,"AAAAAHtT3vY=")</f>
        <v>#VALUE!</v>
      </c>
      <c r="IN38" t="e">
        <f>AND('Match Prediction Analysis'!B41,"AAAAAHtT3vc=")</f>
        <v>#VALUE!</v>
      </c>
      <c r="IO38" t="e">
        <f>AND('Match Prediction Analysis'!C41,"AAAAAHtT3vg=")</f>
        <v>#VALUE!</v>
      </c>
      <c r="IP38" t="e">
        <f>AND('Match Prediction Analysis'!D41,"AAAAAHtT3vk=")</f>
        <v>#VALUE!</v>
      </c>
      <c r="IQ38" t="e">
        <f>AND('Match Prediction Analysis'!E41,"AAAAAHtT3vo=")</f>
        <v>#VALUE!</v>
      </c>
      <c r="IR38" t="e">
        <f>AND('Match Prediction Analysis'!F41,"AAAAAHtT3vs=")</f>
        <v>#VALUE!</v>
      </c>
      <c r="IS38" t="e">
        <f>AND('Match Prediction Analysis'!G41,"AAAAAHtT3vw=")</f>
        <v>#VALUE!</v>
      </c>
      <c r="IT38" t="e">
        <f>AND('Match Prediction Analysis'!H41,"AAAAAHtT3v0=")</f>
        <v>#VALUE!</v>
      </c>
      <c r="IU38" t="e">
        <f>AND('Match Prediction Analysis'!I41,"AAAAAHtT3v4=")</f>
        <v>#VALUE!</v>
      </c>
      <c r="IV38" t="e">
        <f>AND('Match Prediction Analysis'!J41,"AAAAAHtT3v8=")</f>
        <v>#VALUE!</v>
      </c>
    </row>
    <row r="39" spans="1:256" x14ac:dyDescent="0.2">
      <c r="A39" t="e">
        <f>AND('Match Prediction Analysis'!K41,"AAAAAH7e/QA=")</f>
        <v>#VALUE!</v>
      </c>
      <c r="B39" t="e">
        <f>AND('Match Prediction Analysis'!L41,"AAAAAH7e/QE=")</f>
        <v>#VALUE!</v>
      </c>
      <c r="C39" t="e">
        <f>AND('Match Prediction Analysis'!M41,"AAAAAH7e/QI=")</f>
        <v>#VALUE!</v>
      </c>
      <c r="D39" t="e">
        <f>AND('Match Prediction Analysis'!N41,"AAAAAH7e/QM=")</f>
        <v>#VALUE!</v>
      </c>
      <c r="E39" t="e">
        <f>AND('Match Prediction Analysis'!O41,"AAAAAH7e/QQ=")</f>
        <v>#VALUE!</v>
      </c>
      <c r="F39" t="e">
        <f>AND('Match Prediction Analysis'!P41,"AAAAAH7e/QU=")</f>
        <v>#VALUE!</v>
      </c>
      <c r="G39" t="e">
        <f>AND('Match Prediction Analysis'!Q41,"AAAAAH7e/QY=")</f>
        <v>#VALUE!</v>
      </c>
      <c r="H39" t="e">
        <f>AND('Match Prediction Analysis'!R41,"AAAAAH7e/Qc=")</f>
        <v>#VALUE!</v>
      </c>
      <c r="I39">
        <f>IF('Match Prediction Analysis'!42:42,"AAAAAH7e/Qg=",0)</f>
        <v>0</v>
      </c>
      <c r="J39" t="e">
        <f>AND('Match Prediction Analysis'!A42,"AAAAAH7e/Qk=")</f>
        <v>#VALUE!</v>
      </c>
      <c r="K39" t="e">
        <f>AND('Match Prediction Analysis'!B42,"AAAAAH7e/Qo=")</f>
        <v>#VALUE!</v>
      </c>
      <c r="L39" t="e">
        <f>AND('Match Prediction Analysis'!C42,"AAAAAH7e/Qs=")</f>
        <v>#VALUE!</v>
      </c>
      <c r="M39" t="e">
        <f>AND('Match Prediction Analysis'!D42,"AAAAAH7e/Qw=")</f>
        <v>#VALUE!</v>
      </c>
      <c r="N39" t="e">
        <f>AND('Match Prediction Analysis'!E42,"AAAAAH7e/Q0=")</f>
        <v>#VALUE!</v>
      </c>
      <c r="O39" t="e">
        <f>AND('Match Prediction Analysis'!F42,"AAAAAH7e/Q4=")</f>
        <v>#VALUE!</v>
      </c>
      <c r="P39" t="e">
        <f>AND('Match Prediction Analysis'!G42,"AAAAAH7e/Q8=")</f>
        <v>#VALUE!</v>
      </c>
      <c r="Q39" t="e">
        <f>AND('Match Prediction Analysis'!H42,"AAAAAH7e/RA=")</f>
        <v>#VALUE!</v>
      </c>
      <c r="R39" t="e">
        <f>AND('Match Prediction Analysis'!I42,"AAAAAH7e/RE=")</f>
        <v>#VALUE!</v>
      </c>
      <c r="S39" t="e">
        <f>AND('Match Prediction Analysis'!J42,"AAAAAH7e/RI=")</f>
        <v>#VALUE!</v>
      </c>
      <c r="T39" t="e">
        <f>AND('Match Prediction Analysis'!K42,"AAAAAH7e/RM=")</f>
        <v>#VALUE!</v>
      </c>
      <c r="U39" t="e">
        <f>AND('Match Prediction Analysis'!L42,"AAAAAH7e/RQ=")</f>
        <v>#VALUE!</v>
      </c>
      <c r="V39" t="e">
        <f>AND('Match Prediction Analysis'!M42,"AAAAAH7e/RU=")</f>
        <v>#VALUE!</v>
      </c>
      <c r="W39" t="e">
        <f>AND('Match Prediction Analysis'!N42,"AAAAAH7e/RY=")</f>
        <v>#VALUE!</v>
      </c>
      <c r="X39" t="e">
        <f>AND('Match Prediction Analysis'!O42,"AAAAAH7e/Rc=")</f>
        <v>#VALUE!</v>
      </c>
      <c r="Y39" t="e">
        <f>AND('Match Prediction Analysis'!P42,"AAAAAH7e/Rg=")</f>
        <v>#VALUE!</v>
      </c>
      <c r="Z39" t="e">
        <f>AND('Match Prediction Analysis'!Q42,"AAAAAH7e/Rk=")</f>
        <v>#VALUE!</v>
      </c>
      <c r="AA39" t="e">
        <f>AND('Match Prediction Analysis'!R42,"AAAAAH7e/Ro=")</f>
        <v>#VALUE!</v>
      </c>
      <c r="AB39">
        <f>IF('Match Prediction Analysis'!43:43,"AAAAAH7e/Rs=",0)</f>
        <v>0</v>
      </c>
      <c r="AC39" t="e">
        <f>AND('Match Prediction Analysis'!A43,"AAAAAH7e/Rw=")</f>
        <v>#VALUE!</v>
      </c>
      <c r="AD39" t="e">
        <f>AND('Match Prediction Analysis'!B43,"AAAAAH7e/R0=")</f>
        <v>#VALUE!</v>
      </c>
      <c r="AE39" t="e">
        <f>AND('Match Prediction Analysis'!C43,"AAAAAH7e/R4=")</f>
        <v>#VALUE!</v>
      </c>
      <c r="AF39" t="e">
        <f>AND('Match Prediction Analysis'!D43,"AAAAAH7e/R8=")</f>
        <v>#VALUE!</v>
      </c>
      <c r="AG39" t="e">
        <f>AND('Match Prediction Analysis'!E43,"AAAAAH7e/SA=")</f>
        <v>#VALUE!</v>
      </c>
      <c r="AH39" t="e">
        <f>AND('Match Prediction Analysis'!F43,"AAAAAH7e/SE=")</f>
        <v>#VALUE!</v>
      </c>
      <c r="AI39" t="e">
        <f>AND('Match Prediction Analysis'!G43,"AAAAAH7e/SI=")</f>
        <v>#VALUE!</v>
      </c>
      <c r="AJ39" t="e">
        <f>AND('Match Prediction Analysis'!H43,"AAAAAH7e/SM=")</f>
        <v>#VALUE!</v>
      </c>
      <c r="AK39" t="e">
        <f>AND('Match Prediction Analysis'!I43,"AAAAAH7e/SQ=")</f>
        <v>#VALUE!</v>
      </c>
      <c r="AL39" t="e">
        <f>AND('Match Prediction Analysis'!J43,"AAAAAH7e/SU=")</f>
        <v>#VALUE!</v>
      </c>
      <c r="AM39" t="e">
        <f>AND('Match Prediction Analysis'!K43,"AAAAAH7e/SY=")</f>
        <v>#VALUE!</v>
      </c>
      <c r="AN39" t="e">
        <f>AND('Match Prediction Analysis'!L43,"AAAAAH7e/Sc=")</f>
        <v>#VALUE!</v>
      </c>
      <c r="AO39" t="e">
        <f>AND('Match Prediction Analysis'!M43,"AAAAAH7e/Sg=")</f>
        <v>#VALUE!</v>
      </c>
      <c r="AP39" t="e">
        <f>AND('Match Prediction Analysis'!N43,"AAAAAH7e/Sk=")</f>
        <v>#VALUE!</v>
      </c>
      <c r="AQ39" t="e">
        <f>AND('Match Prediction Analysis'!O43,"AAAAAH7e/So=")</f>
        <v>#VALUE!</v>
      </c>
      <c r="AR39" t="e">
        <f>AND('Match Prediction Analysis'!P43,"AAAAAH7e/Ss=")</f>
        <v>#VALUE!</v>
      </c>
      <c r="AS39" t="e">
        <f>AND('Match Prediction Analysis'!Q43,"AAAAAH7e/Sw=")</f>
        <v>#VALUE!</v>
      </c>
      <c r="AT39" t="e">
        <f>AND('Match Prediction Analysis'!R43,"AAAAAH7e/S0=")</f>
        <v>#VALUE!</v>
      </c>
      <c r="AU39">
        <f>IF('Match Prediction Analysis'!44:44,"AAAAAH7e/S4=",0)</f>
        <v>0</v>
      </c>
      <c r="AV39" t="e">
        <f>AND('Match Prediction Analysis'!A44,"AAAAAH7e/S8=")</f>
        <v>#VALUE!</v>
      </c>
      <c r="AW39" t="e">
        <f>AND('Match Prediction Analysis'!B44,"AAAAAH7e/TA=")</f>
        <v>#VALUE!</v>
      </c>
      <c r="AX39" t="e">
        <f>AND('Match Prediction Analysis'!C44,"AAAAAH7e/TE=")</f>
        <v>#VALUE!</v>
      </c>
      <c r="AY39" t="e">
        <f>AND('Match Prediction Analysis'!D44,"AAAAAH7e/TI=")</f>
        <v>#VALUE!</v>
      </c>
      <c r="AZ39" t="e">
        <f>AND('Match Prediction Analysis'!E44,"AAAAAH7e/TM=")</f>
        <v>#VALUE!</v>
      </c>
      <c r="BA39" t="e">
        <f>AND('Match Prediction Analysis'!F44,"AAAAAH7e/TQ=")</f>
        <v>#VALUE!</v>
      </c>
      <c r="BB39" t="e">
        <f>AND('Match Prediction Analysis'!G44,"AAAAAH7e/TU=")</f>
        <v>#VALUE!</v>
      </c>
      <c r="BC39" t="e">
        <f>AND('Match Prediction Analysis'!H44,"AAAAAH7e/TY=")</f>
        <v>#VALUE!</v>
      </c>
      <c r="BD39" t="e">
        <f>AND('Match Prediction Analysis'!I44,"AAAAAH7e/Tc=")</f>
        <v>#VALUE!</v>
      </c>
      <c r="BE39" t="e">
        <f>AND('Match Prediction Analysis'!J44,"AAAAAH7e/Tg=")</f>
        <v>#VALUE!</v>
      </c>
      <c r="BF39" t="e">
        <f>AND('Match Prediction Analysis'!K44,"AAAAAH7e/Tk=")</f>
        <v>#VALUE!</v>
      </c>
      <c r="BG39" t="e">
        <f>AND('Match Prediction Analysis'!L44,"AAAAAH7e/To=")</f>
        <v>#VALUE!</v>
      </c>
      <c r="BH39" t="e">
        <f>AND('Match Prediction Analysis'!M44,"AAAAAH7e/Ts=")</f>
        <v>#VALUE!</v>
      </c>
      <c r="BI39" t="e">
        <f>AND('Match Prediction Analysis'!N44,"AAAAAH7e/Tw=")</f>
        <v>#VALUE!</v>
      </c>
      <c r="BJ39" t="e">
        <f>AND('Match Prediction Analysis'!O44,"AAAAAH7e/T0=")</f>
        <v>#VALUE!</v>
      </c>
      <c r="BK39" t="e">
        <f>AND('Match Prediction Analysis'!P44,"AAAAAH7e/T4=")</f>
        <v>#VALUE!</v>
      </c>
      <c r="BL39" t="e">
        <f>AND('Match Prediction Analysis'!Q44,"AAAAAH7e/T8=")</f>
        <v>#VALUE!</v>
      </c>
      <c r="BM39" t="e">
        <f>AND('Match Prediction Analysis'!R44,"AAAAAH7e/UA=")</f>
        <v>#VALUE!</v>
      </c>
      <c r="BN39">
        <f>IF('Match Prediction Analysis'!45:45,"AAAAAH7e/UE=",0)</f>
        <v>0</v>
      </c>
      <c r="BO39" t="e">
        <f>AND('Match Prediction Analysis'!A45,"AAAAAH7e/UI=")</f>
        <v>#VALUE!</v>
      </c>
      <c r="BP39" t="e">
        <f>AND('Match Prediction Analysis'!B45,"AAAAAH7e/UM=")</f>
        <v>#VALUE!</v>
      </c>
      <c r="BQ39" t="e">
        <f>AND('Match Prediction Analysis'!C45,"AAAAAH7e/UQ=")</f>
        <v>#VALUE!</v>
      </c>
      <c r="BR39" t="e">
        <f>AND('Match Prediction Analysis'!D45,"AAAAAH7e/UU=")</f>
        <v>#VALUE!</v>
      </c>
      <c r="BS39" t="e">
        <f>AND('Match Prediction Analysis'!E45,"AAAAAH7e/UY=")</f>
        <v>#VALUE!</v>
      </c>
      <c r="BT39" t="e">
        <f>AND('Match Prediction Analysis'!F45,"AAAAAH7e/Uc=")</f>
        <v>#VALUE!</v>
      </c>
      <c r="BU39" t="e">
        <f>AND('Match Prediction Analysis'!G45,"AAAAAH7e/Ug=")</f>
        <v>#VALUE!</v>
      </c>
      <c r="BV39" t="e">
        <f>AND('Match Prediction Analysis'!H45,"AAAAAH7e/Uk=")</f>
        <v>#VALUE!</v>
      </c>
      <c r="BW39" t="e">
        <f>AND('Match Prediction Analysis'!I45,"AAAAAH7e/Uo=")</f>
        <v>#VALUE!</v>
      </c>
      <c r="BX39" t="e">
        <f>AND('Match Prediction Analysis'!J45,"AAAAAH7e/Us=")</f>
        <v>#VALUE!</v>
      </c>
      <c r="BY39" t="e">
        <f>AND('Match Prediction Analysis'!K45,"AAAAAH7e/Uw=")</f>
        <v>#VALUE!</v>
      </c>
      <c r="BZ39" t="e">
        <f>AND('Match Prediction Analysis'!L45,"AAAAAH7e/U0=")</f>
        <v>#VALUE!</v>
      </c>
      <c r="CA39" t="e">
        <f>AND('Match Prediction Analysis'!M45,"AAAAAH7e/U4=")</f>
        <v>#VALUE!</v>
      </c>
      <c r="CB39" t="e">
        <f>AND('Match Prediction Analysis'!N45,"AAAAAH7e/U8=")</f>
        <v>#VALUE!</v>
      </c>
      <c r="CC39" t="e">
        <f>AND('Match Prediction Analysis'!O45,"AAAAAH7e/VA=")</f>
        <v>#VALUE!</v>
      </c>
      <c r="CD39" t="e">
        <f>AND('Match Prediction Analysis'!P45,"AAAAAH7e/VE=")</f>
        <v>#VALUE!</v>
      </c>
      <c r="CE39" t="e">
        <f>AND('Match Prediction Analysis'!Q45,"AAAAAH7e/VI=")</f>
        <v>#VALUE!</v>
      </c>
      <c r="CF39" t="e">
        <f>AND('Match Prediction Analysis'!R45,"AAAAAH7e/VM=")</f>
        <v>#VALUE!</v>
      </c>
      <c r="CG39">
        <f>IF('Match Prediction Analysis'!46:46,"AAAAAH7e/VQ=",0)</f>
        <v>0</v>
      </c>
      <c r="CH39" t="e">
        <f>AND('Match Prediction Analysis'!A46,"AAAAAH7e/VU=")</f>
        <v>#VALUE!</v>
      </c>
      <c r="CI39" t="e">
        <f>AND('Match Prediction Analysis'!B46,"AAAAAH7e/VY=")</f>
        <v>#VALUE!</v>
      </c>
      <c r="CJ39" t="e">
        <f>AND('Match Prediction Analysis'!C46,"AAAAAH7e/Vc=")</f>
        <v>#VALUE!</v>
      </c>
      <c r="CK39" t="e">
        <f>AND('Match Prediction Analysis'!D46,"AAAAAH7e/Vg=")</f>
        <v>#VALUE!</v>
      </c>
      <c r="CL39" t="e">
        <f>AND('Match Prediction Analysis'!E46,"AAAAAH7e/Vk=")</f>
        <v>#VALUE!</v>
      </c>
      <c r="CM39" t="e">
        <f>AND('Match Prediction Analysis'!F46,"AAAAAH7e/Vo=")</f>
        <v>#VALUE!</v>
      </c>
      <c r="CN39" t="e">
        <f>AND('Match Prediction Analysis'!G46,"AAAAAH7e/Vs=")</f>
        <v>#VALUE!</v>
      </c>
      <c r="CO39" t="e">
        <f>AND('Match Prediction Analysis'!H46,"AAAAAH7e/Vw=")</f>
        <v>#VALUE!</v>
      </c>
      <c r="CP39" t="e">
        <f>AND('Match Prediction Analysis'!I46,"AAAAAH7e/V0=")</f>
        <v>#VALUE!</v>
      </c>
      <c r="CQ39" t="e">
        <f>AND('Match Prediction Analysis'!J46,"AAAAAH7e/V4=")</f>
        <v>#VALUE!</v>
      </c>
      <c r="CR39" t="e">
        <f>AND('Match Prediction Analysis'!K46,"AAAAAH7e/V8=")</f>
        <v>#VALUE!</v>
      </c>
      <c r="CS39" t="e">
        <f>AND('Match Prediction Analysis'!L46,"AAAAAH7e/WA=")</f>
        <v>#VALUE!</v>
      </c>
      <c r="CT39" t="e">
        <f>AND('Match Prediction Analysis'!M46,"AAAAAH7e/WE=")</f>
        <v>#VALUE!</v>
      </c>
      <c r="CU39" t="e">
        <f>AND('Match Prediction Analysis'!N46,"AAAAAH7e/WI=")</f>
        <v>#VALUE!</v>
      </c>
      <c r="CV39" t="e">
        <f>AND('Match Prediction Analysis'!O46,"AAAAAH7e/WM=")</f>
        <v>#VALUE!</v>
      </c>
      <c r="CW39" t="e">
        <f>AND('Match Prediction Analysis'!P46,"AAAAAH7e/WQ=")</f>
        <v>#VALUE!</v>
      </c>
      <c r="CX39" t="e">
        <f>AND('Match Prediction Analysis'!Q46,"AAAAAH7e/WU=")</f>
        <v>#VALUE!</v>
      </c>
      <c r="CY39" t="e">
        <f>AND('Match Prediction Analysis'!R46,"AAAAAH7e/WY=")</f>
        <v>#VALUE!</v>
      </c>
      <c r="CZ39">
        <f>IF('Match Prediction Analysis'!47:47,"AAAAAH7e/Wc=",0)</f>
        <v>0</v>
      </c>
      <c r="DA39" t="e">
        <f>AND('Match Prediction Analysis'!A47,"AAAAAH7e/Wg=")</f>
        <v>#VALUE!</v>
      </c>
      <c r="DB39" t="e">
        <f>AND('Match Prediction Analysis'!B47,"AAAAAH7e/Wk=")</f>
        <v>#VALUE!</v>
      </c>
      <c r="DC39" t="e">
        <f>AND('Match Prediction Analysis'!C47,"AAAAAH7e/Wo=")</f>
        <v>#VALUE!</v>
      </c>
      <c r="DD39" t="e">
        <f>AND('Match Prediction Analysis'!D47,"AAAAAH7e/Ws=")</f>
        <v>#VALUE!</v>
      </c>
      <c r="DE39" t="e">
        <f>AND('Match Prediction Analysis'!E47,"AAAAAH7e/Ww=")</f>
        <v>#VALUE!</v>
      </c>
      <c r="DF39" t="e">
        <f>AND('Match Prediction Analysis'!F47,"AAAAAH7e/W0=")</f>
        <v>#VALUE!</v>
      </c>
      <c r="DG39" t="e">
        <f>AND('Match Prediction Analysis'!G47,"AAAAAH7e/W4=")</f>
        <v>#VALUE!</v>
      </c>
      <c r="DH39" t="e">
        <f>AND('Match Prediction Analysis'!H47,"AAAAAH7e/W8=")</f>
        <v>#VALUE!</v>
      </c>
      <c r="DI39" t="e">
        <f>AND('Match Prediction Analysis'!I47,"AAAAAH7e/XA=")</f>
        <v>#VALUE!</v>
      </c>
      <c r="DJ39" t="e">
        <f>AND('Match Prediction Analysis'!J47,"AAAAAH7e/XE=")</f>
        <v>#VALUE!</v>
      </c>
      <c r="DK39" t="e">
        <f>AND('Match Prediction Analysis'!K47,"AAAAAH7e/XI=")</f>
        <v>#VALUE!</v>
      </c>
      <c r="DL39" t="e">
        <f>AND('Match Prediction Analysis'!L47,"AAAAAH7e/XM=")</f>
        <v>#VALUE!</v>
      </c>
      <c r="DM39" t="e">
        <f>AND('Match Prediction Analysis'!M47,"AAAAAH7e/XQ=")</f>
        <v>#VALUE!</v>
      </c>
      <c r="DN39" t="e">
        <f>AND('Match Prediction Analysis'!N47,"AAAAAH7e/XU=")</f>
        <v>#VALUE!</v>
      </c>
      <c r="DO39" t="e">
        <f>AND('Match Prediction Analysis'!O47,"AAAAAH7e/XY=")</f>
        <v>#VALUE!</v>
      </c>
      <c r="DP39" t="e">
        <f>AND('Match Prediction Analysis'!P47,"AAAAAH7e/Xc=")</f>
        <v>#VALUE!</v>
      </c>
      <c r="DQ39" t="e">
        <f>AND('Match Prediction Analysis'!Q47,"AAAAAH7e/Xg=")</f>
        <v>#VALUE!</v>
      </c>
      <c r="DR39" t="e">
        <f>AND('Match Prediction Analysis'!R47,"AAAAAH7e/Xk=")</f>
        <v>#VALUE!</v>
      </c>
      <c r="DS39">
        <f>IF('Match Prediction Analysis'!48:48,"AAAAAH7e/Xo=",0)</f>
        <v>0</v>
      </c>
      <c r="DT39" t="e">
        <f>AND('Match Prediction Analysis'!A48,"AAAAAH7e/Xs=")</f>
        <v>#VALUE!</v>
      </c>
      <c r="DU39" t="e">
        <f>AND('Match Prediction Analysis'!B48,"AAAAAH7e/Xw=")</f>
        <v>#VALUE!</v>
      </c>
      <c r="DV39" t="e">
        <f>AND('Match Prediction Analysis'!C48,"AAAAAH7e/X0=")</f>
        <v>#VALUE!</v>
      </c>
      <c r="DW39" t="e">
        <f>AND('Match Prediction Analysis'!D48,"AAAAAH7e/X4=")</f>
        <v>#VALUE!</v>
      </c>
      <c r="DX39" t="e">
        <f>AND('Match Prediction Analysis'!E48,"AAAAAH7e/X8=")</f>
        <v>#VALUE!</v>
      </c>
      <c r="DY39" t="e">
        <f>AND('Match Prediction Analysis'!F48,"AAAAAH7e/YA=")</f>
        <v>#VALUE!</v>
      </c>
      <c r="DZ39" t="e">
        <f>AND('Match Prediction Analysis'!G48,"AAAAAH7e/YE=")</f>
        <v>#VALUE!</v>
      </c>
      <c r="EA39" t="e">
        <f>AND('Match Prediction Analysis'!H48,"AAAAAH7e/YI=")</f>
        <v>#VALUE!</v>
      </c>
      <c r="EB39" t="e">
        <f>AND('Match Prediction Analysis'!I48,"AAAAAH7e/YM=")</f>
        <v>#VALUE!</v>
      </c>
      <c r="EC39" t="e">
        <f>AND('Match Prediction Analysis'!J48,"AAAAAH7e/YQ=")</f>
        <v>#VALUE!</v>
      </c>
      <c r="ED39" t="e">
        <f>AND('Match Prediction Analysis'!K48,"AAAAAH7e/YU=")</f>
        <v>#VALUE!</v>
      </c>
      <c r="EE39" t="e">
        <f>AND('Match Prediction Analysis'!L48,"AAAAAH7e/YY=")</f>
        <v>#VALUE!</v>
      </c>
      <c r="EF39" t="e">
        <f>AND('Match Prediction Analysis'!M48,"AAAAAH7e/Yc=")</f>
        <v>#VALUE!</v>
      </c>
      <c r="EG39" t="e">
        <f>AND('Match Prediction Analysis'!N48,"AAAAAH7e/Yg=")</f>
        <v>#VALUE!</v>
      </c>
      <c r="EH39" t="e">
        <f>AND('Match Prediction Analysis'!O48,"AAAAAH7e/Yk=")</f>
        <v>#VALUE!</v>
      </c>
      <c r="EI39" t="e">
        <f>AND('Match Prediction Analysis'!P48,"AAAAAH7e/Yo=")</f>
        <v>#VALUE!</v>
      </c>
      <c r="EJ39" t="e">
        <f>AND('Match Prediction Analysis'!Q48,"AAAAAH7e/Ys=")</f>
        <v>#VALUE!</v>
      </c>
      <c r="EK39" t="e">
        <f>AND('Match Prediction Analysis'!R48,"AAAAAH7e/Yw=")</f>
        <v>#VALUE!</v>
      </c>
      <c r="EL39">
        <f>IF('Match Prediction Analysis'!49:49,"AAAAAH7e/Y0=",0)</f>
        <v>0</v>
      </c>
      <c r="EM39" t="e">
        <f>AND('Match Prediction Analysis'!A49,"AAAAAH7e/Y4=")</f>
        <v>#VALUE!</v>
      </c>
      <c r="EN39" t="e">
        <f>AND('Match Prediction Analysis'!B49,"AAAAAH7e/Y8=")</f>
        <v>#VALUE!</v>
      </c>
      <c r="EO39" t="e">
        <f>AND('Match Prediction Analysis'!C49,"AAAAAH7e/ZA=")</f>
        <v>#VALUE!</v>
      </c>
      <c r="EP39" t="e">
        <f>AND('Match Prediction Analysis'!D49,"AAAAAH7e/ZE=")</f>
        <v>#VALUE!</v>
      </c>
      <c r="EQ39" t="e">
        <f>AND('Match Prediction Analysis'!E49,"AAAAAH7e/ZI=")</f>
        <v>#VALUE!</v>
      </c>
      <c r="ER39" t="e">
        <f>AND('Match Prediction Analysis'!F49,"AAAAAH7e/ZM=")</f>
        <v>#VALUE!</v>
      </c>
      <c r="ES39" t="e">
        <f>AND('Match Prediction Analysis'!G49,"AAAAAH7e/ZQ=")</f>
        <v>#VALUE!</v>
      </c>
      <c r="ET39" t="e">
        <f>AND('Match Prediction Analysis'!H49,"AAAAAH7e/ZU=")</f>
        <v>#VALUE!</v>
      </c>
      <c r="EU39" t="e">
        <f>AND('Match Prediction Analysis'!I49,"AAAAAH7e/ZY=")</f>
        <v>#VALUE!</v>
      </c>
      <c r="EV39" t="e">
        <f>AND('Match Prediction Analysis'!J49,"AAAAAH7e/Zc=")</f>
        <v>#VALUE!</v>
      </c>
      <c r="EW39" t="e">
        <f>AND('Match Prediction Analysis'!K49,"AAAAAH7e/Zg=")</f>
        <v>#VALUE!</v>
      </c>
      <c r="EX39" t="e">
        <f>AND('Match Prediction Analysis'!L49,"AAAAAH7e/Zk=")</f>
        <v>#VALUE!</v>
      </c>
      <c r="EY39" t="e">
        <f>AND('Match Prediction Analysis'!M49,"AAAAAH7e/Zo=")</f>
        <v>#VALUE!</v>
      </c>
      <c r="EZ39" t="e">
        <f>AND('Match Prediction Analysis'!N49,"AAAAAH7e/Zs=")</f>
        <v>#VALUE!</v>
      </c>
      <c r="FA39" t="e">
        <f>AND('Match Prediction Analysis'!O49,"AAAAAH7e/Zw=")</f>
        <v>#VALUE!</v>
      </c>
      <c r="FB39" t="e">
        <f>AND('Match Prediction Analysis'!P49,"AAAAAH7e/Z0=")</f>
        <v>#VALUE!</v>
      </c>
      <c r="FC39" t="e">
        <f>AND('Match Prediction Analysis'!Q49,"AAAAAH7e/Z4=")</f>
        <v>#VALUE!</v>
      </c>
      <c r="FD39" t="e">
        <f>AND('Match Prediction Analysis'!R49,"AAAAAH7e/Z8=")</f>
        <v>#VALUE!</v>
      </c>
      <c r="FE39">
        <f>IF('Match Prediction Analysis'!50:50,"AAAAAH7e/aA=",0)</f>
        <v>0</v>
      </c>
      <c r="FF39" t="e">
        <f>AND('Match Prediction Analysis'!A50,"AAAAAH7e/aE=")</f>
        <v>#VALUE!</v>
      </c>
      <c r="FG39" t="e">
        <f>AND('Match Prediction Analysis'!B50,"AAAAAH7e/aI=")</f>
        <v>#VALUE!</v>
      </c>
      <c r="FH39" t="e">
        <f>AND('Match Prediction Analysis'!C50,"AAAAAH7e/aM=")</f>
        <v>#VALUE!</v>
      </c>
      <c r="FI39" t="e">
        <f>AND('Match Prediction Analysis'!D50,"AAAAAH7e/aQ=")</f>
        <v>#VALUE!</v>
      </c>
      <c r="FJ39" t="e">
        <f>AND('Match Prediction Analysis'!E50,"AAAAAH7e/aU=")</f>
        <v>#VALUE!</v>
      </c>
      <c r="FK39" t="e">
        <f>AND('Match Prediction Analysis'!F50,"AAAAAH7e/aY=")</f>
        <v>#VALUE!</v>
      </c>
      <c r="FL39" t="e">
        <f>AND('Match Prediction Analysis'!G50,"AAAAAH7e/ac=")</f>
        <v>#VALUE!</v>
      </c>
      <c r="FM39" t="e">
        <f>AND('Match Prediction Analysis'!H50,"AAAAAH7e/ag=")</f>
        <v>#VALUE!</v>
      </c>
      <c r="FN39" t="e">
        <f>AND('Match Prediction Analysis'!I50,"AAAAAH7e/ak=")</f>
        <v>#VALUE!</v>
      </c>
      <c r="FO39" t="e">
        <f>AND('Match Prediction Analysis'!J50,"AAAAAH7e/ao=")</f>
        <v>#VALUE!</v>
      </c>
      <c r="FP39" t="e">
        <f>AND('Match Prediction Analysis'!K50,"AAAAAH7e/as=")</f>
        <v>#VALUE!</v>
      </c>
      <c r="FQ39" t="e">
        <f>AND('Match Prediction Analysis'!L50,"AAAAAH7e/aw=")</f>
        <v>#VALUE!</v>
      </c>
      <c r="FR39" t="e">
        <f>AND('Match Prediction Analysis'!M50,"AAAAAH7e/a0=")</f>
        <v>#VALUE!</v>
      </c>
      <c r="FS39" t="e">
        <f>AND('Match Prediction Analysis'!N50,"AAAAAH7e/a4=")</f>
        <v>#VALUE!</v>
      </c>
      <c r="FT39" t="e">
        <f>AND('Match Prediction Analysis'!O50,"AAAAAH7e/a8=")</f>
        <v>#VALUE!</v>
      </c>
      <c r="FU39" t="e">
        <f>AND('Match Prediction Analysis'!P50,"AAAAAH7e/bA=")</f>
        <v>#VALUE!</v>
      </c>
      <c r="FV39" t="e">
        <f>AND('Match Prediction Analysis'!Q50,"AAAAAH7e/bE=")</f>
        <v>#VALUE!</v>
      </c>
      <c r="FW39" t="e">
        <f>AND('Match Prediction Analysis'!R50,"AAAAAH7e/bI=")</f>
        <v>#VALUE!</v>
      </c>
      <c r="FX39">
        <f>IF('Match Prediction Analysis'!A:A,"AAAAAH7e/bM=",0)</f>
        <v>0</v>
      </c>
      <c r="FY39">
        <f>IF('Match Prediction Analysis'!B:B,"AAAAAH7e/bQ=",0)</f>
        <v>0</v>
      </c>
      <c r="FZ39">
        <f>IF('Match Prediction Analysis'!C:C,"AAAAAH7e/bU=",0)</f>
        <v>0</v>
      </c>
      <c r="GA39">
        <f>IF('Match Prediction Analysis'!D:D,"AAAAAH7e/bY=",0)</f>
        <v>0</v>
      </c>
      <c r="GB39">
        <f>IF('Match Prediction Analysis'!E:E,"AAAAAH7e/bc=",0)</f>
        <v>0</v>
      </c>
      <c r="GC39">
        <f>IF('Match Prediction Analysis'!F:F,"AAAAAH7e/bg=",0)</f>
        <v>0</v>
      </c>
      <c r="GD39">
        <f>IF('Match Prediction Analysis'!G:G,"AAAAAH7e/bk=",0)</f>
        <v>0</v>
      </c>
      <c r="GE39">
        <f>IF('Match Prediction Analysis'!H:H,"AAAAAH7e/bo=",0)</f>
        <v>0</v>
      </c>
      <c r="GF39">
        <f>IF('Match Prediction Analysis'!I:I,"AAAAAH7e/bs=",0)</f>
        <v>0</v>
      </c>
      <c r="GG39">
        <f>IF('Match Prediction Analysis'!J:J,"AAAAAH7e/bw=",0)</f>
        <v>0</v>
      </c>
      <c r="GH39">
        <f>IF('Match Prediction Analysis'!K:K,"AAAAAH7e/b0=",0)</f>
        <v>0</v>
      </c>
      <c r="GI39">
        <f>IF('Match Prediction Analysis'!L:L,"AAAAAH7e/b4=",0)</f>
        <v>0</v>
      </c>
      <c r="GJ39">
        <f>IF('Match Prediction Analysis'!M:M,"AAAAAH7e/b8=",0)</f>
        <v>0</v>
      </c>
      <c r="GK39">
        <f>IF('Match Prediction Analysis'!N:N,"AAAAAH7e/cA=",0)</f>
        <v>0</v>
      </c>
      <c r="GL39">
        <f>IF('Match Prediction Analysis'!O:O,"AAAAAH7e/cE=",0)</f>
        <v>0</v>
      </c>
      <c r="GM39">
        <f>IF('Match Prediction Analysis'!P:P,"AAAAAH7e/cI=",0)</f>
        <v>0</v>
      </c>
      <c r="GN39">
        <f>IF('Match Prediction Analysis'!Q:Q,"AAAAAH7e/cM=",0)</f>
        <v>0</v>
      </c>
      <c r="GO39">
        <f>IF('Match Prediction Analysis'!R:R,"AAAAAH7e/cQ=",0)</f>
        <v>0</v>
      </c>
      <c r="GP39">
        <f>IF('Qualification And AFSS'!1:1,"AAAAAH7e/cU=",0)</f>
        <v>0</v>
      </c>
      <c r="GQ39" t="e">
        <f>AND('Qualification And AFSS'!B1,"AAAAAH7e/cY=")</f>
        <v>#VALUE!</v>
      </c>
      <c r="GR39" t="e">
        <f>AND('Qualification And AFSS'!C1,"AAAAAH7e/cc=")</f>
        <v>#VALUE!</v>
      </c>
      <c r="GS39" t="e">
        <f>AND('Qualification And AFSS'!D1,"AAAAAH7e/cg=")</f>
        <v>#VALUE!</v>
      </c>
      <c r="GT39" t="e">
        <f>AND('Qualification And AFSS'!E1,"AAAAAH7e/ck=")</f>
        <v>#VALUE!</v>
      </c>
      <c r="GU39" t="e">
        <f>AND('Qualification And AFSS'!F1,"AAAAAH7e/co=")</f>
        <v>#VALUE!</v>
      </c>
      <c r="GV39" t="e">
        <f>AND('Qualification And AFSS'!G1,"AAAAAH7e/cs=")</f>
        <v>#VALUE!</v>
      </c>
      <c r="GW39" t="e">
        <f>AND('Qualification And AFSS'!H1,"AAAAAH7e/cw=")</f>
        <v>#VALUE!</v>
      </c>
      <c r="GX39">
        <f>IF('Qualification And AFSS'!2:2,"AAAAAH7e/c0=",0)</f>
        <v>0</v>
      </c>
      <c r="GY39" t="e">
        <f>AND('Qualification And AFSS'!B2,"AAAAAH7e/c4=")</f>
        <v>#VALUE!</v>
      </c>
      <c r="GZ39" t="e">
        <f>AND('Qualification And AFSS'!C2,"AAAAAH7e/c8=")</f>
        <v>#VALUE!</v>
      </c>
      <c r="HA39" t="e">
        <f>AND('Qualification And AFSS'!D2,"AAAAAH7e/dA=")</f>
        <v>#VALUE!</v>
      </c>
      <c r="HB39" t="e">
        <f>AND('Qualification And AFSS'!E2,"AAAAAH7e/dE=")</f>
        <v>#VALUE!</v>
      </c>
      <c r="HC39" t="e">
        <f>AND('Qualification And AFSS'!F2,"AAAAAH7e/dI=")</f>
        <v>#VALUE!</v>
      </c>
      <c r="HD39" t="e">
        <f>AND('Qualification And AFSS'!G2,"AAAAAH7e/dM=")</f>
        <v>#VALUE!</v>
      </c>
      <c r="HE39" t="e">
        <f>AND('Qualification And AFSS'!H2,"AAAAAH7e/dQ=")</f>
        <v>#VALUE!</v>
      </c>
      <c r="HF39">
        <f>IF('Qualification And AFSS'!3:3,"AAAAAH7e/dU=",0)</f>
        <v>0</v>
      </c>
      <c r="HG39" t="e">
        <f>AND('Qualification And AFSS'!B3,"AAAAAH7e/dY=")</f>
        <v>#VALUE!</v>
      </c>
      <c r="HH39" t="e">
        <f>AND('Qualification And AFSS'!C3,"AAAAAH7e/dc=")</f>
        <v>#VALUE!</v>
      </c>
      <c r="HI39" t="e">
        <f>AND('Qualification And AFSS'!D3,"AAAAAH7e/dg=")</f>
        <v>#VALUE!</v>
      </c>
      <c r="HJ39" t="e">
        <f>AND('Qualification And AFSS'!E3,"AAAAAH7e/dk=")</f>
        <v>#VALUE!</v>
      </c>
      <c r="HK39" t="e">
        <f>AND('Qualification And AFSS'!F3,"AAAAAH7e/do=")</f>
        <v>#VALUE!</v>
      </c>
      <c r="HL39" t="e">
        <f>AND('Qualification And AFSS'!G3,"AAAAAH7e/ds=")</f>
        <v>#VALUE!</v>
      </c>
      <c r="HM39" t="e">
        <f>AND('Qualification And AFSS'!H3,"AAAAAH7e/dw=")</f>
        <v>#VALUE!</v>
      </c>
      <c r="HN39">
        <f>IF('Qualification And AFSS'!4:4,"AAAAAH7e/d0=",0)</f>
        <v>0</v>
      </c>
      <c r="HO39" t="e">
        <f>AND('Qualification And AFSS'!B4,"AAAAAH7e/d4=")</f>
        <v>#VALUE!</v>
      </c>
      <c r="HP39" t="e">
        <f>AND('Qualification And AFSS'!C4,"AAAAAH7e/d8=")</f>
        <v>#VALUE!</v>
      </c>
      <c r="HQ39" t="e">
        <f>AND('Qualification And AFSS'!D4,"AAAAAH7e/eA=")</f>
        <v>#VALUE!</v>
      </c>
      <c r="HR39" t="e">
        <f>AND('Qualification And AFSS'!E4,"AAAAAH7e/eE=")</f>
        <v>#VALUE!</v>
      </c>
      <c r="HS39" t="e">
        <f>AND('Qualification And AFSS'!F4,"AAAAAH7e/eI=")</f>
        <v>#VALUE!</v>
      </c>
      <c r="HT39" t="e">
        <f>AND('Qualification And AFSS'!G4,"AAAAAH7e/eM=")</f>
        <v>#VALUE!</v>
      </c>
      <c r="HU39" t="e">
        <f>AND('Qualification And AFSS'!H4,"AAAAAH7e/eQ=")</f>
        <v>#VALUE!</v>
      </c>
      <c r="HV39">
        <f>IF('Qualification And AFSS'!5:5,"AAAAAH7e/eU=",0)</f>
        <v>0</v>
      </c>
      <c r="HW39" t="e">
        <f>AND('Qualification And AFSS'!B5,"AAAAAH7e/eY=")</f>
        <v>#VALUE!</v>
      </c>
      <c r="HX39" t="e">
        <f>AND('Qualification And AFSS'!C5,"AAAAAH7e/ec=")</f>
        <v>#VALUE!</v>
      </c>
      <c r="HY39" t="e">
        <f>AND('Qualification And AFSS'!D5,"AAAAAH7e/eg=")</f>
        <v>#VALUE!</v>
      </c>
      <c r="HZ39" t="e">
        <f>AND('Qualification And AFSS'!E5,"AAAAAH7e/ek=")</f>
        <v>#VALUE!</v>
      </c>
      <c r="IA39" t="e">
        <f>AND('Qualification And AFSS'!F5,"AAAAAH7e/eo=")</f>
        <v>#VALUE!</v>
      </c>
      <c r="IB39" t="e">
        <f>AND('Qualification And AFSS'!G5,"AAAAAH7e/es=")</f>
        <v>#VALUE!</v>
      </c>
      <c r="IC39" t="e">
        <f>AND('Qualification And AFSS'!H5,"AAAAAH7e/ew=")</f>
        <v>#VALUE!</v>
      </c>
      <c r="ID39">
        <f>IF('Qualification And AFSS'!6:6,"AAAAAH7e/e0=",0)</f>
        <v>0</v>
      </c>
      <c r="IE39" t="e">
        <f>AND('Qualification And AFSS'!B6,"AAAAAH7e/e4=")</f>
        <v>#VALUE!</v>
      </c>
      <c r="IF39" t="e">
        <f>AND('Qualification And AFSS'!C6,"AAAAAH7e/e8=")</f>
        <v>#VALUE!</v>
      </c>
      <c r="IG39" t="e">
        <f>AND('Qualification And AFSS'!D6,"AAAAAH7e/fA=")</f>
        <v>#VALUE!</v>
      </c>
      <c r="IH39" t="e">
        <f>AND('Qualification And AFSS'!E6,"AAAAAH7e/fE=")</f>
        <v>#VALUE!</v>
      </c>
      <c r="II39" t="e">
        <f>AND('Qualification And AFSS'!F6,"AAAAAH7e/fI=")</f>
        <v>#VALUE!</v>
      </c>
      <c r="IJ39" t="e">
        <f>AND('Qualification And AFSS'!G6,"AAAAAH7e/fM=")</f>
        <v>#VALUE!</v>
      </c>
      <c r="IK39" t="e">
        <f>AND('Qualification And AFSS'!H6,"AAAAAH7e/fQ=")</f>
        <v>#VALUE!</v>
      </c>
      <c r="IL39">
        <f>IF('Qualification And AFSS'!7:7,"AAAAAH7e/fU=",0)</f>
        <v>0</v>
      </c>
      <c r="IM39" t="e">
        <f>AND('Qualification And AFSS'!B7,"AAAAAH7e/fY=")</f>
        <v>#VALUE!</v>
      </c>
      <c r="IN39" t="e">
        <f>AND('Qualification And AFSS'!C7,"AAAAAH7e/fc=")</f>
        <v>#VALUE!</v>
      </c>
      <c r="IO39" t="e">
        <f>AND('Qualification And AFSS'!D7,"AAAAAH7e/fg=")</f>
        <v>#VALUE!</v>
      </c>
      <c r="IP39" t="e">
        <f>AND('Qualification And AFSS'!E7,"AAAAAH7e/fk=")</f>
        <v>#VALUE!</v>
      </c>
      <c r="IQ39" t="e">
        <f>AND('Qualification And AFSS'!F7,"AAAAAH7e/fo=")</f>
        <v>#VALUE!</v>
      </c>
      <c r="IR39" t="e">
        <f>AND('Qualification And AFSS'!G7,"AAAAAH7e/fs=")</f>
        <v>#VALUE!</v>
      </c>
      <c r="IS39" t="e">
        <f>AND('Qualification And AFSS'!H7,"AAAAAH7e/fw=")</f>
        <v>#VALUE!</v>
      </c>
      <c r="IT39">
        <f>IF('Qualification And AFSS'!8:8,"AAAAAH7e/f0=",0)</f>
        <v>0</v>
      </c>
      <c r="IU39" t="e">
        <f>AND('Qualification And AFSS'!B8,"AAAAAH7e/f4=")</f>
        <v>#VALUE!</v>
      </c>
      <c r="IV39" t="e">
        <f>AND('Qualification And AFSS'!C8,"AAAAAH7e/f8=")</f>
        <v>#VALUE!</v>
      </c>
    </row>
    <row r="40" spans="1:256" x14ac:dyDescent="0.2">
      <c r="A40" t="e">
        <f>AND('Qualification And AFSS'!D8,"AAAAAH/a/AA=")</f>
        <v>#VALUE!</v>
      </c>
      <c r="B40" t="e">
        <f>AND('Qualification And AFSS'!E8,"AAAAAH/a/AE=")</f>
        <v>#VALUE!</v>
      </c>
      <c r="C40" t="e">
        <f>AND('Qualification And AFSS'!F8,"AAAAAH/a/AI=")</f>
        <v>#VALUE!</v>
      </c>
      <c r="D40" t="e">
        <f>AND('Qualification And AFSS'!G8,"AAAAAH/a/AM=")</f>
        <v>#VALUE!</v>
      </c>
      <c r="E40" t="e">
        <f>AND('Qualification And AFSS'!H8,"AAAAAH/a/AQ=")</f>
        <v>#VALUE!</v>
      </c>
      <c r="F40" t="str">
        <f>IF('Qualification And AFSS'!9:9,"AAAAAH/a/AU=",0)</f>
        <v>AAAAAH/a/AU=</v>
      </c>
      <c r="G40" t="e">
        <f>AND('Qualification And AFSS'!B9,"AAAAAH/a/AY=")</f>
        <v>#VALUE!</v>
      </c>
      <c r="H40" t="e">
        <f>AND('Qualification And AFSS'!C9,"AAAAAH/a/Ac=")</f>
        <v>#VALUE!</v>
      </c>
      <c r="I40" t="e">
        <f>AND('Qualification And AFSS'!D9,"AAAAAH/a/Ag=")</f>
        <v>#VALUE!</v>
      </c>
      <c r="J40" t="e">
        <f>AND('Qualification And AFSS'!E9,"AAAAAH/a/Ak=")</f>
        <v>#VALUE!</v>
      </c>
      <c r="K40" t="e">
        <f>AND('Qualification And AFSS'!F9,"AAAAAH/a/Ao=")</f>
        <v>#VALUE!</v>
      </c>
      <c r="L40" t="e">
        <f>AND('Qualification And AFSS'!G9,"AAAAAH/a/As=")</f>
        <v>#VALUE!</v>
      </c>
      <c r="M40" t="e">
        <f>AND('Qualification And AFSS'!H9,"AAAAAH/a/Aw=")</f>
        <v>#VALUE!</v>
      </c>
      <c r="N40">
        <f>IF('Qualification And AFSS'!10:10,"AAAAAH/a/A0=",0)</f>
        <v>0</v>
      </c>
      <c r="O40" t="e">
        <f>AND('Qualification And AFSS'!B10,"AAAAAH/a/A4=")</f>
        <v>#VALUE!</v>
      </c>
      <c r="P40" t="e">
        <f>AND('Qualification And AFSS'!C10,"AAAAAH/a/A8=")</f>
        <v>#VALUE!</v>
      </c>
      <c r="Q40" t="e">
        <f>AND('Qualification And AFSS'!D10,"AAAAAH/a/BA=")</f>
        <v>#VALUE!</v>
      </c>
      <c r="R40" t="e">
        <f>AND('Qualification And AFSS'!E10,"AAAAAH/a/BE=")</f>
        <v>#VALUE!</v>
      </c>
      <c r="S40" t="e">
        <f>AND('Qualification And AFSS'!F10,"AAAAAH/a/BI=")</f>
        <v>#VALUE!</v>
      </c>
      <c r="T40" t="e">
        <f>AND('Qualification And AFSS'!G10,"AAAAAH/a/BM=")</f>
        <v>#VALUE!</v>
      </c>
      <c r="U40" t="e">
        <f>AND('Qualification And AFSS'!H10,"AAAAAH/a/BQ=")</f>
        <v>#VALUE!</v>
      </c>
      <c r="V40">
        <f>IF('Qualification And AFSS'!11:11,"AAAAAH/a/BU=",0)</f>
        <v>0</v>
      </c>
      <c r="W40" t="e">
        <f>AND('Qualification And AFSS'!B11,"AAAAAH/a/BY=")</f>
        <v>#VALUE!</v>
      </c>
      <c r="X40" t="e">
        <f>AND('Qualification And AFSS'!C11,"AAAAAH/a/Bc=")</f>
        <v>#VALUE!</v>
      </c>
      <c r="Y40" t="e">
        <f>AND('Qualification And AFSS'!D11,"AAAAAH/a/Bg=")</f>
        <v>#VALUE!</v>
      </c>
      <c r="Z40" t="e">
        <f>AND('Qualification And AFSS'!E11,"AAAAAH/a/Bk=")</f>
        <v>#VALUE!</v>
      </c>
      <c r="AA40" t="e">
        <f>AND('Qualification And AFSS'!F11,"AAAAAH/a/Bo=")</f>
        <v>#VALUE!</v>
      </c>
      <c r="AB40" t="e">
        <f>AND('Qualification And AFSS'!G11,"AAAAAH/a/Bs=")</f>
        <v>#VALUE!</v>
      </c>
      <c r="AC40" t="e">
        <f>AND('Qualification And AFSS'!H11,"AAAAAH/a/Bw=")</f>
        <v>#VALUE!</v>
      </c>
      <c r="AD40">
        <f>IF('Qualification And AFSS'!12:12,"AAAAAH/a/B0=",0)</f>
        <v>0</v>
      </c>
      <c r="AE40" t="e">
        <f>AND('Qualification And AFSS'!B12,"AAAAAH/a/B4=")</f>
        <v>#VALUE!</v>
      </c>
      <c r="AF40" t="e">
        <f>AND('Qualification And AFSS'!C12,"AAAAAH/a/B8=")</f>
        <v>#VALUE!</v>
      </c>
      <c r="AG40" t="e">
        <f>AND('Qualification And AFSS'!D12,"AAAAAH/a/CA=")</f>
        <v>#VALUE!</v>
      </c>
      <c r="AH40" t="e">
        <f>AND('Qualification And AFSS'!E12,"AAAAAH/a/CE=")</f>
        <v>#VALUE!</v>
      </c>
      <c r="AI40" t="e">
        <f>AND('Qualification And AFSS'!F12,"AAAAAH/a/CI=")</f>
        <v>#VALUE!</v>
      </c>
      <c r="AJ40" t="e">
        <f>AND('Qualification And AFSS'!G12,"AAAAAH/a/CM=")</f>
        <v>#VALUE!</v>
      </c>
      <c r="AK40" t="e">
        <f>AND('Qualification And AFSS'!H12,"AAAAAH/a/CQ=")</f>
        <v>#VALUE!</v>
      </c>
      <c r="AL40">
        <f>IF('Qualification And AFSS'!13:13,"AAAAAH/a/CU=",0)</f>
        <v>0</v>
      </c>
      <c r="AM40" t="e">
        <f>AND('Qualification And AFSS'!B13,"AAAAAH/a/CY=")</f>
        <v>#VALUE!</v>
      </c>
      <c r="AN40" t="e">
        <f>AND('Qualification And AFSS'!C13,"AAAAAH/a/Cc=")</f>
        <v>#VALUE!</v>
      </c>
      <c r="AO40" t="e">
        <f>AND('Qualification And AFSS'!D13,"AAAAAH/a/Cg=")</f>
        <v>#VALUE!</v>
      </c>
      <c r="AP40" t="e">
        <f>AND('Qualification And AFSS'!E13,"AAAAAH/a/Ck=")</f>
        <v>#VALUE!</v>
      </c>
      <c r="AQ40" t="e">
        <f>AND('Qualification And AFSS'!F13,"AAAAAH/a/Co=")</f>
        <v>#VALUE!</v>
      </c>
      <c r="AR40" t="e">
        <f>AND('Qualification And AFSS'!G13,"AAAAAH/a/Cs=")</f>
        <v>#VALUE!</v>
      </c>
      <c r="AS40" t="e">
        <f>AND('Qualification And AFSS'!H13,"AAAAAH/a/Cw=")</f>
        <v>#VALUE!</v>
      </c>
      <c r="AT40">
        <f>IF('Qualification And AFSS'!14:14,"AAAAAH/a/C0=",0)</f>
        <v>0</v>
      </c>
      <c r="AU40" t="e">
        <f>AND('Qualification And AFSS'!B14,"AAAAAH/a/C4=")</f>
        <v>#VALUE!</v>
      </c>
      <c r="AV40" t="e">
        <f>AND('Qualification And AFSS'!C14,"AAAAAH/a/C8=")</f>
        <v>#VALUE!</v>
      </c>
      <c r="AW40" t="e">
        <f>AND('Qualification And AFSS'!D14,"AAAAAH/a/DA=")</f>
        <v>#VALUE!</v>
      </c>
      <c r="AX40" t="e">
        <f>AND('Qualification And AFSS'!E14,"AAAAAH/a/DE=")</f>
        <v>#VALUE!</v>
      </c>
      <c r="AY40" t="e">
        <f>AND('Qualification And AFSS'!F14,"AAAAAH/a/DI=")</f>
        <v>#VALUE!</v>
      </c>
      <c r="AZ40" t="e">
        <f>AND('Qualification And AFSS'!G14,"AAAAAH/a/DM=")</f>
        <v>#VALUE!</v>
      </c>
      <c r="BA40" t="e">
        <f>AND('Qualification And AFSS'!H14,"AAAAAH/a/DQ=")</f>
        <v>#VALUE!</v>
      </c>
      <c r="BB40">
        <f>IF('Qualification And AFSS'!15:15,"AAAAAH/a/DU=",0)</f>
        <v>0</v>
      </c>
      <c r="BC40" t="e">
        <f>AND('Qualification And AFSS'!B15,"AAAAAH/a/DY=")</f>
        <v>#VALUE!</v>
      </c>
      <c r="BD40" t="e">
        <f>AND('Qualification And AFSS'!C15,"AAAAAH/a/Dc=")</f>
        <v>#VALUE!</v>
      </c>
      <c r="BE40" t="e">
        <f>AND('Qualification And AFSS'!D15,"AAAAAH/a/Dg=")</f>
        <v>#VALUE!</v>
      </c>
      <c r="BF40" t="e">
        <f>AND('Qualification And AFSS'!E15,"AAAAAH/a/Dk=")</f>
        <v>#VALUE!</v>
      </c>
      <c r="BG40" t="e">
        <f>AND('Qualification And AFSS'!F15,"AAAAAH/a/Do=")</f>
        <v>#VALUE!</v>
      </c>
      <c r="BH40" t="e">
        <f>AND('Qualification And AFSS'!G15,"AAAAAH/a/Ds=")</f>
        <v>#VALUE!</v>
      </c>
      <c r="BI40" t="e">
        <f>AND('Qualification And AFSS'!H15,"AAAAAH/a/Dw=")</f>
        <v>#VALUE!</v>
      </c>
      <c r="BJ40">
        <f>IF('Qualification And AFSS'!16:16,"AAAAAH/a/D0=",0)</f>
        <v>0</v>
      </c>
      <c r="BK40" t="e">
        <f>AND('Qualification And AFSS'!B16,"AAAAAH/a/D4=")</f>
        <v>#VALUE!</v>
      </c>
      <c r="BL40" t="e">
        <f>AND('Qualification And AFSS'!C16,"AAAAAH/a/D8=")</f>
        <v>#VALUE!</v>
      </c>
      <c r="BM40" t="e">
        <f>AND('Qualification And AFSS'!D16,"AAAAAH/a/EA=")</f>
        <v>#VALUE!</v>
      </c>
      <c r="BN40" t="e">
        <f>AND('Qualification And AFSS'!E16,"AAAAAH/a/EE=")</f>
        <v>#VALUE!</v>
      </c>
      <c r="BO40" t="e">
        <f>AND('Qualification And AFSS'!F16,"AAAAAH/a/EI=")</f>
        <v>#VALUE!</v>
      </c>
      <c r="BP40" t="e">
        <f>AND('Qualification And AFSS'!G16,"AAAAAH/a/EM=")</f>
        <v>#VALUE!</v>
      </c>
      <c r="BQ40" t="e">
        <f>AND('Qualification And AFSS'!H16,"AAAAAH/a/EQ=")</f>
        <v>#VALUE!</v>
      </c>
      <c r="BR40">
        <f>IF('Qualification And AFSS'!17:17,"AAAAAH/a/EU=",0)</f>
        <v>0</v>
      </c>
      <c r="BS40" t="e">
        <f>AND('Qualification And AFSS'!B17,"AAAAAH/a/EY=")</f>
        <v>#VALUE!</v>
      </c>
      <c r="BT40" t="e">
        <f>AND('Qualification And AFSS'!C17,"AAAAAH/a/Ec=")</f>
        <v>#VALUE!</v>
      </c>
      <c r="BU40" t="e">
        <f>AND('Qualification And AFSS'!D17,"AAAAAH/a/Eg=")</f>
        <v>#VALUE!</v>
      </c>
      <c r="BV40" t="e">
        <f>AND('Qualification And AFSS'!E17,"AAAAAH/a/Ek=")</f>
        <v>#VALUE!</v>
      </c>
      <c r="BW40" t="e">
        <f>AND('Qualification And AFSS'!F17,"AAAAAH/a/Eo=")</f>
        <v>#VALUE!</v>
      </c>
      <c r="BX40" t="e">
        <f>AND('Qualification And AFSS'!G17,"AAAAAH/a/Es=")</f>
        <v>#VALUE!</v>
      </c>
      <c r="BY40" t="e">
        <f>AND('Qualification And AFSS'!H17,"AAAAAH/a/Ew=")</f>
        <v>#VALUE!</v>
      </c>
      <c r="BZ40">
        <f>IF('Qualification And AFSS'!18:18,"AAAAAH/a/E0=",0)</f>
        <v>0</v>
      </c>
      <c r="CA40" t="e">
        <f>AND('Qualification And AFSS'!B18,"AAAAAH/a/E4=")</f>
        <v>#VALUE!</v>
      </c>
      <c r="CB40" t="e">
        <f>AND('Qualification And AFSS'!C18,"AAAAAH/a/E8=")</f>
        <v>#VALUE!</v>
      </c>
      <c r="CC40" t="e">
        <f>AND('Qualification And AFSS'!D18,"AAAAAH/a/FA=")</f>
        <v>#VALUE!</v>
      </c>
      <c r="CD40" t="e">
        <f>AND('Qualification And AFSS'!E18,"AAAAAH/a/FE=")</f>
        <v>#VALUE!</v>
      </c>
      <c r="CE40" t="e">
        <f>AND('Qualification And AFSS'!F18,"AAAAAH/a/FI=")</f>
        <v>#VALUE!</v>
      </c>
      <c r="CF40" t="e">
        <f>AND('Qualification And AFSS'!G18,"AAAAAH/a/FM=")</f>
        <v>#VALUE!</v>
      </c>
      <c r="CG40" t="e">
        <f>AND('Qualification And AFSS'!H18,"AAAAAH/a/FQ=")</f>
        <v>#VALUE!</v>
      </c>
      <c r="CH40">
        <f>IF('Qualification And AFSS'!19:19,"AAAAAH/a/FU=",0)</f>
        <v>0</v>
      </c>
      <c r="CI40" t="e">
        <f>AND('Qualification And AFSS'!B19,"AAAAAH/a/FY=")</f>
        <v>#VALUE!</v>
      </c>
      <c r="CJ40" t="e">
        <f>AND('Qualification And AFSS'!C19,"AAAAAH/a/Fc=")</f>
        <v>#VALUE!</v>
      </c>
      <c r="CK40" t="e">
        <f>AND('Qualification And AFSS'!D19,"AAAAAH/a/Fg=")</f>
        <v>#VALUE!</v>
      </c>
      <c r="CL40" t="e">
        <f>AND('Qualification And AFSS'!E19,"AAAAAH/a/Fk=")</f>
        <v>#VALUE!</v>
      </c>
      <c r="CM40" t="e">
        <f>AND('Qualification And AFSS'!F19,"AAAAAH/a/Fo=")</f>
        <v>#VALUE!</v>
      </c>
      <c r="CN40" t="e">
        <f>AND('Qualification And AFSS'!G19,"AAAAAH/a/Fs=")</f>
        <v>#VALUE!</v>
      </c>
      <c r="CO40" t="e">
        <f>AND('Qualification And AFSS'!H19,"AAAAAH/a/Fw=")</f>
        <v>#VALUE!</v>
      </c>
      <c r="CP40">
        <f>IF('Qualification And AFSS'!20:20,"AAAAAH/a/F0=",0)</f>
        <v>0</v>
      </c>
      <c r="CQ40" t="e">
        <f>AND('Qualification And AFSS'!B20,"AAAAAH/a/F4=")</f>
        <v>#VALUE!</v>
      </c>
      <c r="CR40" t="e">
        <f>AND('Qualification And AFSS'!C20,"AAAAAH/a/F8=")</f>
        <v>#VALUE!</v>
      </c>
      <c r="CS40" t="e">
        <f>AND('Qualification And AFSS'!D20,"AAAAAH/a/GA=")</f>
        <v>#VALUE!</v>
      </c>
      <c r="CT40" t="e">
        <f>AND('Qualification And AFSS'!E20,"AAAAAH/a/GE=")</f>
        <v>#VALUE!</v>
      </c>
      <c r="CU40" t="e">
        <f>AND('Qualification And AFSS'!F20,"AAAAAH/a/GI=")</f>
        <v>#VALUE!</v>
      </c>
      <c r="CV40" t="e">
        <f>AND('Qualification And AFSS'!G20,"AAAAAH/a/GM=")</f>
        <v>#VALUE!</v>
      </c>
      <c r="CW40" t="e">
        <f>AND('Qualification And AFSS'!H20,"AAAAAH/a/GQ=")</f>
        <v>#VALUE!</v>
      </c>
      <c r="CX40">
        <f>IF('Qualification And AFSS'!21:21,"AAAAAH/a/GU=",0)</f>
        <v>0</v>
      </c>
      <c r="CY40" t="e">
        <f>AND('Qualification And AFSS'!B21,"AAAAAH/a/GY=")</f>
        <v>#VALUE!</v>
      </c>
      <c r="CZ40" t="e">
        <f>AND('Qualification And AFSS'!C21,"AAAAAH/a/Gc=")</f>
        <v>#VALUE!</v>
      </c>
      <c r="DA40" t="e">
        <f>AND('Qualification And AFSS'!D21,"AAAAAH/a/Gg=")</f>
        <v>#VALUE!</v>
      </c>
      <c r="DB40" t="e">
        <f>AND('Qualification And AFSS'!E21,"AAAAAH/a/Gk=")</f>
        <v>#VALUE!</v>
      </c>
      <c r="DC40" t="e">
        <f>AND('Qualification And AFSS'!F21,"AAAAAH/a/Go=")</f>
        <v>#VALUE!</v>
      </c>
      <c r="DD40" t="e">
        <f>AND('Qualification And AFSS'!G21,"AAAAAH/a/Gs=")</f>
        <v>#VALUE!</v>
      </c>
      <c r="DE40" t="e">
        <f>AND('Qualification And AFSS'!H21,"AAAAAH/a/Gw=")</f>
        <v>#VALUE!</v>
      </c>
      <c r="DF40">
        <f>IF('Qualification And AFSS'!22:22,"AAAAAH/a/G0=",0)</f>
        <v>0</v>
      </c>
      <c r="DG40" t="e">
        <f>AND('Qualification And AFSS'!B22,"AAAAAH/a/G4=")</f>
        <v>#VALUE!</v>
      </c>
      <c r="DH40" t="e">
        <f>AND('Qualification And AFSS'!C22,"AAAAAH/a/G8=")</f>
        <v>#VALUE!</v>
      </c>
      <c r="DI40" t="e">
        <f>AND('Qualification And AFSS'!D22,"AAAAAH/a/HA=")</f>
        <v>#VALUE!</v>
      </c>
      <c r="DJ40" t="e">
        <f>AND('Qualification And AFSS'!E22,"AAAAAH/a/HE=")</f>
        <v>#VALUE!</v>
      </c>
      <c r="DK40" t="e">
        <f>AND('Qualification And AFSS'!F22,"AAAAAH/a/HI=")</f>
        <v>#VALUE!</v>
      </c>
      <c r="DL40" t="e">
        <f>AND('Qualification And AFSS'!G22,"AAAAAH/a/HM=")</f>
        <v>#VALUE!</v>
      </c>
      <c r="DM40" t="e">
        <f>AND('Qualification And AFSS'!H22,"AAAAAH/a/HQ=")</f>
        <v>#VALUE!</v>
      </c>
      <c r="DN40">
        <f>IF('Qualification And AFSS'!23:23,"AAAAAH/a/HU=",0)</f>
        <v>0</v>
      </c>
      <c r="DO40" t="e">
        <f>AND('Qualification And AFSS'!B23,"AAAAAH/a/HY=")</f>
        <v>#VALUE!</v>
      </c>
      <c r="DP40" t="e">
        <f>AND('Qualification And AFSS'!C23,"AAAAAH/a/Hc=")</f>
        <v>#VALUE!</v>
      </c>
      <c r="DQ40" t="e">
        <f>AND('Qualification And AFSS'!D23,"AAAAAH/a/Hg=")</f>
        <v>#VALUE!</v>
      </c>
      <c r="DR40" t="e">
        <f>AND('Qualification And AFSS'!E23,"AAAAAH/a/Hk=")</f>
        <v>#VALUE!</v>
      </c>
      <c r="DS40" t="e">
        <f>AND('Qualification And AFSS'!F23,"AAAAAH/a/Ho=")</f>
        <v>#VALUE!</v>
      </c>
      <c r="DT40" t="e">
        <f>AND('Qualification And AFSS'!G23,"AAAAAH/a/Hs=")</f>
        <v>#VALUE!</v>
      </c>
      <c r="DU40" t="e">
        <f>AND('Qualification And AFSS'!H23,"AAAAAH/a/Hw=")</f>
        <v>#VALUE!</v>
      </c>
      <c r="DV40">
        <f>IF('Qualification And AFSS'!24:24,"AAAAAH/a/H0=",0)</f>
        <v>0</v>
      </c>
      <c r="DW40" t="e">
        <f>AND('Qualification And AFSS'!B24,"AAAAAH/a/H4=")</f>
        <v>#VALUE!</v>
      </c>
      <c r="DX40" t="e">
        <f>AND('Qualification And AFSS'!C24,"AAAAAH/a/H8=")</f>
        <v>#VALUE!</v>
      </c>
      <c r="DY40" t="e">
        <f>AND('Qualification And AFSS'!D24,"AAAAAH/a/IA=")</f>
        <v>#VALUE!</v>
      </c>
      <c r="DZ40" t="e">
        <f>AND('Qualification And AFSS'!E24,"AAAAAH/a/IE=")</f>
        <v>#VALUE!</v>
      </c>
      <c r="EA40" t="e">
        <f>AND('Qualification And AFSS'!F24,"AAAAAH/a/II=")</f>
        <v>#VALUE!</v>
      </c>
      <c r="EB40" t="e">
        <f>AND('Qualification And AFSS'!G24,"AAAAAH/a/IM=")</f>
        <v>#VALUE!</v>
      </c>
      <c r="EC40" t="e">
        <f>AND('Qualification And AFSS'!H24,"AAAAAH/a/IQ=")</f>
        <v>#VALUE!</v>
      </c>
      <c r="ED40">
        <f>IF('Qualification And AFSS'!25:25,"AAAAAH/a/IU=",0)</f>
        <v>0</v>
      </c>
      <c r="EE40" t="e">
        <f>AND('Qualification And AFSS'!B25,"AAAAAH/a/IY=")</f>
        <v>#VALUE!</v>
      </c>
      <c r="EF40" t="e">
        <f>AND('Qualification And AFSS'!C25,"AAAAAH/a/Ic=")</f>
        <v>#VALUE!</v>
      </c>
      <c r="EG40" t="e">
        <f>AND('Qualification And AFSS'!D25,"AAAAAH/a/Ig=")</f>
        <v>#VALUE!</v>
      </c>
      <c r="EH40" t="e">
        <f>AND('Qualification And AFSS'!E25,"AAAAAH/a/Ik=")</f>
        <v>#VALUE!</v>
      </c>
      <c r="EI40" t="e">
        <f>AND('Qualification And AFSS'!F25,"AAAAAH/a/Io=")</f>
        <v>#VALUE!</v>
      </c>
      <c r="EJ40" t="e">
        <f>AND('Qualification And AFSS'!G25,"AAAAAH/a/Is=")</f>
        <v>#VALUE!</v>
      </c>
      <c r="EK40" t="e">
        <f>AND('Qualification And AFSS'!H25,"AAAAAH/a/Iw=")</f>
        <v>#VALUE!</v>
      </c>
      <c r="EL40">
        <f>IF('Qualification And AFSS'!26:26,"AAAAAH/a/I0=",0)</f>
        <v>0</v>
      </c>
      <c r="EM40" t="e">
        <f>AND('Qualification And AFSS'!B26,"AAAAAH/a/I4=")</f>
        <v>#VALUE!</v>
      </c>
      <c r="EN40" t="e">
        <f>AND('Qualification And AFSS'!C26,"AAAAAH/a/I8=")</f>
        <v>#VALUE!</v>
      </c>
      <c r="EO40" t="e">
        <f>AND('Qualification And AFSS'!D26,"AAAAAH/a/JA=")</f>
        <v>#VALUE!</v>
      </c>
      <c r="EP40" t="e">
        <f>AND('Qualification And AFSS'!E26,"AAAAAH/a/JE=")</f>
        <v>#VALUE!</v>
      </c>
      <c r="EQ40" t="e">
        <f>AND('Qualification And AFSS'!F26,"AAAAAH/a/JI=")</f>
        <v>#VALUE!</v>
      </c>
      <c r="ER40" t="e">
        <f>AND('Qualification And AFSS'!G26,"AAAAAH/a/JM=")</f>
        <v>#VALUE!</v>
      </c>
      <c r="ES40" t="e">
        <f>AND('Qualification And AFSS'!H26,"AAAAAH/a/JQ=")</f>
        <v>#VALUE!</v>
      </c>
      <c r="ET40">
        <f>IF('Qualification And AFSS'!27:27,"AAAAAH/a/JU=",0)</f>
        <v>0</v>
      </c>
      <c r="EU40" t="e">
        <f>AND('Qualification And AFSS'!B27,"AAAAAH/a/JY=")</f>
        <v>#VALUE!</v>
      </c>
      <c r="EV40" t="e">
        <f>AND('Qualification And AFSS'!C27,"AAAAAH/a/Jc=")</f>
        <v>#VALUE!</v>
      </c>
      <c r="EW40" t="e">
        <f>AND('Qualification And AFSS'!D27,"AAAAAH/a/Jg=")</f>
        <v>#VALUE!</v>
      </c>
      <c r="EX40" t="e">
        <f>AND('Qualification And AFSS'!E27,"AAAAAH/a/Jk=")</f>
        <v>#VALUE!</v>
      </c>
      <c r="EY40" t="e">
        <f>AND('Qualification And AFSS'!F27,"AAAAAH/a/Jo=")</f>
        <v>#VALUE!</v>
      </c>
      <c r="EZ40" t="e">
        <f>AND('Qualification And AFSS'!G27,"AAAAAH/a/Js=")</f>
        <v>#VALUE!</v>
      </c>
      <c r="FA40" t="e">
        <f>AND('Qualification And AFSS'!H27,"AAAAAH/a/Jw=")</f>
        <v>#VALUE!</v>
      </c>
      <c r="FB40">
        <f>IF('Qualification And AFSS'!28:28,"AAAAAH/a/J0=",0)</f>
        <v>0</v>
      </c>
      <c r="FC40" t="e">
        <f>AND('Qualification And AFSS'!B28,"AAAAAH/a/J4=")</f>
        <v>#VALUE!</v>
      </c>
      <c r="FD40" t="e">
        <f>AND('Qualification And AFSS'!C28,"AAAAAH/a/J8=")</f>
        <v>#VALUE!</v>
      </c>
      <c r="FE40" t="e">
        <f>AND('Qualification And AFSS'!D28,"AAAAAH/a/KA=")</f>
        <v>#VALUE!</v>
      </c>
      <c r="FF40" t="e">
        <f>AND('Qualification And AFSS'!E28,"AAAAAH/a/KE=")</f>
        <v>#VALUE!</v>
      </c>
      <c r="FG40" t="e">
        <f>AND('Qualification And AFSS'!F28,"AAAAAH/a/KI=")</f>
        <v>#VALUE!</v>
      </c>
      <c r="FH40" t="e">
        <f>AND('Qualification And AFSS'!G28,"AAAAAH/a/KM=")</f>
        <v>#VALUE!</v>
      </c>
      <c r="FI40" t="e">
        <f>AND('Qualification And AFSS'!H28,"AAAAAH/a/KQ=")</f>
        <v>#VALUE!</v>
      </c>
      <c r="FJ40">
        <f>IF('Qualification And AFSS'!29:29,"AAAAAH/a/KU=",0)</f>
        <v>0</v>
      </c>
      <c r="FK40" t="e">
        <f>AND('Qualification And AFSS'!B29,"AAAAAH/a/KY=")</f>
        <v>#VALUE!</v>
      </c>
      <c r="FL40" t="e">
        <f>AND('Qualification And AFSS'!C29,"AAAAAH/a/Kc=")</f>
        <v>#VALUE!</v>
      </c>
      <c r="FM40" t="e">
        <f>AND('Qualification And AFSS'!D29,"AAAAAH/a/Kg=")</f>
        <v>#VALUE!</v>
      </c>
      <c r="FN40" t="e">
        <f>AND('Qualification And AFSS'!E29,"AAAAAH/a/Kk=")</f>
        <v>#VALUE!</v>
      </c>
      <c r="FO40" t="e">
        <f>AND('Qualification And AFSS'!F29,"AAAAAH/a/Ko=")</f>
        <v>#VALUE!</v>
      </c>
      <c r="FP40" t="e">
        <f>AND('Qualification And AFSS'!G29,"AAAAAH/a/Ks=")</f>
        <v>#VALUE!</v>
      </c>
      <c r="FQ40" t="e">
        <f>AND('Qualification And AFSS'!H29,"AAAAAH/a/Kw=")</f>
        <v>#VALUE!</v>
      </c>
      <c r="FR40">
        <f>IF('Qualification And AFSS'!30:30,"AAAAAH/a/K0=",0)</f>
        <v>0</v>
      </c>
      <c r="FS40" t="e">
        <f>AND('Qualification And AFSS'!B30,"AAAAAH/a/K4=")</f>
        <v>#VALUE!</v>
      </c>
      <c r="FT40" t="e">
        <f>AND('Qualification And AFSS'!C30,"AAAAAH/a/K8=")</f>
        <v>#VALUE!</v>
      </c>
      <c r="FU40" t="e">
        <f>AND('Qualification And AFSS'!D30,"AAAAAH/a/LA=")</f>
        <v>#VALUE!</v>
      </c>
      <c r="FV40" t="e">
        <f>AND('Qualification And AFSS'!E30,"AAAAAH/a/LE=")</f>
        <v>#VALUE!</v>
      </c>
      <c r="FW40" t="e">
        <f>AND('Qualification And AFSS'!F30,"AAAAAH/a/LI=")</f>
        <v>#VALUE!</v>
      </c>
      <c r="FX40" t="e">
        <f>AND('Qualification And AFSS'!G30,"AAAAAH/a/LM=")</f>
        <v>#VALUE!</v>
      </c>
      <c r="FY40" t="e">
        <f>AND('Qualification And AFSS'!H30,"AAAAAH/a/LQ=")</f>
        <v>#VALUE!</v>
      </c>
      <c r="FZ40">
        <f>IF('Qualification And AFSS'!31:31,"AAAAAH/a/LU=",0)</f>
        <v>0</v>
      </c>
      <c r="GA40" t="e">
        <f>AND('Qualification And AFSS'!B31,"AAAAAH/a/LY=")</f>
        <v>#VALUE!</v>
      </c>
      <c r="GB40" t="e">
        <f>AND('Qualification And AFSS'!C31,"AAAAAH/a/Lc=")</f>
        <v>#VALUE!</v>
      </c>
      <c r="GC40" t="e">
        <f>AND('Qualification And AFSS'!D31,"AAAAAH/a/Lg=")</f>
        <v>#VALUE!</v>
      </c>
      <c r="GD40" t="e">
        <f>AND('Qualification And AFSS'!E31,"AAAAAH/a/Lk=")</f>
        <v>#VALUE!</v>
      </c>
      <c r="GE40" t="e">
        <f>AND('Qualification And AFSS'!F31,"AAAAAH/a/Lo=")</f>
        <v>#VALUE!</v>
      </c>
      <c r="GF40" t="e">
        <f>AND('Qualification And AFSS'!G31,"AAAAAH/a/Ls=")</f>
        <v>#VALUE!</v>
      </c>
      <c r="GG40" t="e">
        <f>AND('Qualification And AFSS'!H31,"AAAAAH/a/Lw=")</f>
        <v>#VALUE!</v>
      </c>
      <c r="GH40">
        <f>IF('Qualification And AFSS'!32:32,"AAAAAH/a/L0=",0)</f>
        <v>0</v>
      </c>
      <c r="GI40" t="e">
        <f>AND('Qualification And AFSS'!B32,"AAAAAH/a/L4=")</f>
        <v>#VALUE!</v>
      </c>
      <c r="GJ40" t="e">
        <f>AND('Qualification And AFSS'!C32,"AAAAAH/a/L8=")</f>
        <v>#VALUE!</v>
      </c>
      <c r="GK40" t="e">
        <f>AND('Qualification And AFSS'!D32,"AAAAAH/a/MA=")</f>
        <v>#VALUE!</v>
      </c>
      <c r="GL40" t="e">
        <f>AND('Qualification And AFSS'!E32,"AAAAAH/a/ME=")</f>
        <v>#VALUE!</v>
      </c>
      <c r="GM40" t="e">
        <f>AND('Qualification And AFSS'!F32,"AAAAAH/a/MI=")</f>
        <v>#VALUE!</v>
      </c>
      <c r="GN40" t="e">
        <f>AND('Qualification And AFSS'!G32,"AAAAAH/a/MM=")</f>
        <v>#VALUE!</v>
      </c>
      <c r="GO40" t="e">
        <f>AND('Qualification And AFSS'!H32,"AAAAAH/a/MQ=")</f>
        <v>#VALUE!</v>
      </c>
      <c r="GP40">
        <f>IF('Qualification And AFSS'!33:33,"AAAAAH/a/MU=",0)</f>
        <v>0</v>
      </c>
      <c r="GQ40" t="e">
        <f>AND('Qualification And AFSS'!B33,"AAAAAH/a/MY=")</f>
        <v>#VALUE!</v>
      </c>
      <c r="GR40" t="e">
        <f>AND('Qualification And AFSS'!C33,"AAAAAH/a/Mc=")</f>
        <v>#VALUE!</v>
      </c>
      <c r="GS40" t="e">
        <f>AND('Qualification And AFSS'!D33,"AAAAAH/a/Mg=")</f>
        <v>#VALUE!</v>
      </c>
      <c r="GT40" t="e">
        <f>AND('Qualification And AFSS'!E33,"AAAAAH/a/Mk=")</f>
        <v>#VALUE!</v>
      </c>
      <c r="GU40" t="e">
        <f>AND('Qualification And AFSS'!F33,"AAAAAH/a/Mo=")</f>
        <v>#VALUE!</v>
      </c>
      <c r="GV40" t="e">
        <f>AND('Qualification And AFSS'!G33,"AAAAAH/a/Ms=")</f>
        <v>#VALUE!</v>
      </c>
      <c r="GW40" t="e">
        <f>AND('Qualification And AFSS'!H33,"AAAAAH/a/Mw=")</f>
        <v>#VALUE!</v>
      </c>
      <c r="GX40">
        <f>IF('Qualification And AFSS'!34:34,"AAAAAH/a/M0=",0)</f>
        <v>0</v>
      </c>
      <c r="GY40" t="e">
        <f>AND('Qualification And AFSS'!B34,"AAAAAH/a/M4=")</f>
        <v>#VALUE!</v>
      </c>
      <c r="GZ40" t="e">
        <f>AND('Qualification And AFSS'!C34,"AAAAAH/a/M8=")</f>
        <v>#VALUE!</v>
      </c>
      <c r="HA40" t="e">
        <f>AND('Qualification And AFSS'!D34,"AAAAAH/a/NA=")</f>
        <v>#VALUE!</v>
      </c>
      <c r="HB40" t="e">
        <f>AND('Qualification And AFSS'!E34,"AAAAAH/a/NE=")</f>
        <v>#VALUE!</v>
      </c>
      <c r="HC40" t="e">
        <f>AND('Qualification And AFSS'!F34,"AAAAAH/a/NI=")</f>
        <v>#VALUE!</v>
      </c>
      <c r="HD40" t="e">
        <f>AND('Qualification And AFSS'!G34,"AAAAAH/a/NM=")</f>
        <v>#VALUE!</v>
      </c>
      <c r="HE40" t="e">
        <f>AND('Qualification And AFSS'!H34,"AAAAAH/a/NQ=")</f>
        <v>#VALUE!</v>
      </c>
      <c r="HF40">
        <f>IF('Qualification And AFSS'!35:35,"AAAAAH/a/NU=",0)</f>
        <v>0</v>
      </c>
      <c r="HG40" t="e">
        <f>AND('Qualification And AFSS'!B35,"AAAAAH/a/NY=")</f>
        <v>#VALUE!</v>
      </c>
      <c r="HH40" t="e">
        <f>AND('Qualification And AFSS'!C35,"AAAAAH/a/Nc=")</f>
        <v>#VALUE!</v>
      </c>
      <c r="HI40" t="e">
        <f>AND('Qualification And AFSS'!D35,"AAAAAH/a/Ng=")</f>
        <v>#VALUE!</v>
      </c>
      <c r="HJ40" t="e">
        <f>AND('Qualification And AFSS'!E35,"AAAAAH/a/Nk=")</f>
        <v>#VALUE!</v>
      </c>
      <c r="HK40" t="e">
        <f>AND('Qualification And AFSS'!F35,"AAAAAH/a/No=")</f>
        <v>#VALUE!</v>
      </c>
      <c r="HL40" t="e">
        <f>AND('Qualification And AFSS'!G35,"AAAAAH/a/Ns=")</f>
        <v>#VALUE!</v>
      </c>
      <c r="HM40" t="e">
        <f>AND('Qualification And AFSS'!H35,"AAAAAH/a/Nw=")</f>
        <v>#VALUE!</v>
      </c>
      <c r="HN40">
        <f>IF('Qualification And AFSS'!36:36,"AAAAAH/a/N0=",0)</f>
        <v>0</v>
      </c>
      <c r="HO40" t="e">
        <f>AND('Qualification And AFSS'!B36,"AAAAAH/a/N4=")</f>
        <v>#VALUE!</v>
      </c>
      <c r="HP40" t="e">
        <f>AND('Qualification And AFSS'!C36,"AAAAAH/a/N8=")</f>
        <v>#VALUE!</v>
      </c>
      <c r="HQ40" t="e">
        <f>AND('Qualification And AFSS'!D36,"AAAAAH/a/OA=")</f>
        <v>#VALUE!</v>
      </c>
      <c r="HR40" t="e">
        <f>AND('Qualification And AFSS'!E36,"AAAAAH/a/OE=")</f>
        <v>#VALUE!</v>
      </c>
      <c r="HS40" t="e">
        <f>AND('Qualification And AFSS'!F36,"AAAAAH/a/OI=")</f>
        <v>#VALUE!</v>
      </c>
      <c r="HT40" t="e">
        <f>AND('Qualification And AFSS'!G36,"AAAAAH/a/OM=")</f>
        <v>#VALUE!</v>
      </c>
      <c r="HU40" t="e">
        <f>AND('Qualification And AFSS'!H36,"AAAAAH/a/OQ=")</f>
        <v>#VALUE!</v>
      </c>
      <c r="HV40">
        <f>IF('Qualification And AFSS'!37:37,"AAAAAH/a/OU=",0)</f>
        <v>0</v>
      </c>
      <c r="HW40" t="e">
        <f>AND('Qualification And AFSS'!B37,"AAAAAH/a/OY=")</f>
        <v>#VALUE!</v>
      </c>
      <c r="HX40" t="e">
        <f>AND('Qualification And AFSS'!C37,"AAAAAH/a/Oc=")</f>
        <v>#VALUE!</v>
      </c>
      <c r="HY40" t="e">
        <f>AND('Qualification And AFSS'!D37,"AAAAAH/a/Og=")</f>
        <v>#VALUE!</v>
      </c>
      <c r="HZ40" t="e">
        <f>AND('Qualification And AFSS'!E37,"AAAAAH/a/Ok=")</f>
        <v>#VALUE!</v>
      </c>
      <c r="IA40" t="e">
        <f>AND('Qualification And AFSS'!F37,"AAAAAH/a/Oo=")</f>
        <v>#VALUE!</v>
      </c>
      <c r="IB40" t="e">
        <f>AND('Qualification And AFSS'!G37,"AAAAAH/a/Os=")</f>
        <v>#VALUE!</v>
      </c>
      <c r="IC40" t="e">
        <f>AND('Qualification And AFSS'!H37,"AAAAAH/a/Ow=")</f>
        <v>#VALUE!</v>
      </c>
      <c r="ID40">
        <f>IF('Qualification And AFSS'!38:38,"AAAAAH/a/O0=",0)</f>
        <v>0</v>
      </c>
      <c r="IE40" t="e">
        <f>AND('Qualification And AFSS'!B38,"AAAAAH/a/O4=")</f>
        <v>#VALUE!</v>
      </c>
      <c r="IF40" t="e">
        <f>AND('Qualification And AFSS'!C38,"AAAAAH/a/O8=")</f>
        <v>#VALUE!</v>
      </c>
      <c r="IG40" t="e">
        <f>AND('Qualification And AFSS'!D38,"AAAAAH/a/PA=")</f>
        <v>#VALUE!</v>
      </c>
      <c r="IH40" t="e">
        <f>AND('Qualification And AFSS'!E38,"AAAAAH/a/PE=")</f>
        <v>#VALUE!</v>
      </c>
      <c r="II40" t="e">
        <f>AND('Qualification And AFSS'!F38,"AAAAAH/a/PI=")</f>
        <v>#VALUE!</v>
      </c>
      <c r="IJ40" t="e">
        <f>AND('Qualification And AFSS'!G38,"AAAAAH/a/PM=")</f>
        <v>#VALUE!</v>
      </c>
      <c r="IK40" t="e">
        <f>AND('Qualification And AFSS'!H38,"AAAAAH/a/PQ=")</f>
        <v>#VALUE!</v>
      </c>
      <c r="IL40">
        <f>IF('Qualification And AFSS'!39:39,"AAAAAH/a/PU=",0)</f>
        <v>0</v>
      </c>
      <c r="IM40">
        <f>IF('Qualification And AFSS'!40:40,"AAAAAH/a/PY=",0)</f>
        <v>0</v>
      </c>
      <c r="IN40">
        <f>IF('Qualification And AFSS'!41:41,"AAAAAH/a/Pc=",0)</f>
        <v>0</v>
      </c>
      <c r="IO40">
        <f>IF('Qualification And AFSS'!42:42,"AAAAAH/a/Pg=",0)</f>
        <v>0</v>
      </c>
      <c r="IP40">
        <f>IF('Qualification And AFSS'!43:43,"AAAAAH/a/Pk=",0)</f>
        <v>0</v>
      </c>
      <c r="IQ40">
        <f>IF('Qualification And AFSS'!44:44,"AAAAAH/a/Po=",0)</f>
        <v>0</v>
      </c>
      <c r="IR40">
        <f>IF('Qualification And AFSS'!45:45,"AAAAAH/a/Ps=",0)</f>
        <v>0</v>
      </c>
      <c r="IS40">
        <f>IF('Qualification And AFSS'!46:46,"AAAAAH/a/Pw=",0)</f>
        <v>0</v>
      </c>
      <c r="IT40">
        <f>IF('Qualification And AFSS'!47:47,"AAAAAH/a/P0=",0)</f>
        <v>0</v>
      </c>
      <c r="IU40">
        <f>IF('Qualification And AFSS'!48:48,"AAAAAH/a/P4=",0)</f>
        <v>0</v>
      </c>
      <c r="IV40">
        <f>IF('Qualification And AFSS'!49:49,"AAAAAH/a/P8=",0)</f>
        <v>0</v>
      </c>
    </row>
    <row r="41" spans="1:256" x14ac:dyDescent="0.2">
      <c r="A41">
        <f>IF('Qualification And AFSS'!50:50,"AAAAAAI1vwA=",0)</f>
        <v>0</v>
      </c>
      <c r="B41">
        <f>IF('Qualification And AFSS'!51:51,"AAAAAAI1vwE=",0)</f>
        <v>0</v>
      </c>
      <c r="C41">
        <f>IF('Qualification And AFSS'!52:52,"AAAAAAI1vwI=",0)</f>
        <v>0</v>
      </c>
      <c r="D41">
        <f>IF('Qualification And AFSS'!53:53,"AAAAAAI1vwM=",0)</f>
        <v>0</v>
      </c>
      <c r="E41">
        <f>IF('Qualification And AFSS'!54:54,"AAAAAAI1vwQ=",0)</f>
        <v>0</v>
      </c>
      <c r="F41">
        <f>IF('Qualification And AFSS'!55:55,"AAAAAAI1vwU=",0)</f>
        <v>0</v>
      </c>
      <c r="G41">
        <f>IF('Qualification And AFSS'!56:56,"AAAAAAI1vwY=",0)</f>
        <v>0</v>
      </c>
      <c r="H41">
        <f>IF('Qualification And AFSS'!57:57,"AAAAAAI1vwc=",0)</f>
        <v>0</v>
      </c>
      <c r="I41">
        <f>IF('Qualification And AFSS'!58:58,"AAAAAAI1vwg=",0)</f>
        <v>0</v>
      </c>
      <c r="J41">
        <f>IF('Qualification And AFSS'!59:59,"AAAAAAI1vwk=",0)</f>
        <v>0</v>
      </c>
      <c r="K41">
        <f>IF('Qualification And AFSS'!60:60,"AAAAAAI1vwo=",0)</f>
        <v>0</v>
      </c>
      <c r="L41">
        <f>IF('Qualification And AFSS'!61:61,"AAAAAAI1vws=",0)</f>
        <v>0</v>
      </c>
      <c r="M41">
        <f>IF('Qualification And AFSS'!62:62,"AAAAAAI1vww=",0)</f>
        <v>0</v>
      </c>
      <c r="N41">
        <f>IF('Qualification And AFSS'!63:63,"AAAAAAI1vw0=",0)</f>
        <v>0</v>
      </c>
      <c r="O41">
        <f>IF('Qualification And AFSS'!64:64,"AAAAAAI1vw4=",0)</f>
        <v>0</v>
      </c>
      <c r="P41">
        <f>IF('Qualification And AFSS'!65:65,"AAAAAAI1vw8=",0)</f>
        <v>0</v>
      </c>
      <c r="Q41">
        <f>IF('Qualification And AFSS'!66:66,"AAAAAAI1vxA=",0)</f>
        <v>0</v>
      </c>
      <c r="R41">
        <f>IF('Qualification And AFSS'!67:67,"AAAAAAI1vxE=",0)</f>
        <v>0</v>
      </c>
      <c r="S41">
        <f>IF('Qualification And AFSS'!68:68,"AAAAAAI1vxI=",0)</f>
        <v>0</v>
      </c>
      <c r="T41">
        <f>IF('Qualification And AFSS'!69:69,"AAAAAAI1vxM=",0)</f>
        <v>0</v>
      </c>
      <c r="U41">
        <f>IF('Qualification And AFSS'!70:70,"AAAAAAI1vxQ=",0)</f>
        <v>0</v>
      </c>
      <c r="V41">
        <f>IF('Qualification And AFSS'!71:71,"AAAAAAI1vxU=",0)</f>
        <v>0</v>
      </c>
      <c r="W41">
        <f>IF('Qualification And AFSS'!72:72,"AAAAAAI1vxY=",0)</f>
        <v>0</v>
      </c>
      <c r="X41">
        <f>IF('Qualification And AFSS'!73:73,"AAAAAAI1vxc=",0)</f>
        <v>0</v>
      </c>
      <c r="Y41">
        <f>IF('Qualification And AFSS'!74:74,"AAAAAAI1vxg=",0)</f>
        <v>0</v>
      </c>
      <c r="Z41">
        <f>IF('Qualification And AFSS'!75:75,"AAAAAAI1vxk=",0)</f>
        <v>0</v>
      </c>
      <c r="AA41">
        <f>IF('Qualification And AFSS'!76:76,"AAAAAAI1vxo=",0)</f>
        <v>0</v>
      </c>
      <c r="AB41">
        <f>IF('Qualification And AFSS'!77:77,"AAAAAAI1vxs=",0)</f>
        <v>0</v>
      </c>
      <c r="AC41">
        <f>IF('Qualification And AFSS'!78:78,"AAAAAAI1vxw=",0)</f>
        <v>0</v>
      </c>
      <c r="AD41">
        <f>IF('Qualification And AFSS'!79:79,"AAAAAAI1vx0=",0)</f>
        <v>0</v>
      </c>
      <c r="AE41">
        <f>IF('Qualification And AFSS'!80:80,"AAAAAAI1vx4=",0)</f>
        <v>0</v>
      </c>
      <c r="AF41">
        <f>IF('Qualification And AFSS'!81:81,"AAAAAAI1vx8=",0)</f>
        <v>0</v>
      </c>
      <c r="AG41">
        <f>IF('Qualification And AFSS'!82:82,"AAAAAAI1vyA=",0)</f>
        <v>0</v>
      </c>
      <c r="AH41">
        <f>IF('Qualification And AFSS'!83:83,"AAAAAAI1vyE=",0)</f>
        <v>0</v>
      </c>
      <c r="AI41">
        <f>IF('Qualification And AFSS'!84:84,"AAAAAAI1vyI=",0)</f>
        <v>0</v>
      </c>
      <c r="AJ41">
        <f>IF('Qualification And AFSS'!85:85,"AAAAAAI1vyM=",0)</f>
        <v>0</v>
      </c>
      <c r="AK41">
        <f>IF('Qualification And AFSS'!86:86,"AAAAAAI1vyQ=",0)</f>
        <v>0</v>
      </c>
      <c r="AL41">
        <f>IF('Qualification And AFSS'!87:87,"AAAAAAI1vyU=",0)</f>
        <v>0</v>
      </c>
      <c r="AM41">
        <f>IF('Qualification And AFSS'!88:88,"AAAAAAI1vyY=",0)</f>
        <v>0</v>
      </c>
      <c r="AN41">
        <f>IF('Qualification And AFSS'!89:89,"AAAAAAI1vyc=",0)</f>
        <v>0</v>
      </c>
      <c r="AO41">
        <f>IF('Qualification And AFSS'!90:90,"AAAAAAI1vyg=",0)</f>
        <v>0</v>
      </c>
      <c r="AP41">
        <f>IF('Qualification And AFSS'!91:91,"AAAAAAI1vyk=",0)</f>
        <v>0</v>
      </c>
      <c r="AQ41">
        <f>IF('Qualification And AFSS'!92:92,"AAAAAAI1vyo=",0)</f>
        <v>0</v>
      </c>
      <c r="AR41">
        <f>IF('Qualification And AFSS'!93:93,"AAAAAAI1vys=",0)</f>
        <v>0</v>
      </c>
      <c r="AS41">
        <f>IF('Qualification And AFSS'!94:94,"AAAAAAI1vyw=",0)</f>
        <v>0</v>
      </c>
      <c r="AT41">
        <f>IF('Qualification And AFSS'!95:95,"AAAAAAI1vy0=",0)</f>
        <v>0</v>
      </c>
      <c r="AU41">
        <f>IF('Qualification And AFSS'!96:96,"AAAAAAI1vy4=",0)</f>
        <v>0</v>
      </c>
      <c r="AV41">
        <f>IF('Qualification And AFSS'!97:97,"AAAAAAI1vy8=",0)</f>
        <v>0</v>
      </c>
      <c r="AW41">
        <f>IF('Qualification And AFSS'!98:98,"AAAAAAI1vzA=",0)</f>
        <v>0</v>
      </c>
      <c r="AX41">
        <f>IF('Qualification And AFSS'!99:99,"AAAAAAI1vzE=",0)</f>
        <v>0</v>
      </c>
      <c r="AY41">
        <f>IF('Qualification And AFSS'!100:100,"AAAAAAI1vzI=",0)</f>
        <v>0</v>
      </c>
      <c r="AZ41">
        <f>IF('Qualification And AFSS'!101:101,"AAAAAAI1vzM=",0)</f>
        <v>0</v>
      </c>
      <c r="BA41">
        <f>IF('Qualification And AFSS'!102:102,"AAAAAAI1vzQ=",0)</f>
        <v>0</v>
      </c>
      <c r="BB41">
        <f>IF('Qualification And AFSS'!103:103,"AAAAAAI1vzU=",0)</f>
        <v>0</v>
      </c>
      <c r="BC41">
        <f>IF('Qualification And AFSS'!104:104,"AAAAAAI1vzY=",0)</f>
        <v>0</v>
      </c>
      <c r="BD41">
        <f>IF('Qualification And AFSS'!105:105,"AAAAAAI1vzc=",0)</f>
        <v>0</v>
      </c>
      <c r="BE41">
        <f>IF('Qualification And AFSS'!106:106,"AAAAAAI1vzg=",0)</f>
        <v>0</v>
      </c>
      <c r="BF41">
        <f>IF('Qualification And AFSS'!107:107,"AAAAAAI1vzk=",0)</f>
        <v>0</v>
      </c>
      <c r="BG41">
        <f>IF('Qualification And AFSS'!108:108,"AAAAAAI1vzo=",0)</f>
        <v>0</v>
      </c>
      <c r="BH41">
        <f>IF('Qualification And AFSS'!109:109,"AAAAAAI1vzs=",0)</f>
        <v>0</v>
      </c>
      <c r="BI41">
        <f>IF('Qualification And AFSS'!110:110,"AAAAAAI1vzw=",0)</f>
        <v>0</v>
      </c>
      <c r="BJ41">
        <f>IF('Qualification And AFSS'!111:111,"AAAAAAI1vz0=",0)</f>
        <v>0</v>
      </c>
      <c r="BK41">
        <f>IF('Qualification And AFSS'!112:112,"AAAAAAI1vz4=",0)</f>
        <v>0</v>
      </c>
      <c r="BL41">
        <f>IF('Qualification And AFSS'!113:113,"AAAAAAI1vz8=",0)</f>
        <v>0</v>
      </c>
      <c r="BM41">
        <f>IF('Qualification And AFSS'!114:114,"AAAAAAI1v0A=",0)</f>
        <v>0</v>
      </c>
      <c r="BN41">
        <f>IF('Qualification And AFSS'!115:115,"AAAAAAI1v0E=",0)</f>
        <v>0</v>
      </c>
      <c r="BO41">
        <f>IF('Qualification And AFSS'!116:116,"AAAAAAI1v0I=",0)</f>
        <v>0</v>
      </c>
      <c r="BP41">
        <f>IF('Qualification And AFSS'!117:117,"AAAAAAI1v0M=",0)</f>
        <v>0</v>
      </c>
      <c r="BQ41">
        <f>IF('Qualification And AFSS'!118:118,"AAAAAAI1v0Q=",0)</f>
        <v>0</v>
      </c>
      <c r="BR41">
        <f>IF('Qualification And AFSS'!119:119,"AAAAAAI1v0U=",0)</f>
        <v>0</v>
      </c>
      <c r="BS41">
        <f>IF('Qualification And AFSS'!120:120,"AAAAAAI1v0Y=",0)</f>
        <v>0</v>
      </c>
      <c r="BT41">
        <f>IF('Qualification And AFSS'!121:121,"AAAAAAI1v0c=",0)</f>
        <v>0</v>
      </c>
      <c r="BU41">
        <f>IF('Qualification And AFSS'!122:122,"AAAAAAI1v0g=",0)</f>
        <v>0</v>
      </c>
      <c r="BV41">
        <f>IF('Qualification And AFSS'!123:123,"AAAAAAI1v0k=",0)</f>
        <v>0</v>
      </c>
      <c r="BW41">
        <f>IF('Qualification And AFSS'!124:124,"AAAAAAI1v0o=",0)</f>
        <v>0</v>
      </c>
      <c r="BX41">
        <f>IF('Qualification And AFSS'!125:125,"AAAAAAI1v0s=",0)</f>
        <v>0</v>
      </c>
      <c r="BY41">
        <f>IF('Qualification And AFSS'!126:126,"AAAAAAI1v0w=",0)</f>
        <v>0</v>
      </c>
      <c r="BZ41">
        <f>IF('Qualification And AFSS'!127:127,"AAAAAAI1v00=",0)</f>
        <v>0</v>
      </c>
      <c r="CA41">
        <f>IF('Qualification And AFSS'!128:128,"AAAAAAI1v04=",0)</f>
        <v>0</v>
      </c>
      <c r="CB41">
        <f>IF('Qualification And AFSS'!129:129,"AAAAAAI1v08=",0)</f>
        <v>0</v>
      </c>
      <c r="CC41">
        <f>IF('Qualification And AFSS'!130:130,"AAAAAAI1v1A=",0)</f>
        <v>0</v>
      </c>
      <c r="CD41">
        <f>IF('Qualification And AFSS'!131:131,"AAAAAAI1v1E=",0)</f>
        <v>0</v>
      </c>
      <c r="CE41">
        <f>IF('Qualification And AFSS'!132:132,"AAAAAAI1v1I=",0)</f>
        <v>0</v>
      </c>
      <c r="CF41">
        <f>IF('Qualification And AFSS'!133:133,"AAAAAAI1v1M=",0)</f>
        <v>0</v>
      </c>
      <c r="CG41">
        <f>IF('Qualification And AFSS'!134:134,"AAAAAAI1v1Q=",0)</f>
        <v>0</v>
      </c>
      <c r="CH41">
        <f>IF('Qualification And AFSS'!135:135,"AAAAAAI1v1U=",0)</f>
        <v>0</v>
      </c>
      <c r="CI41">
        <f>IF('Qualification And AFSS'!136:136,"AAAAAAI1v1Y=",0)</f>
        <v>0</v>
      </c>
      <c r="CJ41">
        <f>IF('Qualification And AFSS'!137:137,"AAAAAAI1v1c=",0)</f>
        <v>0</v>
      </c>
      <c r="CK41">
        <f>IF('Qualification And AFSS'!138:138,"AAAAAAI1v1g=",0)</f>
        <v>0</v>
      </c>
      <c r="CL41">
        <f>IF('Qualification And AFSS'!139:139,"AAAAAAI1v1k=",0)</f>
        <v>0</v>
      </c>
      <c r="CM41">
        <f>IF('Qualification And AFSS'!140:140,"AAAAAAI1v1o=",0)</f>
        <v>0</v>
      </c>
      <c r="CN41">
        <f>IF('Qualification And AFSS'!141:141,"AAAAAAI1v1s=",0)</f>
        <v>0</v>
      </c>
      <c r="CO41">
        <f>IF('Qualification And AFSS'!142:142,"AAAAAAI1v1w=",0)</f>
        <v>0</v>
      </c>
      <c r="CP41">
        <f>IF('Qualification And AFSS'!143:143,"AAAAAAI1v10=",0)</f>
        <v>0</v>
      </c>
      <c r="CQ41">
        <f>IF('Qualification And AFSS'!144:144,"AAAAAAI1v14=",0)</f>
        <v>0</v>
      </c>
      <c r="CR41">
        <f>IF('Qualification And AFSS'!145:145,"AAAAAAI1v18=",0)</f>
        <v>0</v>
      </c>
      <c r="CS41">
        <f>IF('Qualification And AFSS'!146:146,"AAAAAAI1v2A=",0)</f>
        <v>0</v>
      </c>
      <c r="CT41">
        <f>IF('Qualification And AFSS'!147:147,"AAAAAAI1v2E=",0)</f>
        <v>0</v>
      </c>
      <c r="CU41">
        <f>IF('Qualification And AFSS'!148:148,"AAAAAAI1v2I=",0)</f>
        <v>0</v>
      </c>
      <c r="CV41">
        <f>IF('Qualification And AFSS'!149:149,"AAAAAAI1v2M=",0)</f>
        <v>0</v>
      </c>
      <c r="CW41">
        <f>IF('Qualification And AFSS'!150:150,"AAAAAAI1v2Q=",0)</f>
        <v>0</v>
      </c>
      <c r="CX41">
        <f>IF('Qualification And AFSS'!151:151,"AAAAAAI1v2U=",0)</f>
        <v>0</v>
      </c>
      <c r="CY41">
        <f>IF('Qualification And AFSS'!152:152,"AAAAAAI1v2Y=",0)</f>
        <v>0</v>
      </c>
      <c r="CZ41">
        <f>IF('Qualification And AFSS'!153:153,"AAAAAAI1v2c=",0)</f>
        <v>0</v>
      </c>
      <c r="DA41">
        <f>IF('Qualification And AFSS'!154:154,"AAAAAAI1v2g=",0)</f>
        <v>0</v>
      </c>
      <c r="DB41">
        <f>IF('Qualification And AFSS'!155:155,"AAAAAAI1v2k=",0)</f>
        <v>0</v>
      </c>
      <c r="DC41">
        <f>IF('Qualification And AFSS'!156:156,"AAAAAAI1v2o=",0)</f>
        <v>0</v>
      </c>
      <c r="DD41">
        <f>IF('Qualification And AFSS'!157:157,"AAAAAAI1v2s=",0)</f>
        <v>0</v>
      </c>
      <c r="DE41">
        <f>IF('Qualification And AFSS'!158:158,"AAAAAAI1v2w=",0)</f>
        <v>0</v>
      </c>
      <c r="DF41">
        <f>IF('Qualification And AFSS'!159:159,"AAAAAAI1v20=",0)</f>
        <v>0</v>
      </c>
      <c r="DG41">
        <f>IF('Qualification And AFSS'!160:160,"AAAAAAI1v24=",0)</f>
        <v>0</v>
      </c>
      <c r="DH41">
        <f>IF('Qualification And AFSS'!161:161,"AAAAAAI1v28=",0)</f>
        <v>0</v>
      </c>
      <c r="DI41">
        <f>IF('Qualification And AFSS'!162:162,"AAAAAAI1v3A=",0)</f>
        <v>0</v>
      </c>
      <c r="DJ41">
        <f>IF('Qualification And AFSS'!163:163,"AAAAAAI1v3E=",0)</f>
        <v>0</v>
      </c>
      <c r="DK41">
        <f>IF('Qualification And AFSS'!164:164,"AAAAAAI1v3I=",0)</f>
        <v>0</v>
      </c>
      <c r="DL41">
        <f>IF('Qualification And AFSS'!165:165,"AAAAAAI1v3M=",0)</f>
        <v>0</v>
      </c>
      <c r="DM41">
        <f>IF('Qualification And AFSS'!166:166,"AAAAAAI1v3Q=",0)</f>
        <v>0</v>
      </c>
      <c r="DN41">
        <f>IF('Qualification And AFSS'!167:167,"AAAAAAI1v3U=",0)</f>
        <v>0</v>
      </c>
      <c r="DO41">
        <f>IF('Qualification And AFSS'!168:168,"AAAAAAI1v3Y=",0)</f>
        <v>0</v>
      </c>
      <c r="DP41">
        <f>IF('Qualification And AFSS'!169:169,"AAAAAAI1v3c=",0)</f>
        <v>0</v>
      </c>
      <c r="DQ41">
        <f>IF('Qualification And AFSS'!170:170,"AAAAAAI1v3g=",0)</f>
        <v>0</v>
      </c>
      <c r="DR41">
        <f>IF('Qualification And AFSS'!171:171,"AAAAAAI1v3k=",0)</f>
        <v>0</v>
      </c>
      <c r="DS41">
        <f>IF('Qualification And AFSS'!172:172,"AAAAAAI1v3o=",0)</f>
        <v>0</v>
      </c>
      <c r="DT41">
        <f>IF('Qualification And AFSS'!173:173,"AAAAAAI1v3s=",0)</f>
        <v>0</v>
      </c>
      <c r="DU41">
        <f>IF('Qualification And AFSS'!174:174,"AAAAAAI1v3w=",0)</f>
        <v>0</v>
      </c>
      <c r="DV41">
        <f>IF('Qualification And AFSS'!175:175,"AAAAAAI1v30=",0)</f>
        <v>0</v>
      </c>
      <c r="DW41">
        <f>IF('Qualification And AFSS'!176:176,"AAAAAAI1v34=",0)</f>
        <v>0</v>
      </c>
      <c r="DX41">
        <f>IF('Qualification And AFSS'!177:177,"AAAAAAI1v38=",0)</f>
        <v>0</v>
      </c>
      <c r="DY41">
        <f>IF('Qualification And AFSS'!178:178,"AAAAAAI1v4A=",0)</f>
        <v>0</v>
      </c>
      <c r="DZ41">
        <f>IF('Qualification And AFSS'!179:179,"AAAAAAI1v4E=",0)</f>
        <v>0</v>
      </c>
      <c r="EA41">
        <f>IF('Qualification And AFSS'!180:180,"AAAAAAI1v4I=",0)</f>
        <v>0</v>
      </c>
      <c r="EB41">
        <f>IF('Qualification And AFSS'!181:181,"AAAAAAI1v4M=",0)</f>
        <v>0</v>
      </c>
      <c r="EC41">
        <f>IF('Qualification And AFSS'!182:182,"AAAAAAI1v4Q=",0)</f>
        <v>0</v>
      </c>
      <c r="ED41">
        <f>IF('Qualification And AFSS'!183:183,"AAAAAAI1v4U=",0)</f>
        <v>0</v>
      </c>
      <c r="EE41">
        <f>IF('Qualification And AFSS'!184:184,"AAAAAAI1v4Y=",0)</f>
        <v>0</v>
      </c>
      <c r="EF41">
        <f>IF('Qualification And AFSS'!185:185,"AAAAAAI1v4c=",0)</f>
        <v>0</v>
      </c>
      <c r="EG41">
        <f>IF('Qualification And AFSS'!186:186,"AAAAAAI1v4g=",0)</f>
        <v>0</v>
      </c>
      <c r="EH41">
        <f>IF('Qualification And AFSS'!187:187,"AAAAAAI1v4k=",0)</f>
        <v>0</v>
      </c>
      <c r="EI41">
        <f>IF('Qualification And AFSS'!188:188,"AAAAAAI1v4o=",0)</f>
        <v>0</v>
      </c>
      <c r="EJ41">
        <f>IF('Qualification And AFSS'!189:189,"AAAAAAI1v4s=",0)</f>
        <v>0</v>
      </c>
      <c r="EK41">
        <f>IF('Qualification And AFSS'!190:190,"AAAAAAI1v4w=",0)</f>
        <v>0</v>
      </c>
      <c r="EL41">
        <f>IF('Qualification And AFSS'!191:191,"AAAAAAI1v40=",0)</f>
        <v>0</v>
      </c>
      <c r="EM41">
        <f>IF('Qualification And AFSS'!192:192,"AAAAAAI1v44=",0)</f>
        <v>0</v>
      </c>
      <c r="EN41">
        <f>IF('Qualification And AFSS'!193:193,"AAAAAAI1v48=",0)</f>
        <v>0</v>
      </c>
      <c r="EO41">
        <f>IF('Qualification And AFSS'!194:194,"AAAAAAI1v5A=",0)</f>
        <v>0</v>
      </c>
      <c r="EP41">
        <f>IF('Qualification And AFSS'!195:195,"AAAAAAI1v5E=",0)</f>
        <v>0</v>
      </c>
      <c r="EQ41">
        <f>IF('Qualification And AFSS'!196:196,"AAAAAAI1v5I=",0)</f>
        <v>0</v>
      </c>
      <c r="ER41">
        <f>IF('Qualification And AFSS'!197:197,"AAAAAAI1v5M=",0)</f>
        <v>0</v>
      </c>
      <c r="ES41">
        <f>IF('Qualification And AFSS'!198:198,"AAAAAAI1v5Q=",0)</f>
        <v>0</v>
      </c>
      <c r="ET41">
        <f>IF('Qualification And AFSS'!199:199,"AAAAAAI1v5U=",0)</f>
        <v>0</v>
      </c>
      <c r="EU41">
        <f>IF('Qualification And AFSS'!200:200,"AAAAAAI1v5Y=",0)</f>
        <v>0</v>
      </c>
      <c r="EV41">
        <f>IF('Qualification And AFSS'!201:201,"AAAAAAI1v5c=",0)</f>
        <v>0</v>
      </c>
      <c r="EW41">
        <f>IF('Qualification And AFSS'!202:202,"AAAAAAI1v5g=",0)</f>
        <v>0</v>
      </c>
      <c r="EX41">
        <f>IF('Qualification And AFSS'!203:203,"AAAAAAI1v5k=",0)</f>
        <v>0</v>
      </c>
      <c r="EY41">
        <f>IF('Qualification And AFSS'!204:204,"AAAAAAI1v5o=",0)</f>
        <v>0</v>
      </c>
      <c r="EZ41">
        <f>IF('Qualification And AFSS'!205:205,"AAAAAAI1v5s=",0)</f>
        <v>0</v>
      </c>
      <c r="FA41">
        <f>IF('Qualification And AFSS'!206:206,"AAAAAAI1v5w=",0)</f>
        <v>0</v>
      </c>
      <c r="FB41">
        <f>IF('Qualification And AFSS'!207:207,"AAAAAAI1v50=",0)</f>
        <v>0</v>
      </c>
      <c r="FC41">
        <f>IF('Qualification And AFSS'!208:208,"AAAAAAI1v54=",0)</f>
        <v>0</v>
      </c>
      <c r="FD41">
        <f>IF('Qualification And AFSS'!209:209,"AAAAAAI1v58=",0)</f>
        <v>0</v>
      </c>
      <c r="FE41">
        <f>IF('Qualification And AFSS'!210:210,"AAAAAAI1v6A=",0)</f>
        <v>0</v>
      </c>
      <c r="FF41">
        <f>IF('Qualification And AFSS'!211:211,"AAAAAAI1v6E=",0)</f>
        <v>0</v>
      </c>
      <c r="FG41">
        <f>IF('Qualification And AFSS'!212:212,"AAAAAAI1v6I=",0)</f>
        <v>0</v>
      </c>
      <c r="FH41">
        <f>IF('Qualification And AFSS'!213:213,"AAAAAAI1v6M=",0)</f>
        <v>0</v>
      </c>
      <c r="FI41">
        <f>IF('Qualification And AFSS'!214:214,"AAAAAAI1v6Q=",0)</f>
        <v>0</v>
      </c>
      <c r="FJ41">
        <f>IF('Qualification And AFSS'!215:215,"AAAAAAI1v6U=",0)</f>
        <v>0</v>
      </c>
      <c r="FK41">
        <f>IF('Qualification And AFSS'!216:216,"AAAAAAI1v6Y=",0)</f>
        <v>0</v>
      </c>
      <c r="FL41">
        <f>IF('Qualification And AFSS'!217:217,"AAAAAAI1v6c=",0)</f>
        <v>0</v>
      </c>
      <c r="FM41">
        <f>IF('Qualification And AFSS'!218:218,"AAAAAAI1v6g=",0)</f>
        <v>0</v>
      </c>
      <c r="FN41">
        <f>IF('Qualification And AFSS'!219:219,"AAAAAAI1v6k=",0)</f>
        <v>0</v>
      </c>
      <c r="FO41">
        <f>IF('Qualification And AFSS'!220:220,"AAAAAAI1v6o=",0)</f>
        <v>0</v>
      </c>
      <c r="FP41">
        <f>IF('Qualification And AFSS'!221:221,"AAAAAAI1v6s=",0)</f>
        <v>0</v>
      </c>
      <c r="FQ41">
        <f>IF('Qualification And AFSS'!222:222,"AAAAAAI1v6w=",0)</f>
        <v>0</v>
      </c>
      <c r="FR41">
        <f>IF('Qualification And AFSS'!223:223,"AAAAAAI1v60=",0)</f>
        <v>0</v>
      </c>
      <c r="FS41">
        <f>IF('Qualification And AFSS'!224:224,"AAAAAAI1v64=",0)</f>
        <v>0</v>
      </c>
      <c r="FT41">
        <f>IF('Qualification And AFSS'!225:225,"AAAAAAI1v68=",0)</f>
        <v>0</v>
      </c>
      <c r="FU41">
        <f>IF('Qualification And AFSS'!226:226,"AAAAAAI1v7A=",0)</f>
        <v>0</v>
      </c>
      <c r="FV41">
        <f>IF('Qualification And AFSS'!227:227,"AAAAAAI1v7E=",0)</f>
        <v>0</v>
      </c>
      <c r="FW41">
        <f>IF('Qualification And AFSS'!228:228,"AAAAAAI1v7I=",0)</f>
        <v>0</v>
      </c>
      <c r="FX41">
        <f>IF('Qualification And AFSS'!229:229,"AAAAAAI1v7M=",0)</f>
        <v>0</v>
      </c>
      <c r="FY41">
        <f>IF('Qualification And AFSS'!230:230,"AAAAAAI1v7Q=",0)</f>
        <v>0</v>
      </c>
      <c r="FZ41">
        <f>IF('Qualification And AFSS'!231:231,"AAAAAAI1v7U=",0)</f>
        <v>0</v>
      </c>
      <c r="GA41">
        <f>IF('Qualification And AFSS'!232:232,"AAAAAAI1v7Y=",0)</f>
        <v>0</v>
      </c>
      <c r="GB41">
        <f>IF('Qualification And AFSS'!233:233,"AAAAAAI1v7c=",0)</f>
        <v>0</v>
      </c>
      <c r="GC41">
        <f>IF('Qualification And AFSS'!234:234,"AAAAAAI1v7g=",0)</f>
        <v>0</v>
      </c>
      <c r="GD41">
        <f>IF('Qualification And AFSS'!235:235,"AAAAAAI1v7k=",0)</f>
        <v>0</v>
      </c>
      <c r="GE41">
        <f>IF('Qualification And AFSS'!236:236,"AAAAAAI1v7o=",0)</f>
        <v>0</v>
      </c>
      <c r="GF41">
        <f>IF('Qualification And AFSS'!237:237,"AAAAAAI1v7s=",0)</f>
        <v>0</v>
      </c>
      <c r="GG41">
        <f>IF('Qualification And AFSS'!238:238,"AAAAAAI1v7w=",0)</f>
        <v>0</v>
      </c>
      <c r="GH41">
        <f>IF('Qualification And AFSS'!239:239,"AAAAAAI1v70=",0)</f>
        <v>0</v>
      </c>
      <c r="GI41">
        <f>IF('Qualification And AFSS'!240:240,"AAAAAAI1v74=",0)</f>
        <v>0</v>
      </c>
      <c r="GJ41">
        <f>IF('Qualification And AFSS'!241:241,"AAAAAAI1v78=",0)</f>
        <v>0</v>
      </c>
      <c r="GK41">
        <f>IF('Qualification And AFSS'!242:242,"AAAAAAI1v8A=",0)</f>
        <v>0</v>
      </c>
      <c r="GL41">
        <f>IF('Qualification And AFSS'!243:243,"AAAAAAI1v8E=",0)</f>
        <v>0</v>
      </c>
      <c r="GM41">
        <f>IF('Qualification And AFSS'!244:244,"AAAAAAI1v8I=",0)</f>
        <v>0</v>
      </c>
      <c r="GN41">
        <f>IF('Qualification And AFSS'!245:245,"AAAAAAI1v8M=",0)</f>
        <v>0</v>
      </c>
      <c r="GO41">
        <f>IF('Qualification And AFSS'!246:246,"AAAAAAI1v8Q=",0)</f>
        <v>0</v>
      </c>
      <c r="GP41">
        <f>IF('Qualification And AFSS'!247:247,"AAAAAAI1v8U=",0)</f>
        <v>0</v>
      </c>
      <c r="GQ41">
        <f>IF('Qualification And AFSS'!248:248,"AAAAAAI1v8Y=",0)</f>
        <v>0</v>
      </c>
      <c r="GR41">
        <f>IF('Qualification And AFSS'!249:249,"AAAAAAI1v8c=",0)</f>
        <v>0</v>
      </c>
      <c r="GS41">
        <f>IF('Qualification And AFSS'!250:250,"AAAAAAI1v8g=",0)</f>
        <v>0</v>
      </c>
      <c r="GT41">
        <f>IF('Qualification And AFSS'!251:251,"AAAAAAI1v8k=",0)</f>
        <v>0</v>
      </c>
      <c r="GU41">
        <f>IF('Qualification And AFSS'!252:252,"AAAAAAI1v8o=",0)</f>
        <v>0</v>
      </c>
      <c r="GV41">
        <f>IF('Qualification And AFSS'!253:253,"AAAAAAI1v8s=",0)</f>
        <v>0</v>
      </c>
      <c r="GW41">
        <f>IF('Qualification And AFSS'!254:254,"AAAAAAI1v8w=",0)</f>
        <v>0</v>
      </c>
      <c r="GX41">
        <f>IF('Qualification And AFSS'!255:255,"AAAAAAI1v80=",0)</f>
        <v>0</v>
      </c>
      <c r="GY41">
        <f>IF('Qualification And AFSS'!256:256,"AAAAAAI1v84=",0)</f>
        <v>0</v>
      </c>
      <c r="GZ41">
        <f>IF('Qualification And AFSS'!257:257,"AAAAAAI1v88=",0)</f>
        <v>0</v>
      </c>
      <c r="HA41">
        <f>IF('Qualification And AFSS'!258:258,"AAAAAAI1v9A=",0)</f>
        <v>0</v>
      </c>
      <c r="HB41">
        <f>IF('Qualification And AFSS'!259:259,"AAAAAAI1v9E=",0)</f>
        <v>0</v>
      </c>
      <c r="HC41">
        <f>IF('Qualification And AFSS'!260:260,"AAAAAAI1v9I=",0)</f>
        <v>0</v>
      </c>
      <c r="HD41">
        <f>IF('Qualification And AFSS'!261:261,"AAAAAAI1v9M=",0)</f>
        <v>0</v>
      </c>
      <c r="HE41">
        <f>IF('Qualification And AFSS'!262:262,"AAAAAAI1v9Q=",0)</f>
        <v>0</v>
      </c>
      <c r="HF41">
        <f>IF('Qualification And AFSS'!263:263,"AAAAAAI1v9U=",0)</f>
        <v>0</v>
      </c>
      <c r="HG41">
        <f>IF('Qualification And AFSS'!264:264,"AAAAAAI1v9Y=",0)</f>
        <v>0</v>
      </c>
      <c r="HH41">
        <f>IF('Qualification And AFSS'!265:265,"AAAAAAI1v9c=",0)</f>
        <v>0</v>
      </c>
      <c r="HI41">
        <f>IF('Qualification And AFSS'!266:266,"AAAAAAI1v9g=",0)</f>
        <v>0</v>
      </c>
      <c r="HJ41">
        <f>IF('Qualification And AFSS'!267:267,"AAAAAAI1v9k=",0)</f>
        <v>0</v>
      </c>
      <c r="HK41">
        <f>IF('Qualification And AFSS'!268:268,"AAAAAAI1v9o=",0)</f>
        <v>0</v>
      </c>
      <c r="HL41">
        <f>IF('Qualification And AFSS'!269:269,"AAAAAAI1v9s=",0)</f>
        <v>0</v>
      </c>
      <c r="HM41">
        <f>IF('Qualification And AFSS'!270:270,"AAAAAAI1v9w=",0)</f>
        <v>0</v>
      </c>
      <c r="HN41">
        <f>IF('Qualification And AFSS'!271:271,"AAAAAAI1v90=",0)</f>
        <v>0</v>
      </c>
      <c r="HO41">
        <f>IF('Qualification And AFSS'!272:272,"AAAAAAI1v94=",0)</f>
        <v>0</v>
      </c>
      <c r="HP41">
        <f>IF('Qualification And AFSS'!273:273,"AAAAAAI1v98=",0)</f>
        <v>0</v>
      </c>
      <c r="HQ41">
        <f>IF('Qualification And AFSS'!274:274,"AAAAAAI1v+A=",0)</f>
        <v>0</v>
      </c>
      <c r="HR41">
        <f>IF('Qualification And AFSS'!275:275,"AAAAAAI1v+E=",0)</f>
        <v>0</v>
      </c>
      <c r="HS41">
        <f>IF('Qualification And AFSS'!276:276,"AAAAAAI1v+I=",0)</f>
        <v>0</v>
      </c>
      <c r="HT41">
        <f>IF('Qualification And AFSS'!277:277,"AAAAAAI1v+M=",0)</f>
        <v>0</v>
      </c>
      <c r="HU41">
        <f>IF('Qualification And AFSS'!278:278,"AAAAAAI1v+Q=",0)</f>
        <v>0</v>
      </c>
      <c r="HV41">
        <f>IF('Qualification And AFSS'!279:279,"AAAAAAI1v+U=",0)</f>
        <v>0</v>
      </c>
      <c r="HW41">
        <f>IF('Qualification And AFSS'!280:280,"AAAAAAI1v+Y=",0)</f>
        <v>0</v>
      </c>
      <c r="HX41">
        <f>IF('Qualification And AFSS'!281:281,"AAAAAAI1v+c=",0)</f>
        <v>0</v>
      </c>
      <c r="HY41">
        <f>IF('Qualification And AFSS'!282:282,"AAAAAAI1v+g=",0)</f>
        <v>0</v>
      </c>
      <c r="HZ41">
        <f>IF('Qualification And AFSS'!283:283,"AAAAAAI1v+k=",0)</f>
        <v>0</v>
      </c>
      <c r="IA41">
        <f>IF('Qualification And AFSS'!284:284,"AAAAAAI1v+o=",0)</f>
        <v>0</v>
      </c>
      <c r="IB41">
        <f>IF('Qualification And AFSS'!285:285,"AAAAAAI1v+s=",0)</f>
        <v>0</v>
      </c>
      <c r="IC41">
        <f>IF('Qualification And AFSS'!286:286,"AAAAAAI1v+w=",0)</f>
        <v>0</v>
      </c>
      <c r="ID41">
        <f>IF('Qualification And AFSS'!287:287,"AAAAAAI1v+0=",0)</f>
        <v>0</v>
      </c>
      <c r="IE41">
        <f>IF('Qualification And AFSS'!288:288,"AAAAAAI1v+4=",0)</f>
        <v>0</v>
      </c>
      <c r="IF41">
        <f>IF('Qualification And AFSS'!289:289,"AAAAAAI1v+8=",0)</f>
        <v>0</v>
      </c>
      <c r="IG41">
        <f>IF('Qualification And AFSS'!290:290,"AAAAAAI1v/A=",0)</f>
        <v>0</v>
      </c>
      <c r="IH41">
        <f>IF('Qualification And AFSS'!291:291,"AAAAAAI1v/E=",0)</f>
        <v>0</v>
      </c>
      <c r="II41">
        <f>IF('Qualification And AFSS'!292:292,"AAAAAAI1v/I=",0)</f>
        <v>0</v>
      </c>
      <c r="IJ41">
        <f>IF('Qualification And AFSS'!293:293,"AAAAAAI1v/M=",0)</f>
        <v>0</v>
      </c>
      <c r="IK41">
        <f>IF('Qualification And AFSS'!294:294,"AAAAAAI1v/Q=",0)</f>
        <v>0</v>
      </c>
      <c r="IL41">
        <f>IF('Qualification And AFSS'!295:295,"AAAAAAI1v/U=",0)</f>
        <v>0</v>
      </c>
      <c r="IM41">
        <f>IF('Qualification And AFSS'!296:296,"AAAAAAI1v/Y=",0)</f>
        <v>0</v>
      </c>
      <c r="IN41">
        <f>IF('Qualification And AFSS'!297:297,"AAAAAAI1v/c=",0)</f>
        <v>0</v>
      </c>
      <c r="IO41">
        <f>IF('Qualification And AFSS'!298:298,"AAAAAAI1v/g=",0)</f>
        <v>0</v>
      </c>
      <c r="IP41">
        <f>IF('Qualification And AFSS'!299:299,"AAAAAAI1v/k=",0)</f>
        <v>0</v>
      </c>
      <c r="IQ41">
        <f>IF('Qualification And AFSS'!300:300,"AAAAAAI1v/o=",0)</f>
        <v>0</v>
      </c>
      <c r="IR41">
        <f>IF('Qualification And AFSS'!301:301,"AAAAAAI1v/s=",0)</f>
        <v>0</v>
      </c>
      <c r="IS41">
        <f>IF('Qualification And AFSS'!302:302,"AAAAAAI1v/w=",0)</f>
        <v>0</v>
      </c>
      <c r="IT41">
        <f>IF('Qualification And AFSS'!303:303,"AAAAAAI1v/0=",0)</f>
        <v>0</v>
      </c>
      <c r="IU41">
        <f>IF('Qualification And AFSS'!304:304,"AAAAAAI1v/4=",0)</f>
        <v>0</v>
      </c>
      <c r="IV41">
        <f>IF('Qualification And AFSS'!305:305,"AAAAAAI1v/8=",0)</f>
        <v>0</v>
      </c>
    </row>
    <row r="42" spans="1:256" x14ac:dyDescent="0.2">
      <c r="A42">
        <f>IF('Qualification And AFSS'!306:306,"AAAAAC/foAA=",0)</f>
        <v>0</v>
      </c>
      <c r="B42">
        <f>IF('Qualification And AFSS'!307:307,"AAAAAC/foAE=",0)</f>
        <v>0</v>
      </c>
      <c r="C42">
        <f>IF('Qualification And AFSS'!308:308,"AAAAAC/foAI=",0)</f>
        <v>0</v>
      </c>
      <c r="D42">
        <f>IF('Qualification And AFSS'!309:309,"AAAAAC/foAM=",0)</f>
        <v>0</v>
      </c>
      <c r="E42">
        <f>IF('Qualification And AFSS'!310:310,"AAAAAC/foAQ=",0)</f>
        <v>0</v>
      </c>
      <c r="F42">
        <f>IF('Qualification And AFSS'!311:311,"AAAAAC/foAU=",0)</f>
        <v>0</v>
      </c>
      <c r="G42">
        <f>IF('Qualification And AFSS'!312:312,"AAAAAC/foAY=",0)</f>
        <v>0</v>
      </c>
      <c r="H42">
        <f>IF('Qualification And AFSS'!313:313,"AAAAAC/foAc=",0)</f>
        <v>0</v>
      </c>
      <c r="I42">
        <f>IF('Qualification And AFSS'!314:314,"AAAAAC/foAg=",0)</f>
        <v>0</v>
      </c>
      <c r="J42">
        <f>IF('Qualification And AFSS'!315:315,"AAAAAC/foAk=",0)</f>
        <v>0</v>
      </c>
      <c r="K42">
        <f>IF('Qualification And AFSS'!316:316,"AAAAAC/foAo=",0)</f>
        <v>0</v>
      </c>
      <c r="L42">
        <f>IF('Qualification And AFSS'!317:317,"AAAAAC/foAs=",0)</f>
        <v>0</v>
      </c>
      <c r="M42">
        <f>IF('Qualification And AFSS'!318:318,"AAAAAC/foAw=",0)</f>
        <v>0</v>
      </c>
      <c r="N42">
        <f>IF('Qualification And AFSS'!319:319,"AAAAAC/foA0=",0)</f>
        <v>0</v>
      </c>
      <c r="O42">
        <f>IF('Qualification And AFSS'!320:320,"AAAAAC/foA4=",0)</f>
        <v>0</v>
      </c>
      <c r="P42">
        <f>IF('Qualification And AFSS'!321:321,"AAAAAC/foA8=",0)</f>
        <v>0</v>
      </c>
      <c r="Q42">
        <f>IF('Qualification And AFSS'!322:322,"AAAAAC/foBA=",0)</f>
        <v>0</v>
      </c>
      <c r="R42">
        <f>IF('Qualification And AFSS'!323:323,"AAAAAC/foBE=",0)</f>
        <v>0</v>
      </c>
      <c r="S42">
        <f>IF('Qualification And AFSS'!324:324,"AAAAAC/foBI=",0)</f>
        <v>0</v>
      </c>
      <c r="T42">
        <f>IF('Qualification And AFSS'!325:325,"AAAAAC/foBM=",0)</f>
        <v>0</v>
      </c>
      <c r="U42">
        <f>IF('Qualification And AFSS'!326:326,"AAAAAC/foBQ=",0)</f>
        <v>0</v>
      </c>
      <c r="V42">
        <f>IF('Qualification And AFSS'!327:327,"AAAAAC/foBU=",0)</f>
        <v>0</v>
      </c>
      <c r="W42">
        <f>IF('Qualification And AFSS'!328:328,"AAAAAC/foBY=",0)</f>
        <v>0</v>
      </c>
      <c r="X42">
        <f>IF('Qualification And AFSS'!329:329,"AAAAAC/foBc=",0)</f>
        <v>0</v>
      </c>
      <c r="Y42">
        <f>IF('Qualification And AFSS'!330:330,"AAAAAC/foBg=",0)</f>
        <v>0</v>
      </c>
      <c r="Z42">
        <f>IF('Qualification And AFSS'!331:331,"AAAAAC/foBk=",0)</f>
        <v>0</v>
      </c>
      <c r="AA42">
        <f>IF('Qualification And AFSS'!332:332,"AAAAAC/foBo=",0)</f>
        <v>0</v>
      </c>
      <c r="AB42">
        <f>IF('Qualification And AFSS'!333:333,"AAAAAC/foBs=",0)</f>
        <v>0</v>
      </c>
      <c r="AC42">
        <f>IF('Qualification And AFSS'!334:334,"AAAAAC/foBw=",0)</f>
        <v>0</v>
      </c>
      <c r="AD42">
        <f>IF('Qualification And AFSS'!335:335,"AAAAAC/foB0=",0)</f>
        <v>0</v>
      </c>
      <c r="AE42">
        <f>IF('Qualification And AFSS'!336:336,"AAAAAC/foB4=",0)</f>
        <v>0</v>
      </c>
      <c r="AF42">
        <f>IF('Qualification And AFSS'!337:337,"AAAAAC/foB8=",0)</f>
        <v>0</v>
      </c>
      <c r="AG42">
        <f>IF('Qualification And AFSS'!338:338,"AAAAAC/foCA=",0)</f>
        <v>0</v>
      </c>
      <c r="AH42">
        <f>IF('Qualification And AFSS'!339:339,"AAAAAC/foCE=",0)</f>
        <v>0</v>
      </c>
      <c r="AI42">
        <f>IF('Qualification And AFSS'!340:340,"AAAAAC/foCI=",0)</f>
        <v>0</v>
      </c>
      <c r="AJ42">
        <f>IF('Qualification And AFSS'!341:341,"AAAAAC/foCM=",0)</f>
        <v>0</v>
      </c>
      <c r="AK42">
        <f>IF('Qualification And AFSS'!342:342,"AAAAAC/foCQ=",0)</f>
        <v>0</v>
      </c>
      <c r="AL42">
        <f>IF('Qualification And AFSS'!343:343,"AAAAAC/foCU=",0)</f>
        <v>0</v>
      </c>
      <c r="AM42">
        <f>IF('Qualification And AFSS'!344:344,"AAAAAC/foCY=",0)</f>
        <v>0</v>
      </c>
      <c r="AN42">
        <f>IF('Qualification And AFSS'!345:345,"AAAAAC/foCc=",0)</f>
        <v>0</v>
      </c>
      <c r="AO42">
        <f>IF('Qualification And AFSS'!346:346,"AAAAAC/foCg=",0)</f>
        <v>0</v>
      </c>
      <c r="AP42">
        <f>IF('Qualification And AFSS'!347:347,"AAAAAC/foCk=",0)</f>
        <v>0</v>
      </c>
      <c r="AQ42">
        <f>IF('Qualification And AFSS'!348:348,"AAAAAC/foCo=",0)</f>
        <v>0</v>
      </c>
      <c r="AR42">
        <f>IF('Qualification And AFSS'!349:349,"AAAAAC/foCs=",0)</f>
        <v>0</v>
      </c>
      <c r="AS42">
        <f>IF('Qualification And AFSS'!350:350,"AAAAAC/foCw=",0)</f>
        <v>0</v>
      </c>
      <c r="AT42">
        <f>IF('Qualification And AFSS'!351:351,"AAAAAC/foC0=",0)</f>
        <v>0</v>
      </c>
      <c r="AU42">
        <f>IF('Qualification And AFSS'!352:352,"AAAAAC/foC4=",0)</f>
        <v>0</v>
      </c>
      <c r="AV42">
        <f>IF('Qualification And AFSS'!353:353,"AAAAAC/foC8=",0)</f>
        <v>0</v>
      </c>
      <c r="AW42">
        <f>IF('Qualification And AFSS'!354:354,"AAAAAC/foDA=",0)</f>
        <v>0</v>
      </c>
      <c r="AX42">
        <f>IF('Qualification And AFSS'!355:355,"AAAAAC/foDE=",0)</f>
        <v>0</v>
      </c>
      <c r="AY42">
        <f>IF('Qualification And AFSS'!356:356,"AAAAAC/foDI=",0)</f>
        <v>0</v>
      </c>
      <c r="AZ42">
        <f>IF('Qualification And AFSS'!357:357,"AAAAAC/foDM=",0)</f>
        <v>0</v>
      </c>
      <c r="BA42">
        <f>IF('Qualification And AFSS'!358:358,"AAAAAC/foDQ=",0)</f>
        <v>0</v>
      </c>
      <c r="BB42">
        <f>IF('Qualification And AFSS'!359:359,"AAAAAC/foDU=",0)</f>
        <v>0</v>
      </c>
      <c r="BC42">
        <f>IF('Qualification And AFSS'!360:360,"AAAAAC/foDY=",0)</f>
        <v>0</v>
      </c>
      <c r="BD42">
        <f>IF('Qualification And AFSS'!361:361,"AAAAAC/foDc=",0)</f>
        <v>0</v>
      </c>
      <c r="BE42">
        <f>IF('Qualification And AFSS'!362:362,"AAAAAC/foDg=",0)</f>
        <v>0</v>
      </c>
      <c r="BF42">
        <f>IF('Qualification And AFSS'!363:363,"AAAAAC/foDk=",0)</f>
        <v>0</v>
      </c>
      <c r="BG42">
        <f>IF('Qualification And AFSS'!364:364,"AAAAAC/foDo=",0)</f>
        <v>0</v>
      </c>
      <c r="BH42">
        <f>IF('Qualification And AFSS'!365:365,"AAAAAC/foDs=",0)</f>
        <v>0</v>
      </c>
      <c r="BI42">
        <f>IF('Qualification And AFSS'!366:366,"AAAAAC/foDw=",0)</f>
        <v>0</v>
      </c>
      <c r="BJ42">
        <f>IF('Qualification And AFSS'!367:367,"AAAAAC/foD0=",0)</f>
        <v>0</v>
      </c>
      <c r="BK42">
        <f>IF('Qualification And AFSS'!368:368,"AAAAAC/foD4=",0)</f>
        <v>0</v>
      </c>
      <c r="BL42">
        <f>IF('Qualification And AFSS'!369:369,"AAAAAC/foD8=",0)</f>
        <v>0</v>
      </c>
      <c r="BM42">
        <f>IF('Qualification And AFSS'!370:370,"AAAAAC/foEA=",0)</f>
        <v>0</v>
      </c>
      <c r="BN42">
        <f>IF('Qualification And AFSS'!371:371,"AAAAAC/foEE=",0)</f>
        <v>0</v>
      </c>
      <c r="BO42">
        <f>IF('Qualification And AFSS'!372:372,"AAAAAC/foEI=",0)</f>
        <v>0</v>
      </c>
      <c r="BP42">
        <f>IF('Qualification And AFSS'!373:373,"AAAAAC/foEM=",0)</f>
        <v>0</v>
      </c>
      <c r="BQ42">
        <f>IF('Qualification And AFSS'!374:374,"AAAAAC/foEQ=",0)</f>
        <v>0</v>
      </c>
      <c r="BR42">
        <f>IF('Qualification And AFSS'!375:375,"AAAAAC/foEU=",0)</f>
        <v>0</v>
      </c>
      <c r="BS42">
        <f>IF('Qualification And AFSS'!376:376,"AAAAAC/foEY=",0)</f>
        <v>0</v>
      </c>
      <c r="BT42">
        <f>IF('Qualification And AFSS'!377:377,"AAAAAC/foEc=",0)</f>
        <v>0</v>
      </c>
      <c r="BU42">
        <f>IF('Qualification And AFSS'!378:378,"AAAAAC/foEg=",0)</f>
        <v>0</v>
      </c>
      <c r="BV42">
        <f>IF('Qualification And AFSS'!379:379,"AAAAAC/foEk=",0)</f>
        <v>0</v>
      </c>
      <c r="BW42">
        <f>IF('Qualification And AFSS'!380:380,"AAAAAC/foEo=",0)</f>
        <v>0</v>
      </c>
      <c r="BX42">
        <f>IF('Qualification And AFSS'!381:381,"AAAAAC/foEs=",0)</f>
        <v>0</v>
      </c>
      <c r="BY42">
        <f>IF('Qualification And AFSS'!382:382,"AAAAAC/foEw=",0)</f>
        <v>0</v>
      </c>
      <c r="BZ42">
        <f>IF('Qualification And AFSS'!383:383,"AAAAAC/foE0=",0)</f>
        <v>0</v>
      </c>
      <c r="CA42">
        <f>IF('Qualification And AFSS'!384:384,"AAAAAC/foE4=",0)</f>
        <v>0</v>
      </c>
      <c r="CB42">
        <f>IF('Qualification And AFSS'!385:385,"AAAAAC/foE8=",0)</f>
        <v>0</v>
      </c>
      <c r="CC42">
        <f>IF('Qualification And AFSS'!386:386,"AAAAAC/foFA=",0)</f>
        <v>0</v>
      </c>
      <c r="CD42">
        <f>IF('Qualification And AFSS'!387:387,"AAAAAC/foFE=",0)</f>
        <v>0</v>
      </c>
      <c r="CE42">
        <f>IF('Qualification And AFSS'!388:388,"AAAAAC/foFI=",0)</f>
        <v>0</v>
      </c>
      <c r="CF42">
        <f>IF('Qualification And AFSS'!389:389,"AAAAAC/foFM=",0)</f>
        <v>0</v>
      </c>
      <c r="CG42">
        <f>IF('Qualification And AFSS'!390:390,"AAAAAC/foFQ=",0)</f>
        <v>0</v>
      </c>
      <c r="CH42">
        <f>IF('Qualification And AFSS'!391:391,"AAAAAC/foFU=",0)</f>
        <v>0</v>
      </c>
      <c r="CI42">
        <f>IF('Qualification And AFSS'!392:392,"AAAAAC/foFY=",0)</f>
        <v>0</v>
      </c>
      <c r="CJ42">
        <f>IF('Qualification And AFSS'!393:393,"AAAAAC/foFc=",0)</f>
        <v>0</v>
      </c>
      <c r="CK42">
        <f>IF('Qualification And AFSS'!394:394,"AAAAAC/foFg=",0)</f>
        <v>0</v>
      </c>
      <c r="CL42">
        <f>IF('Qualification And AFSS'!395:395,"AAAAAC/foFk=",0)</f>
        <v>0</v>
      </c>
      <c r="CM42">
        <f>IF('Qualification And AFSS'!396:396,"AAAAAC/foFo=",0)</f>
        <v>0</v>
      </c>
      <c r="CN42">
        <f>IF('Qualification And AFSS'!397:397,"AAAAAC/foFs=",0)</f>
        <v>0</v>
      </c>
      <c r="CO42">
        <f>IF('Qualification And AFSS'!398:398,"AAAAAC/foFw=",0)</f>
        <v>0</v>
      </c>
      <c r="CP42">
        <f>IF('Qualification And AFSS'!399:399,"AAAAAC/foF0=",0)</f>
        <v>0</v>
      </c>
      <c r="CQ42">
        <f>IF('Qualification And AFSS'!400:400,"AAAAAC/foF4=",0)</f>
        <v>0</v>
      </c>
      <c r="CR42">
        <f>IF('Qualification And AFSS'!401:401,"AAAAAC/foF8=",0)</f>
        <v>0</v>
      </c>
      <c r="CS42">
        <f>IF('Qualification And AFSS'!402:402,"AAAAAC/foGA=",0)</f>
        <v>0</v>
      </c>
      <c r="CT42">
        <f>IF('Qualification And AFSS'!403:403,"AAAAAC/foGE=",0)</f>
        <v>0</v>
      </c>
      <c r="CU42">
        <f>IF('Qualification And AFSS'!404:404,"AAAAAC/foGI=",0)</f>
        <v>0</v>
      </c>
      <c r="CV42">
        <f>IF('Qualification And AFSS'!405:405,"AAAAAC/foGM=",0)</f>
        <v>0</v>
      </c>
      <c r="CW42">
        <f>IF('Qualification And AFSS'!406:406,"AAAAAC/foGQ=",0)</f>
        <v>0</v>
      </c>
      <c r="CX42">
        <f>IF('Qualification And AFSS'!407:407,"AAAAAC/foGU=",0)</f>
        <v>0</v>
      </c>
      <c r="CY42">
        <f>IF('Qualification And AFSS'!408:408,"AAAAAC/foGY=",0)</f>
        <v>0</v>
      </c>
      <c r="CZ42">
        <f>IF('Qualification And AFSS'!409:409,"AAAAAC/foGc=",0)</f>
        <v>0</v>
      </c>
      <c r="DA42">
        <f>IF('Qualification And AFSS'!410:410,"AAAAAC/foGg=",0)</f>
        <v>0</v>
      </c>
      <c r="DB42">
        <f>IF('Qualification And AFSS'!411:411,"AAAAAC/foGk=",0)</f>
        <v>0</v>
      </c>
      <c r="DC42">
        <f>IF('Qualification And AFSS'!412:412,"AAAAAC/foGo=",0)</f>
        <v>0</v>
      </c>
      <c r="DD42">
        <f>IF('Qualification And AFSS'!413:413,"AAAAAC/foGs=",0)</f>
        <v>0</v>
      </c>
      <c r="DE42">
        <f>IF('Qualification And AFSS'!414:414,"AAAAAC/foGw=",0)</f>
        <v>0</v>
      </c>
      <c r="DF42">
        <f>IF('Qualification And AFSS'!415:415,"AAAAAC/foG0=",0)</f>
        <v>0</v>
      </c>
      <c r="DG42">
        <f>IF('Qualification And AFSS'!416:416,"AAAAAC/foG4=",0)</f>
        <v>0</v>
      </c>
      <c r="DH42">
        <f>IF('Qualification And AFSS'!417:417,"AAAAAC/foG8=",0)</f>
        <v>0</v>
      </c>
      <c r="DI42">
        <f>IF('Qualification And AFSS'!418:418,"AAAAAC/foHA=",0)</f>
        <v>0</v>
      </c>
      <c r="DJ42">
        <f>IF('Qualification And AFSS'!419:419,"AAAAAC/foHE=",0)</f>
        <v>0</v>
      </c>
      <c r="DK42">
        <f>IF('Qualification And AFSS'!420:420,"AAAAAC/foHI=",0)</f>
        <v>0</v>
      </c>
      <c r="DL42">
        <f>IF('Qualification And AFSS'!421:421,"AAAAAC/foHM=",0)</f>
        <v>0</v>
      </c>
      <c r="DM42">
        <f>IF('Qualification And AFSS'!422:422,"AAAAAC/foHQ=",0)</f>
        <v>0</v>
      </c>
      <c r="DN42">
        <f>IF('Qualification And AFSS'!423:423,"AAAAAC/foHU=",0)</f>
        <v>0</v>
      </c>
      <c r="DO42">
        <f>IF('Qualification And AFSS'!424:424,"AAAAAC/foHY=",0)</f>
        <v>0</v>
      </c>
      <c r="DP42">
        <f>IF('Qualification And AFSS'!425:425,"AAAAAC/foHc=",0)</f>
        <v>0</v>
      </c>
      <c r="DQ42">
        <f>IF('Qualification And AFSS'!426:426,"AAAAAC/foHg=",0)</f>
        <v>0</v>
      </c>
      <c r="DR42">
        <f>IF('Qualification And AFSS'!427:427,"AAAAAC/foHk=",0)</f>
        <v>0</v>
      </c>
      <c r="DS42">
        <f>IF('Qualification And AFSS'!428:428,"AAAAAC/foHo=",0)</f>
        <v>0</v>
      </c>
      <c r="DT42">
        <f>IF('Qualification And AFSS'!429:429,"AAAAAC/foHs=",0)</f>
        <v>0</v>
      </c>
      <c r="DU42">
        <f>IF('Qualification And AFSS'!430:430,"AAAAAC/foHw=",0)</f>
        <v>0</v>
      </c>
      <c r="DV42">
        <f>IF('Qualification And AFSS'!431:431,"AAAAAC/foH0=",0)</f>
        <v>0</v>
      </c>
      <c r="DW42">
        <f>IF('Qualification And AFSS'!432:432,"AAAAAC/foH4=",0)</f>
        <v>0</v>
      </c>
      <c r="DX42">
        <f>IF('Qualification And AFSS'!433:433,"AAAAAC/foH8=",0)</f>
        <v>0</v>
      </c>
      <c r="DY42">
        <f>IF('Qualification And AFSS'!434:434,"AAAAAC/foIA=",0)</f>
        <v>0</v>
      </c>
      <c r="DZ42">
        <f>IF('Qualification And AFSS'!435:435,"AAAAAC/foIE=",0)</f>
        <v>0</v>
      </c>
      <c r="EA42">
        <f>IF('Qualification And AFSS'!436:436,"AAAAAC/foII=",0)</f>
        <v>0</v>
      </c>
      <c r="EB42">
        <f>IF('Qualification And AFSS'!437:437,"AAAAAC/foIM=",0)</f>
        <v>0</v>
      </c>
      <c r="EC42">
        <f>IF('Qualification And AFSS'!438:438,"AAAAAC/foIQ=",0)</f>
        <v>0</v>
      </c>
      <c r="ED42">
        <f>IF('Qualification And AFSS'!439:439,"AAAAAC/foIU=",0)</f>
        <v>0</v>
      </c>
      <c r="EE42">
        <f>IF('Qualification And AFSS'!440:440,"AAAAAC/foIY=",0)</f>
        <v>0</v>
      </c>
      <c r="EF42">
        <f>IF('Qualification And AFSS'!441:441,"AAAAAC/foIc=",0)</f>
        <v>0</v>
      </c>
      <c r="EG42">
        <f>IF('Qualification And AFSS'!442:442,"AAAAAC/foIg=",0)</f>
        <v>0</v>
      </c>
      <c r="EH42">
        <f>IF('Qualification And AFSS'!443:443,"AAAAAC/foIk=",0)</f>
        <v>0</v>
      </c>
      <c r="EI42">
        <f>IF('Qualification And AFSS'!444:444,"AAAAAC/foIo=",0)</f>
        <v>0</v>
      </c>
      <c r="EJ42">
        <f>IF('Qualification And AFSS'!445:445,"AAAAAC/foIs=",0)</f>
        <v>0</v>
      </c>
      <c r="EK42">
        <f>IF('Qualification And AFSS'!446:446,"AAAAAC/foIw=",0)</f>
        <v>0</v>
      </c>
      <c r="EL42">
        <f>IF('Qualification And AFSS'!447:447,"AAAAAC/foI0=",0)</f>
        <v>0</v>
      </c>
      <c r="EM42">
        <f>IF('Qualification And AFSS'!448:448,"AAAAAC/foI4=",0)</f>
        <v>0</v>
      </c>
      <c r="EN42">
        <f>IF('Qualification And AFSS'!449:449,"AAAAAC/foI8=",0)</f>
        <v>0</v>
      </c>
      <c r="EO42">
        <f>IF('Qualification And AFSS'!450:450,"AAAAAC/foJA=",0)</f>
        <v>0</v>
      </c>
      <c r="EP42">
        <f>IF('Qualification And AFSS'!451:451,"AAAAAC/foJE=",0)</f>
        <v>0</v>
      </c>
      <c r="EQ42">
        <f>IF('Qualification And AFSS'!452:452,"AAAAAC/foJI=",0)</f>
        <v>0</v>
      </c>
      <c r="ER42">
        <f>IF('Qualification And AFSS'!453:453,"AAAAAC/foJM=",0)</f>
        <v>0</v>
      </c>
      <c r="ES42">
        <f>IF('Qualification And AFSS'!454:454,"AAAAAC/foJQ=",0)</f>
        <v>0</v>
      </c>
      <c r="ET42">
        <f>IF('Qualification And AFSS'!455:455,"AAAAAC/foJU=",0)</f>
        <v>0</v>
      </c>
      <c r="EU42">
        <f>IF('Qualification And AFSS'!456:456,"AAAAAC/foJY=",0)</f>
        <v>0</v>
      </c>
      <c r="EV42">
        <f>IF('Qualification And AFSS'!457:457,"AAAAAC/foJc=",0)</f>
        <v>0</v>
      </c>
      <c r="EW42">
        <f>IF('Qualification And AFSS'!458:458,"AAAAAC/foJg=",0)</f>
        <v>0</v>
      </c>
      <c r="EX42">
        <f>IF('Qualification And AFSS'!459:459,"AAAAAC/foJk=",0)</f>
        <v>0</v>
      </c>
      <c r="EY42">
        <f>IF('Qualification And AFSS'!460:460,"AAAAAC/foJo=",0)</f>
        <v>0</v>
      </c>
      <c r="EZ42">
        <f>IF('Qualification And AFSS'!461:461,"AAAAAC/foJs=",0)</f>
        <v>0</v>
      </c>
      <c r="FA42">
        <f>IF('Qualification And AFSS'!462:462,"AAAAAC/foJw=",0)</f>
        <v>0</v>
      </c>
      <c r="FB42">
        <f>IF('Qualification And AFSS'!463:463,"AAAAAC/foJ0=",0)</f>
        <v>0</v>
      </c>
      <c r="FC42">
        <f>IF('Qualification And AFSS'!464:464,"AAAAAC/foJ4=",0)</f>
        <v>0</v>
      </c>
      <c r="FD42">
        <f>IF('Qualification And AFSS'!465:465,"AAAAAC/foJ8=",0)</f>
        <v>0</v>
      </c>
      <c r="FE42">
        <f>IF('Qualification And AFSS'!466:466,"AAAAAC/foKA=",0)</f>
        <v>0</v>
      </c>
      <c r="FF42">
        <f>IF('Qualification And AFSS'!467:467,"AAAAAC/foKE=",0)</f>
        <v>0</v>
      </c>
      <c r="FG42">
        <f>IF('Qualification And AFSS'!468:468,"AAAAAC/foKI=",0)</f>
        <v>0</v>
      </c>
      <c r="FH42">
        <f>IF('Qualification And AFSS'!469:469,"AAAAAC/foKM=",0)</f>
        <v>0</v>
      </c>
      <c r="FI42">
        <f>IF('Qualification And AFSS'!470:470,"AAAAAC/foKQ=",0)</f>
        <v>0</v>
      </c>
      <c r="FJ42">
        <f>IF('Qualification And AFSS'!471:471,"AAAAAC/foKU=",0)</f>
        <v>0</v>
      </c>
      <c r="FK42">
        <f>IF('Qualification And AFSS'!472:472,"AAAAAC/foKY=",0)</f>
        <v>0</v>
      </c>
      <c r="FL42">
        <f>IF('Qualification And AFSS'!473:473,"AAAAAC/foKc=",0)</f>
        <v>0</v>
      </c>
      <c r="FM42">
        <f>IF('Qualification And AFSS'!474:474,"AAAAAC/foKg=",0)</f>
        <v>0</v>
      </c>
      <c r="FN42">
        <f>IF('Qualification And AFSS'!475:475,"AAAAAC/foKk=",0)</f>
        <v>0</v>
      </c>
      <c r="FO42">
        <f>IF('Qualification And AFSS'!476:476,"AAAAAC/foKo=",0)</f>
        <v>0</v>
      </c>
      <c r="FP42">
        <f>IF('Qualification And AFSS'!477:477,"AAAAAC/foKs=",0)</f>
        <v>0</v>
      </c>
      <c r="FQ42">
        <f>IF('Qualification And AFSS'!478:478,"AAAAAC/foKw=",0)</f>
        <v>0</v>
      </c>
      <c r="FR42">
        <f>IF('Qualification And AFSS'!479:479,"AAAAAC/foK0=",0)</f>
        <v>0</v>
      </c>
      <c r="FS42">
        <f>IF('Qualification And AFSS'!480:480,"AAAAAC/foK4=",0)</f>
        <v>0</v>
      </c>
      <c r="FT42">
        <f>IF('Qualification And AFSS'!481:481,"AAAAAC/foK8=",0)</f>
        <v>0</v>
      </c>
      <c r="FU42">
        <f>IF('Qualification And AFSS'!482:482,"AAAAAC/foLA=",0)</f>
        <v>0</v>
      </c>
      <c r="FV42">
        <f>IF('Qualification And AFSS'!483:483,"AAAAAC/foLE=",0)</f>
        <v>0</v>
      </c>
      <c r="FW42">
        <f>IF('Qualification And AFSS'!484:484,"AAAAAC/foLI=",0)</f>
        <v>0</v>
      </c>
      <c r="FX42">
        <f>IF('Qualification And AFSS'!485:485,"AAAAAC/foLM=",0)</f>
        <v>0</v>
      </c>
      <c r="FY42">
        <f>IF('Qualification And AFSS'!486:486,"AAAAAC/foLQ=",0)</f>
        <v>0</v>
      </c>
      <c r="FZ42">
        <f>IF('Qualification And AFSS'!487:487,"AAAAAC/foLU=",0)</f>
        <v>0</v>
      </c>
      <c r="GA42">
        <f>IF('Qualification And AFSS'!488:488,"AAAAAC/foLY=",0)</f>
        <v>0</v>
      </c>
      <c r="GB42">
        <f>IF('Qualification And AFSS'!489:489,"AAAAAC/foLc=",0)</f>
        <v>0</v>
      </c>
      <c r="GC42">
        <f>IF('Qualification And AFSS'!490:490,"AAAAAC/foLg=",0)</f>
        <v>0</v>
      </c>
      <c r="GD42">
        <f>IF('Qualification And AFSS'!491:491,"AAAAAC/foLk=",0)</f>
        <v>0</v>
      </c>
      <c r="GE42">
        <f>IF('Qualification And AFSS'!492:492,"AAAAAC/foLo=",0)</f>
        <v>0</v>
      </c>
      <c r="GF42">
        <f>IF('Qualification And AFSS'!493:493,"AAAAAC/foLs=",0)</f>
        <v>0</v>
      </c>
      <c r="GG42">
        <f>IF('Qualification And AFSS'!494:494,"AAAAAC/foLw=",0)</f>
        <v>0</v>
      </c>
      <c r="GH42">
        <f>IF('Qualification And AFSS'!495:495,"AAAAAC/foL0=",0)</f>
        <v>0</v>
      </c>
      <c r="GI42">
        <f>IF('Qualification And AFSS'!496:496,"AAAAAC/foL4=",0)</f>
        <v>0</v>
      </c>
      <c r="GJ42">
        <f>IF('Qualification And AFSS'!497:497,"AAAAAC/foL8=",0)</f>
        <v>0</v>
      </c>
      <c r="GK42">
        <f>IF('Qualification And AFSS'!498:498,"AAAAAC/foMA=",0)</f>
        <v>0</v>
      </c>
      <c r="GL42">
        <f>IF('Qualification And AFSS'!499:499,"AAAAAC/foME=",0)</f>
        <v>0</v>
      </c>
      <c r="GM42">
        <f>IF('Qualification And AFSS'!500:500,"AAAAAC/foMI=",0)</f>
        <v>0</v>
      </c>
      <c r="GN42">
        <f>IF('Qualification And AFSS'!501:501,"AAAAAC/foMM=",0)</f>
        <v>0</v>
      </c>
      <c r="GO42">
        <f>IF('Qualification And AFSS'!502:502,"AAAAAC/foMQ=",0)</f>
        <v>0</v>
      </c>
      <c r="GP42">
        <f>IF('Qualification And AFSS'!503:503,"AAAAAC/foMU=",0)</f>
        <v>0</v>
      </c>
      <c r="GQ42">
        <f>IF('Qualification And AFSS'!504:504,"AAAAAC/foMY=",0)</f>
        <v>0</v>
      </c>
      <c r="GR42">
        <f>IF('Qualification And AFSS'!505:505,"AAAAAC/foMc=",0)</f>
        <v>0</v>
      </c>
      <c r="GS42">
        <f>IF('Qualification And AFSS'!506:506,"AAAAAC/foMg=",0)</f>
        <v>0</v>
      </c>
      <c r="GT42">
        <f>IF('Qualification And AFSS'!507:507,"AAAAAC/foMk=",0)</f>
        <v>0</v>
      </c>
      <c r="GU42">
        <f>IF('Qualification And AFSS'!508:508,"AAAAAC/foMo=",0)</f>
        <v>0</v>
      </c>
      <c r="GV42">
        <f>IF('Qualification And AFSS'!509:509,"AAAAAC/foMs=",0)</f>
        <v>0</v>
      </c>
      <c r="GW42">
        <f>IF('Qualification And AFSS'!510:510,"AAAAAC/foMw=",0)</f>
        <v>0</v>
      </c>
      <c r="GX42">
        <f>IF('Qualification And AFSS'!511:511,"AAAAAC/foM0=",0)</f>
        <v>0</v>
      </c>
      <c r="GY42">
        <f>IF('Qualification And AFSS'!512:512,"AAAAAC/foM4=",0)</f>
        <v>0</v>
      </c>
      <c r="GZ42">
        <f>IF('Qualification And AFSS'!513:513,"AAAAAC/foM8=",0)</f>
        <v>0</v>
      </c>
      <c r="HA42">
        <f>IF('Qualification And AFSS'!514:514,"AAAAAC/foNA=",0)</f>
        <v>0</v>
      </c>
      <c r="HB42">
        <f>IF('Qualification And AFSS'!515:515,"AAAAAC/foNE=",0)</f>
        <v>0</v>
      </c>
      <c r="HC42">
        <f>IF('Qualification And AFSS'!516:516,"AAAAAC/foNI=",0)</f>
        <v>0</v>
      </c>
      <c r="HD42">
        <f>IF('Qualification And AFSS'!517:517,"AAAAAC/foNM=",0)</f>
        <v>0</v>
      </c>
      <c r="HE42">
        <f>IF('Qualification And AFSS'!518:518,"AAAAAC/foNQ=",0)</f>
        <v>0</v>
      </c>
      <c r="HF42">
        <f>IF('Qualification And AFSS'!519:519,"AAAAAC/foNU=",0)</f>
        <v>0</v>
      </c>
      <c r="HG42">
        <f>IF('Qualification And AFSS'!520:520,"AAAAAC/foNY=",0)</f>
        <v>0</v>
      </c>
      <c r="HH42">
        <f>IF('Qualification And AFSS'!521:521,"AAAAAC/foNc=",0)</f>
        <v>0</v>
      </c>
      <c r="HI42">
        <f>IF('Qualification And AFSS'!522:522,"AAAAAC/foNg=",0)</f>
        <v>0</v>
      </c>
      <c r="HJ42">
        <f>IF('Qualification And AFSS'!523:523,"AAAAAC/foNk=",0)</f>
        <v>0</v>
      </c>
      <c r="HK42">
        <f>IF('Qualification And AFSS'!524:524,"AAAAAC/foNo=",0)</f>
        <v>0</v>
      </c>
      <c r="HL42">
        <f>IF('Qualification And AFSS'!525:525,"AAAAAC/foNs=",0)</f>
        <v>0</v>
      </c>
      <c r="HM42">
        <f>IF('Qualification And AFSS'!526:526,"AAAAAC/foNw=",0)</f>
        <v>0</v>
      </c>
      <c r="HN42">
        <f>IF('Qualification And AFSS'!527:527,"AAAAAC/foN0=",0)</f>
        <v>0</v>
      </c>
      <c r="HO42">
        <f>IF('Qualification And AFSS'!528:528,"AAAAAC/foN4=",0)</f>
        <v>0</v>
      </c>
      <c r="HP42">
        <f>IF('Qualification And AFSS'!529:529,"AAAAAC/foN8=",0)</f>
        <v>0</v>
      </c>
      <c r="HQ42">
        <f>IF('Qualification And AFSS'!530:530,"AAAAAC/foOA=",0)</f>
        <v>0</v>
      </c>
      <c r="HR42">
        <f>IF('Qualification And AFSS'!531:531,"AAAAAC/foOE=",0)</f>
        <v>0</v>
      </c>
      <c r="HS42">
        <f>IF('Qualification And AFSS'!532:532,"AAAAAC/foOI=",0)</f>
        <v>0</v>
      </c>
      <c r="HT42">
        <f>IF('Qualification And AFSS'!533:533,"AAAAAC/foOM=",0)</f>
        <v>0</v>
      </c>
      <c r="HU42">
        <f>IF('Qualification And AFSS'!534:534,"AAAAAC/foOQ=",0)</f>
        <v>0</v>
      </c>
      <c r="HV42">
        <f>IF('Qualification And AFSS'!535:535,"AAAAAC/foOU=",0)</f>
        <v>0</v>
      </c>
      <c r="HW42">
        <f>IF('Qualification And AFSS'!536:536,"AAAAAC/foOY=",0)</f>
        <v>0</v>
      </c>
      <c r="HX42">
        <f>IF('Qualification And AFSS'!537:537,"AAAAAC/foOc=",0)</f>
        <v>0</v>
      </c>
      <c r="HY42">
        <f>IF('Qualification And AFSS'!538:538,"AAAAAC/foOg=",0)</f>
        <v>0</v>
      </c>
      <c r="HZ42">
        <f>IF('Qualification And AFSS'!539:539,"AAAAAC/foOk=",0)</f>
        <v>0</v>
      </c>
      <c r="IA42">
        <f>IF('Qualification And AFSS'!540:540,"AAAAAC/foOo=",0)</f>
        <v>0</v>
      </c>
      <c r="IB42">
        <f>IF('Qualification And AFSS'!541:541,"AAAAAC/foOs=",0)</f>
        <v>0</v>
      </c>
      <c r="IC42">
        <f>IF('Qualification And AFSS'!542:542,"AAAAAC/foOw=",0)</f>
        <v>0</v>
      </c>
      <c r="ID42">
        <f>IF('Qualification And AFSS'!543:543,"AAAAAC/foO0=",0)</f>
        <v>0</v>
      </c>
      <c r="IE42">
        <f>IF('Qualification And AFSS'!544:544,"AAAAAC/foO4=",0)</f>
        <v>0</v>
      </c>
      <c r="IF42">
        <f>IF('Qualification And AFSS'!545:545,"AAAAAC/foO8=",0)</f>
        <v>0</v>
      </c>
      <c r="IG42">
        <f>IF('Qualification And AFSS'!546:546,"AAAAAC/foPA=",0)</f>
        <v>0</v>
      </c>
      <c r="IH42">
        <f>IF('Qualification And AFSS'!547:547,"AAAAAC/foPE=",0)</f>
        <v>0</v>
      </c>
      <c r="II42">
        <f>IF('Qualification And AFSS'!548:548,"AAAAAC/foPI=",0)</f>
        <v>0</v>
      </c>
      <c r="IJ42">
        <f>IF('Qualification And AFSS'!549:549,"AAAAAC/foPM=",0)</f>
        <v>0</v>
      </c>
      <c r="IK42">
        <f>IF('Qualification And AFSS'!550:550,"AAAAAC/foPQ=",0)</f>
        <v>0</v>
      </c>
      <c r="IL42">
        <f>IF('Qualification And AFSS'!551:551,"AAAAAC/foPU=",0)</f>
        <v>0</v>
      </c>
      <c r="IM42">
        <f>IF('Qualification And AFSS'!552:552,"AAAAAC/foPY=",0)</f>
        <v>0</v>
      </c>
      <c r="IN42">
        <f>IF('Qualification And AFSS'!553:553,"AAAAAC/foPc=",0)</f>
        <v>0</v>
      </c>
      <c r="IO42">
        <f>IF('Qualification And AFSS'!554:554,"AAAAAC/foPg=",0)</f>
        <v>0</v>
      </c>
      <c r="IP42">
        <f>IF('Qualification And AFSS'!555:555,"AAAAAC/foPk=",0)</f>
        <v>0</v>
      </c>
      <c r="IQ42">
        <f>IF('Qualification And AFSS'!556:556,"AAAAAC/foPo=",0)</f>
        <v>0</v>
      </c>
      <c r="IR42">
        <f>IF('Qualification And AFSS'!557:557,"AAAAAC/foPs=",0)</f>
        <v>0</v>
      </c>
      <c r="IS42">
        <f>IF('Qualification And AFSS'!558:558,"AAAAAC/foPw=",0)</f>
        <v>0</v>
      </c>
      <c r="IT42">
        <f>IF('Qualification And AFSS'!559:559,"AAAAAC/foP0=",0)</f>
        <v>0</v>
      </c>
      <c r="IU42">
        <f>IF('Qualification And AFSS'!560:560,"AAAAAC/foP4=",0)</f>
        <v>0</v>
      </c>
      <c r="IV42">
        <f>IF('Qualification And AFSS'!561:561,"AAAAAC/foP8=",0)</f>
        <v>0</v>
      </c>
    </row>
    <row r="43" spans="1:256" x14ac:dyDescent="0.2">
      <c r="A43">
        <f>IF('Qualification And AFSS'!562:562,"AAAAAAef7wA=",0)</f>
        <v>0</v>
      </c>
      <c r="B43">
        <f>IF('Qualification And AFSS'!563:563,"AAAAAAef7wE=",0)</f>
        <v>0</v>
      </c>
      <c r="C43">
        <f>IF('Qualification And AFSS'!564:564,"AAAAAAef7wI=",0)</f>
        <v>0</v>
      </c>
      <c r="D43">
        <f>IF('Qualification And AFSS'!565:565,"AAAAAAef7wM=",0)</f>
        <v>0</v>
      </c>
      <c r="E43">
        <f>IF('Qualification And AFSS'!566:566,"AAAAAAef7wQ=",0)</f>
        <v>0</v>
      </c>
      <c r="F43">
        <f>IF('Qualification And AFSS'!567:567,"AAAAAAef7wU=",0)</f>
        <v>0</v>
      </c>
      <c r="G43">
        <f>IF('Qualification And AFSS'!568:568,"AAAAAAef7wY=",0)</f>
        <v>0</v>
      </c>
      <c r="H43">
        <f>IF('Qualification And AFSS'!569:569,"AAAAAAef7wc=",0)</f>
        <v>0</v>
      </c>
      <c r="I43">
        <f>IF('Qualification And AFSS'!570:570,"AAAAAAef7wg=",0)</f>
        <v>0</v>
      </c>
      <c r="J43">
        <f>IF('Qualification And AFSS'!571:571,"AAAAAAef7wk=",0)</f>
        <v>0</v>
      </c>
      <c r="K43">
        <f>IF('Qualification And AFSS'!572:572,"AAAAAAef7wo=",0)</f>
        <v>0</v>
      </c>
      <c r="L43">
        <f>IF('Qualification And AFSS'!573:573,"AAAAAAef7ws=",0)</f>
        <v>0</v>
      </c>
      <c r="M43">
        <f>IF('Qualification And AFSS'!574:574,"AAAAAAef7ww=",0)</f>
        <v>0</v>
      </c>
      <c r="N43">
        <f>IF('Qualification And AFSS'!575:575,"AAAAAAef7w0=",0)</f>
        <v>0</v>
      </c>
      <c r="O43">
        <f>IF('Qualification And AFSS'!576:576,"AAAAAAef7w4=",0)</f>
        <v>0</v>
      </c>
      <c r="P43">
        <f>IF('Qualification And AFSS'!577:577,"AAAAAAef7w8=",0)</f>
        <v>0</v>
      </c>
      <c r="Q43">
        <f>IF('Qualification And AFSS'!578:578,"AAAAAAef7xA=",0)</f>
        <v>0</v>
      </c>
      <c r="R43">
        <f>IF('Qualification And AFSS'!579:579,"AAAAAAef7xE=",0)</f>
        <v>0</v>
      </c>
      <c r="S43">
        <f>IF('Qualification And AFSS'!580:580,"AAAAAAef7xI=",0)</f>
        <v>0</v>
      </c>
      <c r="T43">
        <f>IF('Qualification And AFSS'!581:581,"AAAAAAef7xM=",0)</f>
        <v>0</v>
      </c>
      <c r="U43">
        <f>IF('Qualification And AFSS'!582:582,"AAAAAAef7xQ=",0)</f>
        <v>0</v>
      </c>
      <c r="V43">
        <f>IF('Qualification And AFSS'!583:583,"AAAAAAef7xU=",0)</f>
        <v>0</v>
      </c>
      <c r="W43">
        <f>IF('Qualification And AFSS'!584:584,"AAAAAAef7xY=",0)</f>
        <v>0</v>
      </c>
      <c r="X43">
        <f>IF('Qualification And AFSS'!585:585,"AAAAAAef7xc=",0)</f>
        <v>0</v>
      </c>
      <c r="Y43">
        <f>IF('Qualification And AFSS'!586:586,"AAAAAAef7xg=",0)</f>
        <v>0</v>
      </c>
      <c r="Z43">
        <f>IF('Qualification And AFSS'!587:587,"AAAAAAef7xk=",0)</f>
        <v>0</v>
      </c>
      <c r="AA43">
        <f>IF('Qualification And AFSS'!588:588,"AAAAAAef7xo=",0)</f>
        <v>0</v>
      </c>
      <c r="AB43">
        <f>IF('Qualification And AFSS'!589:589,"AAAAAAef7xs=",0)</f>
        <v>0</v>
      </c>
      <c r="AC43">
        <f>IF('Qualification And AFSS'!590:590,"AAAAAAef7xw=",0)</f>
        <v>0</v>
      </c>
      <c r="AD43">
        <f>IF('Qualification And AFSS'!591:591,"AAAAAAef7x0=",0)</f>
        <v>0</v>
      </c>
      <c r="AE43">
        <f>IF('Qualification And AFSS'!592:592,"AAAAAAef7x4=",0)</f>
        <v>0</v>
      </c>
      <c r="AF43">
        <f>IF('Qualification And AFSS'!593:593,"AAAAAAef7x8=",0)</f>
        <v>0</v>
      </c>
      <c r="AG43">
        <f>IF('Qualification And AFSS'!594:594,"AAAAAAef7yA=",0)</f>
        <v>0</v>
      </c>
      <c r="AH43">
        <f>IF('Qualification And AFSS'!595:595,"AAAAAAef7yE=",0)</f>
        <v>0</v>
      </c>
      <c r="AI43">
        <f>IF('Qualification And AFSS'!596:596,"AAAAAAef7yI=",0)</f>
        <v>0</v>
      </c>
      <c r="AJ43">
        <f>IF('Qualification And AFSS'!597:597,"AAAAAAef7yM=",0)</f>
        <v>0</v>
      </c>
      <c r="AK43">
        <f>IF('Qualification And AFSS'!598:598,"AAAAAAef7yQ=",0)</f>
        <v>0</v>
      </c>
      <c r="AL43">
        <f>IF('Qualification And AFSS'!599:599,"AAAAAAef7yU=",0)</f>
        <v>0</v>
      </c>
      <c r="AM43">
        <f>IF('Qualification And AFSS'!600:600,"AAAAAAef7yY=",0)</f>
        <v>0</v>
      </c>
      <c r="AN43">
        <f>IF('Qualification And AFSS'!601:601,"AAAAAAef7yc=",0)</f>
        <v>0</v>
      </c>
      <c r="AO43">
        <f>IF('Qualification And AFSS'!602:602,"AAAAAAef7yg=",0)</f>
        <v>0</v>
      </c>
      <c r="AP43">
        <f>IF('Qualification And AFSS'!603:603,"AAAAAAef7yk=",0)</f>
        <v>0</v>
      </c>
      <c r="AQ43">
        <f>IF('Qualification And AFSS'!604:604,"AAAAAAef7yo=",0)</f>
        <v>0</v>
      </c>
      <c r="AR43">
        <f>IF('Qualification And AFSS'!605:605,"AAAAAAef7ys=",0)</f>
        <v>0</v>
      </c>
      <c r="AS43">
        <f>IF('Qualification And AFSS'!606:606,"AAAAAAef7yw=",0)</f>
        <v>0</v>
      </c>
      <c r="AT43">
        <f>IF('Qualification And AFSS'!607:607,"AAAAAAef7y0=",0)</f>
        <v>0</v>
      </c>
      <c r="AU43">
        <f>IF('Qualification And AFSS'!608:608,"AAAAAAef7y4=",0)</f>
        <v>0</v>
      </c>
      <c r="AV43">
        <f>IF('Qualification And AFSS'!609:609,"AAAAAAef7y8=",0)</f>
        <v>0</v>
      </c>
      <c r="AW43">
        <f>IF('Qualification And AFSS'!610:610,"AAAAAAef7zA=",0)</f>
        <v>0</v>
      </c>
      <c r="AX43">
        <f>IF('Qualification And AFSS'!611:611,"AAAAAAef7zE=",0)</f>
        <v>0</v>
      </c>
      <c r="AY43">
        <f>IF('Qualification And AFSS'!612:612,"AAAAAAef7zI=",0)</f>
        <v>0</v>
      </c>
      <c r="AZ43">
        <f>IF('Qualification And AFSS'!613:613,"AAAAAAef7zM=",0)</f>
        <v>0</v>
      </c>
      <c r="BA43">
        <f>IF('Qualification And AFSS'!614:614,"AAAAAAef7zQ=",0)</f>
        <v>0</v>
      </c>
      <c r="BB43">
        <f>IF('Qualification And AFSS'!615:615,"AAAAAAef7zU=",0)</f>
        <v>0</v>
      </c>
      <c r="BC43">
        <f>IF('Qualification And AFSS'!616:616,"AAAAAAef7zY=",0)</f>
        <v>0</v>
      </c>
      <c r="BD43">
        <f>IF('Qualification And AFSS'!617:617,"AAAAAAef7zc=",0)</f>
        <v>0</v>
      </c>
      <c r="BE43">
        <f>IF('Qualification And AFSS'!618:618,"AAAAAAef7zg=",0)</f>
        <v>0</v>
      </c>
      <c r="BF43">
        <f>IF('Qualification And AFSS'!619:619,"AAAAAAef7zk=",0)</f>
        <v>0</v>
      </c>
      <c r="BG43">
        <f>IF('Qualification And AFSS'!620:620,"AAAAAAef7zo=",0)</f>
        <v>0</v>
      </c>
      <c r="BH43">
        <f>IF('Qualification And AFSS'!621:621,"AAAAAAef7zs=",0)</f>
        <v>0</v>
      </c>
      <c r="BI43">
        <f>IF('Qualification And AFSS'!622:622,"AAAAAAef7zw=",0)</f>
        <v>0</v>
      </c>
      <c r="BJ43">
        <f>IF('Qualification And AFSS'!623:623,"AAAAAAef7z0=",0)</f>
        <v>0</v>
      </c>
      <c r="BK43">
        <f>IF('Qualification And AFSS'!624:624,"AAAAAAef7z4=",0)</f>
        <v>0</v>
      </c>
      <c r="BL43">
        <f>IF('Qualification And AFSS'!625:625,"AAAAAAef7z8=",0)</f>
        <v>0</v>
      </c>
      <c r="BM43">
        <f>IF('Qualification And AFSS'!626:626,"AAAAAAef70A=",0)</f>
        <v>0</v>
      </c>
      <c r="BN43">
        <f>IF('Qualification And AFSS'!627:627,"AAAAAAef70E=",0)</f>
        <v>0</v>
      </c>
      <c r="BO43">
        <f>IF('Qualification And AFSS'!628:628,"AAAAAAef70I=",0)</f>
        <v>0</v>
      </c>
      <c r="BP43">
        <f>IF('Qualification And AFSS'!629:629,"AAAAAAef70M=",0)</f>
        <v>0</v>
      </c>
      <c r="BQ43">
        <f>IF('Qualification And AFSS'!630:630,"AAAAAAef70Q=",0)</f>
        <v>0</v>
      </c>
      <c r="BR43">
        <f>IF('Qualification And AFSS'!631:631,"AAAAAAef70U=",0)</f>
        <v>0</v>
      </c>
      <c r="BS43">
        <f>IF('Qualification And AFSS'!632:632,"AAAAAAef70Y=",0)</f>
        <v>0</v>
      </c>
      <c r="BT43">
        <f>IF('Qualification And AFSS'!633:633,"AAAAAAef70c=",0)</f>
        <v>0</v>
      </c>
      <c r="BU43">
        <f>IF('Qualification And AFSS'!634:634,"AAAAAAef70g=",0)</f>
        <v>0</v>
      </c>
      <c r="BV43">
        <f>IF('Qualification And AFSS'!635:635,"AAAAAAef70k=",0)</f>
        <v>0</v>
      </c>
      <c r="BW43">
        <f>IF('Qualification And AFSS'!636:636,"AAAAAAef70o=",0)</f>
        <v>0</v>
      </c>
      <c r="BX43">
        <f>IF('Qualification And AFSS'!637:637,"AAAAAAef70s=",0)</f>
        <v>0</v>
      </c>
      <c r="BY43">
        <f>IF('Qualification And AFSS'!638:638,"AAAAAAef70w=",0)</f>
        <v>0</v>
      </c>
      <c r="BZ43">
        <f>IF('Qualification And AFSS'!639:639,"AAAAAAef700=",0)</f>
        <v>0</v>
      </c>
      <c r="CA43">
        <f>IF('Qualification And AFSS'!640:640,"AAAAAAef704=",0)</f>
        <v>0</v>
      </c>
      <c r="CB43">
        <f>IF('Qualification And AFSS'!641:641,"AAAAAAef708=",0)</f>
        <v>0</v>
      </c>
      <c r="CC43">
        <f>IF('Qualification And AFSS'!642:642,"AAAAAAef71A=",0)</f>
        <v>0</v>
      </c>
      <c r="CD43">
        <f>IF('Qualification And AFSS'!643:643,"AAAAAAef71E=",0)</f>
        <v>0</v>
      </c>
      <c r="CE43">
        <f>IF('Qualification And AFSS'!644:644,"AAAAAAef71I=",0)</f>
        <v>0</v>
      </c>
      <c r="CF43">
        <f>IF('Qualification And AFSS'!645:645,"AAAAAAef71M=",0)</f>
        <v>0</v>
      </c>
      <c r="CG43">
        <f>IF('Qualification And AFSS'!646:646,"AAAAAAef71Q=",0)</f>
        <v>0</v>
      </c>
      <c r="CH43">
        <f>IF('Qualification And AFSS'!647:647,"AAAAAAef71U=",0)</f>
        <v>0</v>
      </c>
      <c r="CI43">
        <f>IF('Qualification And AFSS'!648:648,"AAAAAAef71Y=",0)</f>
        <v>0</v>
      </c>
      <c r="CJ43">
        <f>IF('Qualification And AFSS'!649:649,"AAAAAAef71c=",0)</f>
        <v>0</v>
      </c>
      <c r="CK43">
        <f>IF('Qualification And AFSS'!650:650,"AAAAAAef71g=",0)</f>
        <v>0</v>
      </c>
      <c r="CL43">
        <f>IF('Qualification And AFSS'!651:651,"AAAAAAef71k=",0)</f>
        <v>0</v>
      </c>
      <c r="CM43">
        <f>IF('Qualification And AFSS'!652:652,"AAAAAAef71o=",0)</f>
        <v>0</v>
      </c>
      <c r="CN43">
        <f>IF('Qualification And AFSS'!653:653,"AAAAAAef71s=",0)</f>
        <v>0</v>
      </c>
      <c r="CO43">
        <f>IF('Qualification And AFSS'!654:654,"AAAAAAef71w=",0)</f>
        <v>0</v>
      </c>
      <c r="CP43">
        <f>IF('Qualification And AFSS'!655:655,"AAAAAAef710=",0)</f>
        <v>0</v>
      </c>
      <c r="CQ43">
        <f>IF('Qualification And AFSS'!656:656,"AAAAAAef714=",0)</f>
        <v>0</v>
      </c>
      <c r="CR43">
        <f>IF('Qualification And AFSS'!657:657,"AAAAAAef718=",0)</f>
        <v>0</v>
      </c>
      <c r="CS43">
        <f>IF('Qualification And AFSS'!658:658,"AAAAAAef72A=",0)</f>
        <v>0</v>
      </c>
      <c r="CT43">
        <f>IF('Qualification And AFSS'!659:659,"AAAAAAef72E=",0)</f>
        <v>0</v>
      </c>
      <c r="CU43">
        <f>IF('Qualification And AFSS'!660:660,"AAAAAAef72I=",0)</f>
        <v>0</v>
      </c>
      <c r="CV43">
        <f>IF('Qualification And AFSS'!661:661,"AAAAAAef72M=",0)</f>
        <v>0</v>
      </c>
      <c r="CW43">
        <f>IF('Qualification And AFSS'!662:662,"AAAAAAef72Q=",0)</f>
        <v>0</v>
      </c>
      <c r="CX43">
        <f>IF('Qualification And AFSS'!663:663,"AAAAAAef72U=",0)</f>
        <v>0</v>
      </c>
      <c r="CY43">
        <f>IF('Qualification And AFSS'!664:664,"AAAAAAef72Y=",0)</f>
        <v>0</v>
      </c>
      <c r="CZ43">
        <f>IF('Qualification And AFSS'!665:665,"AAAAAAef72c=",0)</f>
        <v>0</v>
      </c>
      <c r="DA43">
        <f>IF('Qualification And AFSS'!666:666,"AAAAAAef72g=",0)</f>
        <v>0</v>
      </c>
      <c r="DB43">
        <f>IF('Qualification And AFSS'!667:667,"AAAAAAef72k=",0)</f>
        <v>0</v>
      </c>
      <c r="DC43">
        <f>IF('Qualification And AFSS'!668:668,"AAAAAAef72o=",0)</f>
        <v>0</v>
      </c>
      <c r="DD43">
        <f>IF('Qualification And AFSS'!669:669,"AAAAAAef72s=",0)</f>
        <v>0</v>
      </c>
      <c r="DE43">
        <f>IF('Qualification And AFSS'!670:670,"AAAAAAef72w=",0)</f>
        <v>0</v>
      </c>
      <c r="DF43">
        <f>IF('Qualification And AFSS'!671:671,"AAAAAAef720=",0)</f>
        <v>0</v>
      </c>
      <c r="DG43">
        <f>IF('Qualification And AFSS'!672:672,"AAAAAAef724=",0)</f>
        <v>0</v>
      </c>
      <c r="DH43">
        <f>IF('Qualification And AFSS'!673:673,"AAAAAAef728=",0)</f>
        <v>0</v>
      </c>
      <c r="DI43">
        <f>IF('Qualification And AFSS'!674:674,"AAAAAAef73A=",0)</f>
        <v>0</v>
      </c>
      <c r="DJ43">
        <f>IF('Qualification And AFSS'!675:675,"AAAAAAef73E=",0)</f>
        <v>0</v>
      </c>
      <c r="DK43">
        <f>IF('Qualification And AFSS'!676:676,"AAAAAAef73I=",0)</f>
        <v>0</v>
      </c>
      <c r="DL43">
        <f>IF('Qualification And AFSS'!677:677,"AAAAAAef73M=",0)</f>
        <v>0</v>
      </c>
      <c r="DM43">
        <f>IF('Qualification And AFSS'!678:678,"AAAAAAef73Q=",0)</f>
        <v>0</v>
      </c>
      <c r="DN43">
        <f>IF('Qualification And AFSS'!679:679,"AAAAAAef73U=",0)</f>
        <v>0</v>
      </c>
      <c r="DO43">
        <f>IF('Qualification And AFSS'!680:680,"AAAAAAef73Y=",0)</f>
        <v>0</v>
      </c>
      <c r="DP43">
        <f>IF('Qualification And AFSS'!681:681,"AAAAAAef73c=",0)</f>
        <v>0</v>
      </c>
      <c r="DQ43">
        <f>IF('Qualification And AFSS'!682:682,"AAAAAAef73g=",0)</f>
        <v>0</v>
      </c>
      <c r="DR43">
        <f>IF('Qualification And AFSS'!683:683,"AAAAAAef73k=",0)</f>
        <v>0</v>
      </c>
      <c r="DS43">
        <f>IF('Qualification And AFSS'!684:684,"AAAAAAef73o=",0)</f>
        <v>0</v>
      </c>
      <c r="DT43">
        <f>IF('Qualification And AFSS'!685:685,"AAAAAAef73s=",0)</f>
        <v>0</v>
      </c>
      <c r="DU43">
        <f>IF('Qualification And AFSS'!686:686,"AAAAAAef73w=",0)</f>
        <v>0</v>
      </c>
      <c r="DV43">
        <f>IF('Qualification And AFSS'!687:687,"AAAAAAef730=",0)</f>
        <v>0</v>
      </c>
      <c r="DW43">
        <f>IF('Qualification And AFSS'!688:688,"AAAAAAef734=",0)</f>
        <v>0</v>
      </c>
      <c r="DX43">
        <f>IF('Qualification And AFSS'!689:689,"AAAAAAef738=",0)</f>
        <v>0</v>
      </c>
      <c r="DY43">
        <f>IF('Qualification And AFSS'!690:690,"AAAAAAef74A=",0)</f>
        <v>0</v>
      </c>
      <c r="DZ43">
        <f>IF('Qualification And AFSS'!691:691,"AAAAAAef74E=",0)</f>
        <v>0</v>
      </c>
      <c r="EA43">
        <f>IF('Qualification And AFSS'!692:692,"AAAAAAef74I=",0)</f>
        <v>0</v>
      </c>
      <c r="EB43">
        <f>IF('Qualification And AFSS'!693:693,"AAAAAAef74M=",0)</f>
        <v>0</v>
      </c>
      <c r="EC43">
        <f>IF('Qualification And AFSS'!694:694,"AAAAAAef74Q=",0)</f>
        <v>0</v>
      </c>
      <c r="ED43">
        <f>IF('Qualification And AFSS'!695:695,"AAAAAAef74U=",0)</f>
        <v>0</v>
      </c>
      <c r="EE43">
        <f>IF('Qualification And AFSS'!696:696,"AAAAAAef74Y=",0)</f>
        <v>0</v>
      </c>
      <c r="EF43">
        <f>IF('Qualification And AFSS'!697:697,"AAAAAAef74c=",0)</f>
        <v>0</v>
      </c>
      <c r="EG43">
        <f>IF('Qualification And AFSS'!698:698,"AAAAAAef74g=",0)</f>
        <v>0</v>
      </c>
      <c r="EH43">
        <f>IF('Qualification And AFSS'!699:699,"AAAAAAef74k=",0)</f>
        <v>0</v>
      </c>
      <c r="EI43">
        <f>IF('Qualification And AFSS'!700:700,"AAAAAAef74o=",0)</f>
        <v>0</v>
      </c>
      <c r="EJ43">
        <f>IF('Qualification And AFSS'!701:701,"AAAAAAef74s=",0)</f>
        <v>0</v>
      </c>
      <c r="EK43">
        <f>IF('Qualification And AFSS'!A:A,"AAAAAAef74w=",0)</f>
        <v>0</v>
      </c>
      <c r="EL43">
        <f>IF('Qualification And AFSS'!B:B,"AAAAAAef740=",0)</f>
        <v>0</v>
      </c>
      <c r="EM43">
        <f>IF('Qualification And AFSS'!C:C,"AAAAAAef744=",0)</f>
        <v>0</v>
      </c>
      <c r="EN43">
        <f>IF('Qualification And AFSS'!D:D,"AAAAAAef748=",0)</f>
        <v>0</v>
      </c>
      <c r="EO43">
        <f>IF('Qualification And AFSS'!E:E,"AAAAAAef75A=",0)</f>
        <v>0</v>
      </c>
      <c r="EP43">
        <f>IF('Qualification And AFSS'!F:F,"AAAAAAef75E=",0)</f>
        <v>0</v>
      </c>
      <c r="EQ43">
        <f>IF('Qualification And AFSS'!G:G,"AAAAAAef75I=",0)</f>
        <v>0</v>
      </c>
      <c r="ER43">
        <f>IF('Qualification And AFSS'!H:H,"AAAAAAef75M=",0)</f>
        <v>0</v>
      </c>
      <c r="ES43">
        <f>IF('Final Alliance Potential'!1:1,"AAAAAAef75Q=",0)</f>
        <v>0</v>
      </c>
      <c r="ET43" t="e">
        <f>AND('Final Alliance Potential'!B1,"AAAAAAef75U=")</f>
        <v>#VALUE!</v>
      </c>
      <c r="EU43" t="e">
        <f>AND('Final Alliance Potential'!C1,"AAAAAAef75Y=")</f>
        <v>#VALUE!</v>
      </c>
      <c r="EV43" t="e">
        <f>AND('Final Alliance Potential'!D1,"AAAAAAef75c=")</f>
        <v>#VALUE!</v>
      </c>
      <c r="EW43" t="e">
        <f>AND('Final Alliance Potential'!E1,"AAAAAAef75g=")</f>
        <v>#VALUE!</v>
      </c>
      <c r="EX43" t="e">
        <f>AND('Final Alliance Potential'!F1,"AAAAAAef75k=")</f>
        <v>#VALUE!</v>
      </c>
      <c r="EY43" t="e">
        <f>AND('Final Alliance Potential'!G1,"AAAAAAef75o=")</f>
        <v>#VALUE!</v>
      </c>
      <c r="EZ43" t="e">
        <f>AND('Final Alliance Potential'!H1,"AAAAAAef75s=")</f>
        <v>#VALUE!</v>
      </c>
      <c r="FA43" t="e">
        <f>AND('Final Alliance Potential'!I1,"AAAAAAef75w=")</f>
        <v>#VALUE!</v>
      </c>
      <c r="FB43" t="e">
        <f>AND('Final Alliance Potential'!J1,"AAAAAAef750=")</f>
        <v>#VALUE!</v>
      </c>
      <c r="FC43" t="e">
        <f>AND('Final Alliance Potential'!K1,"AAAAAAef754=")</f>
        <v>#VALUE!</v>
      </c>
      <c r="FD43" t="e">
        <f>AND('Final Alliance Potential'!L1,"AAAAAAef758=")</f>
        <v>#VALUE!</v>
      </c>
      <c r="FE43" t="e">
        <f>AND('Final Alliance Potential'!M1,"AAAAAAef76A=")</f>
        <v>#VALUE!</v>
      </c>
      <c r="FF43" t="e">
        <f>AND('Final Alliance Potential'!N1,"AAAAAAef76E=")</f>
        <v>#VALUE!</v>
      </c>
      <c r="FG43" t="e">
        <f>AND('Final Alliance Potential'!O1,"AAAAAAef76I=")</f>
        <v>#VALUE!</v>
      </c>
      <c r="FH43">
        <f>IF('Final Alliance Potential'!2:2,"AAAAAAef76M=",0)</f>
        <v>0</v>
      </c>
      <c r="FI43" t="e">
        <f>AND('Final Alliance Potential'!B2,"AAAAAAef76Q=")</f>
        <v>#VALUE!</v>
      </c>
      <c r="FJ43" t="e">
        <f>AND('Final Alliance Potential'!C2,"AAAAAAef76U=")</f>
        <v>#VALUE!</v>
      </c>
      <c r="FK43" t="e">
        <f>AND('Final Alliance Potential'!D2,"AAAAAAef76Y=")</f>
        <v>#VALUE!</v>
      </c>
      <c r="FL43" t="e">
        <f>AND('Final Alliance Potential'!E2,"AAAAAAef76c=")</f>
        <v>#VALUE!</v>
      </c>
      <c r="FM43" t="e">
        <f>AND('Final Alliance Potential'!F2,"AAAAAAef76g=")</f>
        <v>#VALUE!</v>
      </c>
      <c r="FN43" t="e">
        <f>AND('Final Alliance Potential'!G2,"AAAAAAef76k=")</f>
        <v>#VALUE!</v>
      </c>
      <c r="FO43" t="e">
        <f>AND('Final Alliance Potential'!H2,"AAAAAAef76o=")</f>
        <v>#VALUE!</v>
      </c>
      <c r="FP43" t="e">
        <f>AND('Final Alliance Potential'!I2,"AAAAAAef76s=")</f>
        <v>#VALUE!</v>
      </c>
      <c r="FQ43" t="e">
        <f>AND('Final Alliance Potential'!J2,"AAAAAAef76w=")</f>
        <v>#VALUE!</v>
      </c>
      <c r="FR43" t="e">
        <f>AND('Final Alliance Potential'!K2,"AAAAAAef760=")</f>
        <v>#VALUE!</v>
      </c>
      <c r="FS43" t="e">
        <f>AND('Final Alliance Potential'!L2,"AAAAAAef764=")</f>
        <v>#VALUE!</v>
      </c>
      <c r="FT43" t="e">
        <f>AND('Final Alliance Potential'!M2,"AAAAAAef768=")</f>
        <v>#VALUE!</v>
      </c>
      <c r="FU43" t="e">
        <f>AND('Final Alliance Potential'!N2,"AAAAAAef77A=")</f>
        <v>#VALUE!</v>
      </c>
      <c r="FV43" t="e">
        <f>AND('Final Alliance Potential'!O2,"AAAAAAef77E=")</f>
        <v>#VALUE!</v>
      </c>
      <c r="FW43">
        <f>IF('Final Alliance Potential'!3:3,"AAAAAAef77I=",0)</f>
        <v>0</v>
      </c>
      <c r="FX43" t="e">
        <f>AND('Final Alliance Potential'!B3,"AAAAAAef77M=")</f>
        <v>#VALUE!</v>
      </c>
      <c r="FY43" t="e">
        <f>AND('Final Alliance Potential'!C3,"AAAAAAef77Q=")</f>
        <v>#VALUE!</v>
      </c>
      <c r="FZ43" t="e">
        <f>AND('Final Alliance Potential'!D3,"AAAAAAef77U=")</f>
        <v>#VALUE!</v>
      </c>
      <c r="GA43" t="e">
        <f>AND('Final Alliance Potential'!E3,"AAAAAAef77Y=")</f>
        <v>#VALUE!</v>
      </c>
      <c r="GB43" t="e">
        <f>AND('Final Alliance Potential'!F3,"AAAAAAef77c=")</f>
        <v>#VALUE!</v>
      </c>
      <c r="GC43" t="e">
        <f>AND('Final Alliance Potential'!G3,"AAAAAAef77g=")</f>
        <v>#VALUE!</v>
      </c>
      <c r="GD43" t="e">
        <f>AND('Final Alliance Potential'!H3,"AAAAAAef77k=")</f>
        <v>#VALUE!</v>
      </c>
      <c r="GE43" t="e">
        <f>AND('Final Alliance Potential'!I3,"AAAAAAef77o=")</f>
        <v>#VALUE!</v>
      </c>
      <c r="GF43" t="e">
        <f>AND('Final Alliance Potential'!J3,"AAAAAAef77s=")</f>
        <v>#VALUE!</v>
      </c>
      <c r="GG43" t="e">
        <f>AND('Final Alliance Potential'!K3,"AAAAAAef77w=")</f>
        <v>#VALUE!</v>
      </c>
      <c r="GH43" t="e">
        <f>AND('Final Alliance Potential'!L3,"AAAAAAef770=")</f>
        <v>#VALUE!</v>
      </c>
      <c r="GI43" t="e">
        <f>AND('Final Alliance Potential'!M3,"AAAAAAef774=")</f>
        <v>#VALUE!</v>
      </c>
      <c r="GJ43" t="e">
        <f>AND('Final Alliance Potential'!N3,"AAAAAAef778=")</f>
        <v>#VALUE!</v>
      </c>
      <c r="GK43" t="e">
        <f>AND('Final Alliance Potential'!O3,"AAAAAAef78A=")</f>
        <v>#VALUE!</v>
      </c>
      <c r="GL43">
        <f>IF('Final Alliance Potential'!4:4,"AAAAAAef78E=",0)</f>
        <v>0</v>
      </c>
      <c r="GM43" t="e">
        <f>AND('Final Alliance Potential'!B4,"AAAAAAef78I=")</f>
        <v>#VALUE!</v>
      </c>
      <c r="GN43" t="e">
        <f>AND('Final Alliance Potential'!C4,"AAAAAAef78M=")</f>
        <v>#VALUE!</v>
      </c>
      <c r="GO43" t="e">
        <f>AND('Final Alliance Potential'!D4,"AAAAAAef78Q=")</f>
        <v>#VALUE!</v>
      </c>
      <c r="GP43" t="e">
        <f>AND('Final Alliance Potential'!E4,"AAAAAAef78U=")</f>
        <v>#VALUE!</v>
      </c>
      <c r="GQ43" t="e">
        <f>AND('Final Alliance Potential'!F4,"AAAAAAef78Y=")</f>
        <v>#VALUE!</v>
      </c>
      <c r="GR43" t="e">
        <f>AND('Final Alliance Potential'!G4,"AAAAAAef78c=")</f>
        <v>#VALUE!</v>
      </c>
      <c r="GS43" t="e">
        <f>AND('Final Alliance Potential'!H4,"AAAAAAef78g=")</f>
        <v>#VALUE!</v>
      </c>
      <c r="GT43" t="e">
        <f>AND('Final Alliance Potential'!I4,"AAAAAAef78k=")</f>
        <v>#VALUE!</v>
      </c>
      <c r="GU43" t="e">
        <f>AND('Final Alliance Potential'!J4,"AAAAAAef78o=")</f>
        <v>#VALUE!</v>
      </c>
      <c r="GV43" t="e">
        <f>AND('Final Alliance Potential'!K4,"AAAAAAef78s=")</f>
        <v>#VALUE!</v>
      </c>
      <c r="GW43" t="e">
        <f>AND('Final Alliance Potential'!L4,"AAAAAAef78w=")</f>
        <v>#VALUE!</v>
      </c>
      <c r="GX43" t="e">
        <f>AND('Final Alliance Potential'!M4,"AAAAAAef780=")</f>
        <v>#VALUE!</v>
      </c>
      <c r="GY43" t="e">
        <f>AND('Final Alliance Potential'!N4,"AAAAAAef784=")</f>
        <v>#VALUE!</v>
      </c>
      <c r="GZ43" t="e">
        <f>AND('Final Alliance Potential'!O4,"AAAAAAef788=")</f>
        <v>#VALUE!</v>
      </c>
      <c r="HA43">
        <f>IF('Final Alliance Potential'!5:5,"AAAAAAef79A=",0)</f>
        <v>0</v>
      </c>
      <c r="HB43" t="e">
        <f>AND('Final Alliance Potential'!B5,"AAAAAAef79E=")</f>
        <v>#VALUE!</v>
      </c>
      <c r="HC43" t="e">
        <f>AND('Final Alliance Potential'!C5,"AAAAAAef79I=")</f>
        <v>#VALUE!</v>
      </c>
      <c r="HD43" t="e">
        <f>AND('Final Alliance Potential'!D5,"AAAAAAef79M=")</f>
        <v>#VALUE!</v>
      </c>
      <c r="HE43" t="e">
        <f>AND('Final Alliance Potential'!E5,"AAAAAAef79Q=")</f>
        <v>#VALUE!</v>
      </c>
      <c r="HF43" t="e">
        <f>AND('Final Alliance Potential'!F5,"AAAAAAef79U=")</f>
        <v>#VALUE!</v>
      </c>
      <c r="HG43" t="e">
        <f>AND('Final Alliance Potential'!G5,"AAAAAAef79Y=")</f>
        <v>#VALUE!</v>
      </c>
      <c r="HH43" t="e">
        <f>AND('Final Alliance Potential'!H5,"AAAAAAef79c=")</f>
        <v>#VALUE!</v>
      </c>
      <c r="HI43" t="e">
        <f>AND('Final Alliance Potential'!I5,"AAAAAAef79g=")</f>
        <v>#VALUE!</v>
      </c>
      <c r="HJ43" t="e">
        <f>AND('Final Alliance Potential'!J5,"AAAAAAef79k=")</f>
        <v>#VALUE!</v>
      </c>
      <c r="HK43" t="e">
        <f>AND('Final Alliance Potential'!K5,"AAAAAAef79o=")</f>
        <v>#VALUE!</v>
      </c>
      <c r="HL43" t="e">
        <f>AND('Final Alliance Potential'!L5,"AAAAAAef79s=")</f>
        <v>#VALUE!</v>
      </c>
      <c r="HM43" t="e">
        <f>AND('Final Alliance Potential'!M5,"AAAAAAef79w=")</f>
        <v>#VALUE!</v>
      </c>
      <c r="HN43" t="e">
        <f>AND('Final Alliance Potential'!N5,"AAAAAAef790=")</f>
        <v>#VALUE!</v>
      </c>
      <c r="HO43" t="e">
        <f>AND('Final Alliance Potential'!O5,"AAAAAAef794=")</f>
        <v>#VALUE!</v>
      </c>
      <c r="HP43">
        <f>IF('Final Alliance Potential'!6:6,"AAAAAAef798=",0)</f>
        <v>0</v>
      </c>
      <c r="HQ43" t="e">
        <f>AND('Final Alliance Potential'!B6,"AAAAAAef7+A=")</f>
        <v>#VALUE!</v>
      </c>
      <c r="HR43" t="e">
        <f>AND('Final Alliance Potential'!C6,"AAAAAAef7+E=")</f>
        <v>#VALUE!</v>
      </c>
      <c r="HS43" t="e">
        <f>AND('Final Alliance Potential'!D6,"AAAAAAef7+I=")</f>
        <v>#VALUE!</v>
      </c>
      <c r="HT43" t="e">
        <f>AND('Final Alliance Potential'!E6,"AAAAAAef7+M=")</f>
        <v>#VALUE!</v>
      </c>
      <c r="HU43" t="e">
        <f>AND('Final Alliance Potential'!F6,"AAAAAAef7+Q=")</f>
        <v>#VALUE!</v>
      </c>
      <c r="HV43" t="e">
        <f>AND('Final Alliance Potential'!G6,"AAAAAAef7+U=")</f>
        <v>#VALUE!</v>
      </c>
      <c r="HW43" t="e">
        <f>AND('Final Alliance Potential'!H6,"AAAAAAef7+Y=")</f>
        <v>#VALUE!</v>
      </c>
      <c r="HX43" t="e">
        <f>AND('Final Alliance Potential'!I6,"AAAAAAef7+c=")</f>
        <v>#VALUE!</v>
      </c>
      <c r="HY43" t="e">
        <f>AND('Final Alliance Potential'!J6,"AAAAAAef7+g=")</f>
        <v>#VALUE!</v>
      </c>
      <c r="HZ43" t="e">
        <f>AND('Final Alliance Potential'!K6,"AAAAAAef7+k=")</f>
        <v>#VALUE!</v>
      </c>
      <c r="IA43" t="e">
        <f>AND('Final Alliance Potential'!L6,"AAAAAAef7+o=")</f>
        <v>#VALUE!</v>
      </c>
      <c r="IB43" t="e">
        <f>AND('Final Alliance Potential'!M6,"AAAAAAef7+s=")</f>
        <v>#VALUE!</v>
      </c>
      <c r="IC43" t="e">
        <f>AND('Final Alliance Potential'!N6,"AAAAAAef7+w=")</f>
        <v>#VALUE!</v>
      </c>
      <c r="ID43" t="e">
        <f>AND('Final Alliance Potential'!O6,"AAAAAAef7+0=")</f>
        <v>#VALUE!</v>
      </c>
      <c r="IE43">
        <f>IF('Final Alliance Potential'!7:7,"AAAAAAef7+4=",0)</f>
        <v>0</v>
      </c>
      <c r="IF43" t="e">
        <f>AND('Final Alliance Potential'!B7,"AAAAAAef7+8=")</f>
        <v>#VALUE!</v>
      </c>
      <c r="IG43" t="e">
        <f>AND('Final Alliance Potential'!C7,"AAAAAAef7/A=")</f>
        <v>#VALUE!</v>
      </c>
      <c r="IH43" t="e">
        <f>AND('Final Alliance Potential'!D7,"AAAAAAef7/E=")</f>
        <v>#VALUE!</v>
      </c>
      <c r="II43" t="e">
        <f>AND('Final Alliance Potential'!E7,"AAAAAAef7/I=")</f>
        <v>#VALUE!</v>
      </c>
      <c r="IJ43" t="e">
        <f>AND('Final Alliance Potential'!F7,"AAAAAAef7/M=")</f>
        <v>#VALUE!</v>
      </c>
      <c r="IK43" t="e">
        <f>AND('Final Alliance Potential'!G7,"AAAAAAef7/Q=")</f>
        <v>#VALUE!</v>
      </c>
      <c r="IL43" t="e">
        <f>AND('Final Alliance Potential'!H7,"AAAAAAef7/U=")</f>
        <v>#VALUE!</v>
      </c>
      <c r="IM43" t="e">
        <f>AND('Final Alliance Potential'!I7,"AAAAAAef7/Y=")</f>
        <v>#VALUE!</v>
      </c>
      <c r="IN43" t="e">
        <f>AND('Final Alliance Potential'!J7,"AAAAAAef7/c=")</f>
        <v>#VALUE!</v>
      </c>
      <c r="IO43" t="e">
        <f>AND('Final Alliance Potential'!K7,"AAAAAAef7/g=")</f>
        <v>#VALUE!</v>
      </c>
      <c r="IP43" t="e">
        <f>AND('Final Alliance Potential'!L7,"AAAAAAef7/k=")</f>
        <v>#VALUE!</v>
      </c>
      <c r="IQ43" t="e">
        <f>AND('Final Alliance Potential'!M7,"AAAAAAef7/o=")</f>
        <v>#VALUE!</v>
      </c>
      <c r="IR43" t="e">
        <f>AND('Final Alliance Potential'!N7,"AAAAAAef7/s=")</f>
        <v>#VALUE!</v>
      </c>
      <c r="IS43" t="e">
        <f>AND('Final Alliance Potential'!O7,"AAAAAAef7/w=")</f>
        <v>#VALUE!</v>
      </c>
      <c r="IT43">
        <f>IF('Final Alliance Potential'!8:8,"AAAAAAef7/0=",0)</f>
        <v>0</v>
      </c>
      <c r="IU43" t="e">
        <f>AND('Final Alliance Potential'!B8,"AAAAAAef7/4=")</f>
        <v>#VALUE!</v>
      </c>
      <c r="IV43" t="e">
        <f>AND('Final Alliance Potential'!C8,"AAAAAAef7/8=")</f>
        <v>#VALUE!</v>
      </c>
    </row>
    <row r="44" spans="1:256" x14ac:dyDescent="0.2">
      <c r="A44" t="e">
        <f>AND('Final Alliance Potential'!D8,"AAAAAE99vwA=")</f>
        <v>#VALUE!</v>
      </c>
      <c r="B44" t="e">
        <f>AND('Final Alliance Potential'!E8,"AAAAAE99vwE=")</f>
        <v>#VALUE!</v>
      </c>
      <c r="C44" t="e">
        <f>AND('Final Alliance Potential'!F8,"AAAAAE99vwI=")</f>
        <v>#VALUE!</v>
      </c>
      <c r="D44" t="e">
        <f>AND('Final Alliance Potential'!G8,"AAAAAE99vwM=")</f>
        <v>#VALUE!</v>
      </c>
      <c r="E44" t="e">
        <f>AND('Final Alliance Potential'!H8,"AAAAAE99vwQ=")</f>
        <v>#VALUE!</v>
      </c>
      <c r="F44" t="e">
        <f>AND('Final Alliance Potential'!I8,"AAAAAE99vwU=")</f>
        <v>#VALUE!</v>
      </c>
      <c r="G44" t="e">
        <f>AND('Final Alliance Potential'!J8,"AAAAAE99vwY=")</f>
        <v>#VALUE!</v>
      </c>
      <c r="H44" t="e">
        <f>AND('Final Alliance Potential'!K8,"AAAAAE99vwc=")</f>
        <v>#VALUE!</v>
      </c>
      <c r="I44" t="e">
        <f>AND('Final Alliance Potential'!L8,"AAAAAE99vwg=")</f>
        <v>#VALUE!</v>
      </c>
      <c r="J44" t="e">
        <f>AND('Final Alliance Potential'!M8,"AAAAAE99vwk=")</f>
        <v>#VALUE!</v>
      </c>
      <c r="K44" t="e">
        <f>AND('Final Alliance Potential'!N8,"AAAAAE99vwo=")</f>
        <v>#VALUE!</v>
      </c>
      <c r="L44" t="e">
        <f>AND('Final Alliance Potential'!O8,"AAAAAE99vws=")</f>
        <v>#VALUE!</v>
      </c>
      <c r="M44" t="e">
        <f>IF('Final Alliance Potential'!9:9,"AAAAAE99vww=",0)</f>
        <v>#N/A</v>
      </c>
      <c r="N44" t="e">
        <f>AND('Final Alliance Potential'!B9,"AAAAAE99vw0=")</f>
        <v>#VALUE!</v>
      </c>
      <c r="O44" t="e">
        <f>AND('Final Alliance Potential'!C9,"AAAAAE99vw4=")</f>
        <v>#VALUE!</v>
      </c>
      <c r="P44" t="e">
        <f>AND('Final Alliance Potential'!D9,"AAAAAE99vw8=")</f>
        <v>#VALUE!</v>
      </c>
      <c r="Q44" t="e">
        <f>AND('Final Alliance Potential'!E9,"AAAAAE99vxA=")</f>
        <v>#VALUE!</v>
      </c>
      <c r="R44" t="e">
        <f>AND('Final Alliance Potential'!F9,"AAAAAE99vxE=")</f>
        <v>#VALUE!</v>
      </c>
      <c r="S44" t="e">
        <f>AND('Final Alliance Potential'!G9,"AAAAAE99vxI=")</f>
        <v>#VALUE!</v>
      </c>
      <c r="T44" t="e">
        <f>AND('Final Alliance Potential'!H9,"AAAAAE99vxM=")</f>
        <v>#VALUE!</v>
      </c>
      <c r="U44" t="e">
        <f>AND('Final Alliance Potential'!I9,"AAAAAE99vxQ=")</f>
        <v>#VALUE!</v>
      </c>
      <c r="V44" t="e">
        <f>AND('Final Alliance Potential'!J9,"AAAAAE99vxU=")</f>
        <v>#VALUE!</v>
      </c>
      <c r="W44" t="e">
        <f>AND('Final Alliance Potential'!K9,"AAAAAE99vxY=")</f>
        <v>#VALUE!</v>
      </c>
      <c r="X44" t="e">
        <f>AND('Final Alliance Potential'!L9,"AAAAAE99vxc=")</f>
        <v>#VALUE!</v>
      </c>
      <c r="Y44" t="e">
        <f>AND('Final Alliance Potential'!M9,"AAAAAE99vxg=")</f>
        <v>#VALUE!</v>
      </c>
      <c r="Z44" t="e">
        <f>AND('Final Alliance Potential'!N9,"AAAAAE99vxk=")</f>
        <v>#VALUE!</v>
      </c>
      <c r="AA44" t="e">
        <f>AND('Final Alliance Potential'!O9,"AAAAAE99vxo=")</f>
        <v>#VALUE!</v>
      </c>
      <c r="AB44">
        <f>IF('Final Alliance Potential'!10:10,"AAAAAE99vxs=",0)</f>
        <v>0</v>
      </c>
      <c r="AC44" t="e">
        <f>AND('Final Alliance Potential'!B10,"AAAAAE99vxw=")</f>
        <v>#VALUE!</v>
      </c>
      <c r="AD44" t="e">
        <f>AND('Final Alliance Potential'!C10,"AAAAAE99vx0=")</f>
        <v>#VALUE!</v>
      </c>
      <c r="AE44" t="e">
        <f>AND('Final Alliance Potential'!D10,"AAAAAE99vx4=")</f>
        <v>#VALUE!</v>
      </c>
      <c r="AF44" t="e">
        <f>AND('Final Alliance Potential'!E10,"AAAAAE99vx8=")</f>
        <v>#VALUE!</v>
      </c>
      <c r="AG44" t="e">
        <f>AND('Final Alliance Potential'!F10,"AAAAAE99vyA=")</f>
        <v>#VALUE!</v>
      </c>
      <c r="AH44" t="e">
        <f>AND('Final Alliance Potential'!G10,"AAAAAE99vyE=")</f>
        <v>#VALUE!</v>
      </c>
      <c r="AI44" t="e">
        <f>AND('Final Alliance Potential'!H10,"AAAAAE99vyI=")</f>
        <v>#VALUE!</v>
      </c>
      <c r="AJ44" t="e">
        <f>AND('Final Alliance Potential'!I10,"AAAAAE99vyM=")</f>
        <v>#VALUE!</v>
      </c>
      <c r="AK44" t="e">
        <f>AND('Final Alliance Potential'!J10,"AAAAAE99vyQ=")</f>
        <v>#VALUE!</v>
      </c>
      <c r="AL44" t="e">
        <f>AND('Final Alliance Potential'!K10,"AAAAAE99vyU=")</f>
        <v>#VALUE!</v>
      </c>
      <c r="AM44" t="e">
        <f>AND('Final Alliance Potential'!L10,"AAAAAE99vyY=")</f>
        <v>#VALUE!</v>
      </c>
      <c r="AN44" t="e">
        <f>AND('Final Alliance Potential'!M10,"AAAAAE99vyc=")</f>
        <v>#VALUE!</v>
      </c>
      <c r="AO44" t="e">
        <f>AND('Final Alliance Potential'!N10,"AAAAAE99vyg=")</f>
        <v>#VALUE!</v>
      </c>
      <c r="AP44" t="e">
        <f>AND('Final Alliance Potential'!O10,"AAAAAE99vyk=")</f>
        <v>#VALUE!</v>
      </c>
      <c r="AQ44">
        <f>IF('Final Alliance Potential'!11:11,"AAAAAE99vyo=",0)</f>
        <v>0</v>
      </c>
      <c r="AR44" t="e">
        <f>AND('Final Alliance Potential'!B11,"AAAAAE99vys=")</f>
        <v>#VALUE!</v>
      </c>
      <c r="AS44" t="e">
        <f>AND('Final Alliance Potential'!C11,"AAAAAE99vyw=")</f>
        <v>#VALUE!</v>
      </c>
      <c r="AT44" t="e">
        <f>AND('Final Alliance Potential'!D11,"AAAAAE99vy0=")</f>
        <v>#VALUE!</v>
      </c>
      <c r="AU44" t="e">
        <f>AND('Final Alliance Potential'!E11,"AAAAAE99vy4=")</f>
        <v>#VALUE!</v>
      </c>
      <c r="AV44" t="e">
        <f>AND('Final Alliance Potential'!F11,"AAAAAE99vy8=")</f>
        <v>#VALUE!</v>
      </c>
      <c r="AW44" t="e">
        <f>AND('Final Alliance Potential'!G11,"AAAAAE99vzA=")</f>
        <v>#VALUE!</v>
      </c>
      <c r="AX44" t="e">
        <f>AND('Final Alliance Potential'!H11,"AAAAAE99vzE=")</f>
        <v>#VALUE!</v>
      </c>
      <c r="AY44" t="e">
        <f>AND('Final Alliance Potential'!I11,"AAAAAE99vzI=")</f>
        <v>#VALUE!</v>
      </c>
      <c r="AZ44" t="e">
        <f>AND('Final Alliance Potential'!J11,"AAAAAE99vzM=")</f>
        <v>#VALUE!</v>
      </c>
      <c r="BA44" t="e">
        <f>AND('Final Alliance Potential'!K11,"AAAAAE99vzQ=")</f>
        <v>#VALUE!</v>
      </c>
      <c r="BB44" t="e">
        <f>AND('Final Alliance Potential'!L11,"AAAAAE99vzU=")</f>
        <v>#VALUE!</v>
      </c>
      <c r="BC44" t="e">
        <f>AND('Final Alliance Potential'!M11,"AAAAAE99vzY=")</f>
        <v>#VALUE!</v>
      </c>
      <c r="BD44" t="e">
        <f>AND('Final Alliance Potential'!N11,"AAAAAE99vzc=")</f>
        <v>#VALUE!</v>
      </c>
      <c r="BE44" t="e">
        <f>AND('Final Alliance Potential'!O11,"AAAAAE99vzg=")</f>
        <v>#VALUE!</v>
      </c>
      <c r="BF44">
        <f>IF('Final Alliance Potential'!12:12,"AAAAAE99vzk=",0)</f>
        <v>0</v>
      </c>
      <c r="BG44" t="e">
        <f>AND('Final Alliance Potential'!B12,"AAAAAE99vzo=")</f>
        <v>#VALUE!</v>
      </c>
      <c r="BH44" t="e">
        <f>AND('Final Alliance Potential'!C12,"AAAAAE99vzs=")</f>
        <v>#VALUE!</v>
      </c>
      <c r="BI44" t="e">
        <f>AND('Final Alliance Potential'!D12,"AAAAAE99vzw=")</f>
        <v>#VALUE!</v>
      </c>
      <c r="BJ44" t="e">
        <f>AND('Final Alliance Potential'!E12,"AAAAAE99vz0=")</f>
        <v>#VALUE!</v>
      </c>
      <c r="BK44" t="e">
        <f>AND('Final Alliance Potential'!F12,"AAAAAE99vz4=")</f>
        <v>#VALUE!</v>
      </c>
      <c r="BL44" t="e">
        <f>AND('Final Alliance Potential'!G12,"AAAAAE99vz8=")</f>
        <v>#VALUE!</v>
      </c>
      <c r="BM44" t="e">
        <f>AND('Final Alliance Potential'!H12,"AAAAAE99v0A=")</f>
        <v>#VALUE!</v>
      </c>
      <c r="BN44" t="e">
        <f>AND('Final Alliance Potential'!I12,"AAAAAE99v0E=")</f>
        <v>#VALUE!</v>
      </c>
      <c r="BO44" t="e">
        <f>AND('Final Alliance Potential'!J12,"AAAAAE99v0I=")</f>
        <v>#VALUE!</v>
      </c>
      <c r="BP44" t="e">
        <f>AND('Final Alliance Potential'!K12,"AAAAAE99v0M=")</f>
        <v>#VALUE!</v>
      </c>
      <c r="BQ44" t="e">
        <f>AND('Final Alliance Potential'!L12,"AAAAAE99v0Q=")</f>
        <v>#VALUE!</v>
      </c>
      <c r="BR44" t="e">
        <f>AND('Final Alliance Potential'!M12,"AAAAAE99v0U=")</f>
        <v>#VALUE!</v>
      </c>
      <c r="BS44" t="e">
        <f>AND('Final Alliance Potential'!N12,"AAAAAE99v0Y=")</f>
        <v>#VALUE!</v>
      </c>
      <c r="BT44" t="e">
        <f>AND('Final Alliance Potential'!O12,"AAAAAE99v0c=")</f>
        <v>#VALUE!</v>
      </c>
      <c r="BU44">
        <f>IF('Final Alliance Potential'!13:13,"AAAAAE99v0g=",0)</f>
        <v>0</v>
      </c>
      <c r="BV44" t="e">
        <f>AND('Final Alliance Potential'!B13,"AAAAAE99v0k=")</f>
        <v>#VALUE!</v>
      </c>
      <c r="BW44" t="e">
        <f>AND('Final Alliance Potential'!C13,"AAAAAE99v0o=")</f>
        <v>#VALUE!</v>
      </c>
      <c r="BX44" t="e">
        <f>AND('Final Alliance Potential'!D13,"AAAAAE99v0s=")</f>
        <v>#VALUE!</v>
      </c>
      <c r="BY44" t="e">
        <f>AND('Final Alliance Potential'!E13,"AAAAAE99v0w=")</f>
        <v>#VALUE!</v>
      </c>
      <c r="BZ44" t="e">
        <f>AND('Final Alliance Potential'!F13,"AAAAAE99v00=")</f>
        <v>#VALUE!</v>
      </c>
      <c r="CA44" t="e">
        <f>AND('Final Alliance Potential'!G13,"AAAAAE99v04=")</f>
        <v>#VALUE!</v>
      </c>
      <c r="CB44" t="e">
        <f>AND('Final Alliance Potential'!H13,"AAAAAE99v08=")</f>
        <v>#VALUE!</v>
      </c>
      <c r="CC44" t="e">
        <f>AND('Final Alliance Potential'!I13,"AAAAAE99v1A=")</f>
        <v>#VALUE!</v>
      </c>
      <c r="CD44" t="e">
        <f>AND('Final Alliance Potential'!J13,"AAAAAE99v1E=")</f>
        <v>#VALUE!</v>
      </c>
      <c r="CE44" t="e">
        <f>AND('Final Alliance Potential'!K13,"AAAAAE99v1I=")</f>
        <v>#VALUE!</v>
      </c>
      <c r="CF44" t="e">
        <f>AND('Final Alliance Potential'!L13,"AAAAAE99v1M=")</f>
        <v>#VALUE!</v>
      </c>
      <c r="CG44" t="e">
        <f>AND('Final Alliance Potential'!M13,"AAAAAE99v1Q=")</f>
        <v>#VALUE!</v>
      </c>
      <c r="CH44" t="e">
        <f>AND('Final Alliance Potential'!N13,"AAAAAE99v1U=")</f>
        <v>#VALUE!</v>
      </c>
      <c r="CI44" t="e">
        <f>AND('Final Alliance Potential'!O13,"AAAAAE99v1Y=")</f>
        <v>#VALUE!</v>
      </c>
      <c r="CJ44">
        <f>IF('Final Alliance Potential'!14:14,"AAAAAE99v1c=",0)</f>
        <v>0</v>
      </c>
      <c r="CK44" t="e">
        <f>AND('Final Alliance Potential'!B14,"AAAAAE99v1g=")</f>
        <v>#VALUE!</v>
      </c>
      <c r="CL44" t="e">
        <f>AND('Final Alliance Potential'!C14,"AAAAAE99v1k=")</f>
        <v>#VALUE!</v>
      </c>
      <c r="CM44" t="e">
        <f>AND('Final Alliance Potential'!D14,"AAAAAE99v1o=")</f>
        <v>#VALUE!</v>
      </c>
      <c r="CN44" t="e">
        <f>AND('Final Alliance Potential'!E14,"AAAAAE99v1s=")</f>
        <v>#VALUE!</v>
      </c>
      <c r="CO44" t="e">
        <f>AND('Final Alliance Potential'!F14,"AAAAAE99v1w=")</f>
        <v>#VALUE!</v>
      </c>
      <c r="CP44" t="e">
        <f>AND('Final Alliance Potential'!G14,"AAAAAE99v10=")</f>
        <v>#VALUE!</v>
      </c>
      <c r="CQ44" t="e">
        <f>AND('Final Alliance Potential'!H14,"AAAAAE99v14=")</f>
        <v>#VALUE!</v>
      </c>
      <c r="CR44" t="e">
        <f>AND('Final Alliance Potential'!I14,"AAAAAE99v18=")</f>
        <v>#VALUE!</v>
      </c>
      <c r="CS44" t="e">
        <f>AND('Final Alliance Potential'!J14,"AAAAAE99v2A=")</f>
        <v>#VALUE!</v>
      </c>
      <c r="CT44" t="e">
        <f>AND('Final Alliance Potential'!K14,"AAAAAE99v2E=")</f>
        <v>#VALUE!</v>
      </c>
      <c r="CU44" t="e">
        <f>AND('Final Alliance Potential'!L14,"AAAAAE99v2I=")</f>
        <v>#VALUE!</v>
      </c>
      <c r="CV44" t="e">
        <f>AND('Final Alliance Potential'!M14,"AAAAAE99v2M=")</f>
        <v>#VALUE!</v>
      </c>
      <c r="CW44" t="e">
        <f>AND('Final Alliance Potential'!N14,"AAAAAE99v2Q=")</f>
        <v>#VALUE!</v>
      </c>
      <c r="CX44" t="e">
        <f>AND('Final Alliance Potential'!O14,"AAAAAE99v2U=")</f>
        <v>#VALUE!</v>
      </c>
      <c r="CY44">
        <f>IF('Final Alliance Potential'!15:15,"AAAAAE99v2Y=",0)</f>
        <v>0</v>
      </c>
      <c r="CZ44" t="e">
        <f>AND('Final Alliance Potential'!B15,"AAAAAE99v2c=")</f>
        <v>#VALUE!</v>
      </c>
      <c r="DA44" t="e">
        <f>AND('Final Alliance Potential'!C15,"AAAAAE99v2g=")</f>
        <v>#VALUE!</v>
      </c>
      <c r="DB44" t="e">
        <f>AND('Final Alliance Potential'!D15,"AAAAAE99v2k=")</f>
        <v>#VALUE!</v>
      </c>
      <c r="DC44" t="e">
        <f>AND('Final Alliance Potential'!E15,"AAAAAE99v2o=")</f>
        <v>#VALUE!</v>
      </c>
      <c r="DD44" t="e">
        <f>AND('Final Alliance Potential'!F15,"AAAAAE99v2s=")</f>
        <v>#VALUE!</v>
      </c>
      <c r="DE44" t="e">
        <f>AND('Final Alliance Potential'!G15,"AAAAAE99v2w=")</f>
        <v>#VALUE!</v>
      </c>
      <c r="DF44" t="e">
        <f>AND('Final Alliance Potential'!H15,"AAAAAE99v20=")</f>
        <v>#VALUE!</v>
      </c>
      <c r="DG44" t="e">
        <f>AND('Final Alliance Potential'!I15,"AAAAAE99v24=")</f>
        <v>#VALUE!</v>
      </c>
      <c r="DH44" t="e">
        <f>AND('Final Alliance Potential'!J15,"AAAAAE99v28=")</f>
        <v>#VALUE!</v>
      </c>
      <c r="DI44" t="e">
        <f>AND('Final Alliance Potential'!K15,"AAAAAE99v3A=")</f>
        <v>#VALUE!</v>
      </c>
      <c r="DJ44" t="e">
        <f>AND('Final Alliance Potential'!L15,"AAAAAE99v3E=")</f>
        <v>#VALUE!</v>
      </c>
      <c r="DK44" t="e">
        <f>AND('Final Alliance Potential'!M15,"AAAAAE99v3I=")</f>
        <v>#VALUE!</v>
      </c>
      <c r="DL44" t="e">
        <f>AND('Final Alliance Potential'!N15,"AAAAAE99v3M=")</f>
        <v>#VALUE!</v>
      </c>
      <c r="DM44" t="e">
        <f>AND('Final Alliance Potential'!O15,"AAAAAE99v3Q=")</f>
        <v>#VALUE!</v>
      </c>
      <c r="DN44">
        <f>IF('Final Alliance Potential'!16:16,"AAAAAE99v3U=",0)</f>
        <v>0</v>
      </c>
      <c r="DO44" t="e">
        <f>AND('Final Alliance Potential'!B16,"AAAAAE99v3Y=")</f>
        <v>#VALUE!</v>
      </c>
      <c r="DP44" t="e">
        <f>AND('Final Alliance Potential'!C16,"AAAAAE99v3c=")</f>
        <v>#VALUE!</v>
      </c>
      <c r="DQ44" t="e">
        <f>AND('Final Alliance Potential'!D16,"AAAAAE99v3g=")</f>
        <v>#VALUE!</v>
      </c>
      <c r="DR44" t="e">
        <f>AND('Final Alliance Potential'!E16,"AAAAAE99v3k=")</f>
        <v>#VALUE!</v>
      </c>
      <c r="DS44" t="e">
        <f>AND('Final Alliance Potential'!F16,"AAAAAE99v3o=")</f>
        <v>#VALUE!</v>
      </c>
      <c r="DT44" t="e">
        <f>AND('Final Alliance Potential'!G16,"AAAAAE99v3s=")</f>
        <v>#VALUE!</v>
      </c>
      <c r="DU44" t="e">
        <f>AND('Final Alliance Potential'!H16,"AAAAAE99v3w=")</f>
        <v>#VALUE!</v>
      </c>
      <c r="DV44" t="e">
        <f>AND('Final Alliance Potential'!I16,"AAAAAE99v30=")</f>
        <v>#VALUE!</v>
      </c>
      <c r="DW44" t="e">
        <f>AND('Final Alliance Potential'!J16,"AAAAAE99v34=")</f>
        <v>#VALUE!</v>
      </c>
      <c r="DX44" t="e">
        <f>AND('Final Alliance Potential'!K16,"AAAAAE99v38=")</f>
        <v>#VALUE!</v>
      </c>
      <c r="DY44" t="e">
        <f>AND('Final Alliance Potential'!L16,"AAAAAE99v4A=")</f>
        <v>#VALUE!</v>
      </c>
      <c r="DZ44" t="e">
        <f>AND('Final Alliance Potential'!M16,"AAAAAE99v4E=")</f>
        <v>#VALUE!</v>
      </c>
      <c r="EA44" t="e">
        <f>AND('Final Alliance Potential'!N16,"AAAAAE99v4I=")</f>
        <v>#VALUE!</v>
      </c>
      <c r="EB44" t="e">
        <f>AND('Final Alliance Potential'!O16,"AAAAAE99v4M=")</f>
        <v>#VALUE!</v>
      </c>
      <c r="EC44">
        <f>IF('Final Alliance Potential'!17:17,"AAAAAE99v4Q=",0)</f>
        <v>0</v>
      </c>
      <c r="ED44" t="e">
        <f>AND('Final Alliance Potential'!B17,"AAAAAE99v4U=")</f>
        <v>#VALUE!</v>
      </c>
      <c r="EE44" t="e">
        <f>AND('Final Alliance Potential'!C17,"AAAAAE99v4Y=")</f>
        <v>#VALUE!</v>
      </c>
      <c r="EF44" t="e">
        <f>AND('Final Alliance Potential'!D17,"AAAAAE99v4c=")</f>
        <v>#VALUE!</v>
      </c>
      <c r="EG44" t="e">
        <f>AND('Final Alliance Potential'!E17,"AAAAAE99v4g=")</f>
        <v>#VALUE!</v>
      </c>
      <c r="EH44" t="e">
        <f>AND('Final Alliance Potential'!F17,"AAAAAE99v4k=")</f>
        <v>#VALUE!</v>
      </c>
      <c r="EI44" t="e">
        <f>AND('Final Alliance Potential'!G17,"AAAAAE99v4o=")</f>
        <v>#VALUE!</v>
      </c>
      <c r="EJ44" t="e">
        <f>AND('Final Alliance Potential'!H17,"AAAAAE99v4s=")</f>
        <v>#VALUE!</v>
      </c>
      <c r="EK44" t="e">
        <f>AND('Final Alliance Potential'!I17,"AAAAAE99v4w=")</f>
        <v>#VALUE!</v>
      </c>
      <c r="EL44" t="e">
        <f>AND('Final Alliance Potential'!J17,"AAAAAE99v40=")</f>
        <v>#VALUE!</v>
      </c>
      <c r="EM44" t="e">
        <f>AND('Final Alliance Potential'!K17,"AAAAAE99v44=")</f>
        <v>#VALUE!</v>
      </c>
      <c r="EN44" t="e">
        <f>AND('Final Alliance Potential'!L17,"AAAAAE99v48=")</f>
        <v>#VALUE!</v>
      </c>
      <c r="EO44" t="e">
        <f>AND('Final Alliance Potential'!M17,"AAAAAE99v5A=")</f>
        <v>#VALUE!</v>
      </c>
      <c r="EP44" t="e">
        <f>AND('Final Alliance Potential'!N17,"AAAAAE99v5E=")</f>
        <v>#VALUE!</v>
      </c>
      <c r="EQ44" t="e">
        <f>AND('Final Alliance Potential'!O17,"AAAAAE99v5I=")</f>
        <v>#VALUE!</v>
      </c>
      <c r="ER44">
        <f>IF('Final Alliance Potential'!18:18,"AAAAAE99v5M=",0)</f>
        <v>0</v>
      </c>
      <c r="ES44" t="e">
        <f>AND('Final Alliance Potential'!B18,"AAAAAE99v5Q=")</f>
        <v>#VALUE!</v>
      </c>
      <c r="ET44" t="e">
        <f>AND('Final Alliance Potential'!C18,"AAAAAE99v5U=")</f>
        <v>#VALUE!</v>
      </c>
      <c r="EU44" t="e">
        <f>AND('Final Alliance Potential'!D18,"AAAAAE99v5Y=")</f>
        <v>#VALUE!</v>
      </c>
      <c r="EV44" t="e">
        <f>AND('Final Alliance Potential'!E18,"AAAAAE99v5c=")</f>
        <v>#VALUE!</v>
      </c>
      <c r="EW44" t="e">
        <f>AND('Final Alliance Potential'!F18,"AAAAAE99v5g=")</f>
        <v>#VALUE!</v>
      </c>
      <c r="EX44" t="e">
        <f>AND('Final Alliance Potential'!G18,"AAAAAE99v5k=")</f>
        <v>#VALUE!</v>
      </c>
      <c r="EY44" t="e">
        <f>AND('Final Alliance Potential'!H18,"AAAAAE99v5o=")</f>
        <v>#VALUE!</v>
      </c>
      <c r="EZ44" t="e">
        <f>AND('Final Alliance Potential'!I18,"AAAAAE99v5s=")</f>
        <v>#VALUE!</v>
      </c>
      <c r="FA44" t="e">
        <f>AND('Final Alliance Potential'!J18,"AAAAAE99v5w=")</f>
        <v>#VALUE!</v>
      </c>
      <c r="FB44" t="e">
        <f>AND('Final Alliance Potential'!K18,"AAAAAE99v50=")</f>
        <v>#VALUE!</v>
      </c>
      <c r="FC44" t="e">
        <f>AND('Final Alliance Potential'!L18,"AAAAAE99v54=")</f>
        <v>#VALUE!</v>
      </c>
      <c r="FD44" t="e">
        <f>AND('Final Alliance Potential'!M18,"AAAAAE99v58=")</f>
        <v>#VALUE!</v>
      </c>
      <c r="FE44" t="e">
        <f>AND('Final Alliance Potential'!N18,"AAAAAE99v6A=")</f>
        <v>#VALUE!</v>
      </c>
      <c r="FF44" t="e">
        <f>AND('Final Alliance Potential'!O18,"AAAAAE99v6E=")</f>
        <v>#VALUE!</v>
      </c>
      <c r="FG44">
        <f>IF('Final Alliance Potential'!19:19,"AAAAAE99v6I=",0)</f>
        <v>0</v>
      </c>
      <c r="FH44" t="e">
        <f>AND('Final Alliance Potential'!B19,"AAAAAE99v6M=")</f>
        <v>#VALUE!</v>
      </c>
      <c r="FI44" t="e">
        <f>AND('Final Alliance Potential'!C19,"AAAAAE99v6Q=")</f>
        <v>#VALUE!</v>
      </c>
      <c r="FJ44" t="e">
        <f>AND('Final Alliance Potential'!D19,"AAAAAE99v6U=")</f>
        <v>#VALUE!</v>
      </c>
      <c r="FK44" t="e">
        <f>AND('Final Alliance Potential'!E19,"AAAAAE99v6Y=")</f>
        <v>#VALUE!</v>
      </c>
      <c r="FL44" t="e">
        <f>AND('Final Alliance Potential'!F19,"AAAAAE99v6c=")</f>
        <v>#VALUE!</v>
      </c>
      <c r="FM44" t="e">
        <f>AND('Final Alliance Potential'!G19,"AAAAAE99v6g=")</f>
        <v>#VALUE!</v>
      </c>
      <c r="FN44" t="e">
        <f>AND('Final Alliance Potential'!H19,"AAAAAE99v6k=")</f>
        <v>#VALUE!</v>
      </c>
      <c r="FO44" t="e">
        <f>AND('Final Alliance Potential'!I19,"AAAAAE99v6o=")</f>
        <v>#VALUE!</v>
      </c>
      <c r="FP44" t="e">
        <f>AND('Final Alliance Potential'!J19,"AAAAAE99v6s=")</f>
        <v>#VALUE!</v>
      </c>
      <c r="FQ44" t="e">
        <f>AND('Final Alliance Potential'!K19,"AAAAAE99v6w=")</f>
        <v>#VALUE!</v>
      </c>
      <c r="FR44" t="e">
        <f>AND('Final Alliance Potential'!L19,"AAAAAE99v60=")</f>
        <v>#VALUE!</v>
      </c>
      <c r="FS44" t="e">
        <f>AND('Final Alliance Potential'!M19,"AAAAAE99v64=")</f>
        <v>#VALUE!</v>
      </c>
      <c r="FT44" t="e">
        <f>AND('Final Alliance Potential'!N19,"AAAAAE99v68=")</f>
        <v>#VALUE!</v>
      </c>
      <c r="FU44" t="e">
        <f>AND('Final Alliance Potential'!O19,"AAAAAE99v7A=")</f>
        <v>#VALUE!</v>
      </c>
      <c r="FV44">
        <f>IF('Final Alliance Potential'!20:20,"AAAAAE99v7E=",0)</f>
        <v>0</v>
      </c>
      <c r="FW44" t="e">
        <f>AND('Final Alliance Potential'!B20,"AAAAAE99v7I=")</f>
        <v>#VALUE!</v>
      </c>
      <c r="FX44" t="e">
        <f>AND('Final Alliance Potential'!C20,"AAAAAE99v7M=")</f>
        <v>#VALUE!</v>
      </c>
      <c r="FY44" t="e">
        <f>AND('Final Alliance Potential'!D20,"AAAAAE99v7Q=")</f>
        <v>#VALUE!</v>
      </c>
      <c r="FZ44" t="e">
        <f>AND('Final Alliance Potential'!E20,"AAAAAE99v7U=")</f>
        <v>#VALUE!</v>
      </c>
      <c r="GA44" t="e">
        <f>AND('Final Alliance Potential'!F20,"AAAAAE99v7Y=")</f>
        <v>#VALUE!</v>
      </c>
      <c r="GB44" t="e">
        <f>AND('Final Alliance Potential'!G20,"AAAAAE99v7c=")</f>
        <v>#VALUE!</v>
      </c>
      <c r="GC44" t="e">
        <f>AND('Final Alliance Potential'!H20,"AAAAAE99v7g=")</f>
        <v>#VALUE!</v>
      </c>
      <c r="GD44" t="e">
        <f>AND('Final Alliance Potential'!I20,"AAAAAE99v7k=")</f>
        <v>#VALUE!</v>
      </c>
      <c r="GE44" t="e">
        <f>AND('Final Alliance Potential'!J20,"AAAAAE99v7o=")</f>
        <v>#VALUE!</v>
      </c>
      <c r="GF44" t="e">
        <f>AND('Final Alliance Potential'!K20,"AAAAAE99v7s=")</f>
        <v>#VALUE!</v>
      </c>
      <c r="GG44" t="e">
        <f>AND('Final Alliance Potential'!L20,"AAAAAE99v7w=")</f>
        <v>#VALUE!</v>
      </c>
      <c r="GH44" t="e">
        <f>AND('Final Alliance Potential'!M20,"AAAAAE99v70=")</f>
        <v>#VALUE!</v>
      </c>
      <c r="GI44" t="e">
        <f>AND('Final Alliance Potential'!N20,"AAAAAE99v74=")</f>
        <v>#VALUE!</v>
      </c>
      <c r="GJ44" t="e">
        <f>AND('Final Alliance Potential'!O20,"AAAAAE99v78=")</f>
        <v>#VALUE!</v>
      </c>
      <c r="GK44">
        <f>IF('Final Alliance Potential'!21:21,"AAAAAE99v8A=",0)</f>
        <v>0</v>
      </c>
      <c r="GL44" t="e">
        <f>AND('Final Alliance Potential'!B21,"AAAAAE99v8E=")</f>
        <v>#VALUE!</v>
      </c>
      <c r="GM44" t="e">
        <f>AND('Final Alliance Potential'!C21,"AAAAAE99v8I=")</f>
        <v>#VALUE!</v>
      </c>
      <c r="GN44" t="e">
        <f>AND('Final Alliance Potential'!D21,"AAAAAE99v8M=")</f>
        <v>#VALUE!</v>
      </c>
      <c r="GO44" t="e">
        <f>AND('Final Alliance Potential'!E21,"AAAAAE99v8Q=")</f>
        <v>#VALUE!</v>
      </c>
      <c r="GP44" t="e">
        <f>AND('Final Alliance Potential'!F21,"AAAAAE99v8U=")</f>
        <v>#VALUE!</v>
      </c>
      <c r="GQ44" t="e">
        <f>AND('Final Alliance Potential'!G21,"AAAAAE99v8Y=")</f>
        <v>#VALUE!</v>
      </c>
      <c r="GR44" t="e">
        <f>AND('Final Alliance Potential'!H21,"AAAAAE99v8c=")</f>
        <v>#VALUE!</v>
      </c>
      <c r="GS44" t="e">
        <f>AND('Final Alliance Potential'!I21,"AAAAAE99v8g=")</f>
        <v>#VALUE!</v>
      </c>
      <c r="GT44" t="e">
        <f>AND('Final Alliance Potential'!J21,"AAAAAE99v8k=")</f>
        <v>#VALUE!</v>
      </c>
      <c r="GU44" t="e">
        <f>AND('Final Alliance Potential'!K21,"AAAAAE99v8o=")</f>
        <v>#VALUE!</v>
      </c>
      <c r="GV44" t="e">
        <f>AND('Final Alliance Potential'!L21,"AAAAAE99v8s=")</f>
        <v>#VALUE!</v>
      </c>
      <c r="GW44" t="e">
        <f>AND('Final Alliance Potential'!M21,"AAAAAE99v8w=")</f>
        <v>#VALUE!</v>
      </c>
      <c r="GX44" t="e">
        <f>AND('Final Alliance Potential'!N21,"AAAAAE99v80=")</f>
        <v>#VALUE!</v>
      </c>
      <c r="GY44" t="e">
        <f>AND('Final Alliance Potential'!O21,"AAAAAE99v84=")</f>
        <v>#VALUE!</v>
      </c>
      <c r="GZ44">
        <f>IF('Final Alliance Potential'!22:22,"AAAAAE99v88=",0)</f>
        <v>0</v>
      </c>
      <c r="HA44" t="e">
        <f>AND('Final Alliance Potential'!B22,"AAAAAE99v9A=")</f>
        <v>#VALUE!</v>
      </c>
      <c r="HB44" t="e">
        <f>AND('Final Alliance Potential'!C22,"AAAAAE99v9E=")</f>
        <v>#VALUE!</v>
      </c>
      <c r="HC44" t="e">
        <f>AND('Final Alliance Potential'!D22,"AAAAAE99v9I=")</f>
        <v>#VALUE!</v>
      </c>
      <c r="HD44" t="e">
        <f>AND('Final Alliance Potential'!E22,"AAAAAE99v9M=")</f>
        <v>#VALUE!</v>
      </c>
      <c r="HE44" t="e">
        <f>AND('Final Alliance Potential'!F22,"AAAAAE99v9Q=")</f>
        <v>#VALUE!</v>
      </c>
      <c r="HF44" t="e">
        <f>AND('Final Alliance Potential'!G22,"AAAAAE99v9U=")</f>
        <v>#VALUE!</v>
      </c>
      <c r="HG44" t="e">
        <f>AND('Final Alliance Potential'!H22,"AAAAAE99v9Y=")</f>
        <v>#VALUE!</v>
      </c>
      <c r="HH44" t="e">
        <f>AND('Final Alliance Potential'!I22,"AAAAAE99v9c=")</f>
        <v>#VALUE!</v>
      </c>
      <c r="HI44" t="e">
        <f>AND('Final Alliance Potential'!J22,"AAAAAE99v9g=")</f>
        <v>#VALUE!</v>
      </c>
      <c r="HJ44" t="e">
        <f>AND('Final Alliance Potential'!K22,"AAAAAE99v9k=")</f>
        <v>#VALUE!</v>
      </c>
      <c r="HK44" t="e">
        <f>AND('Final Alliance Potential'!L22,"AAAAAE99v9o=")</f>
        <v>#VALUE!</v>
      </c>
      <c r="HL44" t="e">
        <f>AND('Final Alliance Potential'!M22,"AAAAAE99v9s=")</f>
        <v>#VALUE!</v>
      </c>
      <c r="HM44" t="e">
        <f>AND('Final Alliance Potential'!N22,"AAAAAE99v9w=")</f>
        <v>#VALUE!</v>
      </c>
      <c r="HN44" t="e">
        <f>AND('Final Alliance Potential'!O22,"AAAAAE99v90=")</f>
        <v>#VALUE!</v>
      </c>
      <c r="HO44">
        <f>IF('Final Alliance Potential'!23:23,"AAAAAE99v94=",0)</f>
        <v>0</v>
      </c>
      <c r="HP44" t="e">
        <f>AND('Final Alliance Potential'!B23,"AAAAAE99v98=")</f>
        <v>#VALUE!</v>
      </c>
      <c r="HQ44" t="e">
        <f>AND('Final Alliance Potential'!C23,"AAAAAE99v+A=")</f>
        <v>#VALUE!</v>
      </c>
      <c r="HR44" t="e">
        <f>AND('Final Alliance Potential'!D23,"AAAAAE99v+E=")</f>
        <v>#VALUE!</v>
      </c>
      <c r="HS44" t="e">
        <f>AND('Final Alliance Potential'!E23,"AAAAAE99v+I=")</f>
        <v>#VALUE!</v>
      </c>
      <c r="HT44" t="e">
        <f>AND('Final Alliance Potential'!F23,"AAAAAE99v+M=")</f>
        <v>#VALUE!</v>
      </c>
      <c r="HU44" t="e">
        <f>AND('Final Alliance Potential'!G23,"AAAAAE99v+Q=")</f>
        <v>#VALUE!</v>
      </c>
      <c r="HV44" t="e">
        <f>AND('Final Alliance Potential'!H23,"AAAAAE99v+U=")</f>
        <v>#VALUE!</v>
      </c>
      <c r="HW44" t="e">
        <f>AND('Final Alliance Potential'!I23,"AAAAAE99v+Y=")</f>
        <v>#VALUE!</v>
      </c>
      <c r="HX44" t="e">
        <f>AND('Final Alliance Potential'!J23,"AAAAAE99v+c=")</f>
        <v>#VALUE!</v>
      </c>
      <c r="HY44" t="e">
        <f>AND('Final Alliance Potential'!K23,"AAAAAE99v+g=")</f>
        <v>#VALUE!</v>
      </c>
      <c r="HZ44" t="e">
        <f>AND('Final Alliance Potential'!L23,"AAAAAE99v+k=")</f>
        <v>#VALUE!</v>
      </c>
      <c r="IA44" t="e">
        <f>AND('Final Alliance Potential'!M23,"AAAAAE99v+o=")</f>
        <v>#VALUE!</v>
      </c>
      <c r="IB44" t="e">
        <f>AND('Final Alliance Potential'!N23,"AAAAAE99v+s=")</f>
        <v>#VALUE!</v>
      </c>
      <c r="IC44" t="e">
        <f>AND('Final Alliance Potential'!O23,"AAAAAE99v+w=")</f>
        <v>#VALUE!</v>
      </c>
      <c r="ID44">
        <f>IF('Final Alliance Potential'!24:24,"AAAAAE99v+0=",0)</f>
        <v>0</v>
      </c>
      <c r="IE44" t="e">
        <f>AND('Final Alliance Potential'!B24,"AAAAAE99v+4=")</f>
        <v>#VALUE!</v>
      </c>
      <c r="IF44" t="e">
        <f>AND('Final Alliance Potential'!C24,"AAAAAE99v+8=")</f>
        <v>#VALUE!</v>
      </c>
      <c r="IG44" t="e">
        <f>AND('Final Alliance Potential'!D24,"AAAAAE99v/A=")</f>
        <v>#VALUE!</v>
      </c>
      <c r="IH44" t="e">
        <f>AND('Final Alliance Potential'!E24,"AAAAAE99v/E=")</f>
        <v>#VALUE!</v>
      </c>
      <c r="II44" t="e">
        <f>AND('Final Alliance Potential'!F24,"AAAAAE99v/I=")</f>
        <v>#VALUE!</v>
      </c>
      <c r="IJ44" t="e">
        <f>AND('Final Alliance Potential'!G24,"AAAAAE99v/M=")</f>
        <v>#VALUE!</v>
      </c>
      <c r="IK44" t="e">
        <f>AND('Final Alliance Potential'!H24,"AAAAAE99v/Q=")</f>
        <v>#VALUE!</v>
      </c>
      <c r="IL44" t="e">
        <f>AND('Final Alliance Potential'!I24,"AAAAAE99v/U=")</f>
        <v>#VALUE!</v>
      </c>
      <c r="IM44" t="e">
        <f>AND('Final Alliance Potential'!J24,"AAAAAE99v/Y=")</f>
        <v>#VALUE!</v>
      </c>
      <c r="IN44" t="e">
        <f>AND('Final Alliance Potential'!K24,"AAAAAE99v/c=")</f>
        <v>#VALUE!</v>
      </c>
      <c r="IO44" t="e">
        <f>AND('Final Alliance Potential'!L24,"AAAAAE99v/g=")</f>
        <v>#VALUE!</v>
      </c>
      <c r="IP44" t="e">
        <f>AND('Final Alliance Potential'!M24,"AAAAAE99v/k=")</f>
        <v>#VALUE!</v>
      </c>
      <c r="IQ44" t="e">
        <f>AND('Final Alliance Potential'!N24,"AAAAAE99v/o=")</f>
        <v>#VALUE!</v>
      </c>
      <c r="IR44" t="e">
        <f>AND('Final Alliance Potential'!O24,"AAAAAE99v/s=")</f>
        <v>#VALUE!</v>
      </c>
      <c r="IS44">
        <f>IF('Final Alliance Potential'!25:25,"AAAAAE99v/w=",0)</f>
        <v>0</v>
      </c>
      <c r="IT44" t="e">
        <f>AND('Final Alliance Potential'!B25,"AAAAAE99v/0=")</f>
        <v>#VALUE!</v>
      </c>
      <c r="IU44" t="e">
        <f>AND('Final Alliance Potential'!C25,"AAAAAE99v/4=")</f>
        <v>#VALUE!</v>
      </c>
      <c r="IV44" t="e">
        <f>AND('Final Alliance Potential'!D25,"AAAAAE99v/8=")</f>
        <v>#VALUE!</v>
      </c>
    </row>
    <row r="45" spans="1:256" x14ac:dyDescent="0.2">
      <c r="A45" t="e">
        <f>AND('Final Alliance Potential'!E25,"AAAAAB79fwA=")</f>
        <v>#VALUE!</v>
      </c>
      <c r="B45" t="e">
        <f>AND('Final Alliance Potential'!F25,"AAAAAB79fwE=")</f>
        <v>#VALUE!</v>
      </c>
      <c r="C45" t="e">
        <f>AND('Final Alliance Potential'!G25,"AAAAAB79fwI=")</f>
        <v>#VALUE!</v>
      </c>
      <c r="D45" t="e">
        <f>AND('Final Alliance Potential'!H25,"AAAAAB79fwM=")</f>
        <v>#VALUE!</v>
      </c>
      <c r="E45" t="e">
        <f>AND('Final Alliance Potential'!I25,"AAAAAB79fwQ=")</f>
        <v>#VALUE!</v>
      </c>
      <c r="F45" t="e">
        <f>AND('Final Alliance Potential'!J25,"AAAAAB79fwU=")</f>
        <v>#VALUE!</v>
      </c>
      <c r="G45" t="e">
        <f>AND('Final Alliance Potential'!K25,"AAAAAB79fwY=")</f>
        <v>#VALUE!</v>
      </c>
      <c r="H45" t="e">
        <f>AND('Final Alliance Potential'!L25,"AAAAAB79fwc=")</f>
        <v>#VALUE!</v>
      </c>
      <c r="I45" t="e">
        <f>AND('Final Alliance Potential'!M25,"AAAAAB79fwg=")</f>
        <v>#VALUE!</v>
      </c>
      <c r="J45" t="e">
        <f>AND('Final Alliance Potential'!N25,"AAAAAB79fwk=")</f>
        <v>#VALUE!</v>
      </c>
      <c r="K45" t="e">
        <f>AND('Final Alliance Potential'!O25,"AAAAAB79fwo=")</f>
        <v>#VALUE!</v>
      </c>
      <c r="L45">
        <f>IF('Final Alliance Potential'!26:26,"AAAAAB79fws=",0)</f>
        <v>0</v>
      </c>
      <c r="M45" t="e">
        <f>AND('Final Alliance Potential'!B26,"AAAAAB79fww=")</f>
        <v>#VALUE!</v>
      </c>
      <c r="N45" t="e">
        <f>AND('Final Alliance Potential'!C26,"AAAAAB79fw0=")</f>
        <v>#VALUE!</v>
      </c>
      <c r="O45" t="e">
        <f>AND('Final Alliance Potential'!D26,"AAAAAB79fw4=")</f>
        <v>#VALUE!</v>
      </c>
      <c r="P45" t="e">
        <f>AND('Final Alliance Potential'!E26,"AAAAAB79fw8=")</f>
        <v>#VALUE!</v>
      </c>
      <c r="Q45" t="e">
        <f>AND('Final Alliance Potential'!F26,"AAAAAB79fxA=")</f>
        <v>#VALUE!</v>
      </c>
      <c r="R45" t="e">
        <f>AND('Final Alliance Potential'!G26,"AAAAAB79fxE=")</f>
        <v>#VALUE!</v>
      </c>
      <c r="S45" t="e">
        <f>AND('Final Alliance Potential'!H26,"AAAAAB79fxI=")</f>
        <v>#VALUE!</v>
      </c>
      <c r="T45" t="e">
        <f>AND('Final Alliance Potential'!I26,"AAAAAB79fxM=")</f>
        <v>#VALUE!</v>
      </c>
      <c r="U45" t="e">
        <f>AND('Final Alliance Potential'!J26,"AAAAAB79fxQ=")</f>
        <v>#VALUE!</v>
      </c>
      <c r="V45" t="e">
        <f>AND('Final Alliance Potential'!K26,"AAAAAB79fxU=")</f>
        <v>#VALUE!</v>
      </c>
      <c r="W45" t="e">
        <f>AND('Final Alliance Potential'!L26,"AAAAAB79fxY=")</f>
        <v>#VALUE!</v>
      </c>
      <c r="X45" t="e">
        <f>AND('Final Alliance Potential'!M26,"AAAAAB79fxc=")</f>
        <v>#VALUE!</v>
      </c>
      <c r="Y45" t="e">
        <f>AND('Final Alliance Potential'!N26,"AAAAAB79fxg=")</f>
        <v>#VALUE!</v>
      </c>
      <c r="Z45" t="e">
        <f>AND('Final Alliance Potential'!O26,"AAAAAB79fxk=")</f>
        <v>#VALUE!</v>
      </c>
      <c r="AA45">
        <f>IF('Final Alliance Potential'!27:27,"AAAAAB79fxo=",0)</f>
        <v>0</v>
      </c>
      <c r="AB45" t="e">
        <f>AND('Final Alliance Potential'!B27,"AAAAAB79fxs=")</f>
        <v>#VALUE!</v>
      </c>
      <c r="AC45" t="e">
        <f>AND('Final Alliance Potential'!C27,"AAAAAB79fxw=")</f>
        <v>#VALUE!</v>
      </c>
      <c r="AD45" t="e">
        <f>AND('Final Alliance Potential'!D27,"AAAAAB79fx0=")</f>
        <v>#VALUE!</v>
      </c>
      <c r="AE45" t="e">
        <f>AND('Final Alliance Potential'!E27,"AAAAAB79fx4=")</f>
        <v>#VALUE!</v>
      </c>
      <c r="AF45" t="e">
        <f>AND('Final Alliance Potential'!F27,"AAAAAB79fx8=")</f>
        <v>#VALUE!</v>
      </c>
      <c r="AG45" t="e">
        <f>AND('Final Alliance Potential'!G27,"AAAAAB79fyA=")</f>
        <v>#VALUE!</v>
      </c>
      <c r="AH45" t="e">
        <f>AND('Final Alliance Potential'!H27,"AAAAAB79fyE=")</f>
        <v>#VALUE!</v>
      </c>
      <c r="AI45" t="e">
        <f>AND('Final Alliance Potential'!I27,"AAAAAB79fyI=")</f>
        <v>#VALUE!</v>
      </c>
      <c r="AJ45" t="e">
        <f>AND('Final Alliance Potential'!J27,"AAAAAB79fyM=")</f>
        <v>#VALUE!</v>
      </c>
      <c r="AK45" t="e">
        <f>AND('Final Alliance Potential'!K27,"AAAAAB79fyQ=")</f>
        <v>#VALUE!</v>
      </c>
      <c r="AL45" t="e">
        <f>AND('Final Alliance Potential'!L27,"AAAAAB79fyU=")</f>
        <v>#VALUE!</v>
      </c>
      <c r="AM45" t="e">
        <f>AND('Final Alliance Potential'!M27,"AAAAAB79fyY=")</f>
        <v>#VALUE!</v>
      </c>
      <c r="AN45" t="e">
        <f>AND('Final Alliance Potential'!N27,"AAAAAB79fyc=")</f>
        <v>#VALUE!</v>
      </c>
      <c r="AO45" t="e">
        <f>AND('Final Alliance Potential'!O27,"AAAAAB79fyg=")</f>
        <v>#VALUE!</v>
      </c>
      <c r="AP45">
        <f>IF('Final Alliance Potential'!28:28,"AAAAAB79fyk=",0)</f>
        <v>0</v>
      </c>
      <c r="AQ45" t="e">
        <f>AND('Final Alliance Potential'!B28,"AAAAAB79fyo=")</f>
        <v>#VALUE!</v>
      </c>
      <c r="AR45" t="e">
        <f>AND('Final Alliance Potential'!C28,"AAAAAB79fys=")</f>
        <v>#VALUE!</v>
      </c>
      <c r="AS45" t="e">
        <f>AND('Final Alliance Potential'!D28,"AAAAAB79fyw=")</f>
        <v>#VALUE!</v>
      </c>
      <c r="AT45" t="e">
        <f>AND('Final Alliance Potential'!E28,"AAAAAB79fy0=")</f>
        <v>#VALUE!</v>
      </c>
      <c r="AU45" t="e">
        <f>AND('Final Alliance Potential'!F28,"AAAAAB79fy4=")</f>
        <v>#VALUE!</v>
      </c>
      <c r="AV45" t="e">
        <f>AND('Final Alliance Potential'!G28,"AAAAAB79fy8=")</f>
        <v>#VALUE!</v>
      </c>
      <c r="AW45" t="e">
        <f>AND('Final Alliance Potential'!H28,"AAAAAB79fzA=")</f>
        <v>#VALUE!</v>
      </c>
      <c r="AX45" t="e">
        <f>AND('Final Alliance Potential'!I28,"AAAAAB79fzE=")</f>
        <v>#VALUE!</v>
      </c>
      <c r="AY45" t="e">
        <f>AND('Final Alliance Potential'!J28,"AAAAAB79fzI=")</f>
        <v>#VALUE!</v>
      </c>
      <c r="AZ45" t="e">
        <f>AND('Final Alliance Potential'!K28,"AAAAAB79fzM=")</f>
        <v>#VALUE!</v>
      </c>
      <c r="BA45" t="e">
        <f>AND('Final Alliance Potential'!L28,"AAAAAB79fzQ=")</f>
        <v>#VALUE!</v>
      </c>
      <c r="BB45" t="e">
        <f>AND('Final Alliance Potential'!M28,"AAAAAB79fzU=")</f>
        <v>#VALUE!</v>
      </c>
      <c r="BC45" t="e">
        <f>AND('Final Alliance Potential'!N28,"AAAAAB79fzY=")</f>
        <v>#VALUE!</v>
      </c>
      <c r="BD45" t="e">
        <f>AND('Final Alliance Potential'!O28,"AAAAAB79fzc=")</f>
        <v>#VALUE!</v>
      </c>
      <c r="BE45">
        <f>IF('Final Alliance Potential'!29:29,"AAAAAB79fzg=",0)</f>
        <v>0</v>
      </c>
      <c r="BF45" t="e">
        <f>AND('Final Alliance Potential'!B29,"AAAAAB79fzk=")</f>
        <v>#VALUE!</v>
      </c>
      <c r="BG45" t="e">
        <f>AND('Final Alliance Potential'!C29,"AAAAAB79fzo=")</f>
        <v>#VALUE!</v>
      </c>
      <c r="BH45" t="e">
        <f>AND('Final Alliance Potential'!D29,"AAAAAB79fzs=")</f>
        <v>#VALUE!</v>
      </c>
      <c r="BI45" t="e">
        <f>AND('Final Alliance Potential'!E29,"AAAAAB79fzw=")</f>
        <v>#VALUE!</v>
      </c>
      <c r="BJ45" t="e">
        <f>AND('Final Alliance Potential'!F29,"AAAAAB79fz0=")</f>
        <v>#VALUE!</v>
      </c>
      <c r="BK45" t="e">
        <f>AND('Final Alliance Potential'!G29,"AAAAAB79fz4=")</f>
        <v>#VALUE!</v>
      </c>
      <c r="BL45" t="e">
        <f>AND('Final Alliance Potential'!H29,"AAAAAB79fz8=")</f>
        <v>#VALUE!</v>
      </c>
      <c r="BM45" t="e">
        <f>AND('Final Alliance Potential'!I29,"AAAAAB79f0A=")</f>
        <v>#VALUE!</v>
      </c>
      <c r="BN45" t="e">
        <f>AND('Final Alliance Potential'!J29,"AAAAAB79f0E=")</f>
        <v>#VALUE!</v>
      </c>
      <c r="BO45" t="e">
        <f>AND('Final Alliance Potential'!K29,"AAAAAB79f0I=")</f>
        <v>#VALUE!</v>
      </c>
      <c r="BP45" t="e">
        <f>AND('Final Alliance Potential'!L29,"AAAAAB79f0M=")</f>
        <v>#VALUE!</v>
      </c>
      <c r="BQ45" t="e">
        <f>AND('Final Alliance Potential'!M29,"AAAAAB79f0Q=")</f>
        <v>#VALUE!</v>
      </c>
      <c r="BR45" t="e">
        <f>AND('Final Alliance Potential'!N29,"AAAAAB79f0U=")</f>
        <v>#VALUE!</v>
      </c>
      <c r="BS45" t="e">
        <f>AND('Final Alliance Potential'!O29,"AAAAAB79f0Y=")</f>
        <v>#VALUE!</v>
      </c>
      <c r="BT45">
        <f>IF('Final Alliance Potential'!30:30,"AAAAAB79f0c=",0)</f>
        <v>0</v>
      </c>
      <c r="BU45" t="e">
        <f>AND('Final Alliance Potential'!B30,"AAAAAB79f0g=")</f>
        <v>#VALUE!</v>
      </c>
      <c r="BV45" t="e">
        <f>AND('Final Alliance Potential'!C30,"AAAAAB79f0k=")</f>
        <v>#VALUE!</v>
      </c>
      <c r="BW45" t="e">
        <f>AND('Final Alliance Potential'!D30,"AAAAAB79f0o=")</f>
        <v>#VALUE!</v>
      </c>
      <c r="BX45" t="e">
        <f>AND('Final Alliance Potential'!E30,"AAAAAB79f0s=")</f>
        <v>#VALUE!</v>
      </c>
      <c r="BY45" t="e">
        <f>AND('Final Alliance Potential'!F30,"AAAAAB79f0w=")</f>
        <v>#VALUE!</v>
      </c>
      <c r="BZ45" t="e">
        <f>AND('Final Alliance Potential'!G30,"AAAAAB79f00=")</f>
        <v>#VALUE!</v>
      </c>
      <c r="CA45" t="e">
        <f>AND('Final Alliance Potential'!H30,"AAAAAB79f04=")</f>
        <v>#VALUE!</v>
      </c>
      <c r="CB45" t="e">
        <f>AND('Final Alliance Potential'!I30,"AAAAAB79f08=")</f>
        <v>#VALUE!</v>
      </c>
      <c r="CC45" t="e">
        <f>AND('Final Alliance Potential'!J30,"AAAAAB79f1A=")</f>
        <v>#VALUE!</v>
      </c>
      <c r="CD45" t="e">
        <f>AND('Final Alliance Potential'!K30,"AAAAAB79f1E=")</f>
        <v>#VALUE!</v>
      </c>
      <c r="CE45" t="e">
        <f>AND('Final Alliance Potential'!L30,"AAAAAB79f1I=")</f>
        <v>#VALUE!</v>
      </c>
      <c r="CF45" t="e">
        <f>AND('Final Alliance Potential'!M30,"AAAAAB79f1M=")</f>
        <v>#VALUE!</v>
      </c>
      <c r="CG45" t="e">
        <f>AND('Final Alliance Potential'!N30,"AAAAAB79f1Q=")</f>
        <v>#VALUE!</v>
      </c>
      <c r="CH45" t="e">
        <f>AND('Final Alliance Potential'!O30,"AAAAAB79f1U=")</f>
        <v>#VALUE!</v>
      </c>
      <c r="CI45">
        <f>IF('Final Alliance Potential'!31:31,"AAAAAB79f1Y=",0)</f>
        <v>0</v>
      </c>
      <c r="CJ45" t="e">
        <f>AND('Final Alliance Potential'!B31,"AAAAAB79f1c=")</f>
        <v>#VALUE!</v>
      </c>
      <c r="CK45" t="e">
        <f>AND('Final Alliance Potential'!C31,"AAAAAB79f1g=")</f>
        <v>#VALUE!</v>
      </c>
      <c r="CL45" t="e">
        <f>AND('Final Alliance Potential'!D31,"AAAAAB79f1k=")</f>
        <v>#VALUE!</v>
      </c>
      <c r="CM45" t="e">
        <f>AND('Final Alliance Potential'!E31,"AAAAAB79f1o=")</f>
        <v>#VALUE!</v>
      </c>
      <c r="CN45" t="e">
        <f>AND('Final Alliance Potential'!F31,"AAAAAB79f1s=")</f>
        <v>#VALUE!</v>
      </c>
      <c r="CO45" t="e">
        <f>AND('Final Alliance Potential'!G31,"AAAAAB79f1w=")</f>
        <v>#VALUE!</v>
      </c>
      <c r="CP45" t="e">
        <f>AND('Final Alliance Potential'!H31,"AAAAAB79f10=")</f>
        <v>#VALUE!</v>
      </c>
      <c r="CQ45" t="e">
        <f>AND('Final Alliance Potential'!I31,"AAAAAB79f14=")</f>
        <v>#VALUE!</v>
      </c>
      <c r="CR45" t="e">
        <f>AND('Final Alliance Potential'!J31,"AAAAAB79f18=")</f>
        <v>#VALUE!</v>
      </c>
      <c r="CS45" t="e">
        <f>AND('Final Alliance Potential'!K31,"AAAAAB79f2A=")</f>
        <v>#VALUE!</v>
      </c>
      <c r="CT45" t="e">
        <f>AND('Final Alliance Potential'!L31,"AAAAAB79f2E=")</f>
        <v>#VALUE!</v>
      </c>
      <c r="CU45" t="e">
        <f>AND('Final Alliance Potential'!M31,"AAAAAB79f2I=")</f>
        <v>#VALUE!</v>
      </c>
      <c r="CV45" t="e">
        <f>AND('Final Alliance Potential'!N31,"AAAAAB79f2M=")</f>
        <v>#VALUE!</v>
      </c>
      <c r="CW45" t="e">
        <f>AND('Final Alliance Potential'!O31,"AAAAAB79f2Q=")</f>
        <v>#VALUE!</v>
      </c>
      <c r="CX45">
        <f>IF('Final Alliance Potential'!32:32,"AAAAAB79f2U=",0)</f>
        <v>0</v>
      </c>
      <c r="CY45" t="e">
        <f>AND('Final Alliance Potential'!B32,"AAAAAB79f2Y=")</f>
        <v>#VALUE!</v>
      </c>
      <c r="CZ45" t="e">
        <f>AND('Final Alliance Potential'!C32,"AAAAAB79f2c=")</f>
        <v>#VALUE!</v>
      </c>
      <c r="DA45" t="e">
        <f>AND('Final Alliance Potential'!D32,"AAAAAB79f2g=")</f>
        <v>#VALUE!</v>
      </c>
      <c r="DB45" t="e">
        <f>AND('Final Alliance Potential'!E32,"AAAAAB79f2k=")</f>
        <v>#VALUE!</v>
      </c>
      <c r="DC45" t="e">
        <f>AND('Final Alliance Potential'!F32,"AAAAAB79f2o=")</f>
        <v>#VALUE!</v>
      </c>
      <c r="DD45" t="e">
        <f>AND('Final Alliance Potential'!G32,"AAAAAB79f2s=")</f>
        <v>#VALUE!</v>
      </c>
      <c r="DE45" t="e">
        <f>AND('Final Alliance Potential'!H32,"AAAAAB79f2w=")</f>
        <v>#VALUE!</v>
      </c>
      <c r="DF45" t="e">
        <f>AND('Final Alliance Potential'!I32,"AAAAAB79f20=")</f>
        <v>#VALUE!</v>
      </c>
      <c r="DG45" t="e">
        <f>AND('Final Alliance Potential'!J32,"AAAAAB79f24=")</f>
        <v>#VALUE!</v>
      </c>
      <c r="DH45" t="e">
        <f>AND('Final Alliance Potential'!K32,"AAAAAB79f28=")</f>
        <v>#VALUE!</v>
      </c>
      <c r="DI45" t="e">
        <f>AND('Final Alliance Potential'!L32,"AAAAAB79f3A=")</f>
        <v>#VALUE!</v>
      </c>
      <c r="DJ45" t="e">
        <f>AND('Final Alliance Potential'!M32,"AAAAAB79f3E=")</f>
        <v>#VALUE!</v>
      </c>
      <c r="DK45" t="e">
        <f>AND('Final Alliance Potential'!N32,"AAAAAB79f3I=")</f>
        <v>#VALUE!</v>
      </c>
      <c r="DL45" t="e">
        <f>AND('Final Alliance Potential'!O32,"AAAAAB79f3M=")</f>
        <v>#VALUE!</v>
      </c>
      <c r="DM45">
        <f>IF('Final Alliance Potential'!33:33,"AAAAAB79f3Q=",0)</f>
        <v>0</v>
      </c>
      <c r="DN45">
        <f>IF('Final Alliance Potential'!34:34,"AAAAAB79f3U=",0)</f>
        <v>0</v>
      </c>
      <c r="DO45">
        <f>IF('Final Alliance Potential'!35:35,"AAAAAB79f3Y=",0)</f>
        <v>0</v>
      </c>
      <c r="DP45">
        <f>IF('Final Alliance Potential'!36:36,"AAAAAB79f3c=",0)</f>
        <v>0</v>
      </c>
      <c r="DQ45">
        <f>IF('Final Alliance Potential'!37:37,"AAAAAB79f3g=",0)</f>
        <v>0</v>
      </c>
      <c r="DR45">
        <f>IF('Final Alliance Potential'!38:38,"AAAAAB79f3k=",0)</f>
        <v>0</v>
      </c>
      <c r="DS45">
        <f>IF('Final Alliance Potential'!39:39,"AAAAAB79f3o=",0)</f>
        <v>0</v>
      </c>
      <c r="DT45">
        <f>IF('Final Alliance Potential'!40:40,"AAAAAB79f3s=",0)</f>
        <v>0</v>
      </c>
      <c r="DU45">
        <f>IF('Final Alliance Potential'!41:41,"AAAAAB79f3w=",0)</f>
        <v>0</v>
      </c>
      <c r="DV45">
        <f>IF('Final Alliance Potential'!42:42,"AAAAAB79f30=",0)</f>
        <v>0</v>
      </c>
      <c r="DW45">
        <f>IF('Final Alliance Potential'!43:43,"AAAAAB79f34=",0)</f>
        <v>0</v>
      </c>
      <c r="DX45">
        <f>IF('Final Alliance Potential'!44:44,"AAAAAB79f38=",0)</f>
        <v>0</v>
      </c>
      <c r="DY45">
        <f>IF('Final Alliance Potential'!45:45,"AAAAAB79f4A=",0)</f>
        <v>0</v>
      </c>
      <c r="DZ45">
        <f>IF('Final Alliance Potential'!46:46,"AAAAAB79f4E=",0)</f>
        <v>0</v>
      </c>
      <c r="EA45">
        <f>IF('Final Alliance Potential'!47:47,"AAAAAB79f4I=",0)</f>
        <v>0</v>
      </c>
      <c r="EB45">
        <f>IF('Final Alliance Potential'!48:48,"AAAAAB79f4M=",0)</f>
        <v>0</v>
      </c>
      <c r="EC45">
        <f>IF('Final Alliance Potential'!49:49,"AAAAAB79f4Q=",0)</f>
        <v>0</v>
      </c>
      <c r="ED45">
        <f>IF('Final Alliance Potential'!A:A,"AAAAAB79f4U=",0)</f>
        <v>0</v>
      </c>
      <c r="EE45">
        <f>IF('Final Alliance Potential'!B:B,"AAAAAB79f4Y=",0)</f>
        <v>0</v>
      </c>
      <c r="EF45">
        <f>IF('Final Alliance Potential'!C:C,"AAAAAB79f4c=",0)</f>
        <v>0</v>
      </c>
      <c r="EG45">
        <f>IF('Final Alliance Potential'!D:D,"AAAAAB79f4g=",0)</f>
        <v>0</v>
      </c>
      <c r="EH45">
        <f>IF('Final Alliance Potential'!E:E,"AAAAAB79f4k=",0)</f>
        <v>0</v>
      </c>
      <c r="EI45">
        <f>IF('Final Alliance Potential'!F:F,"AAAAAB79f4o=",0)</f>
        <v>0</v>
      </c>
      <c r="EJ45">
        <f>IF('Final Alliance Potential'!G:G,"AAAAAB79f4s=",0)</f>
        <v>0</v>
      </c>
      <c r="EK45">
        <f>IF('Final Alliance Potential'!H:H,"AAAAAB79f4w=",0)</f>
        <v>0</v>
      </c>
      <c r="EL45">
        <f>IF('Final Alliance Potential'!I:I,"AAAAAB79f40=",0)</f>
        <v>0</v>
      </c>
      <c r="EM45">
        <f>IF('Final Alliance Potential'!J:J,"AAAAAB79f44=",0)</f>
        <v>0</v>
      </c>
      <c r="EN45">
        <f>IF('Final Alliance Potential'!K:K,"AAAAAB79f48=",0)</f>
        <v>0</v>
      </c>
      <c r="EO45">
        <f>IF('Final Alliance Potential'!L:L,"AAAAAB79f5A=",0)</f>
        <v>0</v>
      </c>
      <c r="EP45">
        <f>IF('Final Alliance Potential'!M:M,"AAAAAB79f5E=",0)</f>
        <v>0</v>
      </c>
      <c r="EQ45">
        <f>IF('Final Alliance Potential'!N:N,"AAAAAB79f5I=",0)</f>
        <v>0</v>
      </c>
      <c r="ER45">
        <f>IF('Final Alliance Potential'!O:O,"AAAAAB79f5M=",0)</f>
        <v>0</v>
      </c>
      <c r="ES45">
        <f>IF('Pick List'!1:1,"AAAAAB79f5Q=",0)</f>
        <v>0</v>
      </c>
      <c r="ET45" t="e">
        <f>AND('Pick List'!B1,"AAAAAB79f5U=")</f>
        <v>#VALUE!</v>
      </c>
      <c r="EU45" t="e">
        <f>AND('Pick List'!C1,"AAAAAB79f5Y=")</f>
        <v>#VALUE!</v>
      </c>
      <c r="EV45" t="e">
        <f>AND('Pick List'!D1,"AAAAAB79f5c=")</f>
        <v>#VALUE!</v>
      </c>
      <c r="EW45" t="e">
        <f>AND('Pick List'!E1,"AAAAAB79f5g=")</f>
        <v>#VALUE!</v>
      </c>
      <c r="EX45" t="e">
        <f>AND('Pick List'!F1,"AAAAAB79f5k=")</f>
        <v>#VALUE!</v>
      </c>
      <c r="EY45" t="e">
        <f>AND('Pick List'!G1,"AAAAAB79f5o=")</f>
        <v>#VALUE!</v>
      </c>
      <c r="EZ45" t="e">
        <f>AND('Pick List'!H1,"AAAAAB79f5s=")</f>
        <v>#VALUE!</v>
      </c>
      <c r="FA45" t="e">
        <f>AND('Pick List'!I1,"AAAAAB79f5w=")</f>
        <v>#VALUE!</v>
      </c>
      <c r="FB45" t="e">
        <f>AND('Pick List'!J1,"AAAAAB79f50=")</f>
        <v>#VALUE!</v>
      </c>
      <c r="FC45" t="e">
        <f>AND('Pick List'!K1,"AAAAAB79f54=")</f>
        <v>#VALUE!</v>
      </c>
      <c r="FD45">
        <f>IF('Pick List'!2:2,"AAAAAB79f58=",0)</f>
        <v>0</v>
      </c>
      <c r="FE45" t="e">
        <f>AND('Pick List'!B2,"AAAAAB79f6A=")</f>
        <v>#VALUE!</v>
      </c>
      <c r="FF45" t="e">
        <f>AND('Pick List'!C2,"AAAAAB79f6E=")</f>
        <v>#VALUE!</v>
      </c>
      <c r="FG45" t="e">
        <f>AND('Pick List'!D2,"AAAAAB79f6I=")</f>
        <v>#VALUE!</v>
      </c>
      <c r="FH45" t="e">
        <f>AND('Pick List'!E2,"AAAAAB79f6M=")</f>
        <v>#VALUE!</v>
      </c>
      <c r="FI45" t="e">
        <f>AND('Pick List'!F2,"AAAAAB79f6Q=")</f>
        <v>#VALUE!</v>
      </c>
      <c r="FJ45" t="e">
        <f>AND('Pick List'!G2,"AAAAAB79f6U=")</f>
        <v>#VALUE!</v>
      </c>
      <c r="FK45" t="e">
        <f>AND('Pick List'!H2,"AAAAAB79f6Y=")</f>
        <v>#VALUE!</v>
      </c>
      <c r="FL45" t="e">
        <f>AND('Pick List'!I2,"AAAAAB79f6c=")</f>
        <v>#VALUE!</v>
      </c>
      <c r="FM45" t="e">
        <f>AND('Pick List'!J2,"AAAAAB79f6g=")</f>
        <v>#VALUE!</v>
      </c>
      <c r="FN45" t="e">
        <f>AND('Pick List'!K2,"AAAAAB79f6k=")</f>
        <v>#VALUE!</v>
      </c>
      <c r="FO45">
        <f>IF('Pick List'!3:3,"AAAAAB79f6o=",0)</f>
        <v>0</v>
      </c>
      <c r="FP45" t="e">
        <f>AND('Pick List'!B3,"AAAAAB79f6s=")</f>
        <v>#VALUE!</v>
      </c>
      <c r="FQ45" t="e">
        <f>AND('Pick List'!C3,"AAAAAB79f6w=")</f>
        <v>#VALUE!</v>
      </c>
      <c r="FR45" t="e">
        <f>AND('Pick List'!D3,"AAAAAB79f60=")</f>
        <v>#VALUE!</v>
      </c>
      <c r="FS45" t="e">
        <f>AND('Pick List'!E3,"AAAAAB79f64=")</f>
        <v>#VALUE!</v>
      </c>
      <c r="FT45" t="e">
        <f>AND('Pick List'!F3,"AAAAAB79f68=")</f>
        <v>#VALUE!</v>
      </c>
      <c r="FU45" t="e">
        <f>AND('Pick List'!G3,"AAAAAB79f7A=")</f>
        <v>#VALUE!</v>
      </c>
      <c r="FV45" t="e">
        <f>AND('Pick List'!H3,"AAAAAB79f7E=")</f>
        <v>#VALUE!</v>
      </c>
      <c r="FW45" t="e">
        <f>AND('Pick List'!I3,"AAAAAB79f7I=")</f>
        <v>#VALUE!</v>
      </c>
      <c r="FX45" t="e">
        <f>AND('Pick List'!J3,"AAAAAB79f7M=")</f>
        <v>#VALUE!</v>
      </c>
      <c r="FY45" t="e">
        <f>AND('Pick List'!K3,"AAAAAB79f7Q=")</f>
        <v>#VALUE!</v>
      </c>
      <c r="FZ45">
        <f>IF('Pick List'!4:4,"AAAAAB79f7U=",0)</f>
        <v>0</v>
      </c>
      <c r="GA45" t="e">
        <f>AND('Pick List'!B4,"AAAAAB79f7Y=")</f>
        <v>#VALUE!</v>
      </c>
      <c r="GB45" t="e">
        <f>AND('Pick List'!C4,"AAAAAB79f7c=")</f>
        <v>#VALUE!</v>
      </c>
      <c r="GC45" t="e">
        <f>AND('Pick List'!D4,"AAAAAB79f7g=")</f>
        <v>#VALUE!</v>
      </c>
      <c r="GD45" t="e">
        <f>AND('Pick List'!E4,"AAAAAB79f7k=")</f>
        <v>#VALUE!</v>
      </c>
      <c r="GE45" t="e">
        <f>AND('Pick List'!F4,"AAAAAB79f7o=")</f>
        <v>#VALUE!</v>
      </c>
      <c r="GF45" t="e">
        <f>AND('Pick List'!G4,"AAAAAB79f7s=")</f>
        <v>#VALUE!</v>
      </c>
      <c r="GG45" t="e">
        <f>AND('Pick List'!H4,"AAAAAB79f7w=")</f>
        <v>#VALUE!</v>
      </c>
      <c r="GH45" t="e">
        <f>AND('Pick List'!I4,"AAAAAB79f70=")</f>
        <v>#VALUE!</v>
      </c>
      <c r="GI45" t="e">
        <f>AND('Pick List'!J4,"AAAAAB79f74=")</f>
        <v>#VALUE!</v>
      </c>
      <c r="GJ45" t="e">
        <f>AND('Pick List'!K4,"AAAAAB79f78=")</f>
        <v>#VALUE!</v>
      </c>
      <c r="GK45">
        <f>IF('Pick List'!5:5,"AAAAAB79f8A=",0)</f>
        <v>0</v>
      </c>
      <c r="GL45" t="e">
        <f>AND('Pick List'!B5,"AAAAAB79f8E=")</f>
        <v>#VALUE!</v>
      </c>
      <c r="GM45" t="e">
        <f>AND('Pick List'!C5,"AAAAAB79f8I=")</f>
        <v>#VALUE!</v>
      </c>
      <c r="GN45" t="e">
        <f>AND('Pick List'!D5,"AAAAAB79f8M=")</f>
        <v>#VALUE!</v>
      </c>
      <c r="GO45" t="e">
        <f>AND('Pick List'!E5,"AAAAAB79f8Q=")</f>
        <v>#VALUE!</v>
      </c>
      <c r="GP45" t="e">
        <f>AND('Pick List'!F5,"AAAAAB79f8U=")</f>
        <v>#VALUE!</v>
      </c>
      <c r="GQ45" t="e">
        <f>AND('Pick List'!G5,"AAAAAB79f8Y=")</f>
        <v>#VALUE!</v>
      </c>
      <c r="GR45" t="e">
        <f>AND('Pick List'!H5,"AAAAAB79f8c=")</f>
        <v>#VALUE!</v>
      </c>
      <c r="GS45" t="e">
        <f>AND('Pick List'!I5,"AAAAAB79f8g=")</f>
        <v>#VALUE!</v>
      </c>
      <c r="GT45" t="e">
        <f>AND('Pick List'!J5,"AAAAAB79f8k=")</f>
        <v>#VALUE!</v>
      </c>
      <c r="GU45" t="e">
        <f>AND('Pick List'!K5,"AAAAAB79f8o=")</f>
        <v>#VALUE!</v>
      </c>
      <c r="GV45">
        <f>IF('Pick List'!6:6,"AAAAAB79f8s=",0)</f>
        <v>0</v>
      </c>
      <c r="GW45" t="e">
        <f>AND('Pick List'!B6,"AAAAAB79f8w=")</f>
        <v>#VALUE!</v>
      </c>
      <c r="GX45" t="e">
        <f>AND('Pick List'!C6,"AAAAAB79f80=")</f>
        <v>#VALUE!</v>
      </c>
      <c r="GY45" t="e">
        <f>AND('Pick List'!D6,"AAAAAB79f84=")</f>
        <v>#VALUE!</v>
      </c>
      <c r="GZ45" t="e">
        <f>AND('Pick List'!E6,"AAAAAB79f88=")</f>
        <v>#VALUE!</v>
      </c>
      <c r="HA45" t="e">
        <f>AND('Pick List'!F6,"AAAAAB79f9A=")</f>
        <v>#VALUE!</v>
      </c>
      <c r="HB45" t="e">
        <f>AND('Pick List'!G6,"AAAAAB79f9E=")</f>
        <v>#VALUE!</v>
      </c>
      <c r="HC45" t="e">
        <f>AND('Pick List'!H6,"AAAAAB79f9I=")</f>
        <v>#VALUE!</v>
      </c>
      <c r="HD45" t="e">
        <f>AND('Pick List'!I6,"AAAAAB79f9M=")</f>
        <v>#VALUE!</v>
      </c>
      <c r="HE45" t="e">
        <f>AND('Pick List'!J6,"AAAAAB79f9Q=")</f>
        <v>#VALUE!</v>
      </c>
      <c r="HF45" t="e">
        <f>AND('Pick List'!K6,"AAAAAB79f9U=")</f>
        <v>#VALUE!</v>
      </c>
      <c r="HG45">
        <f>IF('Pick List'!7:7,"AAAAAB79f9Y=",0)</f>
        <v>0</v>
      </c>
      <c r="HH45" t="e">
        <f>AND('Pick List'!B7,"AAAAAB79f9c=")</f>
        <v>#VALUE!</v>
      </c>
      <c r="HI45" t="e">
        <f>AND('Pick List'!C7,"AAAAAB79f9g=")</f>
        <v>#VALUE!</v>
      </c>
      <c r="HJ45" t="e">
        <f>AND('Pick List'!D7,"AAAAAB79f9k=")</f>
        <v>#VALUE!</v>
      </c>
      <c r="HK45" t="e">
        <f>AND('Pick List'!E7,"AAAAAB79f9o=")</f>
        <v>#VALUE!</v>
      </c>
      <c r="HL45" t="e">
        <f>AND('Pick List'!F7,"AAAAAB79f9s=")</f>
        <v>#VALUE!</v>
      </c>
      <c r="HM45" t="e">
        <f>AND('Pick List'!G7,"AAAAAB79f9w=")</f>
        <v>#VALUE!</v>
      </c>
      <c r="HN45" t="e">
        <f>AND('Pick List'!H7,"AAAAAB79f90=")</f>
        <v>#VALUE!</v>
      </c>
      <c r="HO45" t="e">
        <f>AND('Pick List'!I7,"AAAAAB79f94=")</f>
        <v>#VALUE!</v>
      </c>
      <c r="HP45" t="e">
        <f>AND('Pick List'!J7,"AAAAAB79f98=")</f>
        <v>#VALUE!</v>
      </c>
      <c r="HQ45" t="e">
        <f>AND('Pick List'!K7,"AAAAAB79f+A=")</f>
        <v>#VALUE!</v>
      </c>
      <c r="HR45">
        <f>IF('Pick List'!8:8,"AAAAAB79f+E=",0)</f>
        <v>0</v>
      </c>
      <c r="HS45" t="e">
        <f>AND('Pick List'!B8,"AAAAAB79f+I=")</f>
        <v>#VALUE!</v>
      </c>
      <c r="HT45" t="e">
        <f>AND('Pick List'!C8,"AAAAAB79f+M=")</f>
        <v>#VALUE!</v>
      </c>
      <c r="HU45" t="e">
        <f>AND('Pick List'!D8,"AAAAAB79f+Q=")</f>
        <v>#VALUE!</v>
      </c>
      <c r="HV45" t="e">
        <f>AND('Pick List'!E8,"AAAAAB79f+U=")</f>
        <v>#VALUE!</v>
      </c>
      <c r="HW45" t="e">
        <f>AND('Pick List'!F8,"AAAAAB79f+Y=")</f>
        <v>#VALUE!</v>
      </c>
      <c r="HX45" t="e">
        <f>AND('Pick List'!G8,"AAAAAB79f+c=")</f>
        <v>#VALUE!</v>
      </c>
      <c r="HY45" t="e">
        <f>AND('Pick List'!H8,"AAAAAB79f+g=")</f>
        <v>#VALUE!</v>
      </c>
      <c r="HZ45" t="e">
        <f>AND('Pick List'!I8,"AAAAAB79f+k=")</f>
        <v>#VALUE!</v>
      </c>
      <c r="IA45" t="e">
        <f>AND('Pick List'!J8,"AAAAAB79f+o=")</f>
        <v>#VALUE!</v>
      </c>
      <c r="IB45" t="e">
        <f>AND('Pick List'!K8,"AAAAAB79f+s=")</f>
        <v>#VALUE!</v>
      </c>
      <c r="IC45">
        <f>IF('Pick List'!9:9,"AAAAAB79f+w=",0)</f>
        <v>0</v>
      </c>
      <c r="ID45" t="e">
        <f>AND('Pick List'!B9,"AAAAAB79f+0=")</f>
        <v>#VALUE!</v>
      </c>
      <c r="IE45" t="e">
        <f>AND('Pick List'!C9,"AAAAAB79f+4=")</f>
        <v>#VALUE!</v>
      </c>
      <c r="IF45" t="e">
        <f>AND('Pick List'!D9,"AAAAAB79f+8=")</f>
        <v>#VALUE!</v>
      </c>
      <c r="IG45" t="e">
        <f>AND('Pick List'!E9,"AAAAAB79f/A=")</f>
        <v>#VALUE!</v>
      </c>
      <c r="IH45" t="e">
        <f>AND('Pick List'!F9,"AAAAAB79f/E=")</f>
        <v>#VALUE!</v>
      </c>
      <c r="II45" t="e">
        <f>AND('Pick List'!G9,"AAAAAB79f/I=")</f>
        <v>#VALUE!</v>
      </c>
      <c r="IJ45" t="e">
        <f>AND('Pick List'!H9,"AAAAAB79f/M=")</f>
        <v>#VALUE!</v>
      </c>
      <c r="IK45" t="e">
        <f>AND('Pick List'!I9,"AAAAAB79f/Q=")</f>
        <v>#VALUE!</v>
      </c>
      <c r="IL45" t="e">
        <f>AND('Pick List'!J9,"AAAAAB79f/U=")</f>
        <v>#VALUE!</v>
      </c>
      <c r="IM45" t="e">
        <f>AND('Pick List'!K9,"AAAAAB79f/Y=")</f>
        <v>#VALUE!</v>
      </c>
      <c r="IN45">
        <f>IF('Pick List'!10:10,"AAAAAB79f/c=",0)</f>
        <v>0</v>
      </c>
      <c r="IO45" t="e">
        <f>AND('Pick List'!B10,"AAAAAB79f/g=")</f>
        <v>#VALUE!</v>
      </c>
      <c r="IP45" t="e">
        <f>AND('Pick List'!C10,"AAAAAB79f/k=")</f>
        <v>#VALUE!</v>
      </c>
      <c r="IQ45" t="e">
        <f>AND('Pick List'!D10,"AAAAAB79f/o=")</f>
        <v>#VALUE!</v>
      </c>
      <c r="IR45" t="e">
        <f>AND('Pick List'!E10,"AAAAAB79f/s=")</f>
        <v>#VALUE!</v>
      </c>
      <c r="IS45" t="e">
        <f>AND('Pick List'!F10,"AAAAAB79f/w=")</f>
        <v>#VALUE!</v>
      </c>
      <c r="IT45" t="e">
        <f>AND('Pick List'!G10,"AAAAAB79f/0=")</f>
        <v>#VALUE!</v>
      </c>
      <c r="IU45" t="e">
        <f>AND('Pick List'!H10,"AAAAAB79f/4=")</f>
        <v>#VALUE!</v>
      </c>
      <c r="IV45" t="e">
        <f>AND('Pick List'!I10,"AAAAAB79f/8=")</f>
        <v>#VALUE!</v>
      </c>
    </row>
    <row r="46" spans="1:256" x14ac:dyDescent="0.2">
      <c r="A46" t="e">
        <f>AND('Pick List'!J10,"AAAAAHf57wA=")</f>
        <v>#VALUE!</v>
      </c>
      <c r="B46" t="e">
        <f>AND('Pick List'!K10,"AAAAAHf57wE=")</f>
        <v>#VALUE!</v>
      </c>
      <c r="C46">
        <f>IF('Pick List'!11:11,"AAAAAHf57wI=",0)</f>
        <v>0</v>
      </c>
      <c r="D46" t="e">
        <f>AND('Pick List'!B11,"AAAAAHf57wM=")</f>
        <v>#VALUE!</v>
      </c>
      <c r="E46" t="e">
        <f>AND('Pick List'!C11,"AAAAAHf57wQ=")</f>
        <v>#VALUE!</v>
      </c>
      <c r="F46" t="e">
        <f>AND('Pick List'!D11,"AAAAAHf57wU=")</f>
        <v>#VALUE!</v>
      </c>
      <c r="G46" t="e">
        <f>AND('Pick List'!E11,"AAAAAHf57wY=")</f>
        <v>#VALUE!</v>
      </c>
      <c r="H46" t="e">
        <f>AND('Pick List'!F11,"AAAAAHf57wc=")</f>
        <v>#VALUE!</v>
      </c>
      <c r="I46" t="e">
        <f>AND('Pick List'!G11,"AAAAAHf57wg=")</f>
        <v>#VALUE!</v>
      </c>
      <c r="J46" t="e">
        <f>AND('Pick List'!H11,"AAAAAHf57wk=")</f>
        <v>#VALUE!</v>
      </c>
      <c r="K46" t="e">
        <f>AND('Pick List'!I11,"AAAAAHf57wo=")</f>
        <v>#VALUE!</v>
      </c>
      <c r="L46" t="e">
        <f>AND('Pick List'!J11,"AAAAAHf57ws=")</f>
        <v>#VALUE!</v>
      </c>
      <c r="M46" t="e">
        <f>AND('Pick List'!K11,"AAAAAHf57ww=")</f>
        <v>#VALUE!</v>
      </c>
      <c r="N46">
        <f>IF('Pick List'!12:12,"AAAAAHf57w0=",0)</f>
        <v>0</v>
      </c>
      <c r="O46" t="e">
        <f>AND('Pick List'!B12,"AAAAAHf57w4=")</f>
        <v>#VALUE!</v>
      </c>
      <c r="P46" t="e">
        <f>AND('Pick List'!C12,"AAAAAHf57w8=")</f>
        <v>#VALUE!</v>
      </c>
      <c r="Q46" t="e">
        <f>AND('Pick List'!D12,"AAAAAHf57xA=")</f>
        <v>#VALUE!</v>
      </c>
      <c r="R46" t="e">
        <f>AND('Pick List'!E12,"AAAAAHf57xE=")</f>
        <v>#VALUE!</v>
      </c>
      <c r="S46" t="e">
        <f>AND('Pick List'!F12,"AAAAAHf57xI=")</f>
        <v>#VALUE!</v>
      </c>
      <c r="T46" t="e">
        <f>AND('Pick List'!G12,"AAAAAHf57xM=")</f>
        <v>#VALUE!</v>
      </c>
      <c r="U46" t="e">
        <f>AND('Pick List'!H12,"AAAAAHf57xQ=")</f>
        <v>#VALUE!</v>
      </c>
      <c r="V46" t="e">
        <f>AND('Pick List'!I12,"AAAAAHf57xU=")</f>
        <v>#VALUE!</v>
      </c>
      <c r="W46" t="e">
        <f>AND('Pick List'!J12,"AAAAAHf57xY=")</f>
        <v>#VALUE!</v>
      </c>
      <c r="X46" t="e">
        <f>AND('Pick List'!K12,"AAAAAHf57xc=")</f>
        <v>#VALUE!</v>
      </c>
      <c r="Y46">
        <f>IF('Pick List'!13:13,"AAAAAHf57xg=",0)</f>
        <v>0</v>
      </c>
      <c r="Z46" t="e">
        <f>AND('Pick List'!B13,"AAAAAHf57xk=")</f>
        <v>#VALUE!</v>
      </c>
      <c r="AA46" t="e">
        <f>AND('Pick List'!C13,"AAAAAHf57xo=")</f>
        <v>#VALUE!</v>
      </c>
      <c r="AB46" t="e">
        <f>AND('Pick List'!D13,"AAAAAHf57xs=")</f>
        <v>#VALUE!</v>
      </c>
      <c r="AC46" t="e">
        <f>AND('Pick List'!E13,"AAAAAHf57xw=")</f>
        <v>#VALUE!</v>
      </c>
      <c r="AD46" t="e">
        <f>AND('Pick List'!F13,"AAAAAHf57x0=")</f>
        <v>#VALUE!</v>
      </c>
      <c r="AE46" t="e">
        <f>AND('Pick List'!G13,"AAAAAHf57x4=")</f>
        <v>#VALUE!</v>
      </c>
      <c r="AF46" t="e">
        <f>AND('Pick List'!H13,"AAAAAHf57x8=")</f>
        <v>#VALUE!</v>
      </c>
      <c r="AG46" t="e">
        <f>AND('Pick List'!I13,"AAAAAHf57yA=")</f>
        <v>#VALUE!</v>
      </c>
      <c r="AH46" t="e">
        <f>AND('Pick List'!J13,"AAAAAHf57yE=")</f>
        <v>#VALUE!</v>
      </c>
      <c r="AI46" t="e">
        <f>AND('Pick List'!K13,"AAAAAHf57yI=")</f>
        <v>#VALUE!</v>
      </c>
      <c r="AJ46">
        <f>IF('Pick List'!14:14,"AAAAAHf57yM=",0)</f>
        <v>0</v>
      </c>
      <c r="AK46" t="e">
        <f>AND('Pick List'!B14,"AAAAAHf57yQ=")</f>
        <v>#VALUE!</v>
      </c>
      <c r="AL46" t="e">
        <f>AND('Pick List'!C14,"AAAAAHf57yU=")</f>
        <v>#VALUE!</v>
      </c>
      <c r="AM46" t="e">
        <f>AND('Pick List'!D14,"AAAAAHf57yY=")</f>
        <v>#VALUE!</v>
      </c>
      <c r="AN46" t="e">
        <f>AND('Pick List'!E14,"AAAAAHf57yc=")</f>
        <v>#VALUE!</v>
      </c>
      <c r="AO46" t="e">
        <f>AND('Pick List'!F14,"AAAAAHf57yg=")</f>
        <v>#VALUE!</v>
      </c>
      <c r="AP46" t="e">
        <f>AND('Pick List'!G14,"AAAAAHf57yk=")</f>
        <v>#VALUE!</v>
      </c>
      <c r="AQ46" t="e">
        <f>AND('Pick List'!H14,"AAAAAHf57yo=")</f>
        <v>#VALUE!</v>
      </c>
      <c r="AR46" t="e">
        <f>AND('Pick List'!I14,"AAAAAHf57ys=")</f>
        <v>#VALUE!</v>
      </c>
      <c r="AS46" t="e">
        <f>AND('Pick List'!J14,"AAAAAHf57yw=")</f>
        <v>#VALUE!</v>
      </c>
      <c r="AT46" t="e">
        <f>AND('Pick List'!K14,"AAAAAHf57y0=")</f>
        <v>#VALUE!</v>
      </c>
      <c r="AU46">
        <f>IF('Pick List'!15:15,"AAAAAHf57y4=",0)</f>
        <v>0</v>
      </c>
      <c r="AV46" t="e">
        <f>AND('Pick List'!B15,"AAAAAHf57y8=")</f>
        <v>#VALUE!</v>
      </c>
      <c r="AW46" t="e">
        <f>AND('Pick List'!C15,"AAAAAHf57zA=")</f>
        <v>#VALUE!</v>
      </c>
      <c r="AX46" t="e">
        <f>AND('Pick List'!D15,"AAAAAHf57zE=")</f>
        <v>#VALUE!</v>
      </c>
      <c r="AY46" t="e">
        <f>AND('Pick List'!E15,"AAAAAHf57zI=")</f>
        <v>#VALUE!</v>
      </c>
      <c r="AZ46" t="e">
        <f>AND('Pick List'!F15,"AAAAAHf57zM=")</f>
        <v>#VALUE!</v>
      </c>
      <c r="BA46" t="e">
        <f>AND('Pick List'!G15,"AAAAAHf57zQ=")</f>
        <v>#VALUE!</v>
      </c>
      <c r="BB46" t="e">
        <f>AND('Pick List'!H15,"AAAAAHf57zU=")</f>
        <v>#VALUE!</v>
      </c>
      <c r="BC46" t="e">
        <f>AND('Pick List'!I15,"AAAAAHf57zY=")</f>
        <v>#VALUE!</v>
      </c>
      <c r="BD46" t="e">
        <f>AND('Pick List'!J15,"AAAAAHf57zc=")</f>
        <v>#VALUE!</v>
      </c>
      <c r="BE46" t="e">
        <f>AND('Pick List'!K15,"AAAAAHf57zg=")</f>
        <v>#VALUE!</v>
      </c>
      <c r="BF46">
        <f>IF('Pick List'!16:16,"AAAAAHf57zk=",0)</f>
        <v>0</v>
      </c>
      <c r="BG46" t="e">
        <f>AND('Pick List'!B16,"AAAAAHf57zo=")</f>
        <v>#VALUE!</v>
      </c>
      <c r="BH46" t="e">
        <f>AND('Pick List'!C16,"AAAAAHf57zs=")</f>
        <v>#VALUE!</v>
      </c>
      <c r="BI46" t="e">
        <f>AND('Pick List'!D16,"AAAAAHf57zw=")</f>
        <v>#VALUE!</v>
      </c>
      <c r="BJ46" t="e">
        <f>AND('Pick List'!E16,"AAAAAHf57z0=")</f>
        <v>#VALUE!</v>
      </c>
      <c r="BK46" t="e">
        <f>AND('Pick List'!F16,"AAAAAHf57z4=")</f>
        <v>#VALUE!</v>
      </c>
      <c r="BL46" t="e">
        <f>AND('Pick List'!G16,"AAAAAHf57z8=")</f>
        <v>#VALUE!</v>
      </c>
      <c r="BM46" t="e">
        <f>AND('Pick List'!H16,"AAAAAHf570A=")</f>
        <v>#VALUE!</v>
      </c>
      <c r="BN46" t="e">
        <f>AND('Pick List'!I16,"AAAAAHf570E=")</f>
        <v>#VALUE!</v>
      </c>
      <c r="BO46" t="e">
        <f>AND('Pick List'!J16,"AAAAAHf570I=")</f>
        <v>#VALUE!</v>
      </c>
      <c r="BP46" t="e">
        <f>AND('Pick List'!K16,"AAAAAHf570M=")</f>
        <v>#VALUE!</v>
      </c>
      <c r="BQ46">
        <f>IF('Pick List'!17:17,"AAAAAHf570Q=",0)</f>
        <v>0</v>
      </c>
      <c r="BR46" t="e">
        <f>AND('Pick List'!B17,"AAAAAHf570U=")</f>
        <v>#VALUE!</v>
      </c>
      <c r="BS46" t="e">
        <f>AND('Pick List'!C17,"AAAAAHf570Y=")</f>
        <v>#VALUE!</v>
      </c>
      <c r="BT46" t="e">
        <f>AND('Pick List'!D17,"AAAAAHf570c=")</f>
        <v>#VALUE!</v>
      </c>
      <c r="BU46" t="e">
        <f>AND('Pick List'!E17,"AAAAAHf570g=")</f>
        <v>#VALUE!</v>
      </c>
      <c r="BV46" t="e">
        <f>AND('Pick List'!F17,"AAAAAHf570k=")</f>
        <v>#VALUE!</v>
      </c>
      <c r="BW46" t="e">
        <f>AND('Pick List'!G17,"AAAAAHf570o=")</f>
        <v>#VALUE!</v>
      </c>
      <c r="BX46" t="e">
        <f>AND('Pick List'!H17,"AAAAAHf570s=")</f>
        <v>#VALUE!</v>
      </c>
      <c r="BY46" t="e">
        <f>AND('Pick List'!I17,"AAAAAHf570w=")</f>
        <v>#VALUE!</v>
      </c>
      <c r="BZ46" t="e">
        <f>AND('Pick List'!J17,"AAAAAHf5700=")</f>
        <v>#VALUE!</v>
      </c>
      <c r="CA46" t="e">
        <f>AND('Pick List'!K17,"AAAAAHf5704=")</f>
        <v>#VALUE!</v>
      </c>
      <c r="CB46">
        <f>IF('Pick List'!18:18,"AAAAAHf5708=",0)</f>
        <v>0</v>
      </c>
      <c r="CC46" t="e">
        <f>AND('Pick List'!B18,"AAAAAHf571A=")</f>
        <v>#VALUE!</v>
      </c>
      <c r="CD46" t="e">
        <f>AND('Pick List'!C18,"AAAAAHf571E=")</f>
        <v>#VALUE!</v>
      </c>
      <c r="CE46" t="e">
        <f>AND('Pick List'!D18,"AAAAAHf571I=")</f>
        <v>#VALUE!</v>
      </c>
      <c r="CF46" t="e">
        <f>AND('Pick List'!E18,"AAAAAHf571M=")</f>
        <v>#VALUE!</v>
      </c>
      <c r="CG46" t="e">
        <f>AND('Pick List'!F18,"AAAAAHf571Q=")</f>
        <v>#VALUE!</v>
      </c>
      <c r="CH46" t="e">
        <f>AND('Pick List'!G18,"AAAAAHf571U=")</f>
        <v>#VALUE!</v>
      </c>
      <c r="CI46" t="e">
        <f>AND('Pick List'!H18,"AAAAAHf571Y=")</f>
        <v>#VALUE!</v>
      </c>
      <c r="CJ46" t="e">
        <f>AND('Pick List'!I18,"AAAAAHf571c=")</f>
        <v>#VALUE!</v>
      </c>
      <c r="CK46" t="e">
        <f>AND('Pick List'!J18,"AAAAAHf571g=")</f>
        <v>#VALUE!</v>
      </c>
      <c r="CL46" t="e">
        <f>AND('Pick List'!K18,"AAAAAHf571k=")</f>
        <v>#VALUE!</v>
      </c>
      <c r="CM46">
        <f>IF('Pick List'!19:19,"AAAAAHf571o=",0)</f>
        <v>0</v>
      </c>
      <c r="CN46" t="e">
        <f>AND('Pick List'!B19,"AAAAAHf571s=")</f>
        <v>#VALUE!</v>
      </c>
      <c r="CO46" t="e">
        <f>AND('Pick List'!C19,"AAAAAHf571w=")</f>
        <v>#VALUE!</v>
      </c>
      <c r="CP46" t="e">
        <f>AND('Pick List'!D19,"AAAAAHf5710=")</f>
        <v>#VALUE!</v>
      </c>
      <c r="CQ46" t="e">
        <f>AND('Pick List'!E19,"AAAAAHf5714=")</f>
        <v>#VALUE!</v>
      </c>
      <c r="CR46" t="e">
        <f>AND('Pick List'!F19,"AAAAAHf5718=")</f>
        <v>#VALUE!</v>
      </c>
      <c r="CS46" t="e">
        <f>AND('Pick List'!G19,"AAAAAHf572A=")</f>
        <v>#VALUE!</v>
      </c>
      <c r="CT46" t="e">
        <f>AND('Pick List'!H19,"AAAAAHf572E=")</f>
        <v>#VALUE!</v>
      </c>
      <c r="CU46" t="e">
        <f>AND('Pick List'!I19,"AAAAAHf572I=")</f>
        <v>#VALUE!</v>
      </c>
      <c r="CV46" t="e">
        <f>AND('Pick List'!J19,"AAAAAHf572M=")</f>
        <v>#VALUE!</v>
      </c>
      <c r="CW46" t="e">
        <f>AND('Pick List'!K19,"AAAAAHf572Q=")</f>
        <v>#VALUE!</v>
      </c>
      <c r="CX46">
        <f>IF('Pick List'!20:20,"AAAAAHf572U=",0)</f>
        <v>0</v>
      </c>
      <c r="CY46" t="e">
        <f>AND('Pick List'!B20,"AAAAAHf572Y=")</f>
        <v>#VALUE!</v>
      </c>
      <c r="CZ46" t="e">
        <f>AND('Pick List'!C20,"AAAAAHf572c=")</f>
        <v>#VALUE!</v>
      </c>
      <c r="DA46" t="e">
        <f>AND('Pick List'!D20,"AAAAAHf572g=")</f>
        <v>#VALUE!</v>
      </c>
      <c r="DB46" t="e">
        <f>AND('Pick List'!E20,"AAAAAHf572k=")</f>
        <v>#VALUE!</v>
      </c>
      <c r="DC46" t="e">
        <f>AND('Pick List'!F20,"AAAAAHf572o=")</f>
        <v>#VALUE!</v>
      </c>
      <c r="DD46" t="e">
        <f>AND('Pick List'!G20,"AAAAAHf572s=")</f>
        <v>#VALUE!</v>
      </c>
      <c r="DE46" t="e">
        <f>AND('Pick List'!H20,"AAAAAHf572w=")</f>
        <v>#VALUE!</v>
      </c>
      <c r="DF46" t="e">
        <f>AND('Pick List'!I20,"AAAAAHf5720=")</f>
        <v>#VALUE!</v>
      </c>
      <c r="DG46" t="e">
        <f>AND('Pick List'!J20,"AAAAAHf5724=")</f>
        <v>#VALUE!</v>
      </c>
      <c r="DH46" t="e">
        <f>AND('Pick List'!K20,"AAAAAHf5728=")</f>
        <v>#VALUE!</v>
      </c>
      <c r="DI46">
        <f>IF('Pick List'!21:21,"AAAAAHf573A=",0)</f>
        <v>0</v>
      </c>
      <c r="DJ46" t="e">
        <f>AND('Pick List'!B21,"AAAAAHf573E=")</f>
        <v>#VALUE!</v>
      </c>
      <c r="DK46" t="e">
        <f>AND('Pick List'!C21,"AAAAAHf573I=")</f>
        <v>#VALUE!</v>
      </c>
      <c r="DL46" t="e">
        <f>AND('Pick List'!D21,"AAAAAHf573M=")</f>
        <v>#VALUE!</v>
      </c>
      <c r="DM46" t="e">
        <f>AND('Pick List'!E21,"AAAAAHf573Q=")</f>
        <v>#VALUE!</v>
      </c>
      <c r="DN46" t="e">
        <f>AND('Pick List'!F21,"AAAAAHf573U=")</f>
        <v>#VALUE!</v>
      </c>
      <c r="DO46" t="e">
        <f>AND('Pick List'!G21,"AAAAAHf573Y=")</f>
        <v>#VALUE!</v>
      </c>
      <c r="DP46" t="e">
        <f>AND('Pick List'!H21,"AAAAAHf573c=")</f>
        <v>#VALUE!</v>
      </c>
      <c r="DQ46" t="e">
        <f>AND('Pick List'!I21,"AAAAAHf573g=")</f>
        <v>#VALUE!</v>
      </c>
      <c r="DR46" t="e">
        <f>AND('Pick List'!J21,"AAAAAHf573k=")</f>
        <v>#VALUE!</v>
      </c>
      <c r="DS46" t="e">
        <f>AND('Pick List'!K21,"AAAAAHf573o=")</f>
        <v>#VALUE!</v>
      </c>
      <c r="DT46">
        <f>IF('Pick List'!22:22,"AAAAAHf573s=",0)</f>
        <v>0</v>
      </c>
      <c r="DU46" t="e">
        <f>AND('Pick List'!B22,"AAAAAHf573w=")</f>
        <v>#VALUE!</v>
      </c>
      <c r="DV46" t="e">
        <f>AND('Pick List'!C22,"AAAAAHf5730=")</f>
        <v>#VALUE!</v>
      </c>
      <c r="DW46" t="e">
        <f>AND('Pick List'!D22,"AAAAAHf5734=")</f>
        <v>#VALUE!</v>
      </c>
      <c r="DX46" t="e">
        <f>AND('Pick List'!E22,"AAAAAHf5738=")</f>
        <v>#VALUE!</v>
      </c>
      <c r="DY46" t="e">
        <f>AND('Pick List'!F22,"AAAAAHf574A=")</f>
        <v>#VALUE!</v>
      </c>
      <c r="DZ46" t="e">
        <f>AND('Pick List'!G22,"AAAAAHf574E=")</f>
        <v>#VALUE!</v>
      </c>
      <c r="EA46" t="e">
        <f>AND('Pick List'!H22,"AAAAAHf574I=")</f>
        <v>#VALUE!</v>
      </c>
      <c r="EB46" t="e">
        <f>AND('Pick List'!I22,"AAAAAHf574M=")</f>
        <v>#VALUE!</v>
      </c>
      <c r="EC46" t="e">
        <f>AND('Pick List'!J22,"AAAAAHf574Q=")</f>
        <v>#VALUE!</v>
      </c>
      <c r="ED46" t="e">
        <f>AND('Pick List'!K22,"AAAAAHf574U=")</f>
        <v>#VALUE!</v>
      </c>
      <c r="EE46">
        <f>IF('Pick List'!23:23,"AAAAAHf574Y=",0)</f>
        <v>0</v>
      </c>
      <c r="EF46" t="e">
        <f>AND('Pick List'!B23,"AAAAAHf574c=")</f>
        <v>#VALUE!</v>
      </c>
      <c r="EG46" t="e">
        <f>AND('Pick List'!C23,"AAAAAHf574g=")</f>
        <v>#VALUE!</v>
      </c>
      <c r="EH46" t="e">
        <f>AND('Pick List'!D23,"AAAAAHf574k=")</f>
        <v>#VALUE!</v>
      </c>
      <c r="EI46" t="e">
        <f>AND('Pick List'!E23,"AAAAAHf574o=")</f>
        <v>#VALUE!</v>
      </c>
      <c r="EJ46" t="e">
        <f>AND('Pick List'!F23,"AAAAAHf574s=")</f>
        <v>#VALUE!</v>
      </c>
      <c r="EK46" t="e">
        <f>AND('Pick List'!G23,"AAAAAHf574w=")</f>
        <v>#VALUE!</v>
      </c>
      <c r="EL46" t="e">
        <f>AND('Pick List'!H23,"AAAAAHf5740=")</f>
        <v>#VALUE!</v>
      </c>
      <c r="EM46" t="e">
        <f>AND('Pick List'!I23,"AAAAAHf5744=")</f>
        <v>#VALUE!</v>
      </c>
      <c r="EN46" t="e">
        <f>AND('Pick List'!J23,"AAAAAHf5748=")</f>
        <v>#VALUE!</v>
      </c>
      <c r="EO46" t="e">
        <f>AND('Pick List'!K23,"AAAAAHf575A=")</f>
        <v>#VALUE!</v>
      </c>
      <c r="EP46">
        <f>IF('Pick List'!24:24,"AAAAAHf575E=",0)</f>
        <v>0</v>
      </c>
      <c r="EQ46" t="e">
        <f>AND('Pick List'!B24,"AAAAAHf575I=")</f>
        <v>#VALUE!</v>
      </c>
      <c r="ER46" t="e">
        <f>AND('Pick List'!C24,"AAAAAHf575M=")</f>
        <v>#VALUE!</v>
      </c>
      <c r="ES46" t="e">
        <f>AND('Pick List'!D24,"AAAAAHf575Q=")</f>
        <v>#VALUE!</v>
      </c>
      <c r="ET46" t="e">
        <f>AND('Pick List'!E24,"AAAAAHf575U=")</f>
        <v>#VALUE!</v>
      </c>
      <c r="EU46" t="e">
        <f>AND('Pick List'!F24,"AAAAAHf575Y=")</f>
        <v>#VALUE!</v>
      </c>
      <c r="EV46" t="e">
        <f>AND('Pick List'!G24,"AAAAAHf575c=")</f>
        <v>#VALUE!</v>
      </c>
      <c r="EW46" t="e">
        <f>AND('Pick List'!H24,"AAAAAHf575g=")</f>
        <v>#VALUE!</v>
      </c>
      <c r="EX46" t="e">
        <f>AND('Pick List'!I24,"AAAAAHf575k=")</f>
        <v>#VALUE!</v>
      </c>
      <c r="EY46" t="e">
        <f>AND('Pick List'!J24,"AAAAAHf575o=")</f>
        <v>#VALUE!</v>
      </c>
      <c r="EZ46" t="e">
        <f>AND('Pick List'!K24,"AAAAAHf575s=")</f>
        <v>#VALUE!</v>
      </c>
      <c r="FA46">
        <f>IF('Pick List'!25:25,"AAAAAHf575w=",0)</f>
        <v>0</v>
      </c>
      <c r="FB46" t="e">
        <f>AND('Pick List'!B25,"AAAAAHf5750=")</f>
        <v>#VALUE!</v>
      </c>
      <c r="FC46" t="e">
        <f>AND('Pick List'!C25,"AAAAAHf5754=")</f>
        <v>#VALUE!</v>
      </c>
      <c r="FD46" t="e">
        <f>AND('Pick List'!D25,"AAAAAHf5758=")</f>
        <v>#VALUE!</v>
      </c>
      <c r="FE46" t="e">
        <f>AND('Pick List'!E25,"AAAAAHf576A=")</f>
        <v>#VALUE!</v>
      </c>
      <c r="FF46" t="e">
        <f>AND('Pick List'!F25,"AAAAAHf576E=")</f>
        <v>#VALUE!</v>
      </c>
      <c r="FG46" t="e">
        <f>AND('Pick List'!G25,"AAAAAHf576I=")</f>
        <v>#VALUE!</v>
      </c>
      <c r="FH46" t="e">
        <f>AND('Pick List'!H25,"AAAAAHf576M=")</f>
        <v>#VALUE!</v>
      </c>
      <c r="FI46" t="e">
        <f>AND('Pick List'!I25,"AAAAAHf576Q=")</f>
        <v>#VALUE!</v>
      </c>
      <c r="FJ46" t="e">
        <f>AND('Pick List'!J25,"AAAAAHf576U=")</f>
        <v>#VALUE!</v>
      </c>
      <c r="FK46" t="e">
        <f>AND('Pick List'!K25,"AAAAAHf576Y=")</f>
        <v>#VALUE!</v>
      </c>
      <c r="FL46">
        <f>IF('Pick List'!26:26,"AAAAAHf576c=",0)</f>
        <v>0</v>
      </c>
      <c r="FM46" t="e">
        <f>AND('Pick List'!B26,"AAAAAHf576g=")</f>
        <v>#VALUE!</v>
      </c>
      <c r="FN46" t="e">
        <f>AND('Pick List'!C26,"AAAAAHf576k=")</f>
        <v>#VALUE!</v>
      </c>
      <c r="FO46" t="e">
        <f>AND('Pick List'!D26,"AAAAAHf576o=")</f>
        <v>#VALUE!</v>
      </c>
      <c r="FP46" t="e">
        <f>AND('Pick List'!E26,"AAAAAHf576s=")</f>
        <v>#VALUE!</v>
      </c>
      <c r="FQ46" t="e">
        <f>AND('Pick List'!F26,"AAAAAHf576w=")</f>
        <v>#VALUE!</v>
      </c>
      <c r="FR46" t="e">
        <f>AND('Pick List'!G26,"AAAAAHf5760=")</f>
        <v>#VALUE!</v>
      </c>
      <c r="FS46" t="e">
        <f>AND('Pick List'!H26,"AAAAAHf5764=")</f>
        <v>#VALUE!</v>
      </c>
      <c r="FT46" t="e">
        <f>AND('Pick List'!I26,"AAAAAHf5768=")</f>
        <v>#VALUE!</v>
      </c>
      <c r="FU46" t="e">
        <f>AND('Pick List'!J26,"AAAAAHf577A=")</f>
        <v>#VALUE!</v>
      </c>
      <c r="FV46" t="e">
        <f>AND('Pick List'!K26,"AAAAAHf577E=")</f>
        <v>#VALUE!</v>
      </c>
      <c r="FW46">
        <f>IF('Pick List'!27:27,"AAAAAHf577I=",0)</f>
        <v>0</v>
      </c>
      <c r="FX46" t="e">
        <f>AND('Pick List'!B27,"AAAAAHf577M=")</f>
        <v>#VALUE!</v>
      </c>
      <c r="FY46" t="e">
        <f>AND('Pick List'!C27,"AAAAAHf577Q=")</f>
        <v>#VALUE!</v>
      </c>
      <c r="FZ46" t="e">
        <f>AND('Pick List'!D27,"AAAAAHf577U=")</f>
        <v>#VALUE!</v>
      </c>
      <c r="GA46" t="e">
        <f>AND('Pick List'!E27,"AAAAAHf577Y=")</f>
        <v>#VALUE!</v>
      </c>
      <c r="GB46" t="e">
        <f>AND('Pick List'!F27,"AAAAAHf577c=")</f>
        <v>#VALUE!</v>
      </c>
      <c r="GC46" t="e">
        <f>AND('Pick List'!G27,"AAAAAHf577g=")</f>
        <v>#VALUE!</v>
      </c>
      <c r="GD46" t="e">
        <f>AND('Pick List'!H27,"AAAAAHf577k=")</f>
        <v>#VALUE!</v>
      </c>
      <c r="GE46" t="e">
        <f>AND('Pick List'!I27,"AAAAAHf577o=")</f>
        <v>#VALUE!</v>
      </c>
      <c r="GF46" t="e">
        <f>AND('Pick List'!J27,"AAAAAHf577s=")</f>
        <v>#VALUE!</v>
      </c>
      <c r="GG46" t="e">
        <f>AND('Pick List'!K27,"AAAAAHf577w=")</f>
        <v>#VALUE!</v>
      </c>
      <c r="GH46">
        <f>IF('Pick List'!28:28,"AAAAAHf5770=",0)</f>
        <v>0</v>
      </c>
      <c r="GI46" t="e">
        <f>AND('Pick List'!B28,"AAAAAHf5774=")</f>
        <v>#VALUE!</v>
      </c>
      <c r="GJ46" t="e">
        <f>AND('Pick List'!C28,"AAAAAHf5778=")</f>
        <v>#VALUE!</v>
      </c>
      <c r="GK46" t="e">
        <f>AND('Pick List'!D28,"AAAAAHf578A=")</f>
        <v>#VALUE!</v>
      </c>
      <c r="GL46" t="e">
        <f>AND('Pick List'!E28,"AAAAAHf578E=")</f>
        <v>#VALUE!</v>
      </c>
      <c r="GM46" t="e">
        <f>AND('Pick List'!F28,"AAAAAHf578I=")</f>
        <v>#VALUE!</v>
      </c>
      <c r="GN46" t="e">
        <f>AND('Pick List'!G28,"AAAAAHf578M=")</f>
        <v>#VALUE!</v>
      </c>
      <c r="GO46" t="e">
        <f>AND('Pick List'!H28,"AAAAAHf578Q=")</f>
        <v>#VALUE!</v>
      </c>
      <c r="GP46" t="e">
        <f>AND('Pick List'!I28,"AAAAAHf578U=")</f>
        <v>#VALUE!</v>
      </c>
      <c r="GQ46" t="e">
        <f>AND('Pick List'!J28,"AAAAAHf578Y=")</f>
        <v>#VALUE!</v>
      </c>
      <c r="GR46" t="e">
        <f>AND('Pick List'!K28,"AAAAAHf578c=")</f>
        <v>#VALUE!</v>
      </c>
      <c r="GS46">
        <f>IF('Pick List'!29:29,"AAAAAHf578g=",0)</f>
        <v>0</v>
      </c>
      <c r="GT46" t="e">
        <f>AND('Pick List'!B29,"AAAAAHf578k=")</f>
        <v>#VALUE!</v>
      </c>
      <c r="GU46" t="e">
        <f>AND('Pick List'!C29,"AAAAAHf578o=")</f>
        <v>#VALUE!</v>
      </c>
      <c r="GV46" t="e">
        <f>AND('Pick List'!D29,"AAAAAHf578s=")</f>
        <v>#VALUE!</v>
      </c>
      <c r="GW46" t="e">
        <f>AND('Pick List'!E29,"AAAAAHf578w=")</f>
        <v>#VALUE!</v>
      </c>
      <c r="GX46" t="e">
        <f>AND('Pick List'!F29,"AAAAAHf5780=")</f>
        <v>#VALUE!</v>
      </c>
      <c r="GY46" t="e">
        <f>AND('Pick List'!G29,"AAAAAHf5784=")</f>
        <v>#VALUE!</v>
      </c>
      <c r="GZ46" t="e">
        <f>AND('Pick List'!H29,"AAAAAHf5788=")</f>
        <v>#VALUE!</v>
      </c>
      <c r="HA46" t="e">
        <f>AND('Pick List'!I29,"AAAAAHf579A=")</f>
        <v>#VALUE!</v>
      </c>
      <c r="HB46" t="e">
        <f>AND('Pick List'!J29,"AAAAAHf579E=")</f>
        <v>#VALUE!</v>
      </c>
      <c r="HC46" t="e">
        <f>AND('Pick List'!K29,"AAAAAHf579I=")</f>
        <v>#VALUE!</v>
      </c>
      <c r="HD46">
        <f>IF('Pick List'!30:30,"AAAAAHf579M=",0)</f>
        <v>0</v>
      </c>
      <c r="HE46" t="e">
        <f>AND('Pick List'!B30,"AAAAAHf579Q=")</f>
        <v>#VALUE!</v>
      </c>
      <c r="HF46" t="e">
        <f>AND('Pick List'!C30,"AAAAAHf579U=")</f>
        <v>#VALUE!</v>
      </c>
      <c r="HG46" t="e">
        <f>AND('Pick List'!D30,"AAAAAHf579Y=")</f>
        <v>#VALUE!</v>
      </c>
      <c r="HH46" t="e">
        <f>AND('Pick List'!E30,"AAAAAHf579c=")</f>
        <v>#VALUE!</v>
      </c>
      <c r="HI46" t="e">
        <f>AND('Pick List'!F30,"AAAAAHf579g=")</f>
        <v>#VALUE!</v>
      </c>
      <c r="HJ46" t="e">
        <f>AND('Pick List'!G30,"AAAAAHf579k=")</f>
        <v>#VALUE!</v>
      </c>
      <c r="HK46" t="e">
        <f>AND('Pick List'!H30,"AAAAAHf579o=")</f>
        <v>#VALUE!</v>
      </c>
      <c r="HL46" t="e">
        <f>AND('Pick List'!I30,"AAAAAHf579s=")</f>
        <v>#VALUE!</v>
      </c>
      <c r="HM46" t="e">
        <f>AND('Pick List'!J30,"AAAAAHf579w=")</f>
        <v>#VALUE!</v>
      </c>
      <c r="HN46" t="e">
        <f>AND('Pick List'!K30,"AAAAAHf5790=")</f>
        <v>#VALUE!</v>
      </c>
      <c r="HO46">
        <f>IF('Pick List'!31:31,"AAAAAHf5794=",0)</f>
        <v>0</v>
      </c>
      <c r="HP46" t="e">
        <f>AND('Pick List'!B31,"AAAAAHf5798=")</f>
        <v>#VALUE!</v>
      </c>
      <c r="HQ46" t="e">
        <f>AND('Pick List'!C31,"AAAAAHf57+A=")</f>
        <v>#VALUE!</v>
      </c>
      <c r="HR46" t="e">
        <f>AND('Pick List'!D31,"AAAAAHf57+E=")</f>
        <v>#VALUE!</v>
      </c>
      <c r="HS46" t="e">
        <f>AND('Pick List'!E31,"AAAAAHf57+I=")</f>
        <v>#VALUE!</v>
      </c>
      <c r="HT46" t="e">
        <f>AND('Pick List'!F31,"AAAAAHf57+M=")</f>
        <v>#VALUE!</v>
      </c>
      <c r="HU46" t="e">
        <f>AND('Pick List'!G31,"AAAAAHf57+Q=")</f>
        <v>#VALUE!</v>
      </c>
      <c r="HV46" t="e">
        <f>AND('Pick List'!H31,"AAAAAHf57+U=")</f>
        <v>#VALUE!</v>
      </c>
      <c r="HW46" t="e">
        <f>AND('Pick List'!I31,"AAAAAHf57+Y=")</f>
        <v>#VALUE!</v>
      </c>
      <c r="HX46" t="e">
        <f>AND('Pick List'!J31,"AAAAAHf57+c=")</f>
        <v>#VALUE!</v>
      </c>
      <c r="HY46" t="e">
        <f>AND('Pick List'!K31,"AAAAAHf57+g=")</f>
        <v>#VALUE!</v>
      </c>
      <c r="HZ46">
        <f>IF('Pick List'!32:32,"AAAAAHf57+k=",0)</f>
        <v>0</v>
      </c>
      <c r="IA46" t="e">
        <f>AND('Pick List'!B32,"AAAAAHf57+o=")</f>
        <v>#VALUE!</v>
      </c>
      <c r="IB46" t="e">
        <f>AND('Pick List'!C32,"AAAAAHf57+s=")</f>
        <v>#VALUE!</v>
      </c>
      <c r="IC46" t="e">
        <f>AND('Pick List'!D32,"AAAAAHf57+w=")</f>
        <v>#VALUE!</v>
      </c>
      <c r="ID46" t="e">
        <f>AND('Pick List'!E32,"AAAAAHf57+0=")</f>
        <v>#VALUE!</v>
      </c>
      <c r="IE46" t="e">
        <f>AND('Pick List'!F32,"AAAAAHf57+4=")</f>
        <v>#VALUE!</v>
      </c>
      <c r="IF46" t="e">
        <f>AND('Pick List'!G32,"AAAAAHf57+8=")</f>
        <v>#VALUE!</v>
      </c>
      <c r="IG46" t="e">
        <f>AND('Pick List'!H32,"AAAAAHf57/A=")</f>
        <v>#VALUE!</v>
      </c>
      <c r="IH46" t="e">
        <f>AND('Pick List'!I32,"AAAAAHf57/E=")</f>
        <v>#VALUE!</v>
      </c>
      <c r="II46" t="e">
        <f>AND('Pick List'!J32,"AAAAAHf57/I=")</f>
        <v>#VALUE!</v>
      </c>
      <c r="IJ46" t="e">
        <f>AND('Pick List'!K32,"AAAAAHf57/M=")</f>
        <v>#VALUE!</v>
      </c>
      <c r="IK46">
        <f>IF('Pick List'!33:33,"AAAAAHf57/Q=",0)</f>
        <v>0</v>
      </c>
      <c r="IL46" t="e">
        <f>AND('Pick List'!B33,"AAAAAHf57/U=")</f>
        <v>#VALUE!</v>
      </c>
      <c r="IM46" t="e">
        <f>AND('Pick List'!C33,"AAAAAHf57/Y=")</f>
        <v>#VALUE!</v>
      </c>
      <c r="IN46" t="e">
        <f>AND('Pick List'!D33,"AAAAAHf57/c=")</f>
        <v>#VALUE!</v>
      </c>
      <c r="IO46" t="e">
        <f>AND('Pick List'!E33,"AAAAAHf57/g=")</f>
        <v>#VALUE!</v>
      </c>
      <c r="IP46" t="e">
        <f>AND('Pick List'!F33,"AAAAAHf57/k=")</f>
        <v>#VALUE!</v>
      </c>
      <c r="IQ46" t="e">
        <f>AND('Pick List'!G33,"AAAAAHf57/o=")</f>
        <v>#VALUE!</v>
      </c>
      <c r="IR46" t="e">
        <f>AND('Pick List'!H33,"AAAAAHf57/s=")</f>
        <v>#VALUE!</v>
      </c>
      <c r="IS46" t="e">
        <f>AND('Pick List'!I33,"AAAAAHf57/w=")</f>
        <v>#VALUE!</v>
      </c>
      <c r="IT46" t="e">
        <f>AND('Pick List'!J33,"AAAAAHf57/0=")</f>
        <v>#VALUE!</v>
      </c>
      <c r="IU46" t="e">
        <f>AND('Pick List'!K33,"AAAAAHf57/4=")</f>
        <v>#VALUE!</v>
      </c>
      <c r="IV46">
        <f>IF('Pick List'!34:34,"AAAAAHf57/8=",0)</f>
        <v>0</v>
      </c>
    </row>
    <row r="47" spans="1:256" x14ac:dyDescent="0.2">
      <c r="A47" t="e">
        <f>AND('Pick List'!B34,"AAAAAF87PwA=")</f>
        <v>#VALUE!</v>
      </c>
      <c r="B47" t="e">
        <f>AND('Pick List'!C34,"AAAAAF87PwE=")</f>
        <v>#VALUE!</v>
      </c>
      <c r="C47" t="e">
        <f>AND('Pick List'!D34,"AAAAAF87PwI=")</f>
        <v>#VALUE!</v>
      </c>
      <c r="D47" t="e">
        <f>AND('Pick List'!E34,"AAAAAF87PwM=")</f>
        <v>#VALUE!</v>
      </c>
      <c r="E47" t="e">
        <f>AND('Pick List'!F34,"AAAAAF87PwQ=")</f>
        <v>#VALUE!</v>
      </c>
      <c r="F47" t="e">
        <f>AND('Pick List'!G34,"AAAAAF87PwU=")</f>
        <v>#VALUE!</v>
      </c>
      <c r="G47" t="e">
        <f>AND('Pick List'!H34,"AAAAAF87PwY=")</f>
        <v>#VALUE!</v>
      </c>
      <c r="H47" t="e">
        <f>AND('Pick List'!I34,"AAAAAF87Pwc=")</f>
        <v>#VALUE!</v>
      </c>
      <c r="I47" t="e">
        <f>AND('Pick List'!J34,"AAAAAF87Pwg=")</f>
        <v>#VALUE!</v>
      </c>
      <c r="J47" t="e">
        <f>AND('Pick List'!K34,"AAAAAF87Pwk=")</f>
        <v>#VALUE!</v>
      </c>
      <c r="K47">
        <f>IF('Pick List'!35:35,"AAAAAF87Pwo=",0)</f>
        <v>0</v>
      </c>
      <c r="L47" t="e">
        <f>AND('Pick List'!B35,"AAAAAF87Pws=")</f>
        <v>#VALUE!</v>
      </c>
      <c r="M47" t="e">
        <f>AND('Pick List'!C35,"AAAAAF87Pww=")</f>
        <v>#VALUE!</v>
      </c>
      <c r="N47" t="e">
        <f>AND('Pick List'!D35,"AAAAAF87Pw0=")</f>
        <v>#VALUE!</v>
      </c>
      <c r="O47" t="e">
        <f>AND('Pick List'!E35,"AAAAAF87Pw4=")</f>
        <v>#VALUE!</v>
      </c>
      <c r="P47" t="e">
        <f>AND('Pick List'!F35,"AAAAAF87Pw8=")</f>
        <v>#VALUE!</v>
      </c>
      <c r="Q47" t="e">
        <f>AND('Pick List'!G35,"AAAAAF87PxA=")</f>
        <v>#VALUE!</v>
      </c>
      <c r="R47" t="e">
        <f>AND('Pick List'!H35,"AAAAAF87PxE=")</f>
        <v>#VALUE!</v>
      </c>
      <c r="S47" t="e">
        <f>AND('Pick List'!I35,"AAAAAF87PxI=")</f>
        <v>#VALUE!</v>
      </c>
      <c r="T47" t="e">
        <f>AND('Pick List'!J35,"AAAAAF87PxM=")</f>
        <v>#VALUE!</v>
      </c>
      <c r="U47" t="e">
        <f>AND('Pick List'!K35,"AAAAAF87PxQ=")</f>
        <v>#VALUE!</v>
      </c>
      <c r="V47">
        <f>IF('Pick List'!36:36,"AAAAAF87PxU=",0)</f>
        <v>0</v>
      </c>
      <c r="W47" t="e">
        <f>AND('Pick List'!B36,"AAAAAF87PxY=")</f>
        <v>#VALUE!</v>
      </c>
      <c r="X47" t="e">
        <f>AND('Pick List'!C36,"AAAAAF87Pxc=")</f>
        <v>#VALUE!</v>
      </c>
      <c r="Y47" t="e">
        <f>AND('Pick List'!D36,"AAAAAF87Pxg=")</f>
        <v>#VALUE!</v>
      </c>
      <c r="Z47" t="e">
        <f>AND('Pick List'!E36,"AAAAAF87Pxk=")</f>
        <v>#VALUE!</v>
      </c>
      <c r="AA47" t="e">
        <f>AND('Pick List'!F36,"AAAAAF87Pxo=")</f>
        <v>#VALUE!</v>
      </c>
      <c r="AB47" t="e">
        <f>AND('Pick List'!G36,"AAAAAF87Pxs=")</f>
        <v>#VALUE!</v>
      </c>
      <c r="AC47" t="e">
        <f>AND('Pick List'!H36,"AAAAAF87Pxw=")</f>
        <v>#VALUE!</v>
      </c>
      <c r="AD47" t="e">
        <f>AND('Pick List'!I36,"AAAAAF87Px0=")</f>
        <v>#VALUE!</v>
      </c>
      <c r="AE47" t="e">
        <f>AND('Pick List'!J36,"AAAAAF87Px4=")</f>
        <v>#VALUE!</v>
      </c>
      <c r="AF47" t="e">
        <f>AND('Pick List'!K36,"AAAAAF87Px8=")</f>
        <v>#VALUE!</v>
      </c>
      <c r="AG47">
        <f>IF('Pick List'!37:37,"AAAAAF87PyA=",0)</f>
        <v>0</v>
      </c>
      <c r="AH47" t="e">
        <f>AND('Pick List'!B37,"AAAAAF87PyE=")</f>
        <v>#VALUE!</v>
      </c>
      <c r="AI47" t="e">
        <f>AND('Pick List'!C37,"AAAAAF87PyI=")</f>
        <v>#VALUE!</v>
      </c>
      <c r="AJ47" t="e">
        <f>AND('Pick List'!D37,"AAAAAF87PyM=")</f>
        <v>#VALUE!</v>
      </c>
      <c r="AK47" t="e">
        <f>AND('Pick List'!E37,"AAAAAF87PyQ=")</f>
        <v>#VALUE!</v>
      </c>
      <c r="AL47" t="e">
        <f>AND('Pick List'!F37,"AAAAAF87PyU=")</f>
        <v>#VALUE!</v>
      </c>
      <c r="AM47" t="e">
        <f>AND('Pick List'!G37,"AAAAAF87PyY=")</f>
        <v>#VALUE!</v>
      </c>
      <c r="AN47" t="e">
        <f>AND('Pick List'!H37,"AAAAAF87Pyc=")</f>
        <v>#VALUE!</v>
      </c>
      <c r="AO47" t="e">
        <f>AND('Pick List'!I37,"AAAAAF87Pyg=")</f>
        <v>#VALUE!</v>
      </c>
      <c r="AP47" t="e">
        <f>AND('Pick List'!J37,"AAAAAF87Pyk=")</f>
        <v>#VALUE!</v>
      </c>
      <c r="AQ47" t="e">
        <f>AND('Pick List'!K37,"AAAAAF87Pyo=")</f>
        <v>#VALUE!</v>
      </c>
      <c r="AR47">
        <f>IF('Pick List'!38:38,"AAAAAF87Pys=",0)</f>
        <v>0</v>
      </c>
      <c r="AS47" t="e">
        <f>AND('Pick List'!B38,"AAAAAF87Pyw=")</f>
        <v>#VALUE!</v>
      </c>
      <c r="AT47" t="e">
        <f>AND('Pick List'!C38,"AAAAAF87Py0=")</f>
        <v>#VALUE!</v>
      </c>
      <c r="AU47" t="e">
        <f>AND('Pick List'!D38,"AAAAAF87Py4=")</f>
        <v>#VALUE!</v>
      </c>
      <c r="AV47" t="e">
        <f>AND('Pick List'!E38,"AAAAAF87Py8=")</f>
        <v>#VALUE!</v>
      </c>
      <c r="AW47" t="e">
        <f>AND('Pick List'!F38,"AAAAAF87PzA=")</f>
        <v>#VALUE!</v>
      </c>
      <c r="AX47" t="e">
        <f>AND('Pick List'!G38,"AAAAAF87PzE=")</f>
        <v>#VALUE!</v>
      </c>
      <c r="AY47" t="e">
        <f>AND('Pick List'!H38,"AAAAAF87PzI=")</f>
        <v>#VALUE!</v>
      </c>
      <c r="AZ47" t="e">
        <f>AND('Pick List'!I38,"AAAAAF87PzM=")</f>
        <v>#VALUE!</v>
      </c>
      <c r="BA47" t="e">
        <f>AND('Pick List'!J38,"AAAAAF87PzQ=")</f>
        <v>#VALUE!</v>
      </c>
      <c r="BB47" t="e">
        <f>AND('Pick List'!K38,"AAAAAF87PzU=")</f>
        <v>#VALUE!</v>
      </c>
      <c r="BC47">
        <f>IF('Pick List'!39:39,"AAAAAF87PzY=",0)</f>
        <v>0</v>
      </c>
      <c r="BD47" t="e">
        <f>AND('Pick List'!B39,"AAAAAF87Pzc=")</f>
        <v>#VALUE!</v>
      </c>
      <c r="BE47" t="e">
        <f>AND('Pick List'!C39,"AAAAAF87Pzg=")</f>
        <v>#VALUE!</v>
      </c>
      <c r="BF47" t="e">
        <f>AND('Pick List'!D39,"AAAAAF87Pzk=")</f>
        <v>#VALUE!</v>
      </c>
      <c r="BG47" t="e">
        <f>AND('Pick List'!E39,"AAAAAF87Pzo=")</f>
        <v>#VALUE!</v>
      </c>
      <c r="BH47" t="e">
        <f>AND('Pick List'!F39,"AAAAAF87Pzs=")</f>
        <v>#VALUE!</v>
      </c>
      <c r="BI47" t="e">
        <f>AND('Pick List'!G39,"AAAAAF87Pzw=")</f>
        <v>#VALUE!</v>
      </c>
      <c r="BJ47" t="e">
        <f>AND('Pick List'!H39,"AAAAAF87Pz0=")</f>
        <v>#VALUE!</v>
      </c>
      <c r="BK47" t="e">
        <f>AND('Pick List'!I39,"AAAAAF87Pz4=")</f>
        <v>#VALUE!</v>
      </c>
      <c r="BL47" t="e">
        <f>AND('Pick List'!J39,"AAAAAF87Pz8=")</f>
        <v>#VALUE!</v>
      </c>
      <c r="BM47" t="e">
        <f>AND('Pick List'!K39,"AAAAAF87P0A=")</f>
        <v>#VALUE!</v>
      </c>
      <c r="BN47">
        <f>IF('Pick List'!40:40,"AAAAAF87P0E=",0)</f>
        <v>0</v>
      </c>
      <c r="BO47" t="e">
        <f>AND('Pick List'!B40,"AAAAAF87P0I=")</f>
        <v>#VALUE!</v>
      </c>
      <c r="BP47" t="e">
        <f>AND('Pick List'!C40,"AAAAAF87P0M=")</f>
        <v>#VALUE!</v>
      </c>
      <c r="BQ47" t="e">
        <f>AND('Pick List'!D40,"AAAAAF87P0Q=")</f>
        <v>#VALUE!</v>
      </c>
      <c r="BR47" t="e">
        <f>AND('Pick List'!E40,"AAAAAF87P0U=")</f>
        <v>#VALUE!</v>
      </c>
      <c r="BS47" t="e">
        <f>AND('Pick List'!F40,"AAAAAF87P0Y=")</f>
        <v>#VALUE!</v>
      </c>
      <c r="BT47" t="e">
        <f>AND('Pick List'!G40,"AAAAAF87P0c=")</f>
        <v>#VALUE!</v>
      </c>
      <c r="BU47" t="e">
        <f>AND('Pick List'!H40,"AAAAAF87P0g=")</f>
        <v>#VALUE!</v>
      </c>
      <c r="BV47" t="e">
        <f>AND('Pick List'!I40,"AAAAAF87P0k=")</f>
        <v>#VALUE!</v>
      </c>
      <c r="BW47" t="e">
        <f>AND('Pick List'!J40,"AAAAAF87P0o=")</f>
        <v>#VALUE!</v>
      </c>
      <c r="BX47" t="e">
        <f>AND('Pick List'!K40,"AAAAAF87P0s=")</f>
        <v>#VALUE!</v>
      </c>
      <c r="BY47">
        <f>IF('Pick List'!41:41,"AAAAAF87P0w=",0)</f>
        <v>0</v>
      </c>
      <c r="BZ47" t="e">
        <f>AND('Pick List'!B41,"AAAAAF87P00=")</f>
        <v>#VALUE!</v>
      </c>
      <c r="CA47" t="e">
        <f>AND('Pick List'!C41,"AAAAAF87P04=")</f>
        <v>#VALUE!</v>
      </c>
      <c r="CB47" t="e">
        <f>AND('Pick List'!D41,"AAAAAF87P08=")</f>
        <v>#VALUE!</v>
      </c>
      <c r="CC47" t="e">
        <f>AND('Pick List'!E41,"AAAAAF87P1A=")</f>
        <v>#VALUE!</v>
      </c>
      <c r="CD47" t="e">
        <f>AND('Pick List'!F41,"AAAAAF87P1E=")</f>
        <v>#VALUE!</v>
      </c>
      <c r="CE47" t="e">
        <f>AND('Pick List'!G41,"AAAAAF87P1I=")</f>
        <v>#VALUE!</v>
      </c>
      <c r="CF47" t="e">
        <f>AND('Pick List'!H41,"AAAAAF87P1M=")</f>
        <v>#VALUE!</v>
      </c>
      <c r="CG47" t="e">
        <f>AND('Pick List'!I41,"AAAAAF87P1Q=")</f>
        <v>#VALUE!</v>
      </c>
      <c r="CH47" t="e">
        <f>AND('Pick List'!J41,"AAAAAF87P1U=")</f>
        <v>#VALUE!</v>
      </c>
      <c r="CI47" t="e">
        <f>AND('Pick List'!K41,"AAAAAF87P1Y=")</f>
        <v>#VALUE!</v>
      </c>
      <c r="CJ47">
        <f>IF('Pick List'!42:42,"AAAAAF87P1c=",0)</f>
        <v>0</v>
      </c>
      <c r="CK47" t="e">
        <f>AND('Pick List'!B42,"AAAAAF87P1g=")</f>
        <v>#VALUE!</v>
      </c>
      <c r="CL47" t="e">
        <f>AND('Pick List'!C42,"AAAAAF87P1k=")</f>
        <v>#VALUE!</v>
      </c>
      <c r="CM47" t="e">
        <f>AND('Pick List'!D42,"AAAAAF87P1o=")</f>
        <v>#VALUE!</v>
      </c>
      <c r="CN47" t="e">
        <f>AND('Pick List'!E42,"AAAAAF87P1s=")</f>
        <v>#VALUE!</v>
      </c>
      <c r="CO47" t="e">
        <f>AND('Pick List'!F42,"AAAAAF87P1w=")</f>
        <v>#VALUE!</v>
      </c>
      <c r="CP47" t="e">
        <f>AND('Pick List'!G42,"AAAAAF87P10=")</f>
        <v>#VALUE!</v>
      </c>
      <c r="CQ47" t="e">
        <f>AND('Pick List'!H42,"AAAAAF87P14=")</f>
        <v>#VALUE!</v>
      </c>
      <c r="CR47" t="e">
        <f>AND('Pick List'!I42,"AAAAAF87P18=")</f>
        <v>#VALUE!</v>
      </c>
      <c r="CS47" t="e">
        <f>AND('Pick List'!J42,"AAAAAF87P2A=")</f>
        <v>#VALUE!</v>
      </c>
      <c r="CT47" t="e">
        <f>AND('Pick List'!K42,"AAAAAF87P2E=")</f>
        <v>#VALUE!</v>
      </c>
      <c r="CU47">
        <f>IF('Pick List'!43:43,"AAAAAF87P2I=",0)</f>
        <v>0</v>
      </c>
      <c r="CV47" t="e">
        <f>AND('Pick List'!B43,"AAAAAF87P2M=")</f>
        <v>#VALUE!</v>
      </c>
      <c r="CW47" t="e">
        <f>AND('Pick List'!C43,"AAAAAF87P2Q=")</f>
        <v>#VALUE!</v>
      </c>
      <c r="CX47" t="e">
        <f>AND('Pick List'!D43,"AAAAAF87P2U=")</f>
        <v>#VALUE!</v>
      </c>
      <c r="CY47" t="e">
        <f>AND('Pick List'!E43,"AAAAAF87P2Y=")</f>
        <v>#VALUE!</v>
      </c>
      <c r="CZ47" t="e">
        <f>AND('Pick List'!F43,"AAAAAF87P2c=")</f>
        <v>#VALUE!</v>
      </c>
      <c r="DA47" t="e">
        <f>AND('Pick List'!G43,"AAAAAF87P2g=")</f>
        <v>#VALUE!</v>
      </c>
      <c r="DB47" t="e">
        <f>AND('Pick List'!H43,"AAAAAF87P2k=")</f>
        <v>#VALUE!</v>
      </c>
      <c r="DC47" t="e">
        <f>AND('Pick List'!I43,"AAAAAF87P2o=")</f>
        <v>#VALUE!</v>
      </c>
      <c r="DD47" t="e">
        <f>AND('Pick List'!J43,"AAAAAF87P2s=")</f>
        <v>#VALUE!</v>
      </c>
      <c r="DE47" t="e">
        <f>AND('Pick List'!K43,"AAAAAF87P2w=")</f>
        <v>#VALUE!</v>
      </c>
      <c r="DF47">
        <f>IF('Pick List'!44:44,"AAAAAF87P20=",0)</f>
        <v>0</v>
      </c>
      <c r="DG47" t="e">
        <f>AND('Pick List'!B44,"AAAAAF87P24=")</f>
        <v>#VALUE!</v>
      </c>
      <c r="DH47" t="e">
        <f>AND('Pick List'!C44,"AAAAAF87P28=")</f>
        <v>#VALUE!</v>
      </c>
      <c r="DI47" t="e">
        <f>AND('Pick List'!D44,"AAAAAF87P3A=")</f>
        <v>#VALUE!</v>
      </c>
      <c r="DJ47" t="e">
        <f>AND('Pick List'!E44,"AAAAAF87P3E=")</f>
        <v>#VALUE!</v>
      </c>
      <c r="DK47" t="e">
        <f>AND('Pick List'!F44,"AAAAAF87P3I=")</f>
        <v>#VALUE!</v>
      </c>
      <c r="DL47" t="e">
        <f>AND('Pick List'!G44,"AAAAAF87P3M=")</f>
        <v>#VALUE!</v>
      </c>
      <c r="DM47" t="e">
        <f>AND('Pick List'!H44,"AAAAAF87P3Q=")</f>
        <v>#VALUE!</v>
      </c>
      <c r="DN47" t="e">
        <f>AND('Pick List'!I44,"AAAAAF87P3U=")</f>
        <v>#VALUE!</v>
      </c>
      <c r="DO47" t="e">
        <f>AND('Pick List'!J44,"AAAAAF87P3Y=")</f>
        <v>#VALUE!</v>
      </c>
      <c r="DP47" t="e">
        <f>AND('Pick List'!K44,"AAAAAF87P3c=")</f>
        <v>#VALUE!</v>
      </c>
      <c r="DQ47">
        <f>IF('Pick List'!45:45,"AAAAAF87P3g=",0)</f>
        <v>0</v>
      </c>
      <c r="DR47" t="e">
        <f>AND('Pick List'!B45,"AAAAAF87P3k=")</f>
        <v>#VALUE!</v>
      </c>
      <c r="DS47" t="e">
        <f>AND('Pick List'!C45,"AAAAAF87P3o=")</f>
        <v>#VALUE!</v>
      </c>
      <c r="DT47" t="e">
        <f>AND('Pick List'!D45,"AAAAAF87P3s=")</f>
        <v>#VALUE!</v>
      </c>
      <c r="DU47" t="e">
        <f>AND('Pick List'!E45,"AAAAAF87P3w=")</f>
        <v>#VALUE!</v>
      </c>
      <c r="DV47" t="e">
        <f>AND('Pick List'!F45,"AAAAAF87P30=")</f>
        <v>#VALUE!</v>
      </c>
      <c r="DW47" t="e">
        <f>AND('Pick List'!G45,"AAAAAF87P34=")</f>
        <v>#VALUE!</v>
      </c>
      <c r="DX47" t="e">
        <f>AND('Pick List'!H45,"AAAAAF87P38=")</f>
        <v>#VALUE!</v>
      </c>
      <c r="DY47" t="e">
        <f>AND('Pick List'!I45,"AAAAAF87P4A=")</f>
        <v>#VALUE!</v>
      </c>
      <c r="DZ47" t="e">
        <f>AND('Pick List'!J45,"AAAAAF87P4E=")</f>
        <v>#VALUE!</v>
      </c>
      <c r="EA47" t="e">
        <f>AND('Pick List'!K45,"AAAAAF87P4I=")</f>
        <v>#VALUE!</v>
      </c>
      <c r="EB47">
        <f>IF('Pick List'!46:46,"AAAAAF87P4M=",0)</f>
        <v>0</v>
      </c>
      <c r="EC47" t="e">
        <f>AND('Pick List'!B46,"AAAAAF87P4Q=")</f>
        <v>#VALUE!</v>
      </c>
      <c r="ED47" t="e">
        <f>AND('Pick List'!C46,"AAAAAF87P4U=")</f>
        <v>#VALUE!</v>
      </c>
      <c r="EE47" t="e">
        <f>AND('Pick List'!D46,"AAAAAF87P4Y=")</f>
        <v>#VALUE!</v>
      </c>
      <c r="EF47" t="e">
        <f>AND('Pick List'!E46,"AAAAAF87P4c=")</f>
        <v>#VALUE!</v>
      </c>
      <c r="EG47" t="e">
        <f>AND('Pick List'!F46,"AAAAAF87P4g=")</f>
        <v>#VALUE!</v>
      </c>
      <c r="EH47" t="e">
        <f>AND('Pick List'!G46,"AAAAAF87P4k=")</f>
        <v>#VALUE!</v>
      </c>
      <c r="EI47" t="e">
        <f>AND('Pick List'!H46,"AAAAAF87P4o=")</f>
        <v>#VALUE!</v>
      </c>
      <c r="EJ47" t="e">
        <f>AND('Pick List'!I46,"AAAAAF87P4s=")</f>
        <v>#VALUE!</v>
      </c>
      <c r="EK47" t="e">
        <f>AND('Pick List'!J46,"AAAAAF87P4w=")</f>
        <v>#VALUE!</v>
      </c>
      <c r="EL47" t="e">
        <f>AND('Pick List'!K46,"AAAAAF87P40=")</f>
        <v>#VALUE!</v>
      </c>
      <c r="EM47">
        <f>IF('Pick List'!47:47,"AAAAAF87P44=",0)</f>
        <v>0</v>
      </c>
      <c r="EN47" t="e">
        <f>AND('Pick List'!B47,"AAAAAF87P48=")</f>
        <v>#VALUE!</v>
      </c>
      <c r="EO47" t="e">
        <f>AND('Pick List'!C47,"AAAAAF87P5A=")</f>
        <v>#VALUE!</v>
      </c>
      <c r="EP47" t="e">
        <f>AND('Pick List'!D47,"AAAAAF87P5E=")</f>
        <v>#VALUE!</v>
      </c>
      <c r="EQ47" t="e">
        <f>AND('Pick List'!E47,"AAAAAF87P5I=")</f>
        <v>#VALUE!</v>
      </c>
      <c r="ER47" t="e">
        <f>AND('Pick List'!F47,"AAAAAF87P5M=")</f>
        <v>#VALUE!</v>
      </c>
      <c r="ES47" t="e">
        <f>AND('Pick List'!G47,"AAAAAF87P5Q=")</f>
        <v>#VALUE!</v>
      </c>
      <c r="ET47" t="e">
        <f>AND('Pick List'!H47,"AAAAAF87P5U=")</f>
        <v>#VALUE!</v>
      </c>
      <c r="EU47" t="e">
        <f>AND('Pick List'!I47,"AAAAAF87P5Y=")</f>
        <v>#VALUE!</v>
      </c>
      <c r="EV47" t="e">
        <f>AND('Pick List'!J47,"AAAAAF87P5c=")</f>
        <v>#VALUE!</v>
      </c>
      <c r="EW47" t="e">
        <f>AND('Pick List'!K47,"AAAAAF87P5g=")</f>
        <v>#VALUE!</v>
      </c>
      <c r="EX47">
        <f>IF('Pick List'!48:48,"AAAAAF87P5k=",0)</f>
        <v>0</v>
      </c>
      <c r="EY47" t="e">
        <f>AND('Pick List'!B48,"AAAAAF87P5o=")</f>
        <v>#VALUE!</v>
      </c>
      <c r="EZ47" t="e">
        <f>AND('Pick List'!C48,"AAAAAF87P5s=")</f>
        <v>#VALUE!</v>
      </c>
      <c r="FA47" t="e">
        <f>AND('Pick List'!D48,"AAAAAF87P5w=")</f>
        <v>#VALUE!</v>
      </c>
      <c r="FB47" t="e">
        <f>AND('Pick List'!E48,"AAAAAF87P50=")</f>
        <v>#VALUE!</v>
      </c>
      <c r="FC47" t="e">
        <f>AND('Pick List'!F48,"AAAAAF87P54=")</f>
        <v>#VALUE!</v>
      </c>
      <c r="FD47" t="e">
        <f>AND('Pick List'!G48,"AAAAAF87P58=")</f>
        <v>#VALUE!</v>
      </c>
      <c r="FE47" t="e">
        <f>AND('Pick List'!H48,"AAAAAF87P6A=")</f>
        <v>#VALUE!</v>
      </c>
      <c r="FF47" t="e">
        <f>AND('Pick List'!I48,"AAAAAF87P6E=")</f>
        <v>#VALUE!</v>
      </c>
      <c r="FG47" t="e">
        <f>AND('Pick List'!J48,"AAAAAF87P6I=")</f>
        <v>#VALUE!</v>
      </c>
      <c r="FH47" t="e">
        <f>AND('Pick List'!K48,"AAAAAF87P6M=")</f>
        <v>#VALUE!</v>
      </c>
      <c r="FI47">
        <f>IF('Pick List'!49:49,"AAAAAF87P6Q=",0)</f>
        <v>0</v>
      </c>
      <c r="FJ47" t="e">
        <f>AND('Pick List'!B49,"AAAAAF87P6U=")</f>
        <v>#VALUE!</v>
      </c>
      <c r="FK47" t="e">
        <f>AND('Pick List'!C49,"AAAAAF87P6Y=")</f>
        <v>#VALUE!</v>
      </c>
      <c r="FL47" t="e">
        <f>AND('Pick List'!D49,"AAAAAF87P6c=")</f>
        <v>#VALUE!</v>
      </c>
      <c r="FM47" t="e">
        <f>AND('Pick List'!E49,"AAAAAF87P6g=")</f>
        <v>#VALUE!</v>
      </c>
      <c r="FN47" t="e">
        <f>AND('Pick List'!F49,"AAAAAF87P6k=")</f>
        <v>#VALUE!</v>
      </c>
      <c r="FO47" t="e">
        <f>AND('Pick List'!G49,"AAAAAF87P6o=")</f>
        <v>#VALUE!</v>
      </c>
      <c r="FP47" t="e">
        <f>AND('Pick List'!H49,"AAAAAF87P6s=")</f>
        <v>#VALUE!</v>
      </c>
      <c r="FQ47" t="e">
        <f>AND('Pick List'!I49,"AAAAAF87P6w=")</f>
        <v>#VALUE!</v>
      </c>
      <c r="FR47" t="e">
        <f>AND('Pick List'!J49,"AAAAAF87P60=")</f>
        <v>#VALUE!</v>
      </c>
      <c r="FS47" t="e">
        <f>AND('Pick List'!K49,"AAAAAF87P64=")</f>
        <v>#VALUE!</v>
      </c>
      <c r="FT47">
        <f>IF('Pick List'!50:50,"AAAAAF87P68=",0)</f>
        <v>0</v>
      </c>
      <c r="FU47" t="e">
        <f>AND('Pick List'!B50,"AAAAAF87P7A=")</f>
        <v>#VALUE!</v>
      </c>
      <c r="FV47" t="e">
        <f>AND('Pick List'!C50,"AAAAAF87P7E=")</f>
        <v>#VALUE!</v>
      </c>
      <c r="FW47" t="e">
        <f>AND('Pick List'!D50,"AAAAAF87P7I=")</f>
        <v>#VALUE!</v>
      </c>
      <c r="FX47" t="e">
        <f>AND('Pick List'!E50,"AAAAAF87P7M=")</f>
        <v>#VALUE!</v>
      </c>
      <c r="FY47" t="e">
        <f>AND('Pick List'!F50,"AAAAAF87P7Q=")</f>
        <v>#VALUE!</v>
      </c>
      <c r="FZ47" t="e">
        <f>AND('Pick List'!G50,"AAAAAF87P7U=")</f>
        <v>#VALUE!</v>
      </c>
      <c r="GA47" t="e">
        <f>AND('Pick List'!H50,"AAAAAF87P7Y=")</f>
        <v>#VALUE!</v>
      </c>
      <c r="GB47" t="e">
        <f>AND('Pick List'!I50,"AAAAAF87P7c=")</f>
        <v>#VALUE!</v>
      </c>
      <c r="GC47" t="e">
        <f>AND('Pick List'!J50,"AAAAAF87P7g=")</f>
        <v>#VALUE!</v>
      </c>
      <c r="GD47" t="e">
        <f>AND('Pick List'!K50,"AAAAAF87P7k=")</f>
        <v>#VALUE!</v>
      </c>
      <c r="GE47">
        <f>IF('Pick List'!51:51,"AAAAAF87P7o=",0)</f>
        <v>0</v>
      </c>
      <c r="GF47" t="e">
        <f>AND('Pick List'!B51,"AAAAAF87P7s=")</f>
        <v>#VALUE!</v>
      </c>
      <c r="GG47" t="e">
        <f>AND('Pick List'!C51,"AAAAAF87P7w=")</f>
        <v>#VALUE!</v>
      </c>
      <c r="GH47" t="e">
        <f>AND('Pick List'!D51,"AAAAAF87P70=")</f>
        <v>#VALUE!</v>
      </c>
      <c r="GI47" t="e">
        <f>AND('Pick List'!E51,"AAAAAF87P74=")</f>
        <v>#VALUE!</v>
      </c>
      <c r="GJ47" t="e">
        <f>AND('Pick List'!F51,"AAAAAF87P78=")</f>
        <v>#VALUE!</v>
      </c>
      <c r="GK47" t="e">
        <f>AND('Pick List'!G51,"AAAAAF87P8A=")</f>
        <v>#VALUE!</v>
      </c>
      <c r="GL47" t="e">
        <f>AND('Pick List'!H51,"AAAAAF87P8E=")</f>
        <v>#VALUE!</v>
      </c>
      <c r="GM47" t="e">
        <f>AND('Pick List'!I51,"AAAAAF87P8I=")</f>
        <v>#VALUE!</v>
      </c>
      <c r="GN47" t="e">
        <f>AND('Pick List'!J51,"AAAAAF87P8M=")</f>
        <v>#VALUE!</v>
      </c>
      <c r="GO47" t="e">
        <f>AND('Pick List'!K51,"AAAAAF87P8Q=")</f>
        <v>#VALUE!</v>
      </c>
      <c r="GP47">
        <f>IF('Pick List'!52:52,"AAAAAF87P8U=",0)</f>
        <v>0</v>
      </c>
      <c r="GQ47" t="e">
        <f>AND('Pick List'!B52,"AAAAAF87P8Y=")</f>
        <v>#VALUE!</v>
      </c>
      <c r="GR47" t="e">
        <f>AND('Pick List'!C52,"AAAAAF87P8c=")</f>
        <v>#VALUE!</v>
      </c>
      <c r="GS47" t="e">
        <f>AND('Pick List'!D52,"AAAAAF87P8g=")</f>
        <v>#VALUE!</v>
      </c>
      <c r="GT47" t="e">
        <f>AND('Pick List'!E52,"AAAAAF87P8k=")</f>
        <v>#VALUE!</v>
      </c>
      <c r="GU47" t="e">
        <f>AND('Pick List'!F52,"AAAAAF87P8o=")</f>
        <v>#VALUE!</v>
      </c>
      <c r="GV47" t="e">
        <f>AND('Pick List'!G52,"AAAAAF87P8s=")</f>
        <v>#VALUE!</v>
      </c>
      <c r="GW47" t="e">
        <f>AND('Pick List'!H52,"AAAAAF87P8w=")</f>
        <v>#VALUE!</v>
      </c>
      <c r="GX47" t="e">
        <f>AND('Pick List'!I52,"AAAAAF87P80=")</f>
        <v>#VALUE!</v>
      </c>
      <c r="GY47" t="e">
        <f>AND('Pick List'!J52,"AAAAAF87P84=")</f>
        <v>#VALUE!</v>
      </c>
      <c r="GZ47" t="e">
        <f>AND('Pick List'!K52,"AAAAAF87P88=")</f>
        <v>#VALUE!</v>
      </c>
      <c r="HA47">
        <f>IF('Pick List'!53:53,"AAAAAF87P9A=",0)</f>
        <v>0</v>
      </c>
      <c r="HB47" t="e">
        <f>AND('Pick List'!B53,"AAAAAF87P9E=")</f>
        <v>#VALUE!</v>
      </c>
      <c r="HC47" t="e">
        <f>AND('Pick List'!C53,"AAAAAF87P9I=")</f>
        <v>#VALUE!</v>
      </c>
      <c r="HD47" t="e">
        <f>AND('Pick List'!D53,"AAAAAF87P9M=")</f>
        <v>#VALUE!</v>
      </c>
      <c r="HE47" t="e">
        <f>AND('Pick List'!E53,"AAAAAF87P9Q=")</f>
        <v>#VALUE!</v>
      </c>
      <c r="HF47" t="e">
        <f>AND('Pick List'!F53,"AAAAAF87P9U=")</f>
        <v>#VALUE!</v>
      </c>
      <c r="HG47" t="e">
        <f>AND('Pick List'!G53,"AAAAAF87P9Y=")</f>
        <v>#VALUE!</v>
      </c>
      <c r="HH47" t="e">
        <f>AND('Pick List'!H53,"AAAAAF87P9c=")</f>
        <v>#VALUE!</v>
      </c>
      <c r="HI47" t="e">
        <f>AND('Pick List'!I53,"AAAAAF87P9g=")</f>
        <v>#VALUE!</v>
      </c>
      <c r="HJ47" t="e">
        <f>AND('Pick List'!J53,"AAAAAF87P9k=")</f>
        <v>#VALUE!</v>
      </c>
      <c r="HK47" t="e">
        <f>AND('Pick List'!K53,"AAAAAF87P9o=")</f>
        <v>#VALUE!</v>
      </c>
      <c r="HL47">
        <f>IF('Pick List'!54:54,"AAAAAF87P9s=",0)</f>
        <v>0</v>
      </c>
      <c r="HM47" t="e">
        <f>AND('Pick List'!B54,"AAAAAF87P9w=")</f>
        <v>#VALUE!</v>
      </c>
      <c r="HN47" t="e">
        <f>AND('Pick List'!C54,"AAAAAF87P90=")</f>
        <v>#VALUE!</v>
      </c>
      <c r="HO47" t="e">
        <f>AND('Pick List'!D54,"AAAAAF87P94=")</f>
        <v>#VALUE!</v>
      </c>
      <c r="HP47" t="e">
        <f>AND('Pick List'!E54,"AAAAAF87P98=")</f>
        <v>#VALUE!</v>
      </c>
      <c r="HQ47" t="e">
        <f>AND('Pick List'!F54,"AAAAAF87P+A=")</f>
        <v>#VALUE!</v>
      </c>
      <c r="HR47" t="e">
        <f>AND('Pick List'!G54,"AAAAAF87P+E=")</f>
        <v>#VALUE!</v>
      </c>
      <c r="HS47" t="e">
        <f>AND('Pick List'!H54,"AAAAAF87P+I=")</f>
        <v>#VALUE!</v>
      </c>
      <c r="HT47" t="e">
        <f>AND('Pick List'!I54,"AAAAAF87P+M=")</f>
        <v>#VALUE!</v>
      </c>
      <c r="HU47" t="e">
        <f>AND('Pick List'!J54,"AAAAAF87P+Q=")</f>
        <v>#VALUE!</v>
      </c>
      <c r="HV47" t="e">
        <f>AND('Pick List'!K54,"AAAAAF87P+U=")</f>
        <v>#VALUE!</v>
      </c>
      <c r="HW47">
        <f>IF('Pick List'!55:55,"AAAAAF87P+Y=",0)</f>
        <v>0</v>
      </c>
      <c r="HX47" t="e">
        <f>AND('Pick List'!B55,"AAAAAF87P+c=")</f>
        <v>#VALUE!</v>
      </c>
      <c r="HY47" t="e">
        <f>AND('Pick List'!C55,"AAAAAF87P+g=")</f>
        <v>#VALUE!</v>
      </c>
      <c r="HZ47" t="e">
        <f>AND('Pick List'!D55,"AAAAAF87P+k=")</f>
        <v>#VALUE!</v>
      </c>
      <c r="IA47" t="e">
        <f>AND('Pick List'!E55,"AAAAAF87P+o=")</f>
        <v>#VALUE!</v>
      </c>
      <c r="IB47" t="e">
        <f>AND('Pick List'!F55,"AAAAAF87P+s=")</f>
        <v>#VALUE!</v>
      </c>
      <c r="IC47" t="e">
        <f>AND('Pick List'!G55,"AAAAAF87P+w=")</f>
        <v>#VALUE!</v>
      </c>
      <c r="ID47" t="e">
        <f>AND('Pick List'!H55,"AAAAAF87P+0=")</f>
        <v>#VALUE!</v>
      </c>
      <c r="IE47" t="e">
        <f>AND('Pick List'!I55,"AAAAAF87P+4=")</f>
        <v>#VALUE!</v>
      </c>
      <c r="IF47" t="e">
        <f>AND('Pick List'!J55,"AAAAAF87P+8=")</f>
        <v>#VALUE!</v>
      </c>
      <c r="IG47" t="e">
        <f>AND('Pick List'!K55,"AAAAAF87P/A=")</f>
        <v>#VALUE!</v>
      </c>
      <c r="IH47">
        <f>IF('Pick List'!56:56,"AAAAAF87P/E=",0)</f>
        <v>0</v>
      </c>
      <c r="II47" t="e">
        <f>AND('Pick List'!B56,"AAAAAF87P/I=")</f>
        <v>#VALUE!</v>
      </c>
      <c r="IJ47" t="e">
        <f>AND('Pick List'!C56,"AAAAAF87P/M=")</f>
        <v>#VALUE!</v>
      </c>
      <c r="IK47" t="e">
        <f>AND('Pick List'!D56,"AAAAAF87P/Q=")</f>
        <v>#VALUE!</v>
      </c>
      <c r="IL47" t="e">
        <f>AND('Pick List'!E56,"AAAAAF87P/U=")</f>
        <v>#VALUE!</v>
      </c>
      <c r="IM47" t="e">
        <f>AND('Pick List'!F56,"AAAAAF87P/Y=")</f>
        <v>#VALUE!</v>
      </c>
      <c r="IN47" t="e">
        <f>AND('Pick List'!G56,"AAAAAF87P/c=")</f>
        <v>#VALUE!</v>
      </c>
      <c r="IO47" t="e">
        <f>AND('Pick List'!H56,"AAAAAF87P/g=")</f>
        <v>#VALUE!</v>
      </c>
      <c r="IP47" t="e">
        <f>AND('Pick List'!I56,"AAAAAF87P/k=")</f>
        <v>#VALUE!</v>
      </c>
      <c r="IQ47" t="e">
        <f>AND('Pick List'!J56,"AAAAAF87P/o=")</f>
        <v>#VALUE!</v>
      </c>
      <c r="IR47" t="e">
        <f>AND('Pick List'!K56,"AAAAAF87P/s=")</f>
        <v>#VALUE!</v>
      </c>
      <c r="IS47">
        <f>IF('Pick List'!57:57,"AAAAAF87P/w=",0)</f>
        <v>0</v>
      </c>
      <c r="IT47" t="e">
        <f>AND('Pick List'!B57,"AAAAAF87P/0=")</f>
        <v>#VALUE!</v>
      </c>
      <c r="IU47" t="e">
        <f>AND('Pick List'!C57,"AAAAAF87P/4=")</f>
        <v>#VALUE!</v>
      </c>
      <c r="IV47" t="e">
        <f>AND('Pick List'!D57,"AAAAAF87P/8=")</f>
        <v>#VALUE!</v>
      </c>
    </row>
    <row r="48" spans="1:256" x14ac:dyDescent="0.2">
      <c r="A48" t="e">
        <f>AND('Pick List'!E57,"AAAAAFzf9wA=")</f>
        <v>#VALUE!</v>
      </c>
      <c r="B48" t="e">
        <f>AND('Pick List'!F57,"AAAAAFzf9wE=")</f>
        <v>#VALUE!</v>
      </c>
      <c r="C48" t="e">
        <f>AND('Pick List'!G57,"AAAAAFzf9wI=")</f>
        <v>#VALUE!</v>
      </c>
      <c r="D48" t="e">
        <f>AND('Pick List'!H57,"AAAAAFzf9wM=")</f>
        <v>#VALUE!</v>
      </c>
      <c r="E48" t="e">
        <f>AND('Pick List'!I57,"AAAAAFzf9wQ=")</f>
        <v>#VALUE!</v>
      </c>
      <c r="F48" t="e">
        <f>AND('Pick List'!J57,"AAAAAFzf9wU=")</f>
        <v>#VALUE!</v>
      </c>
      <c r="G48" t="e">
        <f>AND('Pick List'!K57,"AAAAAFzf9wY=")</f>
        <v>#VALUE!</v>
      </c>
      <c r="H48">
        <f>IF('Pick List'!58:58,"AAAAAFzf9wc=",0)</f>
        <v>0</v>
      </c>
      <c r="I48" t="e">
        <f>AND('Pick List'!B58,"AAAAAFzf9wg=")</f>
        <v>#VALUE!</v>
      </c>
      <c r="J48" t="e">
        <f>AND('Pick List'!C58,"AAAAAFzf9wk=")</f>
        <v>#VALUE!</v>
      </c>
      <c r="K48" t="e">
        <f>AND('Pick List'!D58,"AAAAAFzf9wo=")</f>
        <v>#VALUE!</v>
      </c>
      <c r="L48" t="e">
        <f>AND('Pick List'!E58,"AAAAAFzf9ws=")</f>
        <v>#VALUE!</v>
      </c>
      <c r="M48" t="e">
        <f>AND('Pick List'!F58,"AAAAAFzf9ww=")</f>
        <v>#VALUE!</v>
      </c>
      <c r="N48" t="e">
        <f>AND('Pick List'!G58,"AAAAAFzf9w0=")</f>
        <v>#VALUE!</v>
      </c>
      <c r="O48" t="e">
        <f>AND('Pick List'!H58,"AAAAAFzf9w4=")</f>
        <v>#VALUE!</v>
      </c>
      <c r="P48" t="e">
        <f>AND('Pick List'!I58,"AAAAAFzf9w8=")</f>
        <v>#VALUE!</v>
      </c>
      <c r="Q48" t="e">
        <f>AND('Pick List'!J58,"AAAAAFzf9xA=")</f>
        <v>#VALUE!</v>
      </c>
      <c r="R48" t="e">
        <f>AND('Pick List'!K58,"AAAAAFzf9xE=")</f>
        <v>#VALUE!</v>
      </c>
      <c r="S48">
        <f>IF('Pick List'!59:59,"AAAAAFzf9xI=",0)</f>
        <v>0</v>
      </c>
      <c r="T48" t="e">
        <f>AND('Pick List'!B59,"AAAAAFzf9xM=")</f>
        <v>#VALUE!</v>
      </c>
      <c r="U48" t="e">
        <f>AND('Pick List'!C59,"AAAAAFzf9xQ=")</f>
        <v>#VALUE!</v>
      </c>
      <c r="V48" t="e">
        <f>AND('Pick List'!D59,"AAAAAFzf9xU=")</f>
        <v>#VALUE!</v>
      </c>
      <c r="W48" t="e">
        <f>AND('Pick List'!E59,"AAAAAFzf9xY=")</f>
        <v>#VALUE!</v>
      </c>
      <c r="X48" t="e">
        <f>AND('Pick List'!F59,"AAAAAFzf9xc=")</f>
        <v>#VALUE!</v>
      </c>
      <c r="Y48" t="e">
        <f>AND('Pick List'!G59,"AAAAAFzf9xg=")</f>
        <v>#VALUE!</v>
      </c>
      <c r="Z48" t="e">
        <f>AND('Pick List'!H59,"AAAAAFzf9xk=")</f>
        <v>#VALUE!</v>
      </c>
      <c r="AA48" t="e">
        <f>AND('Pick List'!I59,"AAAAAFzf9xo=")</f>
        <v>#VALUE!</v>
      </c>
      <c r="AB48" t="e">
        <f>AND('Pick List'!J59,"AAAAAFzf9xs=")</f>
        <v>#VALUE!</v>
      </c>
      <c r="AC48" t="e">
        <f>AND('Pick List'!K59,"AAAAAFzf9xw=")</f>
        <v>#VALUE!</v>
      </c>
      <c r="AD48">
        <f>IF('Pick List'!60:60,"AAAAAFzf9x0=",0)</f>
        <v>0</v>
      </c>
      <c r="AE48" t="e">
        <f>AND('Pick List'!B60,"AAAAAFzf9x4=")</f>
        <v>#VALUE!</v>
      </c>
      <c r="AF48" t="e">
        <f>AND('Pick List'!C60,"AAAAAFzf9x8=")</f>
        <v>#VALUE!</v>
      </c>
      <c r="AG48" t="e">
        <f>AND('Pick List'!D60,"AAAAAFzf9yA=")</f>
        <v>#VALUE!</v>
      </c>
      <c r="AH48" t="e">
        <f>AND('Pick List'!E60,"AAAAAFzf9yE=")</f>
        <v>#VALUE!</v>
      </c>
      <c r="AI48" t="e">
        <f>AND('Pick List'!F60,"AAAAAFzf9yI=")</f>
        <v>#VALUE!</v>
      </c>
      <c r="AJ48" t="e">
        <f>AND('Pick List'!G60,"AAAAAFzf9yM=")</f>
        <v>#VALUE!</v>
      </c>
      <c r="AK48" t="e">
        <f>AND('Pick List'!H60,"AAAAAFzf9yQ=")</f>
        <v>#VALUE!</v>
      </c>
      <c r="AL48" t="e">
        <f>AND('Pick List'!I60,"AAAAAFzf9yU=")</f>
        <v>#VALUE!</v>
      </c>
      <c r="AM48" t="e">
        <f>AND('Pick List'!J60,"AAAAAFzf9yY=")</f>
        <v>#VALUE!</v>
      </c>
      <c r="AN48" t="e">
        <f>AND('Pick List'!K60,"AAAAAFzf9yc=")</f>
        <v>#VALUE!</v>
      </c>
      <c r="AO48">
        <f>IF('Pick List'!61:61,"AAAAAFzf9yg=",0)</f>
        <v>0</v>
      </c>
      <c r="AP48" t="e">
        <f>AND('Pick List'!B61,"AAAAAFzf9yk=")</f>
        <v>#VALUE!</v>
      </c>
      <c r="AQ48" t="e">
        <f>AND('Pick List'!C61,"AAAAAFzf9yo=")</f>
        <v>#VALUE!</v>
      </c>
      <c r="AR48" t="e">
        <f>AND('Pick List'!D61,"AAAAAFzf9ys=")</f>
        <v>#VALUE!</v>
      </c>
      <c r="AS48" t="e">
        <f>AND('Pick List'!E61,"AAAAAFzf9yw=")</f>
        <v>#VALUE!</v>
      </c>
      <c r="AT48" t="e">
        <f>AND('Pick List'!F61,"AAAAAFzf9y0=")</f>
        <v>#VALUE!</v>
      </c>
      <c r="AU48" t="e">
        <f>AND('Pick List'!G61,"AAAAAFzf9y4=")</f>
        <v>#VALUE!</v>
      </c>
      <c r="AV48" t="e">
        <f>AND('Pick List'!H61,"AAAAAFzf9y8=")</f>
        <v>#VALUE!</v>
      </c>
      <c r="AW48" t="e">
        <f>AND('Pick List'!I61,"AAAAAFzf9zA=")</f>
        <v>#VALUE!</v>
      </c>
      <c r="AX48" t="e">
        <f>AND('Pick List'!J61,"AAAAAFzf9zE=")</f>
        <v>#VALUE!</v>
      </c>
      <c r="AY48" t="e">
        <f>AND('Pick List'!K61,"AAAAAFzf9zI=")</f>
        <v>#VALUE!</v>
      </c>
      <c r="AZ48">
        <f>IF('Pick List'!62:62,"AAAAAFzf9zM=",0)</f>
        <v>0</v>
      </c>
      <c r="BA48" t="e">
        <f>AND('Pick List'!B62,"AAAAAFzf9zQ=")</f>
        <v>#VALUE!</v>
      </c>
      <c r="BB48" t="e">
        <f>AND('Pick List'!C62,"AAAAAFzf9zU=")</f>
        <v>#VALUE!</v>
      </c>
      <c r="BC48" t="e">
        <f>AND('Pick List'!D62,"AAAAAFzf9zY=")</f>
        <v>#VALUE!</v>
      </c>
      <c r="BD48" t="e">
        <f>AND('Pick List'!E62,"AAAAAFzf9zc=")</f>
        <v>#VALUE!</v>
      </c>
      <c r="BE48" t="e">
        <f>AND('Pick List'!F62,"AAAAAFzf9zg=")</f>
        <v>#VALUE!</v>
      </c>
      <c r="BF48" t="e">
        <f>AND('Pick List'!G62,"AAAAAFzf9zk=")</f>
        <v>#VALUE!</v>
      </c>
      <c r="BG48" t="e">
        <f>AND('Pick List'!H62,"AAAAAFzf9zo=")</f>
        <v>#VALUE!</v>
      </c>
      <c r="BH48" t="e">
        <f>AND('Pick List'!I62,"AAAAAFzf9zs=")</f>
        <v>#VALUE!</v>
      </c>
      <c r="BI48" t="e">
        <f>AND('Pick List'!J62,"AAAAAFzf9zw=")</f>
        <v>#VALUE!</v>
      </c>
      <c r="BJ48" t="e">
        <f>AND('Pick List'!K62,"AAAAAFzf9z0=")</f>
        <v>#VALUE!</v>
      </c>
      <c r="BK48">
        <f>IF('Pick List'!63:63,"AAAAAFzf9z4=",0)</f>
        <v>0</v>
      </c>
      <c r="BL48" t="e">
        <f>AND('Pick List'!B63,"AAAAAFzf9z8=")</f>
        <v>#VALUE!</v>
      </c>
      <c r="BM48" t="e">
        <f>AND('Pick List'!C63,"AAAAAFzf90A=")</f>
        <v>#VALUE!</v>
      </c>
      <c r="BN48" t="e">
        <f>AND('Pick List'!D63,"AAAAAFzf90E=")</f>
        <v>#VALUE!</v>
      </c>
      <c r="BO48" t="e">
        <f>AND('Pick List'!E63,"AAAAAFzf90I=")</f>
        <v>#VALUE!</v>
      </c>
      <c r="BP48" t="e">
        <f>AND('Pick List'!F63,"AAAAAFzf90M=")</f>
        <v>#VALUE!</v>
      </c>
      <c r="BQ48" t="e">
        <f>AND('Pick List'!G63,"AAAAAFzf90Q=")</f>
        <v>#VALUE!</v>
      </c>
      <c r="BR48" t="e">
        <f>AND('Pick List'!H63,"AAAAAFzf90U=")</f>
        <v>#VALUE!</v>
      </c>
      <c r="BS48" t="e">
        <f>AND('Pick List'!I63,"AAAAAFzf90Y=")</f>
        <v>#VALUE!</v>
      </c>
      <c r="BT48" t="e">
        <f>AND('Pick List'!J63,"AAAAAFzf90c=")</f>
        <v>#VALUE!</v>
      </c>
      <c r="BU48" t="e">
        <f>AND('Pick List'!K63,"AAAAAFzf90g=")</f>
        <v>#VALUE!</v>
      </c>
      <c r="BV48">
        <f>IF('Pick List'!64:64,"AAAAAFzf90k=",0)</f>
        <v>0</v>
      </c>
      <c r="BW48" t="e">
        <f>AND('Pick List'!B64,"AAAAAFzf90o=")</f>
        <v>#VALUE!</v>
      </c>
      <c r="BX48" t="e">
        <f>AND('Pick List'!C64,"AAAAAFzf90s=")</f>
        <v>#VALUE!</v>
      </c>
      <c r="BY48" t="e">
        <f>AND('Pick List'!D64,"AAAAAFzf90w=")</f>
        <v>#VALUE!</v>
      </c>
      <c r="BZ48" t="e">
        <f>AND('Pick List'!E64,"AAAAAFzf900=")</f>
        <v>#VALUE!</v>
      </c>
      <c r="CA48" t="e">
        <f>AND('Pick List'!F64,"AAAAAFzf904=")</f>
        <v>#VALUE!</v>
      </c>
      <c r="CB48" t="e">
        <f>AND('Pick List'!G64,"AAAAAFzf908=")</f>
        <v>#VALUE!</v>
      </c>
      <c r="CC48" t="e">
        <f>AND('Pick List'!H64,"AAAAAFzf91A=")</f>
        <v>#VALUE!</v>
      </c>
      <c r="CD48" t="e">
        <f>AND('Pick List'!I64,"AAAAAFzf91E=")</f>
        <v>#VALUE!</v>
      </c>
      <c r="CE48" t="e">
        <f>AND('Pick List'!J64,"AAAAAFzf91I=")</f>
        <v>#VALUE!</v>
      </c>
      <c r="CF48" t="e">
        <f>AND('Pick List'!K64,"AAAAAFzf91M=")</f>
        <v>#VALUE!</v>
      </c>
      <c r="CG48">
        <f>IF('Pick List'!65:65,"AAAAAFzf91Q=",0)</f>
        <v>0</v>
      </c>
      <c r="CH48" t="e">
        <f>AND('Pick List'!B65,"AAAAAFzf91U=")</f>
        <v>#VALUE!</v>
      </c>
      <c r="CI48" t="e">
        <f>AND('Pick List'!C65,"AAAAAFzf91Y=")</f>
        <v>#VALUE!</v>
      </c>
      <c r="CJ48" t="e">
        <f>AND('Pick List'!D65,"AAAAAFzf91c=")</f>
        <v>#VALUE!</v>
      </c>
      <c r="CK48" t="e">
        <f>AND('Pick List'!E65,"AAAAAFzf91g=")</f>
        <v>#VALUE!</v>
      </c>
      <c r="CL48" t="e">
        <f>AND('Pick List'!F65,"AAAAAFzf91k=")</f>
        <v>#VALUE!</v>
      </c>
      <c r="CM48" t="e">
        <f>AND('Pick List'!G65,"AAAAAFzf91o=")</f>
        <v>#VALUE!</v>
      </c>
      <c r="CN48" t="e">
        <f>AND('Pick List'!H65,"AAAAAFzf91s=")</f>
        <v>#VALUE!</v>
      </c>
      <c r="CO48" t="e">
        <f>AND('Pick List'!I65,"AAAAAFzf91w=")</f>
        <v>#VALUE!</v>
      </c>
      <c r="CP48" t="e">
        <f>AND('Pick List'!J65,"AAAAAFzf910=")</f>
        <v>#VALUE!</v>
      </c>
      <c r="CQ48" t="e">
        <f>AND('Pick List'!K65,"AAAAAFzf914=")</f>
        <v>#VALUE!</v>
      </c>
      <c r="CR48">
        <f>IF('Pick List'!66:66,"AAAAAFzf918=",0)</f>
        <v>0</v>
      </c>
      <c r="CS48" t="e">
        <f>AND('Pick List'!B66,"AAAAAFzf92A=")</f>
        <v>#VALUE!</v>
      </c>
      <c r="CT48" t="e">
        <f>AND('Pick List'!C66,"AAAAAFzf92E=")</f>
        <v>#VALUE!</v>
      </c>
      <c r="CU48" t="e">
        <f>AND('Pick List'!D66,"AAAAAFzf92I=")</f>
        <v>#VALUE!</v>
      </c>
      <c r="CV48" t="e">
        <f>AND('Pick List'!E66,"AAAAAFzf92M=")</f>
        <v>#VALUE!</v>
      </c>
      <c r="CW48" t="e">
        <f>AND('Pick List'!F66,"AAAAAFzf92Q=")</f>
        <v>#VALUE!</v>
      </c>
      <c r="CX48" t="e">
        <f>AND('Pick List'!G66,"AAAAAFzf92U=")</f>
        <v>#VALUE!</v>
      </c>
      <c r="CY48" t="e">
        <f>AND('Pick List'!H66,"AAAAAFzf92Y=")</f>
        <v>#VALUE!</v>
      </c>
      <c r="CZ48" t="e">
        <f>AND('Pick List'!I66,"AAAAAFzf92c=")</f>
        <v>#VALUE!</v>
      </c>
      <c r="DA48" t="e">
        <f>AND('Pick List'!J66,"AAAAAFzf92g=")</f>
        <v>#VALUE!</v>
      </c>
      <c r="DB48" t="e">
        <f>AND('Pick List'!K66,"AAAAAFzf92k=")</f>
        <v>#VALUE!</v>
      </c>
      <c r="DC48">
        <f>IF('Pick List'!67:67,"AAAAAFzf92o=",0)</f>
        <v>0</v>
      </c>
      <c r="DD48" t="e">
        <f>AND('Pick List'!B67,"AAAAAFzf92s=")</f>
        <v>#VALUE!</v>
      </c>
      <c r="DE48" t="e">
        <f>AND('Pick List'!C67,"AAAAAFzf92w=")</f>
        <v>#VALUE!</v>
      </c>
      <c r="DF48" t="e">
        <f>AND('Pick List'!D67,"AAAAAFzf920=")</f>
        <v>#VALUE!</v>
      </c>
      <c r="DG48" t="e">
        <f>AND('Pick List'!E67,"AAAAAFzf924=")</f>
        <v>#VALUE!</v>
      </c>
      <c r="DH48" t="e">
        <f>AND('Pick List'!F67,"AAAAAFzf928=")</f>
        <v>#VALUE!</v>
      </c>
      <c r="DI48" t="e">
        <f>AND('Pick List'!G67,"AAAAAFzf93A=")</f>
        <v>#VALUE!</v>
      </c>
      <c r="DJ48" t="e">
        <f>AND('Pick List'!H67,"AAAAAFzf93E=")</f>
        <v>#VALUE!</v>
      </c>
      <c r="DK48" t="e">
        <f>AND('Pick List'!I67,"AAAAAFzf93I=")</f>
        <v>#VALUE!</v>
      </c>
      <c r="DL48" t="e">
        <f>AND('Pick List'!J67,"AAAAAFzf93M=")</f>
        <v>#VALUE!</v>
      </c>
      <c r="DM48" t="e">
        <f>AND('Pick List'!K67,"AAAAAFzf93Q=")</f>
        <v>#VALUE!</v>
      </c>
      <c r="DN48">
        <f>IF('Pick List'!68:68,"AAAAAFzf93U=",0)</f>
        <v>0</v>
      </c>
      <c r="DO48" t="e">
        <f>AND('Pick List'!B68,"AAAAAFzf93Y=")</f>
        <v>#VALUE!</v>
      </c>
      <c r="DP48" t="e">
        <f>AND('Pick List'!C68,"AAAAAFzf93c=")</f>
        <v>#VALUE!</v>
      </c>
      <c r="DQ48" t="e">
        <f>AND('Pick List'!D68,"AAAAAFzf93g=")</f>
        <v>#VALUE!</v>
      </c>
      <c r="DR48" t="e">
        <f>AND('Pick List'!E68,"AAAAAFzf93k=")</f>
        <v>#VALUE!</v>
      </c>
      <c r="DS48" t="e">
        <f>AND('Pick List'!F68,"AAAAAFzf93o=")</f>
        <v>#VALUE!</v>
      </c>
      <c r="DT48" t="e">
        <f>AND('Pick List'!G68,"AAAAAFzf93s=")</f>
        <v>#VALUE!</v>
      </c>
      <c r="DU48" t="e">
        <f>AND('Pick List'!H68,"AAAAAFzf93w=")</f>
        <v>#VALUE!</v>
      </c>
      <c r="DV48" t="e">
        <f>AND('Pick List'!I68,"AAAAAFzf930=")</f>
        <v>#VALUE!</v>
      </c>
      <c r="DW48" t="e">
        <f>AND('Pick List'!J68,"AAAAAFzf934=")</f>
        <v>#VALUE!</v>
      </c>
      <c r="DX48" t="e">
        <f>AND('Pick List'!K68,"AAAAAFzf938=")</f>
        <v>#VALUE!</v>
      </c>
      <c r="DY48">
        <f>IF('Pick List'!69:69,"AAAAAFzf94A=",0)</f>
        <v>0</v>
      </c>
      <c r="DZ48">
        <f>IF('Pick List'!70:70,"AAAAAFzf94E=",0)</f>
        <v>0</v>
      </c>
      <c r="EA48">
        <f>IF('Pick List'!71:71,"AAAAAFzf94I=",0)</f>
        <v>0</v>
      </c>
      <c r="EB48">
        <f>IF('Pick List'!72:72,"AAAAAFzf94M=",0)</f>
        <v>0</v>
      </c>
      <c r="EC48">
        <f>IF('Pick List'!73:73,"AAAAAFzf94Q=",0)</f>
        <v>0</v>
      </c>
      <c r="ED48">
        <f>IF('Pick List'!74:74,"AAAAAFzf94U=",0)</f>
        <v>0</v>
      </c>
      <c r="EE48">
        <f>IF('Pick List'!75:75,"AAAAAFzf94Y=",0)</f>
        <v>0</v>
      </c>
      <c r="EF48">
        <f>IF('Pick List'!76:76,"AAAAAFzf94c=",0)</f>
        <v>0</v>
      </c>
      <c r="EG48">
        <f>IF('Pick List'!77:77,"AAAAAFzf94g=",0)</f>
        <v>0</v>
      </c>
      <c r="EH48">
        <f>IF('Pick List'!78:78,"AAAAAFzf94k=",0)</f>
        <v>0</v>
      </c>
      <c r="EI48">
        <f>IF('Pick List'!79:79,"AAAAAFzf94o=",0)</f>
        <v>0</v>
      </c>
      <c r="EJ48">
        <f>IF('Pick List'!80:80,"AAAAAFzf94s=",0)</f>
        <v>0</v>
      </c>
      <c r="EK48">
        <f>IF('Pick List'!81:81,"AAAAAFzf94w=",0)</f>
        <v>0</v>
      </c>
      <c r="EL48">
        <f>IF('Pick List'!82:82,"AAAAAFzf940=",0)</f>
        <v>0</v>
      </c>
      <c r="EM48">
        <f>IF('Pick List'!83:83,"AAAAAFzf944=",0)</f>
        <v>0</v>
      </c>
      <c r="EN48">
        <f>IF('Pick List'!84:84,"AAAAAFzf948=",0)</f>
        <v>0</v>
      </c>
      <c r="EO48">
        <f>IF('Pick List'!85:85,"AAAAAFzf95A=",0)</f>
        <v>0</v>
      </c>
      <c r="EP48">
        <f>IF('Pick List'!86:86,"AAAAAFzf95E=",0)</f>
        <v>0</v>
      </c>
      <c r="EQ48">
        <f>IF('Pick List'!87:87,"AAAAAFzf95I=",0)</f>
        <v>0</v>
      </c>
      <c r="ER48">
        <f>IF('Pick List'!88:88,"AAAAAFzf95M=",0)</f>
        <v>0</v>
      </c>
      <c r="ES48">
        <f>IF('Pick List'!89:89,"AAAAAFzf95Q=",0)</f>
        <v>0</v>
      </c>
      <c r="ET48">
        <f>IF('Pick List'!90:90,"AAAAAFzf95U=",0)</f>
        <v>0</v>
      </c>
      <c r="EU48">
        <f>IF('Pick List'!91:91,"AAAAAFzf95Y=",0)</f>
        <v>0</v>
      </c>
      <c r="EV48">
        <f>IF('Pick List'!92:92,"AAAAAFzf95c=",0)</f>
        <v>0</v>
      </c>
      <c r="EW48">
        <f>IF('Pick List'!93:93,"AAAAAFzf95g=",0)</f>
        <v>0</v>
      </c>
      <c r="EX48">
        <f>IF('Pick List'!94:94,"AAAAAFzf95k=",0)</f>
        <v>0</v>
      </c>
      <c r="EY48">
        <f>IF('Pick List'!95:95,"AAAAAFzf95o=",0)</f>
        <v>0</v>
      </c>
      <c r="EZ48">
        <f>IF('Pick List'!96:96,"AAAAAFzf95s=",0)</f>
        <v>0</v>
      </c>
      <c r="FA48">
        <f>IF('Pick List'!97:97,"AAAAAFzf95w=",0)</f>
        <v>0</v>
      </c>
      <c r="FB48">
        <f>IF('Pick List'!98:98,"AAAAAFzf950=",0)</f>
        <v>0</v>
      </c>
      <c r="FC48">
        <f>IF('Pick List'!99:99,"AAAAAFzf954=",0)</f>
        <v>0</v>
      </c>
      <c r="FD48">
        <f>IF('Pick List'!100:100,"AAAAAFzf958=",0)</f>
        <v>0</v>
      </c>
      <c r="FE48">
        <f>IF('Pick List'!101:101,"AAAAAFzf96A=",0)</f>
        <v>0</v>
      </c>
      <c r="FF48">
        <f>IF('Pick List'!102:102,"AAAAAFzf96E=",0)</f>
        <v>0</v>
      </c>
      <c r="FG48">
        <f>IF('Pick List'!103:103,"AAAAAFzf96I=",0)</f>
        <v>0</v>
      </c>
      <c r="FH48">
        <f>IF('Pick List'!104:104,"AAAAAFzf96M=",0)</f>
        <v>0</v>
      </c>
      <c r="FI48">
        <f>IF('Pick List'!105:105,"AAAAAFzf96Q=",0)</f>
        <v>0</v>
      </c>
      <c r="FJ48">
        <f>IF('Pick List'!106:106,"AAAAAFzf96U=",0)</f>
        <v>0</v>
      </c>
      <c r="FK48">
        <f>IF('Pick List'!107:107,"AAAAAFzf96Y=",0)</f>
        <v>0</v>
      </c>
      <c r="FL48">
        <f>IF('Pick List'!108:108,"AAAAAFzf96c=",0)</f>
        <v>0</v>
      </c>
      <c r="FM48">
        <f>IF('Pick List'!109:109,"AAAAAFzf96g=",0)</f>
        <v>0</v>
      </c>
      <c r="FN48">
        <f>IF('Pick List'!110:110,"AAAAAFzf96k=",0)</f>
        <v>0</v>
      </c>
      <c r="FO48">
        <f>IF('Pick List'!111:111,"AAAAAFzf96o=",0)</f>
        <v>0</v>
      </c>
      <c r="FP48">
        <f>IF('Pick List'!112:112,"AAAAAFzf96s=",0)</f>
        <v>0</v>
      </c>
      <c r="FQ48">
        <f>IF('Pick List'!113:113,"AAAAAFzf96w=",0)</f>
        <v>0</v>
      </c>
      <c r="FR48">
        <f>IF('Pick List'!114:114,"AAAAAFzf960=",0)</f>
        <v>0</v>
      </c>
      <c r="FS48">
        <f>IF('Pick List'!115:115,"AAAAAFzf964=",0)</f>
        <v>0</v>
      </c>
      <c r="FT48">
        <f>IF('Pick List'!116:116,"AAAAAFzf968=",0)</f>
        <v>0</v>
      </c>
      <c r="FU48">
        <f>IF('Pick List'!117:117,"AAAAAFzf97A=",0)</f>
        <v>0</v>
      </c>
      <c r="FV48">
        <f>IF('Pick List'!118:118,"AAAAAFzf97E=",0)</f>
        <v>0</v>
      </c>
      <c r="FW48">
        <f>IF('Pick List'!119:119,"AAAAAFzf97I=",0)</f>
        <v>0</v>
      </c>
      <c r="FX48">
        <f>IF('Pick List'!120:120,"AAAAAFzf97M=",0)</f>
        <v>0</v>
      </c>
      <c r="FY48">
        <f>IF('Pick List'!121:121,"AAAAAFzf97Q=",0)</f>
        <v>0</v>
      </c>
      <c r="FZ48">
        <f>IF('Pick List'!122:122,"AAAAAFzf97U=",0)</f>
        <v>0</v>
      </c>
      <c r="GA48">
        <f>IF('Pick List'!123:123,"AAAAAFzf97Y=",0)</f>
        <v>0</v>
      </c>
      <c r="GB48">
        <f>IF('Pick List'!124:124,"AAAAAFzf97c=",0)</f>
        <v>0</v>
      </c>
      <c r="GC48">
        <f>IF('Pick List'!125:125,"AAAAAFzf97g=",0)</f>
        <v>0</v>
      </c>
      <c r="GD48">
        <f>IF('Pick List'!126:126,"AAAAAFzf97k=",0)</f>
        <v>0</v>
      </c>
      <c r="GE48">
        <f>IF('Pick List'!127:127,"AAAAAFzf97o=",0)</f>
        <v>0</v>
      </c>
      <c r="GF48">
        <f>IF('Pick List'!128:128,"AAAAAFzf97s=",0)</f>
        <v>0</v>
      </c>
      <c r="GG48">
        <f>IF('Pick List'!129:129,"AAAAAFzf97w=",0)</f>
        <v>0</v>
      </c>
      <c r="GH48">
        <f>IF('Pick List'!130:130,"AAAAAFzf970=",0)</f>
        <v>0</v>
      </c>
      <c r="GI48">
        <f>IF('Pick List'!131:131,"AAAAAFzf974=",0)</f>
        <v>0</v>
      </c>
      <c r="GJ48">
        <f>IF('Pick List'!132:132,"AAAAAFzf978=",0)</f>
        <v>0</v>
      </c>
      <c r="GK48">
        <f>IF('Pick List'!133:133,"AAAAAFzf98A=",0)</f>
        <v>0</v>
      </c>
      <c r="GL48">
        <f>IF('Pick List'!134:134,"AAAAAFzf98E=",0)</f>
        <v>0</v>
      </c>
      <c r="GM48">
        <f>IF('Pick List'!135:135,"AAAAAFzf98I=",0)</f>
        <v>0</v>
      </c>
      <c r="GN48">
        <f>IF('Pick List'!136:136,"AAAAAFzf98M=",0)</f>
        <v>0</v>
      </c>
      <c r="GO48">
        <f>IF('Pick List'!137:137,"AAAAAFzf98Q=",0)</f>
        <v>0</v>
      </c>
      <c r="GP48">
        <f>IF('Pick List'!138:138,"AAAAAFzf98U=",0)</f>
        <v>0</v>
      </c>
      <c r="GQ48">
        <f>IF('Pick List'!139:139,"AAAAAFzf98Y=",0)</f>
        <v>0</v>
      </c>
      <c r="GR48">
        <f>IF('Pick List'!140:140,"AAAAAFzf98c=",0)</f>
        <v>0</v>
      </c>
      <c r="GS48">
        <f>IF('Pick List'!141:141,"AAAAAFzf98g=",0)</f>
        <v>0</v>
      </c>
      <c r="GT48">
        <f>IF('Pick List'!142:142,"AAAAAFzf98k=",0)</f>
        <v>0</v>
      </c>
      <c r="GU48">
        <f>IF('Pick List'!143:143,"AAAAAFzf98o=",0)</f>
        <v>0</v>
      </c>
      <c r="GV48">
        <f>IF('Pick List'!144:144,"AAAAAFzf98s=",0)</f>
        <v>0</v>
      </c>
      <c r="GW48">
        <f>IF('Pick List'!145:145,"AAAAAFzf98w=",0)</f>
        <v>0</v>
      </c>
      <c r="GX48">
        <f>IF('Pick List'!146:146,"AAAAAFzf980=",0)</f>
        <v>0</v>
      </c>
      <c r="GY48">
        <f>IF('Pick List'!147:147,"AAAAAFzf984=",0)</f>
        <v>0</v>
      </c>
      <c r="GZ48">
        <f>IF('Pick List'!148:148,"AAAAAFzf988=",0)</f>
        <v>0</v>
      </c>
      <c r="HA48">
        <f>IF('Pick List'!149:149,"AAAAAFzf99A=",0)</f>
        <v>0</v>
      </c>
      <c r="HB48">
        <f>IF('Pick List'!150:150,"AAAAAFzf99E=",0)</f>
        <v>0</v>
      </c>
      <c r="HC48">
        <f>IF('Pick List'!151:151,"AAAAAFzf99I=",0)</f>
        <v>0</v>
      </c>
      <c r="HD48">
        <f>IF('Pick List'!152:152,"AAAAAFzf99M=",0)</f>
        <v>0</v>
      </c>
      <c r="HE48">
        <f>IF('Pick List'!153:153,"AAAAAFzf99Q=",0)</f>
        <v>0</v>
      </c>
      <c r="HF48">
        <f>IF('Pick List'!154:154,"AAAAAFzf99U=",0)</f>
        <v>0</v>
      </c>
      <c r="HG48">
        <f>IF('Pick List'!155:155,"AAAAAFzf99Y=",0)</f>
        <v>0</v>
      </c>
      <c r="HH48">
        <f>IF('Pick List'!156:156,"AAAAAFzf99c=",0)</f>
        <v>0</v>
      </c>
      <c r="HI48">
        <f>IF('Pick List'!157:157,"AAAAAFzf99g=",0)</f>
        <v>0</v>
      </c>
      <c r="HJ48">
        <f>IF('Pick List'!158:158,"AAAAAFzf99k=",0)</f>
        <v>0</v>
      </c>
      <c r="HK48">
        <f>IF('Pick List'!159:159,"AAAAAFzf99o=",0)</f>
        <v>0</v>
      </c>
      <c r="HL48">
        <f>IF('Pick List'!160:160,"AAAAAFzf99s=",0)</f>
        <v>0</v>
      </c>
      <c r="HM48">
        <f>IF('Pick List'!161:161,"AAAAAFzf99w=",0)</f>
        <v>0</v>
      </c>
      <c r="HN48">
        <f>IF('Pick List'!162:162,"AAAAAFzf990=",0)</f>
        <v>0</v>
      </c>
      <c r="HO48">
        <f>IF('Pick List'!163:163,"AAAAAFzf994=",0)</f>
        <v>0</v>
      </c>
      <c r="HP48">
        <f>IF('Pick List'!164:164,"AAAAAFzf998=",0)</f>
        <v>0</v>
      </c>
      <c r="HQ48">
        <f>IF('Pick List'!165:165,"AAAAAFzf9+A=",0)</f>
        <v>0</v>
      </c>
      <c r="HR48">
        <f>IF('Pick List'!166:166,"AAAAAFzf9+E=",0)</f>
        <v>0</v>
      </c>
      <c r="HS48">
        <f>IF('Pick List'!167:167,"AAAAAFzf9+I=",0)</f>
        <v>0</v>
      </c>
      <c r="HT48">
        <f>IF('Pick List'!168:168,"AAAAAFzf9+M=",0)</f>
        <v>0</v>
      </c>
      <c r="HU48">
        <f>IF('Pick List'!169:169,"AAAAAFzf9+Q=",0)</f>
        <v>0</v>
      </c>
      <c r="HV48">
        <f>IF('Pick List'!170:170,"AAAAAFzf9+U=",0)</f>
        <v>0</v>
      </c>
      <c r="HW48">
        <f>IF('Pick List'!171:171,"AAAAAFzf9+Y=",0)</f>
        <v>0</v>
      </c>
      <c r="HX48">
        <f>IF('Pick List'!172:172,"AAAAAFzf9+c=",0)</f>
        <v>0</v>
      </c>
      <c r="HY48">
        <f>IF('Pick List'!173:173,"AAAAAFzf9+g=",0)</f>
        <v>0</v>
      </c>
      <c r="HZ48">
        <f>IF('Pick List'!174:174,"AAAAAFzf9+k=",0)</f>
        <v>0</v>
      </c>
      <c r="IA48">
        <f>IF('Pick List'!175:175,"AAAAAFzf9+o=",0)</f>
        <v>0</v>
      </c>
      <c r="IB48">
        <f>IF('Pick List'!176:176,"AAAAAFzf9+s=",0)</f>
        <v>0</v>
      </c>
      <c r="IC48">
        <f>IF('Pick List'!177:177,"AAAAAFzf9+w=",0)</f>
        <v>0</v>
      </c>
      <c r="ID48">
        <f>IF('Pick List'!178:178,"AAAAAFzf9+0=",0)</f>
        <v>0</v>
      </c>
      <c r="IE48">
        <f>IF('Pick List'!179:179,"AAAAAFzf9+4=",0)</f>
        <v>0</v>
      </c>
      <c r="IF48">
        <f>IF('Pick List'!180:180,"AAAAAFzf9+8=",0)</f>
        <v>0</v>
      </c>
      <c r="IG48">
        <f>IF('Pick List'!181:181,"AAAAAFzf9/A=",0)</f>
        <v>0</v>
      </c>
      <c r="IH48">
        <f>IF('Pick List'!182:182,"AAAAAFzf9/E=",0)</f>
        <v>0</v>
      </c>
      <c r="II48">
        <f>IF('Pick List'!183:183,"AAAAAFzf9/I=",0)</f>
        <v>0</v>
      </c>
      <c r="IJ48">
        <f>IF('Pick List'!184:184,"AAAAAFzf9/M=",0)</f>
        <v>0</v>
      </c>
      <c r="IK48">
        <f>IF('Pick List'!185:185,"AAAAAFzf9/Q=",0)</f>
        <v>0</v>
      </c>
      <c r="IL48">
        <f>IF('Pick List'!186:186,"AAAAAFzf9/U=",0)</f>
        <v>0</v>
      </c>
      <c r="IM48">
        <f>IF('Pick List'!187:187,"AAAAAFzf9/Y=",0)</f>
        <v>0</v>
      </c>
      <c r="IN48">
        <f>IF('Pick List'!188:188,"AAAAAFzf9/c=",0)</f>
        <v>0</v>
      </c>
      <c r="IO48">
        <f>IF('Pick List'!189:189,"AAAAAFzf9/g=",0)</f>
        <v>0</v>
      </c>
      <c r="IP48">
        <f>IF('Pick List'!190:190,"AAAAAFzf9/k=",0)</f>
        <v>0</v>
      </c>
      <c r="IQ48">
        <f>IF('Pick List'!191:191,"AAAAAFzf9/o=",0)</f>
        <v>0</v>
      </c>
      <c r="IR48">
        <f>IF('Pick List'!192:192,"AAAAAFzf9/s=",0)</f>
        <v>0</v>
      </c>
      <c r="IS48">
        <f>IF('Pick List'!193:193,"AAAAAFzf9/w=",0)</f>
        <v>0</v>
      </c>
      <c r="IT48">
        <f>IF('Pick List'!194:194,"AAAAAFzf9/0=",0)</f>
        <v>0</v>
      </c>
      <c r="IU48">
        <f>IF('Pick List'!195:195,"AAAAAFzf9/4=",0)</f>
        <v>0</v>
      </c>
      <c r="IV48">
        <f>IF('Pick List'!196:196,"AAAAAFzf9/8=",0)</f>
        <v>0</v>
      </c>
    </row>
    <row r="49" spans="1:256" x14ac:dyDescent="0.2">
      <c r="A49">
        <f>IF('Pick List'!197:197,"AAAAAE3N3wA=",0)</f>
        <v>0</v>
      </c>
      <c r="B49">
        <f>IF('Pick List'!198:198,"AAAAAE3N3wE=",0)</f>
        <v>0</v>
      </c>
      <c r="C49">
        <f>IF('Pick List'!199:199,"AAAAAE3N3wI=",0)</f>
        <v>0</v>
      </c>
      <c r="D49">
        <f>IF('Pick List'!200:200,"AAAAAE3N3wM=",0)</f>
        <v>0</v>
      </c>
      <c r="E49">
        <f>IF('Pick List'!201:201,"AAAAAE3N3wQ=",0)</f>
        <v>0</v>
      </c>
      <c r="F49">
        <f>IF('Pick List'!202:202,"AAAAAE3N3wU=",0)</f>
        <v>0</v>
      </c>
      <c r="G49">
        <f>IF('Pick List'!203:203,"AAAAAE3N3wY=",0)</f>
        <v>0</v>
      </c>
      <c r="H49">
        <f>IF('Pick List'!204:204,"AAAAAE3N3wc=",0)</f>
        <v>0</v>
      </c>
      <c r="I49">
        <f>IF('Pick List'!205:205,"AAAAAE3N3wg=",0)</f>
        <v>0</v>
      </c>
      <c r="J49">
        <f>IF('Pick List'!206:206,"AAAAAE3N3wk=",0)</f>
        <v>0</v>
      </c>
      <c r="K49">
        <f>IF('Pick List'!207:207,"AAAAAE3N3wo=",0)</f>
        <v>0</v>
      </c>
      <c r="L49">
        <f>IF('Pick List'!208:208,"AAAAAE3N3ws=",0)</f>
        <v>0</v>
      </c>
      <c r="M49">
        <f>IF('Pick List'!209:209,"AAAAAE3N3ww=",0)</f>
        <v>0</v>
      </c>
      <c r="N49">
        <f>IF('Pick List'!210:210,"AAAAAE3N3w0=",0)</f>
        <v>0</v>
      </c>
      <c r="O49">
        <f>IF('Pick List'!211:211,"AAAAAE3N3w4=",0)</f>
        <v>0</v>
      </c>
      <c r="P49">
        <f>IF('Pick List'!212:212,"AAAAAE3N3w8=",0)</f>
        <v>0</v>
      </c>
      <c r="Q49">
        <f>IF('Pick List'!213:213,"AAAAAE3N3xA=",0)</f>
        <v>0</v>
      </c>
      <c r="R49">
        <f>IF('Pick List'!214:214,"AAAAAE3N3xE=",0)</f>
        <v>0</v>
      </c>
      <c r="S49">
        <f>IF('Pick List'!215:215,"AAAAAE3N3xI=",0)</f>
        <v>0</v>
      </c>
      <c r="T49">
        <f>IF('Pick List'!216:216,"AAAAAE3N3xM=",0)</f>
        <v>0</v>
      </c>
      <c r="U49">
        <f>IF('Pick List'!217:217,"AAAAAE3N3xQ=",0)</f>
        <v>0</v>
      </c>
      <c r="V49">
        <f>IF('Pick List'!218:218,"AAAAAE3N3xU=",0)</f>
        <v>0</v>
      </c>
      <c r="W49">
        <f>IF('Pick List'!219:219,"AAAAAE3N3xY=",0)</f>
        <v>0</v>
      </c>
      <c r="X49">
        <f>IF('Pick List'!220:220,"AAAAAE3N3xc=",0)</f>
        <v>0</v>
      </c>
      <c r="Y49">
        <f>IF('Pick List'!221:221,"AAAAAE3N3xg=",0)</f>
        <v>0</v>
      </c>
      <c r="Z49">
        <f>IF('Pick List'!222:222,"AAAAAE3N3xk=",0)</f>
        <v>0</v>
      </c>
      <c r="AA49">
        <f>IF('Pick List'!223:223,"AAAAAE3N3xo=",0)</f>
        <v>0</v>
      </c>
      <c r="AB49">
        <f>IF('Pick List'!224:224,"AAAAAE3N3xs=",0)</f>
        <v>0</v>
      </c>
      <c r="AC49">
        <f>IF('Pick List'!225:225,"AAAAAE3N3xw=",0)</f>
        <v>0</v>
      </c>
      <c r="AD49">
        <f>IF('Pick List'!226:226,"AAAAAE3N3x0=",0)</f>
        <v>0</v>
      </c>
      <c r="AE49">
        <f>IF('Pick List'!227:227,"AAAAAE3N3x4=",0)</f>
        <v>0</v>
      </c>
      <c r="AF49">
        <f>IF('Pick List'!228:228,"AAAAAE3N3x8=",0)</f>
        <v>0</v>
      </c>
      <c r="AG49">
        <f>IF('Pick List'!229:229,"AAAAAE3N3yA=",0)</f>
        <v>0</v>
      </c>
      <c r="AH49">
        <f>IF('Pick List'!230:230,"AAAAAE3N3yE=",0)</f>
        <v>0</v>
      </c>
      <c r="AI49">
        <f>IF('Pick List'!231:231,"AAAAAE3N3yI=",0)</f>
        <v>0</v>
      </c>
      <c r="AJ49">
        <f>IF('Pick List'!232:232,"AAAAAE3N3yM=",0)</f>
        <v>0</v>
      </c>
      <c r="AK49">
        <f>IF('Pick List'!233:233,"AAAAAE3N3yQ=",0)</f>
        <v>0</v>
      </c>
      <c r="AL49">
        <f>IF('Pick List'!234:234,"AAAAAE3N3yU=",0)</f>
        <v>0</v>
      </c>
      <c r="AM49">
        <f>IF('Pick List'!235:235,"AAAAAE3N3yY=",0)</f>
        <v>0</v>
      </c>
      <c r="AN49">
        <f>IF('Pick List'!236:236,"AAAAAE3N3yc=",0)</f>
        <v>0</v>
      </c>
      <c r="AO49">
        <f>IF('Pick List'!237:237,"AAAAAE3N3yg=",0)</f>
        <v>0</v>
      </c>
      <c r="AP49">
        <f>IF('Pick List'!238:238,"AAAAAE3N3yk=",0)</f>
        <v>0</v>
      </c>
      <c r="AQ49">
        <f>IF('Pick List'!239:239,"AAAAAE3N3yo=",0)</f>
        <v>0</v>
      </c>
      <c r="AR49">
        <f>IF('Pick List'!240:240,"AAAAAE3N3ys=",0)</f>
        <v>0</v>
      </c>
      <c r="AS49">
        <f>IF('Pick List'!241:241,"AAAAAE3N3yw=",0)</f>
        <v>0</v>
      </c>
      <c r="AT49">
        <f>IF('Pick List'!242:242,"AAAAAE3N3y0=",0)</f>
        <v>0</v>
      </c>
      <c r="AU49">
        <f>IF('Pick List'!243:243,"AAAAAE3N3y4=",0)</f>
        <v>0</v>
      </c>
      <c r="AV49">
        <f>IF('Pick List'!244:244,"AAAAAE3N3y8=",0)</f>
        <v>0</v>
      </c>
      <c r="AW49">
        <f>IF('Pick List'!245:245,"AAAAAE3N3zA=",0)</f>
        <v>0</v>
      </c>
      <c r="AX49">
        <f>IF('Pick List'!246:246,"AAAAAE3N3zE=",0)</f>
        <v>0</v>
      </c>
      <c r="AY49">
        <f>IF('Pick List'!247:247,"AAAAAE3N3zI=",0)</f>
        <v>0</v>
      </c>
      <c r="AZ49">
        <f>IF('Pick List'!248:248,"AAAAAE3N3zM=",0)</f>
        <v>0</v>
      </c>
      <c r="BA49">
        <f>IF('Pick List'!249:249,"AAAAAE3N3zQ=",0)</f>
        <v>0</v>
      </c>
      <c r="BB49">
        <f>IF('Pick List'!250:250,"AAAAAE3N3zU=",0)</f>
        <v>0</v>
      </c>
      <c r="BC49">
        <f>IF('Pick List'!251:251,"AAAAAE3N3zY=",0)</f>
        <v>0</v>
      </c>
      <c r="BD49">
        <f>IF('Pick List'!252:252,"AAAAAE3N3zc=",0)</f>
        <v>0</v>
      </c>
      <c r="BE49">
        <f>IF('Pick List'!253:253,"AAAAAE3N3zg=",0)</f>
        <v>0</v>
      </c>
      <c r="BF49">
        <f>IF('Pick List'!254:254,"AAAAAE3N3zk=",0)</f>
        <v>0</v>
      </c>
      <c r="BG49">
        <f>IF('Pick List'!255:255,"AAAAAE3N3zo=",0)</f>
        <v>0</v>
      </c>
      <c r="BH49">
        <f>IF('Pick List'!256:256,"AAAAAE3N3zs=",0)</f>
        <v>0</v>
      </c>
      <c r="BI49">
        <f>IF('Pick List'!257:257,"AAAAAE3N3zw=",0)</f>
        <v>0</v>
      </c>
      <c r="BJ49">
        <f>IF('Pick List'!258:258,"AAAAAE3N3z0=",0)</f>
        <v>0</v>
      </c>
      <c r="BK49">
        <f>IF('Pick List'!259:259,"AAAAAE3N3z4=",0)</f>
        <v>0</v>
      </c>
      <c r="BL49">
        <f>IF('Pick List'!260:260,"AAAAAE3N3z8=",0)</f>
        <v>0</v>
      </c>
      <c r="BM49">
        <f>IF('Pick List'!261:261,"AAAAAE3N30A=",0)</f>
        <v>0</v>
      </c>
      <c r="BN49">
        <f>IF('Pick List'!262:262,"AAAAAE3N30E=",0)</f>
        <v>0</v>
      </c>
      <c r="BO49">
        <f>IF('Pick List'!263:263,"AAAAAE3N30I=",0)</f>
        <v>0</v>
      </c>
      <c r="BP49">
        <f>IF('Pick List'!264:264,"AAAAAE3N30M=",0)</f>
        <v>0</v>
      </c>
      <c r="BQ49">
        <f>IF('Pick List'!265:265,"AAAAAE3N30Q=",0)</f>
        <v>0</v>
      </c>
      <c r="BR49">
        <f>IF('Pick List'!266:266,"AAAAAE3N30U=",0)</f>
        <v>0</v>
      </c>
      <c r="BS49">
        <f>IF('Pick List'!267:267,"AAAAAE3N30Y=",0)</f>
        <v>0</v>
      </c>
      <c r="BT49">
        <f>IF('Pick List'!268:268,"AAAAAE3N30c=",0)</f>
        <v>0</v>
      </c>
      <c r="BU49">
        <f>IF('Pick List'!269:269,"AAAAAE3N30g=",0)</f>
        <v>0</v>
      </c>
      <c r="BV49">
        <f>IF('Pick List'!270:270,"AAAAAE3N30k=",0)</f>
        <v>0</v>
      </c>
      <c r="BW49">
        <f>IF('Pick List'!271:271,"AAAAAE3N30o=",0)</f>
        <v>0</v>
      </c>
      <c r="BX49">
        <f>IF('Pick List'!272:272,"AAAAAE3N30s=",0)</f>
        <v>0</v>
      </c>
      <c r="BY49">
        <f>IF('Pick List'!273:273,"AAAAAE3N30w=",0)</f>
        <v>0</v>
      </c>
      <c r="BZ49">
        <f>IF('Pick List'!274:274,"AAAAAE3N300=",0)</f>
        <v>0</v>
      </c>
      <c r="CA49">
        <f>IF('Pick List'!275:275,"AAAAAE3N304=",0)</f>
        <v>0</v>
      </c>
      <c r="CB49">
        <f>IF('Pick List'!276:276,"AAAAAE3N308=",0)</f>
        <v>0</v>
      </c>
      <c r="CC49">
        <f>IF('Pick List'!277:277,"AAAAAE3N31A=",0)</f>
        <v>0</v>
      </c>
      <c r="CD49">
        <f>IF('Pick List'!278:278,"AAAAAE3N31E=",0)</f>
        <v>0</v>
      </c>
      <c r="CE49">
        <f>IF('Pick List'!279:279,"AAAAAE3N31I=",0)</f>
        <v>0</v>
      </c>
      <c r="CF49">
        <f>IF('Pick List'!280:280,"AAAAAE3N31M=",0)</f>
        <v>0</v>
      </c>
      <c r="CG49">
        <f>IF('Pick List'!281:281,"AAAAAE3N31Q=",0)</f>
        <v>0</v>
      </c>
      <c r="CH49">
        <f>IF('Pick List'!282:282,"AAAAAE3N31U=",0)</f>
        <v>0</v>
      </c>
      <c r="CI49">
        <f>IF('Pick List'!283:283,"AAAAAE3N31Y=",0)</f>
        <v>0</v>
      </c>
      <c r="CJ49">
        <f>IF('Pick List'!284:284,"AAAAAE3N31c=",0)</f>
        <v>0</v>
      </c>
      <c r="CK49">
        <f>IF('Pick List'!285:285,"AAAAAE3N31g=",0)</f>
        <v>0</v>
      </c>
      <c r="CL49">
        <f>IF('Pick List'!286:286,"AAAAAE3N31k=",0)</f>
        <v>0</v>
      </c>
      <c r="CM49">
        <f>IF('Pick List'!287:287,"AAAAAE3N31o=",0)</f>
        <v>0</v>
      </c>
      <c r="CN49">
        <f>IF('Pick List'!288:288,"AAAAAE3N31s=",0)</f>
        <v>0</v>
      </c>
      <c r="CO49">
        <f>IF('Pick List'!289:289,"AAAAAE3N31w=",0)</f>
        <v>0</v>
      </c>
      <c r="CP49">
        <f>IF('Pick List'!290:290,"AAAAAE3N310=",0)</f>
        <v>0</v>
      </c>
      <c r="CQ49">
        <f>IF('Pick List'!291:291,"AAAAAE3N314=",0)</f>
        <v>0</v>
      </c>
      <c r="CR49">
        <f>IF('Pick List'!292:292,"AAAAAE3N318=",0)</f>
        <v>0</v>
      </c>
      <c r="CS49">
        <f>IF('Pick List'!293:293,"AAAAAE3N32A=",0)</f>
        <v>0</v>
      </c>
      <c r="CT49">
        <f>IF('Pick List'!294:294,"AAAAAE3N32E=",0)</f>
        <v>0</v>
      </c>
      <c r="CU49">
        <f>IF('Pick List'!295:295,"AAAAAE3N32I=",0)</f>
        <v>0</v>
      </c>
      <c r="CV49">
        <f>IF('Pick List'!296:296,"AAAAAE3N32M=",0)</f>
        <v>0</v>
      </c>
      <c r="CW49">
        <f>IF('Pick List'!297:297,"AAAAAE3N32Q=",0)</f>
        <v>0</v>
      </c>
      <c r="CX49">
        <f>IF('Pick List'!298:298,"AAAAAE3N32U=",0)</f>
        <v>0</v>
      </c>
      <c r="CY49">
        <f>IF('Pick List'!299:299,"AAAAAE3N32Y=",0)</f>
        <v>0</v>
      </c>
      <c r="CZ49">
        <f>IF('Pick List'!300:300,"AAAAAE3N32c=",0)</f>
        <v>0</v>
      </c>
      <c r="DA49">
        <f>IF('Pick List'!301:301,"AAAAAE3N32g=",0)</f>
        <v>0</v>
      </c>
      <c r="DB49">
        <f>IF('Pick List'!302:302,"AAAAAE3N32k=",0)</f>
        <v>0</v>
      </c>
      <c r="DC49">
        <f>IF('Pick List'!303:303,"AAAAAE3N32o=",0)</f>
        <v>0</v>
      </c>
      <c r="DD49">
        <f>IF('Pick List'!304:304,"AAAAAE3N32s=",0)</f>
        <v>0</v>
      </c>
      <c r="DE49">
        <f>IF('Pick List'!305:305,"AAAAAE3N32w=",0)</f>
        <v>0</v>
      </c>
      <c r="DF49">
        <f>IF('Pick List'!306:306,"AAAAAE3N320=",0)</f>
        <v>0</v>
      </c>
      <c r="DG49">
        <f>IF('Pick List'!307:307,"AAAAAE3N324=",0)</f>
        <v>0</v>
      </c>
      <c r="DH49">
        <f>IF('Pick List'!308:308,"AAAAAE3N328=",0)</f>
        <v>0</v>
      </c>
      <c r="DI49">
        <f>IF('Pick List'!309:309,"AAAAAE3N33A=",0)</f>
        <v>0</v>
      </c>
      <c r="DJ49">
        <f>IF('Pick List'!310:310,"AAAAAE3N33E=",0)</f>
        <v>0</v>
      </c>
      <c r="DK49">
        <f>IF('Pick List'!311:311,"AAAAAE3N33I=",0)</f>
        <v>0</v>
      </c>
      <c r="DL49">
        <f>IF('Pick List'!312:312,"AAAAAE3N33M=",0)</f>
        <v>0</v>
      </c>
      <c r="DM49">
        <f>IF('Pick List'!313:313,"AAAAAE3N33Q=",0)</f>
        <v>0</v>
      </c>
      <c r="DN49">
        <f>IF('Pick List'!314:314,"AAAAAE3N33U=",0)</f>
        <v>0</v>
      </c>
      <c r="DO49">
        <f>IF('Pick List'!315:315,"AAAAAE3N33Y=",0)</f>
        <v>0</v>
      </c>
      <c r="DP49">
        <f>IF('Pick List'!316:316,"AAAAAE3N33c=",0)</f>
        <v>0</v>
      </c>
      <c r="DQ49">
        <f>IF('Pick List'!317:317,"AAAAAE3N33g=",0)</f>
        <v>0</v>
      </c>
      <c r="DR49">
        <f>IF('Pick List'!318:318,"AAAAAE3N33k=",0)</f>
        <v>0</v>
      </c>
      <c r="DS49">
        <f>IF('Pick List'!319:319,"AAAAAE3N33o=",0)</f>
        <v>0</v>
      </c>
      <c r="DT49">
        <f>IF('Pick List'!320:320,"AAAAAE3N33s=",0)</f>
        <v>0</v>
      </c>
      <c r="DU49">
        <f>IF('Pick List'!321:321,"AAAAAE3N33w=",0)</f>
        <v>0</v>
      </c>
      <c r="DV49">
        <f>IF('Pick List'!322:322,"AAAAAE3N330=",0)</f>
        <v>0</v>
      </c>
      <c r="DW49">
        <f>IF('Pick List'!323:323,"AAAAAE3N334=",0)</f>
        <v>0</v>
      </c>
      <c r="DX49">
        <f>IF('Pick List'!324:324,"AAAAAE3N338=",0)</f>
        <v>0</v>
      </c>
      <c r="DY49">
        <f>IF('Pick List'!325:325,"AAAAAE3N34A=",0)</f>
        <v>0</v>
      </c>
      <c r="DZ49">
        <f>IF('Pick List'!326:326,"AAAAAE3N34E=",0)</f>
        <v>0</v>
      </c>
      <c r="EA49">
        <f>IF('Pick List'!327:327,"AAAAAE3N34I=",0)</f>
        <v>0</v>
      </c>
      <c r="EB49">
        <f>IF('Pick List'!328:328,"AAAAAE3N34M=",0)</f>
        <v>0</v>
      </c>
      <c r="EC49">
        <f>IF('Pick List'!329:329,"AAAAAE3N34Q=",0)</f>
        <v>0</v>
      </c>
      <c r="ED49">
        <f>IF('Pick List'!330:330,"AAAAAE3N34U=",0)</f>
        <v>0</v>
      </c>
      <c r="EE49">
        <f>IF('Pick List'!331:331,"AAAAAE3N34Y=",0)</f>
        <v>0</v>
      </c>
      <c r="EF49">
        <f>IF('Pick List'!332:332,"AAAAAE3N34c=",0)</f>
        <v>0</v>
      </c>
      <c r="EG49">
        <f>IF('Pick List'!333:333,"AAAAAE3N34g=",0)</f>
        <v>0</v>
      </c>
      <c r="EH49">
        <f>IF('Pick List'!334:334,"AAAAAE3N34k=",0)</f>
        <v>0</v>
      </c>
      <c r="EI49">
        <f>IF('Pick List'!335:335,"AAAAAE3N34o=",0)</f>
        <v>0</v>
      </c>
      <c r="EJ49">
        <f>IF('Pick List'!336:336,"AAAAAE3N34s=",0)</f>
        <v>0</v>
      </c>
      <c r="EK49">
        <f>IF('Pick List'!337:337,"AAAAAE3N34w=",0)</f>
        <v>0</v>
      </c>
      <c r="EL49">
        <f>IF('Pick List'!338:338,"AAAAAE3N340=",0)</f>
        <v>0</v>
      </c>
      <c r="EM49">
        <f>IF('Pick List'!339:339,"AAAAAE3N344=",0)</f>
        <v>0</v>
      </c>
      <c r="EN49">
        <f>IF('Pick List'!340:340,"AAAAAE3N348=",0)</f>
        <v>0</v>
      </c>
      <c r="EO49">
        <f>IF('Pick List'!341:341,"AAAAAE3N35A=",0)</f>
        <v>0</v>
      </c>
      <c r="EP49">
        <f>IF('Pick List'!342:342,"AAAAAE3N35E=",0)</f>
        <v>0</v>
      </c>
      <c r="EQ49">
        <f>IF('Pick List'!343:343,"AAAAAE3N35I=",0)</f>
        <v>0</v>
      </c>
      <c r="ER49">
        <f>IF('Pick List'!344:344,"AAAAAE3N35M=",0)</f>
        <v>0</v>
      </c>
      <c r="ES49">
        <f>IF('Pick List'!345:345,"AAAAAE3N35Q=",0)</f>
        <v>0</v>
      </c>
      <c r="ET49">
        <f>IF('Pick List'!346:346,"AAAAAE3N35U=",0)</f>
        <v>0</v>
      </c>
      <c r="EU49">
        <f>IF('Pick List'!347:347,"AAAAAE3N35Y=",0)</f>
        <v>0</v>
      </c>
      <c r="EV49">
        <f>IF('Pick List'!348:348,"AAAAAE3N35c=",0)</f>
        <v>0</v>
      </c>
      <c r="EW49">
        <f>IF('Pick List'!349:349,"AAAAAE3N35g=",0)</f>
        <v>0</v>
      </c>
      <c r="EX49">
        <f>IF('Pick List'!350:350,"AAAAAE3N35k=",0)</f>
        <v>0</v>
      </c>
      <c r="EY49">
        <f>IF('Pick List'!351:351,"AAAAAE3N35o=",0)</f>
        <v>0</v>
      </c>
      <c r="EZ49">
        <f>IF('Pick List'!352:352,"AAAAAE3N35s=",0)</f>
        <v>0</v>
      </c>
      <c r="FA49">
        <f>IF('Pick List'!353:353,"AAAAAE3N35w=",0)</f>
        <v>0</v>
      </c>
      <c r="FB49">
        <f>IF('Pick List'!354:354,"AAAAAE3N350=",0)</f>
        <v>0</v>
      </c>
      <c r="FC49">
        <f>IF('Pick List'!355:355,"AAAAAE3N354=",0)</f>
        <v>0</v>
      </c>
      <c r="FD49">
        <f>IF('Pick List'!356:356,"AAAAAE3N358=",0)</f>
        <v>0</v>
      </c>
      <c r="FE49">
        <f>IF('Pick List'!357:357,"AAAAAE3N36A=",0)</f>
        <v>0</v>
      </c>
      <c r="FF49">
        <f>IF('Pick List'!358:358,"AAAAAE3N36E=",0)</f>
        <v>0</v>
      </c>
      <c r="FG49">
        <f>IF('Pick List'!359:359,"AAAAAE3N36I=",0)</f>
        <v>0</v>
      </c>
      <c r="FH49">
        <f>IF('Pick List'!360:360,"AAAAAE3N36M=",0)</f>
        <v>0</v>
      </c>
      <c r="FI49">
        <f>IF('Pick List'!361:361,"AAAAAE3N36Q=",0)</f>
        <v>0</v>
      </c>
      <c r="FJ49">
        <f>IF('Pick List'!362:362,"AAAAAE3N36U=",0)</f>
        <v>0</v>
      </c>
      <c r="FK49">
        <f>IF('Pick List'!363:363,"AAAAAE3N36Y=",0)</f>
        <v>0</v>
      </c>
      <c r="FL49">
        <f>IF('Pick List'!364:364,"AAAAAE3N36c=",0)</f>
        <v>0</v>
      </c>
      <c r="FM49">
        <f>IF('Pick List'!365:365,"AAAAAE3N36g=",0)</f>
        <v>0</v>
      </c>
      <c r="FN49">
        <f>IF('Pick List'!366:366,"AAAAAE3N36k=",0)</f>
        <v>0</v>
      </c>
      <c r="FO49">
        <f>IF('Pick List'!367:367,"AAAAAE3N36o=",0)</f>
        <v>0</v>
      </c>
      <c r="FP49">
        <f>IF('Pick List'!368:368,"AAAAAE3N36s=",0)</f>
        <v>0</v>
      </c>
      <c r="FQ49">
        <f>IF('Pick List'!369:369,"AAAAAE3N36w=",0)</f>
        <v>0</v>
      </c>
      <c r="FR49">
        <f>IF('Pick List'!370:370,"AAAAAE3N360=",0)</f>
        <v>0</v>
      </c>
      <c r="FS49">
        <f>IF('Pick List'!371:371,"AAAAAE3N364=",0)</f>
        <v>0</v>
      </c>
      <c r="FT49">
        <f>IF('Pick List'!372:372,"AAAAAE3N368=",0)</f>
        <v>0</v>
      </c>
      <c r="FU49">
        <f>IF('Pick List'!373:373,"AAAAAE3N37A=",0)</f>
        <v>0</v>
      </c>
      <c r="FV49">
        <f>IF('Pick List'!374:374,"AAAAAE3N37E=",0)</f>
        <v>0</v>
      </c>
      <c r="FW49">
        <f>IF('Pick List'!375:375,"AAAAAE3N37I=",0)</f>
        <v>0</v>
      </c>
      <c r="FX49">
        <f>IF('Pick List'!376:376,"AAAAAE3N37M=",0)</f>
        <v>0</v>
      </c>
      <c r="FY49">
        <f>IF('Pick List'!377:377,"AAAAAE3N37Q=",0)</f>
        <v>0</v>
      </c>
      <c r="FZ49">
        <f>IF('Pick List'!378:378,"AAAAAE3N37U=",0)</f>
        <v>0</v>
      </c>
      <c r="GA49">
        <f>IF('Pick List'!379:379,"AAAAAE3N37Y=",0)</f>
        <v>0</v>
      </c>
      <c r="GB49">
        <f>IF('Pick List'!380:380,"AAAAAE3N37c=",0)</f>
        <v>0</v>
      </c>
      <c r="GC49">
        <f>IF('Pick List'!381:381,"AAAAAE3N37g=",0)</f>
        <v>0</v>
      </c>
      <c r="GD49">
        <f>IF('Pick List'!382:382,"AAAAAE3N37k=",0)</f>
        <v>0</v>
      </c>
      <c r="GE49">
        <f>IF('Pick List'!383:383,"AAAAAE3N37o=",0)</f>
        <v>0</v>
      </c>
      <c r="GF49">
        <f>IF('Pick List'!384:384,"AAAAAE3N37s=",0)</f>
        <v>0</v>
      </c>
      <c r="GG49">
        <f>IF('Pick List'!385:385,"AAAAAE3N37w=",0)</f>
        <v>0</v>
      </c>
      <c r="GH49">
        <f>IF('Pick List'!386:386,"AAAAAE3N370=",0)</f>
        <v>0</v>
      </c>
      <c r="GI49">
        <f>IF('Pick List'!387:387,"AAAAAE3N374=",0)</f>
        <v>0</v>
      </c>
      <c r="GJ49">
        <f>IF('Pick List'!388:388,"AAAAAE3N378=",0)</f>
        <v>0</v>
      </c>
      <c r="GK49">
        <f>IF('Pick List'!389:389,"AAAAAE3N38A=",0)</f>
        <v>0</v>
      </c>
      <c r="GL49">
        <f>IF('Pick List'!390:390,"AAAAAE3N38E=",0)</f>
        <v>0</v>
      </c>
      <c r="GM49">
        <f>IF('Pick List'!391:391,"AAAAAE3N38I=",0)</f>
        <v>0</v>
      </c>
      <c r="GN49">
        <f>IF('Pick List'!392:392,"AAAAAE3N38M=",0)</f>
        <v>0</v>
      </c>
      <c r="GO49">
        <f>IF('Pick List'!393:393,"AAAAAE3N38Q=",0)</f>
        <v>0</v>
      </c>
      <c r="GP49">
        <f>IF('Pick List'!394:394,"AAAAAE3N38U=",0)</f>
        <v>0</v>
      </c>
      <c r="GQ49">
        <f>IF('Pick List'!395:395,"AAAAAE3N38Y=",0)</f>
        <v>0</v>
      </c>
      <c r="GR49">
        <f>IF('Pick List'!396:396,"AAAAAE3N38c=",0)</f>
        <v>0</v>
      </c>
      <c r="GS49">
        <f>IF('Pick List'!397:397,"AAAAAE3N38g=",0)</f>
        <v>0</v>
      </c>
      <c r="GT49">
        <f>IF('Pick List'!398:398,"AAAAAE3N38k=",0)</f>
        <v>0</v>
      </c>
      <c r="GU49">
        <f>IF('Pick List'!399:399,"AAAAAE3N38o=",0)</f>
        <v>0</v>
      </c>
      <c r="GV49">
        <f>IF('Pick List'!400:400,"AAAAAE3N38s=",0)</f>
        <v>0</v>
      </c>
      <c r="GW49">
        <f>IF('Pick List'!401:401,"AAAAAE3N38w=",0)</f>
        <v>0</v>
      </c>
      <c r="GX49">
        <f>IF('Pick List'!402:402,"AAAAAE3N380=",0)</f>
        <v>0</v>
      </c>
      <c r="GY49">
        <f>IF('Pick List'!403:403,"AAAAAE3N384=",0)</f>
        <v>0</v>
      </c>
      <c r="GZ49">
        <f>IF('Pick List'!404:404,"AAAAAE3N388=",0)</f>
        <v>0</v>
      </c>
      <c r="HA49">
        <f>IF('Pick List'!405:405,"AAAAAE3N39A=",0)</f>
        <v>0</v>
      </c>
      <c r="HB49">
        <f>IF('Pick List'!406:406,"AAAAAE3N39E=",0)</f>
        <v>0</v>
      </c>
      <c r="HC49">
        <f>IF('Pick List'!407:407,"AAAAAE3N39I=",0)</f>
        <v>0</v>
      </c>
      <c r="HD49">
        <f>IF('Pick List'!408:408,"AAAAAE3N39M=",0)</f>
        <v>0</v>
      </c>
      <c r="HE49">
        <f>IF('Pick List'!409:409,"AAAAAE3N39Q=",0)</f>
        <v>0</v>
      </c>
      <c r="HF49">
        <f>IF('Pick List'!410:410,"AAAAAE3N39U=",0)</f>
        <v>0</v>
      </c>
      <c r="HG49">
        <f>IF('Pick List'!411:411,"AAAAAE3N39Y=",0)</f>
        <v>0</v>
      </c>
      <c r="HH49">
        <f>IF('Pick List'!412:412,"AAAAAE3N39c=",0)</f>
        <v>0</v>
      </c>
      <c r="HI49">
        <f>IF('Pick List'!413:413,"AAAAAE3N39g=",0)</f>
        <v>0</v>
      </c>
      <c r="HJ49">
        <f>IF('Pick List'!414:414,"AAAAAE3N39k=",0)</f>
        <v>0</v>
      </c>
      <c r="HK49">
        <f>IF('Pick List'!415:415,"AAAAAE3N39o=",0)</f>
        <v>0</v>
      </c>
      <c r="HL49">
        <f>IF('Pick List'!416:416,"AAAAAE3N39s=",0)</f>
        <v>0</v>
      </c>
      <c r="HM49">
        <f>IF('Pick List'!417:417,"AAAAAE3N39w=",0)</f>
        <v>0</v>
      </c>
      <c r="HN49">
        <f>IF('Pick List'!418:418,"AAAAAE3N390=",0)</f>
        <v>0</v>
      </c>
      <c r="HO49">
        <f>IF('Pick List'!419:419,"AAAAAE3N394=",0)</f>
        <v>0</v>
      </c>
      <c r="HP49">
        <f>IF('Pick List'!420:420,"AAAAAE3N398=",0)</f>
        <v>0</v>
      </c>
      <c r="HQ49">
        <f>IF('Pick List'!421:421,"AAAAAE3N3+A=",0)</f>
        <v>0</v>
      </c>
      <c r="HR49">
        <f>IF('Pick List'!422:422,"AAAAAE3N3+E=",0)</f>
        <v>0</v>
      </c>
      <c r="HS49">
        <f>IF('Pick List'!423:423,"AAAAAE3N3+I=",0)</f>
        <v>0</v>
      </c>
      <c r="HT49">
        <f>IF('Pick List'!424:424,"AAAAAE3N3+M=",0)</f>
        <v>0</v>
      </c>
      <c r="HU49">
        <f>IF('Pick List'!425:425,"AAAAAE3N3+Q=",0)</f>
        <v>0</v>
      </c>
      <c r="HV49">
        <f>IF('Pick List'!426:426,"AAAAAE3N3+U=",0)</f>
        <v>0</v>
      </c>
      <c r="HW49">
        <f>IF('Pick List'!427:427,"AAAAAE3N3+Y=",0)</f>
        <v>0</v>
      </c>
      <c r="HX49">
        <f>IF('Pick List'!428:428,"AAAAAE3N3+c=",0)</f>
        <v>0</v>
      </c>
      <c r="HY49">
        <f>IF('Pick List'!429:429,"AAAAAE3N3+g=",0)</f>
        <v>0</v>
      </c>
      <c r="HZ49">
        <f>IF('Pick List'!430:430,"AAAAAE3N3+k=",0)</f>
        <v>0</v>
      </c>
      <c r="IA49">
        <f>IF('Pick List'!431:431,"AAAAAE3N3+o=",0)</f>
        <v>0</v>
      </c>
      <c r="IB49">
        <f>IF('Pick List'!432:432,"AAAAAE3N3+s=",0)</f>
        <v>0</v>
      </c>
      <c r="IC49">
        <f>IF('Pick List'!433:433,"AAAAAE3N3+w=",0)</f>
        <v>0</v>
      </c>
      <c r="ID49">
        <f>IF('Pick List'!434:434,"AAAAAE3N3+0=",0)</f>
        <v>0</v>
      </c>
      <c r="IE49">
        <f>IF('Pick List'!435:435,"AAAAAE3N3+4=",0)</f>
        <v>0</v>
      </c>
      <c r="IF49">
        <f>IF('Pick List'!436:436,"AAAAAE3N3+8=",0)</f>
        <v>0</v>
      </c>
      <c r="IG49">
        <f>IF('Pick List'!437:437,"AAAAAE3N3/A=",0)</f>
        <v>0</v>
      </c>
      <c r="IH49">
        <f>IF('Pick List'!438:438,"AAAAAE3N3/E=",0)</f>
        <v>0</v>
      </c>
      <c r="II49">
        <f>IF('Pick List'!439:439,"AAAAAE3N3/I=",0)</f>
        <v>0</v>
      </c>
      <c r="IJ49">
        <f>IF('Pick List'!440:440,"AAAAAE3N3/M=",0)</f>
        <v>0</v>
      </c>
      <c r="IK49">
        <f>IF('Pick List'!441:441,"AAAAAE3N3/Q=",0)</f>
        <v>0</v>
      </c>
      <c r="IL49">
        <f>IF('Pick List'!442:442,"AAAAAE3N3/U=",0)</f>
        <v>0</v>
      </c>
      <c r="IM49">
        <f>IF('Pick List'!443:443,"AAAAAE3N3/Y=",0)</f>
        <v>0</v>
      </c>
      <c r="IN49">
        <f>IF('Pick List'!444:444,"AAAAAE3N3/c=",0)</f>
        <v>0</v>
      </c>
      <c r="IO49">
        <f>IF('Pick List'!445:445,"AAAAAE3N3/g=",0)</f>
        <v>0</v>
      </c>
      <c r="IP49">
        <f>IF('Pick List'!446:446,"AAAAAE3N3/k=",0)</f>
        <v>0</v>
      </c>
      <c r="IQ49">
        <f>IF('Pick List'!447:447,"AAAAAE3N3/o=",0)</f>
        <v>0</v>
      </c>
      <c r="IR49">
        <f>IF('Pick List'!448:448,"AAAAAE3N3/s=",0)</f>
        <v>0</v>
      </c>
      <c r="IS49">
        <f>IF('Pick List'!449:449,"AAAAAE3N3/w=",0)</f>
        <v>0</v>
      </c>
      <c r="IT49">
        <f>IF('Pick List'!450:450,"AAAAAE3N3/0=",0)</f>
        <v>0</v>
      </c>
      <c r="IU49">
        <f>IF('Pick List'!451:451,"AAAAAE3N3/4=",0)</f>
        <v>0</v>
      </c>
      <c r="IV49">
        <f>IF('Pick List'!452:452,"AAAAAE3N3/8=",0)</f>
        <v>0</v>
      </c>
    </row>
    <row r="50" spans="1:256" x14ac:dyDescent="0.2">
      <c r="A50">
        <f>IF('Pick List'!453:453,"AAAAAHL53wA=",0)</f>
        <v>0</v>
      </c>
      <c r="B50">
        <f>IF('Pick List'!454:454,"AAAAAHL53wE=",0)</f>
        <v>0</v>
      </c>
      <c r="C50">
        <f>IF('Pick List'!455:455,"AAAAAHL53wI=",0)</f>
        <v>0</v>
      </c>
      <c r="D50">
        <f>IF('Pick List'!456:456,"AAAAAHL53wM=",0)</f>
        <v>0</v>
      </c>
      <c r="E50">
        <f>IF('Pick List'!457:457,"AAAAAHL53wQ=",0)</f>
        <v>0</v>
      </c>
      <c r="F50">
        <f>IF('Pick List'!458:458,"AAAAAHL53wU=",0)</f>
        <v>0</v>
      </c>
      <c r="G50">
        <f>IF('Pick List'!459:459,"AAAAAHL53wY=",0)</f>
        <v>0</v>
      </c>
      <c r="H50">
        <f>IF('Pick List'!460:460,"AAAAAHL53wc=",0)</f>
        <v>0</v>
      </c>
      <c r="I50">
        <f>IF('Pick List'!461:461,"AAAAAHL53wg=",0)</f>
        <v>0</v>
      </c>
      <c r="J50">
        <f>IF('Pick List'!462:462,"AAAAAHL53wk=",0)</f>
        <v>0</v>
      </c>
      <c r="K50">
        <f>IF('Pick List'!463:463,"AAAAAHL53wo=",0)</f>
        <v>0</v>
      </c>
      <c r="L50">
        <f>IF('Pick List'!464:464,"AAAAAHL53ws=",0)</f>
        <v>0</v>
      </c>
      <c r="M50">
        <f>IF('Pick List'!465:465,"AAAAAHL53ww=",0)</f>
        <v>0</v>
      </c>
      <c r="N50">
        <f>IF('Pick List'!466:466,"AAAAAHL53w0=",0)</f>
        <v>0</v>
      </c>
      <c r="O50">
        <f>IF('Pick List'!467:467,"AAAAAHL53w4=",0)</f>
        <v>0</v>
      </c>
      <c r="P50">
        <f>IF('Pick List'!468:468,"AAAAAHL53w8=",0)</f>
        <v>0</v>
      </c>
      <c r="Q50">
        <f>IF('Pick List'!469:469,"AAAAAHL53xA=",0)</f>
        <v>0</v>
      </c>
      <c r="R50">
        <f>IF('Pick List'!470:470,"AAAAAHL53xE=",0)</f>
        <v>0</v>
      </c>
      <c r="S50">
        <f>IF('Pick List'!471:471,"AAAAAHL53xI=",0)</f>
        <v>0</v>
      </c>
      <c r="T50">
        <f>IF('Pick List'!472:472,"AAAAAHL53xM=",0)</f>
        <v>0</v>
      </c>
      <c r="U50">
        <f>IF('Pick List'!473:473,"AAAAAHL53xQ=",0)</f>
        <v>0</v>
      </c>
      <c r="V50">
        <f>IF('Pick List'!474:474,"AAAAAHL53xU=",0)</f>
        <v>0</v>
      </c>
      <c r="W50">
        <f>IF('Pick List'!475:475,"AAAAAHL53xY=",0)</f>
        <v>0</v>
      </c>
      <c r="X50">
        <f>IF('Pick List'!476:476,"AAAAAHL53xc=",0)</f>
        <v>0</v>
      </c>
      <c r="Y50">
        <f>IF('Pick List'!477:477,"AAAAAHL53xg=",0)</f>
        <v>0</v>
      </c>
      <c r="Z50">
        <f>IF('Pick List'!478:478,"AAAAAHL53xk=",0)</f>
        <v>0</v>
      </c>
      <c r="AA50">
        <f>IF('Pick List'!479:479,"AAAAAHL53xo=",0)</f>
        <v>0</v>
      </c>
      <c r="AB50">
        <f>IF('Pick List'!480:480,"AAAAAHL53xs=",0)</f>
        <v>0</v>
      </c>
      <c r="AC50">
        <f>IF('Pick List'!481:481,"AAAAAHL53xw=",0)</f>
        <v>0</v>
      </c>
      <c r="AD50">
        <f>IF('Pick List'!482:482,"AAAAAHL53x0=",0)</f>
        <v>0</v>
      </c>
      <c r="AE50">
        <f>IF('Pick List'!483:483,"AAAAAHL53x4=",0)</f>
        <v>0</v>
      </c>
      <c r="AF50">
        <f>IF('Pick List'!484:484,"AAAAAHL53x8=",0)</f>
        <v>0</v>
      </c>
      <c r="AG50">
        <f>IF('Pick List'!485:485,"AAAAAHL53yA=",0)</f>
        <v>0</v>
      </c>
      <c r="AH50">
        <f>IF('Pick List'!486:486,"AAAAAHL53yE=",0)</f>
        <v>0</v>
      </c>
      <c r="AI50">
        <f>IF('Pick List'!487:487,"AAAAAHL53yI=",0)</f>
        <v>0</v>
      </c>
      <c r="AJ50">
        <f>IF('Pick List'!488:488,"AAAAAHL53yM=",0)</f>
        <v>0</v>
      </c>
      <c r="AK50">
        <f>IF('Pick List'!489:489,"AAAAAHL53yQ=",0)</f>
        <v>0</v>
      </c>
      <c r="AL50">
        <f>IF('Pick List'!490:490,"AAAAAHL53yU=",0)</f>
        <v>0</v>
      </c>
      <c r="AM50">
        <f>IF('Pick List'!491:491,"AAAAAHL53yY=",0)</f>
        <v>0</v>
      </c>
      <c r="AN50">
        <f>IF('Pick List'!492:492,"AAAAAHL53yc=",0)</f>
        <v>0</v>
      </c>
      <c r="AO50">
        <f>IF('Pick List'!493:493,"AAAAAHL53yg=",0)</f>
        <v>0</v>
      </c>
      <c r="AP50">
        <f>IF('Pick List'!494:494,"AAAAAHL53yk=",0)</f>
        <v>0</v>
      </c>
      <c r="AQ50">
        <f>IF('Pick List'!495:495,"AAAAAHL53yo=",0)</f>
        <v>0</v>
      </c>
      <c r="AR50">
        <f>IF('Pick List'!496:496,"AAAAAHL53ys=",0)</f>
        <v>0</v>
      </c>
      <c r="AS50">
        <f>IF('Pick List'!497:497,"AAAAAHL53yw=",0)</f>
        <v>0</v>
      </c>
      <c r="AT50">
        <f>IF('Pick List'!498:498,"AAAAAHL53y0=",0)</f>
        <v>0</v>
      </c>
      <c r="AU50">
        <f>IF('Pick List'!499:499,"AAAAAHL53y4=",0)</f>
        <v>0</v>
      </c>
      <c r="AV50">
        <f>IF('Pick List'!500:500,"AAAAAHL53y8=",0)</f>
        <v>0</v>
      </c>
      <c r="AW50">
        <f>IF('Pick List'!501:501,"AAAAAHL53zA=",0)</f>
        <v>0</v>
      </c>
      <c r="AX50">
        <f>IF('Pick List'!502:502,"AAAAAHL53zE=",0)</f>
        <v>0</v>
      </c>
      <c r="AY50">
        <f>IF('Pick List'!503:503,"AAAAAHL53zI=",0)</f>
        <v>0</v>
      </c>
      <c r="AZ50">
        <f>IF('Pick List'!504:504,"AAAAAHL53zM=",0)</f>
        <v>0</v>
      </c>
      <c r="BA50">
        <f>IF('Pick List'!505:505,"AAAAAHL53zQ=",0)</f>
        <v>0</v>
      </c>
      <c r="BB50">
        <f>IF('Pick List'!506:506,"AAAAAHL53zU=",0)</f>
        <v>0</v>
      </c>
      <c r="BC50">
        <f>IF('Pick List'!507:507,"AAAAAHL53zY=",0)</f>
        <v>0</v>
      </c>
      <c r="BD50">
        <f>IF('Pick List'!508:508,"AAAAAHL53zc=",0)</f>
        <v>0</v>
      </c>
      <c r="BE50">
        <f>IF('Pick List'!509:509,"AAAAAHL53zg=",0)</f>
        <v>0</v>
      </c>
      <c r="BF50">
        <f>IF('Pick List'!510:510,"AAAAAHL53zk=",0)</f>
        <v>0</v>
      </c>
      <c r="BG50">
        <f>IF('Pick List'!511:511,"AAAAAHL53zo=",0)</f>
        <v>0</v>
      </c>
      <c r="BH50">
        <f>IF('Pick List'!512:512,"AAAAAHL53zs=",0)</f>
        <v>0</v>
      </c>
      <c r="BI50">
        <f>IF('Pick List'!513:513,"AAAAAHL53zw=",0)</f>
        <v>0</v>
      </c>
      <c r="BJ50">
        <f>IF('Pick List'!514:514,"AAAAAHL53z0=",0)</f>
        <v>0</v>
      </c>
      <c r="BK50">
        <f>IF('Pick List'!515:515,"AAAAAHL53z4=",0)</f>
        <v>0</v>
      </c>
      <c r="BL50">
        <f>IF('Pick List'!516:516,"AAAAAHL53z8=",0)</f>
        <v>0</v>
      </c>
      <c r="BM50">
        <f>IF('Pick List'!517:517,"AAAAAHL530A=",0)</f>
        <v>0</v>
      </c>
      <c r="BN50">
        <f>IF('Pick List'!518:518,"AAAAAHL530E=",0)</f>
        <v>0</v>
      </c>
      <c r="BO50">
        <f>IF('Pick List'!519:519,"AAAAAHL530I=",0)</f>
        <v>0</v>
      </c>
      <c r="BP50">
        <f>IF('Pick List'!520:520,"AAAAAHL530M=",0)</f>
        <v>0</v>
      </c>
      <c r="BQ50">
        <f>IF('Pick List'!521:521,"AAAAAHL530Q=",0)</f>
        <v>0</v>
      </c>
      <c r="BR50">
        <f>IF('Pick List'!522:522,"AAAAAHL530U=",0)</f>
        <v>0</v>
      </c>
      <c r="BS50">
        <f>IF('Pick List'!523:523,"AAAAAHL530Y=",0)</f>
        <v>0</v>
      </c>
      <c r="BT50">
        <f>IF('Pick List'!524:524,"AAAAAHL530c=",0)</f>
        <v>0</v>
      </c>
      <c r="BU50">
        <f>IF('Pick List'!525:525,"AAAAAHL530g=",0)</f>
        <v>0</v>
      </c>
      <c r="BV50">
        <f>IF('Pick List'!526:526,"AAAAAHL530k=",0)</f>
        <v>0</v>
      </c>
      <c r="BW50">
        <f>IF('Pick List'!527:527,"AAAAAHL530o=",0)</f>
        <v>0</v>
      </c>
      <c r="BX50">
        <f>IF('Pick List'!528:528,"AAAAAHL530s=",0)</f>
        <v>0</v>
      </c>
      <c r="BY50">
        <f>IF('Pick List'!529:529,"AAAAAHL530w=",0)</f>
        <v>0</v>
      </c>
      <c r="BZ50">
        <f>IF('Pick List'!530:530,"AAAAAHL5300=",0)</f>
        <v>0</v>
      </c>
      <c r="CA50">
        <f>IF('Pick List'!531:531,"AAAAAHL5304=",0)</f>
        <v>0</v>
      </c>
      <c r="CB50">
        <f>IF('Pick List'!532:532,"AAAAAHL5308=",0)</f>
        <v>0</v>
      </c>
      <c r="CC50">
        <f>IF('Pick List'!533:533,"AAAAAHL531A=",0)</f>
        <v>0</v>
      </c>
      <c r="CD50">
        <f>IF('Pick List'!534:534,"AAAAAHL531E=",0)</f>
        <v>0</v>
      </c>
      <c r="CE50">
        <f>IF('Pick List'!535:535,"AAAAAHL531I=",0)</f>
        <v>0</v>
      </c>
      <c r="CF50">
        <f>IF('Pick List'!536:536,"AAAAAHL531M=",0)</f>
        <v>0</v>
      </c>
      <c r="CG50">
        <f>IF('Pick List'!537:537,"AAAAAHL531Q=",0)</f>
        <v>0</v>
      </c>
      <c r="CH50">
        <f>IF('Pick List'!538:538,"AAAAAHL531U=",0)</f>
        <v>0</v>
      </c>
      <c r="CI50">
        <f>IF('Pick List'!539:539,"AAAAAHL531Y=",0)</f>
        <v>0</v>
      </c>
      <c r="CJ50">
        <f>IF('Pick List'!540:540,"AAAAAHL531c=",0)</f>
        <v>0</v>
      </c>
      <c r="CK50">
        <f>IF('Pick List'!541:541,"AAAAAHL531g=",0)</f>
        <v>0</v>
      </c>
      <c r="CL50">
        <f>IF('Pick List'!542:542,"AAAAAHL531k=",0)</f>
        <v>0</v>
      </c>
      <c r="CM50">
        <f>IF('Pick List'!543:543,"AAAAAHL531o=",0)</f>
        <v>0</v>
      </c>
      <c r="CN50">
        <f>IF('Pick List'!544:544,"AAAAAHL531s=",0)</f>
        <v>0</v>
      </c>
      <c r="CO50">
        <f>IF('Pick List'!545:545,"AAAAAHL531w=",0)</f>
        <v>0</v>
      </c>
      <c r="CP50">
        <f>IF('Pick List'!546:546,"AAAAAHL5310=",0)</f>
        <v>0</v>
      </c>
      <c r="CQ50">
        <f>IF('Pick List'!547:547,"AAAAAHL5314=",0)</f>
        <v>0</v>
      </c>
      <c r="CR50">
        <f>IF('Pick List'!548:548,"AAAAAHL5318=",0)</f>
        <v>0</v>
      </c>
      <c r="CS50">
        <f>IF('Pick List'!549:549,"AAAAAHL532A=",0)</f>
        <v>0</v>
      </c>
      <c r="CT50">
        <f>IF('Pick List'!550:550,"AAAAAHL532E=",0)</f>
        <v>0</v>
      </c>
      <c r="CU50">
        <f>IF('Pick List'!551:551,"AAAAAHL532I=",0)</f>
        <v>0</v>
      </c>
      <c r="CV50">
        <f>IF('Pick List'!552:552,"AAAAAHL532M=",0)</f>
        <v>0</v>
      </c>
      <c r="CW50">
        <f>IF('Pick List'!553:553,"AAAAAHL532Q=",0)</f>
        <v>0</v>
      </c>
      <c r="CX50">
        <f>IF('Pick List'!554:554,"AAAAAHL532U=",0)</f>
        <v>0</v>
      </c>
      <c r="CY50">
        <f>IF('Pick List'!555:555,"AAAAAHL532Y=",0)</f>
        <v>0</v>
      </c>
      <c r="CZ50">
        <f>IF('Pick List'!556:556,"AAAAAHL532c=",0)</f>
        <v>0</v>
      </c>
      <c r="DA50">
        <f>IF('Pick List'!557:557,"AAAAAHL532g=",0)</f>
        <v>0</v>
      </c>
      <c r="DB50">
        <f>IF('Pick List'!558:558,"AAAAAHL532k=",0)</f>
        <v>0</v>
      </c>
      <c r="DC50">
        <f>IF('Pick List'!559:559,"AAAAAHL532o=",0)</f>
        <v>0</v>
      </c>
      <c r="DD50">
        <f>IF('Pick List'!560:560,"AAAAAHL532s=",0)</f>
        <v>0</v>
      </c>
      <c r="DE50">
        <f>IF('Pick List'!561:561,"AAAAAHL532w=",0)</f>
        <v>0</v>
      </c>
      <c r="DF50">
        <f>IF('Pick List'!562:562,"AAAAAHL5320=",0)</f>
        <v>0</v>
      </c>
      <c r="DG50">
        <f>IF('Pick List'!563:563,"AAAAAHL5324=",0)</f>
        <v>0</v>
      </c>
      <c r="DH50">
        <f>IF('Pick List'!564:564,"AAAAAHL5328=",0)</f>
        <v>0</v>
      </c>
      <c r="DI50">
        <f>IF('Pick List'!565:565,"AAAAAHL533A=",0)</f>
        <v>0</v>
      </c>
      <c r="DJ50">
        <f>IF('Pick List'!566:566,"AAAAAHL533E=",0)</f>
        <v>0</v>
      </c>
      <c r="DK50">
        <f>IF('Pick List'!567:567,"AAAAAHL533I=",0)</f>
        <v>0</v>
      </c>
      <c r="DL50">
        <f>IF('Pick List'!568:568,"AAAAAHL533M=",0)</f>
        <v>0</v>
      </c>
      <c r="DM50">
        <f>IF('Pick List'!569:569,"AAAAAHL533Q=",0)</f>
        <v>0</v>
      </c>
      <c r="DN50">
        <f>IF('Pick List'!570:570,"AAAAAHL533U=",0)</f>
        <v>0</v>
      </c>
      <c r="DO50">
        <f>IF('Pick List'!571:571,"AAAAAHL533Y=",0)</f>
        <v>0</v>
      </c>
      <c r="DP50">
        <f>IF('Pick List'!572:572,"AAAAAHL533c=",0)</f>
        <v>0</v>
      </c>
      <c r="DQ50">
        <f>IF('Pick List'!573:573,"AAAAAHL533g=",0)</f>
        <v>0</v>
      </c>
      <c r="DR50">
        <f>IF('Pick List'!574:574,"AAAAAHL533k=",0)</f>
        <v>0</v>
      </c>
      <c r="DS50">
        <f>IF('Pick List'!575:575,"AAAAAHL533o=",0)</f>
        <v>0</v>
      </c>
      <c r="DT50">
        <f>IF('Pick List'!576:576,"AAAAAHL533s=",0)</f>
        <v>0</v>
      </c>
      <c r="DU50">
        <f>IF('Pick List'!577:577,"AAAAAHL533w=",0)</f>
        <v>0</v>
      </c>
      <c r="DV50">
        <f>IF('Pick List'!578:578,"AAAAAHL5330=",0)</f>
        <v>0</v>
      </c>
      <c r="DW50">
        <f>IF('Pick List'!579:579,"AAAAAHL5334=",0)</f>
        <v>0</v>
      </c>
      <c r="DX50">
        <f>IF('Pick List'!580:580,"AAAAAHL5338=",0)</f>
        <v>0</v>
      </c>
      <c r="DY50">
        <f>IF('Pick List'!581:581,"AAAAAHL534A=",0)</f>
        <v>0</v>
      </c>
      <c r="DZ50">
        <f>IF('Pick List'!582:582,"AAAAAHL534E=",0)</f>
        <v>0</v>
      </c>
      <c r="EA50">
        <f>IF('Pick List'!583:583,"AAAAAHL534I=",0)</f>
        <v>0</v>
      </c>
      <c r="EB50">
        <f>IF('Pick List'!584:584,"AAAAAHL534M=",0)</f>
        <v>0</v>
      </c>
      <c r="EC50">
        <f>IF('Pick List'!585:585,"AAAAAHL534Q=",0)</f>
        <v>0</v>
      </c>
      <c r="ED50">
        <f>IF('Pick List'!586:586,"AAAAAHL534U=",0)</f>
        <v>0</v>
      </c>
      <c r="EE50">
        <f>IF('Pick List'!587:587,"AAAAAHL534Y=",0)</f>
        <v>0</v>
      </c>
      <c r="EF50">
        <f>IF('Pick List'!588:588,"AAAAAHL534c=",0)</f>
        <v>0</v>
      </c>
      <c r="EG50">
        <f>IF('Pick List'!589:589,"AAAAAHL534g=",0)</f>
        <v>0</v>
      </c>
      <c r="EH50">
        <f>IF('Pick List'!590:590,"AAAAAHL534k=",0)</f>
        <v>0</v>
      </c>
      <c r="EI50">
        <f>IF('Pick List'!591:591,"AAAAAHL534o=",0)</f>
        <v>0</v>
      </c>
      <c r="EJ50">
        <f>IF('Pick List'!592:592,"AAAAAHL534s=",0)</f>
        <v>0</v>
      </c>
      <c r="EK50">
        <f>IF('Pick List'!593:593,"AAAAAHL534w=",0)</f>
        <v>0</v>
      </c>
      <c r="EL50">
        <f>IF('Pick List'!594:594,"AAAAAHL5340=",0)</f>
        <v>0</v>
      </c>
      <c r="EM50">
        <f>IF('Pick List'!595:595,"AAAAAHL5344=",0)</f>
        <v>0</v>
      </c>
      <c r="EN50">
        <f>IF('Pick List'!596:596,"AAAAAHL5348=",0)</f>
        <v>0</v>
      </c>
      <c r="EO50">
        <f>IF('Pick List'!597:597,"AAAAAHL535A=",0)</f>
        <v>0</v>
      </c>
      <c r="EP50">
        <f>IF('Pick List'!598:598,"AAAAAHL535E=",0)</f>
        <v>0</v>
      </c>
      <c r="EQ50">
        <f>IF('Pick List'!599:599,"AAAAAHL535I=",0)</f>
        <v>0</v>
      </c>
      <c r="ER50">
        <f>IF('Pick List'!600:600,"AAAAAHL535M=",0)</f>
        <v>0</v>
      </c>
      <c r="ES50">
        <f>IF('Pick List'!601:601,"AAAAAHL535Q=",0)</f>
        <v>0</v>
      </c>
      <c r="ET50">
        <f>IF('Pick List'!602:602,"AAAAAHL535U=",0)</f>
        <v>0</v>
      </c>
      <c r="EU50">
        <f>IF('Pick List'!603:603,"AAAAAHL535Y=",0)</f>
        <v>0</v>
      </c>
      <c r="EV50">
        <f>IF('Pick List'!604:604,"AAAAAHL535c=",0)</f>
        <v>0</v>
      </c>
      <c r="EW50">
        <f>IF('Pick List'!605:605,"AAAAAHL535g=",0)</f>
        <v>0</v>
      </c>
      <c r="EX50">
        <f>IF('Pick List'!606:606,"AAAAAHL535k=",0)</f>
        <v>0</v>
      </c>
      <c r="EY50">
        <f>IF('Pick List'!607:607,"AAAAAHL535o=",0)</f>
        <v>0</v>
      </c>
      <c r="EZ50">
        <f>IF('Pick List'!608:608,"AAAAAHL535s=",0)</f>
        <v>0</v>
      </c>
      <c r="FA50">
        <f>IF('Pick List'!609:609,"AAAAAHL535w=",0)</f>
        <v>0</v>
      </c>
      <c r="FB50">
        <f>IF('Pick List'!610:610,"AAAAAHL5350=",0)</f>
        <v>0</v>
      </c>
      <c r="FC50">
        <f>IF('Pick List'!611:611,"AAAAAHL5354=",0)</f>
        <v>0</v>
      </c>
      <c r="FD50">
        <f>IF('Pick List'!612:612,"AAAAAHL5358=",0)</f>
        <v>0</v>
      </c>
      <c r="FE50">
        <f>IF('Pick List'!613:613,"AAAAAHL536A=",0)</f>
        <v>0</v>
      </c>
      <c r="FF50">
        <f>IF('Pick List'!614:614,"AAAAAHL536E=",0)</f>
        <v>0</v>
      </c>
      <c r="FG50">
        <f>IF('Pick List'!615:615,"AAAAAHL536I=",0)</f>
        <v>0</v>
      </c>
      <c r="FH50">
        <f>IF('Pick List'!616:616,"AAAAAHL536M=",0)</f>
        <v>0</v>
      </c>
      <c r="FI50">
        <f>IF('Pick List'!617:617,"AAAAAHL536Q=",0)</f>
        <v>0</v>
      </c>
      <c r="FJ50">
        <f>IF('Pick List'!618:618,"AAAAAHL536U=",0)</f>
        <v>0</v>
      </c>
      <c r="FK50">
        <f>IF('Pick List'!619:619,"AAAAAHL536Y=",0)</f>
        <v>0</v>
      </c>
      <c r="FL50">
        <f>IF('Pick List'!620:620,"AAAAAHL536c=",0)</f>
        <v>0</v>
      </c>
      <c r="FM50">
        <f>IF('Pick List'!621:621,"AAAAAHL536g=",0)</f>
        <v>0</v>
      </c>
      <c r="FN50">
        <f>IF('Pick List'!622:622,"AAAAAHL536k=",0)</f>
        <v>0</v>
      </c>
      <c r="FO50">
        <f>IF('Pick List'!623:623,"AAAAAHL536o=",0)</f>
        <v>0</v>
      </c>
      <c r="FP50">
        <f>IF('Pick List'!624:624,"AAAAAHL536s=",0)</f>
        <v>0</v>
      </c>
      <c r="FQ50">
        <f>IF('Pick List'!625:625,"AAAAAHL536w=",0)</f>
        <v>0</v>
      </c>
      <c r="FR50">
        <f>IF('Pick List'!626:626,"AAAAAHL5360=",0)</f>
        <v>0</v>
      </c>
      <c r="FS50">
        <f>IF('Pick List'!627:627,"AAAAAHL5364=",0)</f>
        <v>0</v>
      </c>
      <c r="FT50">
        <f>IF('Pick List'!628:628,"AAAAAHL5368=",0)</f>
        <v>0</v>
      </c>
      <c r="FU50">
        <f>IF('Pick List'!629:629,"AAAAAHL537A=",0)</f>
        <v>0</v>
      </c>
      <c r="FV50">
        <f>IF('Pick List'!630:630,"AAAAAHL537E=",0)</f>
        <v>0</v>
      </c>
      <c r="FW50">
        <f>IF('Pick List'!631:631,"AAAAAHL537I=",0)</f>
        <v>0</v>
      </c>
      <c r="FX50">
        <f>IF('Pick List'!632:632,"AAAAAHL537M=",0)</f>
        <v>0</v>
      </c>
      <c r="FY50">
        <f>IF('Pick List'!633:633,"AAAAAHL537Q=",0)</f>
        <v>0</v>
      </c>
      <c r="FZ50">
        <f>IF('Pick List'!634:634,"AAAAAHL537U=",0)</f>
        <v>0</v>
      </c>
      <c r="GA50">
        <f>IF('Pick List'!635:635,"AAAAAHL537Y=",0)</f>
        <v>0</v>
      </c>
      <c r="GB50">
        <f>IF('Pick List'!636:636,"AAAAAHL537c=",0)</f>
        <v>0</v>
      </c>
      <c r="GC50">
        <f>IF('Pick List'!637:637,"AAAAAHL537g=",0)</f>
        <v>0</v>
      </c>
      <c r="GD50">
        <f>IF('Pick List'!638:638,"AAAAAHL537k=",0)</f>
        <v>0</v>
      </c>
      <c r="GE50">
        <f>IF('Pick List'!639:639,"AAAAAHL537o=",0)</f>
        <v>0</v>
      </c>
      <c r="GF50">
        <f>IF('Pick List'!640:640,"AAAAAHL537s=",0)</f>
        <v>0</v>
      </c>
      <c r="GG50">
        <f>IF('Pick List'!641:641,"AAAAAHL537w=",0)</f>
        <v>0</v>
      </c>
      <c r="GH50">
        <f>IF('Pick List'!642:642,"AAAAAHL5370=",0)</f>
        <v>0</v>
      </c>
      <c r="GI50">
        <f>IF('Pick List'!643:643,"AAAAAHL5374=",0)</f>
        <v>0</v>
      </c>
      <c r="GJ50">
        <f>IF('Pick List'!644:644,"AAAAAHL5378=",0)</f>
        <v>0</v>
      </c>
      <c r="GK50">
        <f>IF('Pick List'!645:645,"AAAAAHL538A=",0)</f>
        <v>0</v>
      </c>
      <c r="GL50">
        <f>IF('Pick List'!646:646,"AAAAAHL538E=",0)</f>
        <v>0</v>
      </c>
      <c r="GM50">
        <f>IF('Pick List'!647:647,"AAAAAHL538I=",0)</f>
        <v>0</v>
      </c>
      <c r="GN50">
        <f>IF('Pick List'!648:648,"AAAAAHL538M=",0)</f>
        <v>0</v>
      </c>
      <c r="GO50">
        <f>IF('Pick List'!649:649,"AAAAAHL538Q=",0)</f>
        <v>0</v>
      </c>
      <c r="GP50">
        <f>IF('Pick List'!650:650,"AAAAAHL538U=",0)</f>
        <v>0</v>
      </c>
      <c r="GQ50">
        <f>IF('Pick List'!651:651,"AAAAAHL538Y=",0)</f>
        <v>0</v>
      </c>
      <c r="GR50">
        <f>IF('Pick List'!652:652,"AAAAAHL538c=",0)</f>
        <v>0</v>
      </c>
      <c r="GS50">
        <f>IF('Pick List'!653:653,"AAAAAHL538g=",0)</f>
        <v>0</v>
      </c>
      <c r="GT50">
        <f>IF('Pick List'!654:654,"AAAAAHL538k=",0)</f>
        <v>0</v>
      </c>
      <c r="GU50">
        <f>IF('Pick List'!655:655,"AAAAAHL538o=",0)</f>
        <v>0</v>
      </c>
      <c r="GV50">
        <f>IF('Pick List'!656:656,"AAAAAHL538s=",0)</f>
        <v>0</v>
      </c>
      <c r="GW50">
        <f>IF('Pick List'!657:657,"AAAAAHL538w=",0)</f>
        <v>0</v>
      </c>
      <c r="GX50">
        <f>IF('Pick List'!658:658,"AAAAAHL5380=",0)</f>
        <v>0</v>
      </c>
      <c r="GY50">
        <f>IF('Pick List'!659:659,"AAAAAHL5384=",0)</f>
        <v>0</v>
      </c>
      <c r="GZ50">
        <f>IF('Pick List'!660:660,"AAAAAHL5388=",0)</f>
        <v>0</v>
      </c>
      <c r="HA50">
        <f>IF('Pick List'!661:661,"AAAAAHL539A=",0)</f>
        <v>0</v>
      </c>
      <c r="HB50">
        <f>IF('Pick List'!662:662,"AAAAAHL539E=",0)</f>
        <v>0</v>
      </c>
      <c r="HC50">
        <f>IF('Pick List'!663:663,"AAAAAHL539I=",0)</f>
        <v>0</v>
      </c>
      <c r="HD50">
        <f>IF('Pick List'!664:664,"AAAAAHL539M=",0)</f>
        <v>0</v>
      </c>
      <c r="HE50">
        <f>IF('Pick List'!665:665,"AAAAAHL539Q=",0)</f>
        <v>0</v>
      </c>
      <c r="HF50">
        <f>IF('Pick List'!666:666,"AAAAAHL539U=",0)</f>
        <v>0</v>
      </c>
      <c r="HG50">
        <f>IF('Pick List'!667:667,"AAAAAHL539Y=",0)</f>
        <v>0</v>
      </c>
      <c r="HH50">
        <f>IF('Pick List'!668:668,"AAAAAHL539c=",0)</f>
        <v>0</v>
      </c>
      <c r="HI50">
        <f>IF('Pick List'!669:669,"AAAAAHL539g=",0)</f>
        <v>0</v>
      </c>
      <c r="HJ50">
        <f>IF('Pick List'!670:670,"AAAAAHL539k=",0)</f>
        <v>0</v>
      </c>
      <c r="HK50">
        <f>IF('Pick List'!671:671,"AAAAAHL539o=",0)</f>
        <v>0</v>
      </c>
      <c r="HL50">
        <f>IF('Pick List'!672:672,"AAAAAHL539s=",0)</f>
        <v>0</v>
      </c>
      <c r="HM50">
        <f>IF('Pick List'!673:673,"AAAAAHL539w=",0)</f>
        <v>0</v>
      </c>
      <c r="HN50">
        <f>IF('Pick List'!674:674,"AAAAAHL5390=",0)</f>
        <v>0</v>
      </c>
      <c r="HO50">
        <f>IF('Pick List'!675:675,"AAAAAHL5394=",0)</f>
        <v>0</v>
      </c>
      <c r="HP50">
        <f>IF('Pick List'!676:676,"AAAAAHL5398=",0)</f>
        <v>0</v>
      </c>
      <c r="HQ50">
        <f>IF('Pick List'!677:677,"AAAAAHL53+A=",0)</f>
        <v>0</v>
      </c>
      <c r="HR50">
        <f>IF('Pick List'!678:678,"AAAAAHL53+E=",0)</f>
        <v>0</v>
      </c>
      <c r="HS50">
        <f>IF('Pick List'!679:679,"AAAAAHL53+I=",0)</f>
        <v>0</v>
      </c>
      <c r="HT50">
        <f>IF('Pick List'!680:680,"AAAAAHL53+M=",0)</f>
        <v>0</v>
      </c>
      <c r="HU50">
        <f>IF('Pick List'!681:681,"AAAAAHL53+Q=",0)</f>
        <v>0</v>
      </c>
      <c r="HV50">
        <f>IF('Pick List'!682:682,"AAAAAHL53+U=",0)</f>
        <v>0</v>
      </c>
      <c r="HW50">
        <f>IF('Pick List'!683:683,"AAAAAHL53+Y=",0)</f>
        <v>0</v>
      </c>
      <c r="HX50">
        <f>IF('Pick List'!684:684,"AAAAAHL53+c=",0)</f>
        <v>0</v>
      </c>
      <c r="HY50">
        <f>IF('Pick List'!685:685,"AAAAAHL53+g=",0)</f>
        <v>0</v>
      </c>
      <c r="HZ50">
        <f>IF('Pick List'!686:686,"AAAAAHL53+k=",0)</f>
        <v>0</v>
      </c>
      <c r="IA50">
        <f>IF('Pick List'!687:687,"AAAAAHL53+o=",0)</f>
        <v>0</v>
      </c>
      <c r="IB50">
        <f>IF('Pick List'!688:688,"AAAAAHL53+s=",0)</f>
        <v>0</v>
      </c>
      <c r="IC50">
        <f>IF('Pick List'!689:689,"AAAAAHL53+w=",0)</f>
        <v>0</v>
      </c>
      <c r="ID50">
        <f>IF('Pick List'!690:690,"AAAAAHL53+0=",0)</f>
        <v>0</v>
      </c>
      <c r="IE50">
        <f>IF('Pick List'!691:691,"AAAAAHL53+4=",0)</f>
        <v>0</v>
      </c>
      <c r="IF50">
        <f>IF('Pick List'!692:692,"AAAAAHL53+8=",0)</f>
        <v>0</v>
      </c>
      <c r="IG50">
        <f>IF('Pick List'!693:693,"AAAAAHL53/A=",0)</f>
        <v>0</v>
      </c>
      <c r="IH50">
        <f>IF('Pick List'!694:694,"AAAAAHL53/E=",0)</f>
        <v>0</v>
      </c>
      <c r="II50">
        <f>IF('Pick List'!695:695,"AAAAAHL53/I=",0)</f>
        <v>0</v>
      </c>
      <c r="IJ50">
        <f>IF('Pick List'!696:696,"AAAAAHL53/M=",0)</f>
        <v>0</v>
      </c>
      <c r="IK50">
        <f>IF('Pick List'!697:697,"AAAAAHL53/Q=",0)</f>
        <v>0</v>
      </c>
      <c r="IL50">
        <f>IF('Pick List'!698:698,"AAAAAHL53/U=",0)</f>
        <v>0</v>
      </c>
      <c r="IM50">
        <f>IF('Pick List'!699:699,"AAAAAHL53/Y=",0)</f>
        <v>0</v>
      </c>
      <c r="IN50">
        <f>IF('Pick List'!700:700,"AAAAAHL53/c=",0)</f>
        <v>0</v>
      </c>
      <c r="IO50">
        <f>IF('Pick List'!701:701,"AAAAAHL53/g=",0)</f>
        <v>0</v>
      </c>
      <c r="IP50">
        <f>IF('Pick List'!702:702,"AAAAAHL53/k=",0)</f>
        <v>0</v>
      </c>
      <c r="IQ50">
        <f>IF('Pick List'!703:703,"AAAAAHL53/o=",0)</f>
        <v>0</v>
      </c>
      <c r="IR50">
        <f>IF('Pick List'!704:704,"AAAAAHL53/s=",0)</f>
        <v>0</v>
      </c>
      <c r="IS50">
        <f>IF('Pick List'!705:705,"AAAAAHL53/w=",0)</f>
        <v>0</v>
      </c>
      <c r="IT50">
        <f>IF('Pick List'!706:706,"AAAAAHL53/0=",0)</f>
        <v>0</v>
      </c>
      <c r="IU50">
        <f>IF('Pick List'!707:707,"AAAAAHL53/4=",0)</f>
        <v>0</v>
      </c>
      <c r="IV50">
        <f>IF('Pick List'!708:708,"AAAAAHL53/8=",0)</f>
        <v>0</v>
      </c>
    </row>
    <row r="51" spans="1:256" x14ac:dyDescent="0.2">
      <c r="A51">
        <f>IF('Pick List'!709:709,"AAAAAC5q3wA=",0)</f>
        <v>0</v>
      </c>
      <c r="B51">
        <f>IF('Pick List'!710:710,"AAAAAC5q3wE=",0)</f>
        <v>0</v>
      </c>
      <c r="C51">
        <f>IF('Pick List'!711:711,"AAAAAC5q3wI=",0)</f>
        <v>0</v>
      </c>
      <c r="D51">
        <f>IF('Pick List'!712:712,"AAAAAC5q3wM=",0)</f>
        <v>0</v>
      </c>
      <c r="E51">
        <f>IF('Pick List'!713:713,"AAAAAC5q3wQ=",0)</f>
        <v>0</v>
      </c>
      <c r="F51">
        <f>IF('Pick List'!714:714,"AAAAAC5q3wU=",0)</f>
        <v>0</v>
      </c>
      <c r="G51">
        <f>IF('Pick List'!715:715,"AAAAAC5q3wY=",0)</f>
        <v>0</v>
      </c>
      <c r="H51">
        <f>IF('Pick List'!716:716,"AAAAAC5q3wc=",0)</f>
        <v>0</v>
      </c>
      <c r="I51">
        <f>IF('Pick List'!717:717,"AAAAAC5q3wg=",0)</f>
        <v>0</v>
      </c>
      <c r="J51">
        <f>IF('Pick List'!718:718,"AAAAAC5q3wk=",0)</f>
        <v>0</v>
      </c>
      <c r="K51">
        <f>IF('Pick List'!719:719,"AAAAAC5q3wo=",0)</f>
        <v>0</v>
      </c>
      <c r="L51">
        <f>IF('Pick List'!720:720,"AAAAAC5q3ws=",0)</f>
        <v>0</v>
      </c>
      <c r="M51">
        <f>IF('Pick List'!721:721,"AAAAAC5q3ww=",0)</f>
        <v>0</v>
      </c>
      <c r="N51">
        <f>IF('Pick List'!722:722,"AAAAAC5q3w0=",0)</f>
        <v>0</v>
      </c>
      <c r="O51">
        <f>IF('Pick List'!723:723,"AAAAAC5q3w4=",0)</f>
        <v>0</v>
      </c>
      <c r="P51">
        <f>IF('Pick List'!724:724,"AAAAAC5q3w8=",0)</f>
        <v>0</v>
      </c>
      <c r="Q51">
        <f>IF('Pick List'!725:725,"AAAAAC5q3xA=",0)</f>
        <v>0</v>
      </c>
      <c r="R51">
        <f>IF('Pick List'!726:726,"AAAAAC5q3xE=",0)</f>
        <v>0</v>
      </c>
      <c r="S51">
        <f>IF('Pick List'!727:727,"AAAAAC5q3xI=",0)</f>
        <v>0</v>
      </c>
      <c r="T51">
        <f>IF('Pick List'!728:728,"AAAAAC5q3xM=",0)</f>
        <v>0</v>
      </c>
      <c r="U51">
        <f>IF('Pick List'!729:729,"AAAAAC5q3xQ=",0)</f>
        <v>0</v>
      </c>
      <c r="V51">
        <f>IF('Pick List'!730:730,"AAAAAC5q3xU=",0)</f>
        <v>0</v>
      </c>
      <c r="W51">
        <f>IF('Pick List'!731:731,"AAAAAC5q3xY=",0)</f>
        <v>0</v>
      </c>
      <c r="X51">
        <f>IF('Pick List'!732:732,"AAAAAC5q3xc=",0)</f>
        <v>0</v>
      </c>
      <c r="Y51">
        <f>IF('Pick List'!733:733,"AAAAAC5q3xg=",0)</f>
        <v>0</v>
      </c>
      <c r="Z51">
        <f>IF('Pick List'!734:734,"AAAAAC5q3xk=",0)</f>
        <v>0</v>
      </c>
      <c r="AA51">
        <f>IF('Pick List'!735:735,"AAAAAC5q3xo=",0)</f>
        <v>0</v>
      </c>
      <c r="AB51">
        <f>IF('Pick List'!736:736,"AAAAAC5q3xs=",0)</f>
        <v>0</v>
      </c>
      <c r="AC51">
        <f>IF('Pick List'!737:737,"AAAAAC5q3xw=",0)</f>
        <v>0</v>
      </c>
      <c r="AD51">
        <f>IF('Pick List'!738:738,"AAAAAC5q3x0=",0)</f>
        <v>0</v>
      </c>
      <c r="AE51">
        <f>IF('Pick List'!739:739,"AAAAAC5q3x4=",0)</f>
        <v>0</v>
      </c>
      <c r="AF51">
        <f>IF('Pick List'!740:740,"AAAAAC5q3x8=",0)</f>
        <v>0</v>
      </c>
      <c r="AG51">
        <f>IF('Pick List'!741:741,"AAAAAC5q3yA=",0)</f>
        <v>0</v>
      </c>
      <c r="AH51">
        <f>IF('Pick List'!742:742,"AAAAAC5q3yE=",0)</f>
        <v>0</v>
      </c>
      <c r="AI51">
        <f>IF('Pick List'!743:743,"AAAAAC5q3yI=",0)</f>
        <v>0</v>
      </c>
      <c r="AJ51">
        <f>IF('Pick List'!744:744,"AAAAAC5q3yM=",0)</f>
        <v>0</v>
      </c>
      <c r="AK51">
        <f>IF('Pick List'!745:745,"AAAAAC5q3yQ=",0)</f>
        <v>0</v>
      </c>
      <c r="AL51">
        <f>IF('Pick List'!746:746,"AAAAAC5q3yU=",0)</f>
        <v>0</v>
      </c>
      <c r="AM51">
        <f>IF('Pick List'!747:747,"AAAAAC5q3yY=",0)</f>
        <v>0</v>
      </c>
      <c r="AN51">
        <f>IF('Pick List'!748:748,"AAAAAC5q3yc=",0)</f>
        <v>0</v>
      </c>
      <c r="AO51">
        <f>IF('Pick List'!749:749,"AAAAAC5q3yg=",0)</f>
        <v>0</v>
      </c>
      <c r="AP51">
        <f>IF('Pick List'!750:750,"AAAAAC5q3yk=",0)</f>
        <v>0</v>
      </c>
      <c r="AQ51">
        <f>IF('Pick List'!751:751,"AAAAAC5q3yo=",0)</f>
        <v>0</v>
      </c>
      <c r="AR51">
        <f>IF('Pick List'!752:752,"AAAAAC5q3ys=",0)</f>
        <v>0</v>
      </c>
      <c r="AS51">
        <f>IF('Pick List'!753:753,"AAAAAC5q3yw=",0)</f>
        <v>0</v>
      </c>
      <c r="AT51">
        <f>IF('Pick List'!754:754,"AAAAAC5q3y0=",0)</f>
        <v>0</v>
      </c>
      <c r="AU51">
        <f>IF('Pick List'!755:755,"AAAAAC5q3y4=",0)</f>
        <v>0</v>
      </c>
      <c r="AV51">
        <f>IF('Pick List'!756:756,"AAAAAC5q3y8=",0)</f>
        <v>0</v>
      </c>
      <c r="AW51">
        <f>IF('Pick List'!757:757,"AAAAAC5q3zA=",0)</f>
        <v>0</v>
      </c>
      <c r="AX51">
        <f>IF('Pick List'!758:758,"AAAAAC5q3zE=",0)</f>
        <v>0</v>
      </c>
      <c r="AY51">
        <f>IF('Pick List'!759:759,"AAAAAC5q3zI=",0)</f>
        <v>0</v>
      </c>
      <c r="AZ51">
        <f>IF('Pick List'!760:760,"AAAAAC5q3zM=",0)</f>
        <v>0</v>
      </c>
      <c r="BA51">
        <f>IF('Pick List'!761:761,"AAAAAC5q3zQ=",0)</f>
        <v>0</v>
      </c>
      <c r="BB51">
        <f>IF('Pick List'!762:762,"AAAAAC5q3zU=",0)</f>
        <v>0</v>
      </c>
      <c r="BC51">
        <f>IF('Pick List'!763:763,"AAAAAC5q3zY=",0)</f>
        <v>0</v>
      </c>
      <c r="BD51">
        <f>IF('Pick List'!764:764,"AAAAAC5q3zc=",0)</f>
        <v>0</v>
      </c>
      <c r="BE51">
        <f>IF('Pick List'!765:765,"AAAAAC5q3zg=",0)</f>
        <v>0</v>
      </c>
      <c r="BF51">
        <f>IF('Pick List'!766:766,"AAAAAC5q3zk=",0)</f>
        <v>0</v>
      </c>
      <c r="BG51">
        <f>IF('Pick List'!767:767,"AAAAAC5q3zo=",0)</f>
        <v>0</v>
      </c>
      <c r="BH51">
        <f>IF('Pick List'!768:768,"AAAAAC5q3zs=",0)</f>
        <v>0</v>
      </c>
      <c r="BI51">
        <f>IF('Pick List'!769:769,"AAAAAC5q3zw=",0)</f>
        <v>0</v>
      </c>
      <c r="BJ51">
        <f>IF('Pick List'!770:770,"AAAAAC5q3z0=",0)</f>
        <v>0</v>
      </c>
      <c r="BK51">
        <f>IF('Pick List'!771:771,"AAAAAC5q3z4=",0)</f>
        <v>0</v>
      </c>
      <c r="BL51">
        <f>IF('Pick List'!772:772,"AAAAAC5q3z8=",0)</f>
        <v>0</v>
      </c>
      <c r="BM51">
        <f>IF('Pick List'!773:773,"AAAAAC5q30A=",0)</f>
        <v>0</v>
      </c>
      <c r="BN51">
        <f>IF('Pick List'!774:774,"AAAAAC5q30E=",0)</f>
        <v>0</v>
      </c>
      <c r="BO51">
        <f>IF('Pick List'!775:775,"AAAAAC5q30I=",0)</f>
        <v>0</v>
      </c>
      <c r="BP51">
        <f>IF('Pick List'!776:776,"AAAAAC5q30M=",0)</f>
        <v>0</v>
      </c>
      <c r="BQ51">
        <f>IF('Pick List'!777:777,"AAAAAC5q30Q=",0)</f>
        <v>0</v>
      </c>
      <c r="BR51">
        <f>IF('Pick List'!778:778,"AAAAAC5q30U=",0)</f>
        <v>0</v>
      </c>
      <c r="BS51">
        <f>IF('Pick List'!779:779,"AAAAAC5q30Y=",0)</f>
        <v>0</v>
      </c>
      <c r="BT51">
        <f>IF('Pick List'!780:780,"AAAAAC5q30c=",0)</f>
        <v>0</v>
      </c>
      <c r="BU51">
        <f>IF('Pick List'!781:781,"AAAAAC5q30g=",0)</f>
        <v>0</v>
      </c>
      <c r="BV51">
        <f>IF('Pick List'!782:782,"AAAAAC5q30k=",0)</f>
        <v>0</v>
      </c>
      <c r="BW51">
        <f>IF('Pick List'!783:783,"AAAAAC5q30o=",0)</f>
        <v>0</v>
      </c>
      <c r="BX51">
        <f>IF('Pick List'!784:784,"AAAAAC5q30s=",0)</f>
        <v>0</v>
      </c>
      <c r="BY51">
        <f>IF('Pick List'!785:785,"AAAAAC5q30w=",0)</f>
        <v>0</v>
      </c>
      <c r="BZ51">
        <f>IF('Pick List'!786:786,"AAAAAC5q300=",0)</f>
        <v>0</v>
      </c>
      <c r="CA51">
        <f>IF('Pick List'!787:787,"AAAAAC5q304=",0)</f>
        <v>0</v>
      </c>
      <c r="CB51">
        <f>IF('Pick List'!788:788,"AAAAAC5q308=",0)</f>
        <v>0</v>
      </c>
      <c r="CC51">
        <f>IF('Pick List'!789:789,"AAAAAC5q31A=",0)</f>
        <v>0</v>
      </c>
      <c r="CD51">
        <f>IF('Pick List'!790:790,"AAAAAC5q31E=",0)</f>
        <v>0</v>
      </c>
      <c r="CE51">
        <f>IF('Pick List'!791:791,"AAAAAC5q31I=",0)</f>
        <v>0</v>
      </c>
      <c r="CF51">
        <f>IF('Pick List'!792:792,"AAAAAC5q31M=",0)</f>
        <v>0</v>
      </c>
      <c r="CG51">
        <f>IF('Pick List'!793:793,"AAAAAC5q31Q=",0)</f>
        <v>0</v>
      </c>
      <c r="CH51">
        <f>IF('Pick List'!794:794,"AAAAAC5q31U=",0)</f>
        <v>0</v>
      </c>
      <c r="CI51">
        <f>IF('Pick List'!795:795,"AAAAAC5q31Y=",0)</f>
        <v>0</v>
      </c>
      <c r="CJ51">
        <f>IF('Pick List'!796:796,"AAAAAC5q31c=",0)</f>
        <v>0</v>
      </c>
      <c r="CK51">
        <f>IF('Pick List'!797:797,"AAAAAC5q31g=",0)</f>
        <v>0</v>
      </c>
      <c r="CL51">
        <f>IF('Pick List'!798:798,"AAAAAC5q31k=",0)</f>
        <v>0</v>
      </c>
      <c r="CM51">
        <f>IF('Pick List'!799:799,"AAAAAC5q31o=",0)</f>
        <v>0</v>
      </c>
      <c r="CN51">
        <f>IF('Pick List'!800:800,"AAAAAC5q31s=",0)</f>
        <v>0</v>
      </c>
      <c r="CO51">
        <f>IF('Pick List'!801:801,"AAAAAC5q31w=",0)</f>
        <v>0</v>
      </c>
      <c r="CP51">
        <f>IF('Pick List'!802:802,"AAAAAC5q310=",0)</f>
        <v>0</v>
      </c>
      <c r="CQ51">
        <f>IF('Pick List'!803:803,"AAAAAC5q314=",0)</f>
        <v>0</v>
      </c>
      <c r="CR51">
        <f>IF('Pick List'!804:804,"AAAAAC5q318=",0)</f>
        <v>0</v>
      </c>
      <c r="CS51">
        <f>IF('Pick List'!805:805,"AAAAAC5q32A=",0)</f>
        <v>0</v>
      </c>
      <c r="CT51">
        <f>IF('Pick List'!806:806,"AAAAAC5q32E=",0)</f>
        <v>0</v>
      </c>
      <c r="CU51">
        <f>IF('Pick List'!807:807,"AAAAAC5q32I=",0)</f>
        <v>0</v>
      </c>
      <c r="CV51">
        <f>IF('Pick List'!808:808,"AAAAAC5q32M=",0)</f>
        <v>0</v>
      </c>
      <c r="CW51">
        <f>IF('Pick List'!809:809,"AAAAAC5q32Q=",0)</f>
        <v>0</v>
      </c>
      <c r="CX51">
        <f>IF('Pick List'!810:810,"AAAAAC5q32U=",0)</f>
        <v>0</v>
      </c>
      <c r="CY51">
        <f>IF('Pick List'!811:811,"AAAAAC5q32Y=",0)</f>
        <v>0</v>
      </c>
      <c r="CZ51">
        <f>IF('Pick List'!812:812,"AAAAAC5q32c=",0)</f>
        <v>0</v>
      </c>
      <c r="DA51">
        <f>IF('Pick List'!813:813,"AAAAAC5q32g=",0)</f>
        <v>0</v>
      </c>
      <c r="DB51">
        <f>IF('Pick List'!814:814,"AAAAAC5q32k=",0)</f>
        <v>0</v>
      </c>
      <c r="DC51">
        <f>IF('Pick List'!815:815,"AAAAAC5q32o=",0)</f>
        <v>0</v>
      </c>
      <c r="DD51">
        <f>IF('Pick List'!816:816,"AAAAAC5q32s=",0)</f>
        <v>0</v>
      </c>
      <c r="DE51">
        <f>IF('Pick List'!817:817,"AAAAAC5q32w=",0)</f>
        <v>0</v>
      </c>
      <c r="DF51">
        <f>IF('Pick List'!818:818,"AAAAAC5q320=",0)</f>
        <v>0</v>
      </c>
      <c r="DG51">
        <f>IF('Pick List'!819:819,"AAAAAC5q324=",0)</f>
        <v>0</v>
      </c>
      <c r="DH51">
        <f>IF('Pick List'!820:820,"AAAAAC5q328=",0)</f>
        <v>0</v>
      </c>
      <c r="DI51">
        <f>IF('Pick List'!821:821,"AAAAAC5q33A=",0)</f>
        <v>0</v>
      </c>
      <c r="DJ51">
        <f>IF('Pick List'!822:822,"AAAAAC5q33E=",0)</f>
        <v>0</v>
      </c>
      <c r="DK51">
        <f>IF('Pick List'!823:823,"AAAAAC5q33I=",0)</f>
        <v>0</v>
      </c>
      <c r="DL51">
        <f>IF('Pick List'!824:824,"AAAAAC5q33M=",0)</f>
        <v>0</v>
      </c>
      <c r="DM51">
        <f>IF('Pick List'!825:825,"AAAAAC5q33Q=",0)</f>
        <v>0</v>
      </c>
      <c r="DN51">
        <f>IF('Pick List'!826:826,"AAAAAC5q33U=",0)</f>
        <v>0</v>
      </c>
      <c r="DO51">
        <f>IF('Pick List'!827:827,"AAAAAC5q33Y=",0)</f>
        <v>0</v>
      </c>
      <c r="DP51">
        <f>IF('Pick List'!828:828,"AAAAAC5q33c=",0)</f>
        <v>0</v>
      </c>
      <c r="DQ51">
        <f>IF('Pick List'!829:829,"AAAAAC5q33g=",0)</f>
        <v>0</v>
      </c>
      <c r="DR51">
        <f>IF('Pick List'!830:830,"AAAAAC5q33k=",0)</f>
        <v>0</v>
      </c>
      <c r="DS51">
        <f>IF('Pick List'!831:831,"AAAAAC5q33o=",0)</f>
        <v>0</v>
      </c>
      <c r="DT51">
        <f>IF('Pick List'!832:832,"AAAAAC5q33s=",0)</f>
        <v>0</v>
      </c>
      <c r="DU51">
        <f>IF('Pick List'!833:833,"AAAAAC5q33w=",0)</f>
        <v>0</v>
      </c>
      <c r="DV51">
        <f>IF('Pick List'!834:834,"AAAAAC5q330=",0)</f>
        <v>0</v>
      </c>
      <c r="DW51">
        <f>IF('Pick List'!835:835,"AAAAAC5q334=",0)</f>
        <v>0</v>
      </c>
      <c r="DX51">
        <f>IF('Pick List'!836:836,"AAAAAC5q338=",0)</f>
        <v>0</v>
      </c>
      <c r="DY51">
        <f>IF('Pick List'!837:837,"AAAAAC5q34A=",0)</f>
        <v>0</v>
      </c>
      <c r="DZ51">
        <f>IF('Pick List'!838:838,"AAAAAC5q34E=",0)</f>
        <v>0</v>
      </c>
      <c r="EA51">
        <f>IF('Pick List'!839:839,"AAAAAC5q34I=",0)</f>
        <v>0</v>
      </c>
      <c r="EB51">
        <f>IF('Pick List'!840:840,"AAAAAC5q34M=",0)</f>
        <v>0</v>
      </c>
      <c r="EC51">
        <f>IF('Pick List'!841:841,"AAAAAC5q34Q=",0)</f>
        <v>0</v>
      </c>
      <c r="ED51">
        <f>IF('Pick List'!842:842,"AAAAAC5q34U=",0)</f>
        <v>0</v>
      </c>
      <c r="EE51">
        <f>IF('Pick List'!843:843,"AAAAAC5q34Y=",0)</f>
        <v>0</v>
      </c>
      <c r="EF51">
        <f>IF('Pick List'!844:844,"AAAAAC5q34c=",0)</f>
        <v>0</v>
      </c>
      <c r="EG51">
        <f>IF('Pick List'!845:845,"AAAAAC5q34g=",0)</f>
        <v>0</v>
      </c>
      <c r="EH51">
        <f>IF('Pick List'!846:846,"AAAAAC5q34k=",0)</f>
        <v>0</v>
      </c>
      <c r="EI51">
        <f>IF('Pick List'!847:847,"AAAAAC5q34o=",0)</f>
        <v>0</v>
      </c>
      <c r="EJ51">
        <f>IF('Pick List'!848:848,"AAAAAC5q34s=",0)</f>
        <v>0</v>
      </c>
      <c r="EK51">
        <f>IF('Pick List'!849:849,"AAAAAC5q34w=",0)</f>
        <v>0</v>
      </c>
      <c r="EL51">
        <f>IF('Pick List'!850:850,"AAAAAC5q340=",0)</f>
        <v>0</v>
      </c>
      <c r="EM51">
        <f>IF('Pick List'!851:851,"AAAAAC5q344=",0)</f>
        <v>0</v>
      </c>
      <c r="EN51">
        <f>IF('Pick List'!852:852,"AAAAAC5q348=",0)</f>
        <v>0</v>
      </c>
      <c r="EO51">
        <f>IF('Pick List'!853:853,"AAAAAC5q35A=",0)</f>
        <v>0</v>
      </c>
      <c r="EP51">
        <f>IF('Pick List'!854:854,"AAAAAC5q35E=",0)</f>
        <v>0</v>
      </c>
      <c r="EQ51">
        <f>IF('Pick List'!855:855,"AAAAAC5q35I=",0)</f>
        <v>0</v>
      </c>
      <c r="ER51">
        <f>IF('Pick List'!856:856,"AAAAAC5q35M=",0)</f>
        <v>0</v>
      </c>
      <c r="ES51">
        <f>IF('Pick List'!857:857,"AAAAAC5q35Q=",0)</f>
        <v>0</v>
      </c>
      <c r="ET51">
        <f>IF('Pick List'!858:858,"AAAAAC5q35U=",0)</f>
        <v>0</v>
      </c>
      <c r="EU51">
        <f>IF('Pick List'!859:859,"AAAAAC5q35Y=",0)</f>
        <v>0</v>
      </c>
      <c r="EV51">
        <f>IF('Pick List'!860:860,"AAAAAC5q35c=",0)</f>
        <v>0</v>
      </c>
      <c r="EW51">
        <f>IF('Pick List'!861:861,"AAAAAC5q35g=",0)</f>
        <v>0</v>
      </c>
      <c r="EX51">
        <f>IF('Pick List'!862:862,"AAAAAC5q35k=",0)</f>
        <v>0</v>
      </c>
      <c r="EY51">
        <f>IF('Pick List'!863:863,"AAAAAC5q35o=",0)</f>
        <v>0</v>
      </c>
      <c r="EZ51">
        <f>IF('Pick List'!864:864,"AAAAAC5q35s=",0)</f>
        <v>0</v>
      </c>
      <c r="FA51">
        <f>IF('Pick List'!865:865,"AAAAAC5q35w=",0)</f>
        <v>0</v>
      </c>
      <c r="FB51">
        <f>IF('Pick List'!866:866,"AAAAAC5q350=",0)</f>
        <v>0</v>
      </c>
      <c r="FC51">
        <f>IF('Pick List'!867:867,"AAAAAC5q354=",0)</f>
        <v>0</v>
      </c>
      <c r="FD51">
        <f>IF('Pick List'!868:868,"AAAAAC5q358=",0)</f>
        <v>0</v>
      </c>
      <c r="FE51">
        <f>IF('Pick List'!869:869,"AAAAAC5q36A=",0)</f>
        <v>0</v>
      </c>
      <c r="FF51">
        <f>IF('Pick List'!870:870,"AAAAAC5q36E=",0)</f>
        <v>0</v>
      </c>
      <c r="FG51">
        <f>IF('Pick List'!871:871,"AAAAAC5q36I=",0)</f>
        <v>0</v>
      </c>
      <c r="FH51">
        <f>IF('Pick List'!872:872,"AAAAAC5q36M=",0)</f>
        <v>0</v>
      </c>
      <c r="FI51">
        <f>IF('Pick List'!873:873,"AAAAAC5q36Q=",0)</f>
        <v>0</v>
      </c>
      <c r="FJ51">
        <f>IF('Pick List'!874:874,"AAAAAC5q36U=",0)</f>
        <v>0</v>
      </c>
      <c r="FK51">
        <f>IF('Pick List'!875:875,"AAAAAC5q36Y=",0)</f>
        <v>0</v>
      </c>
      <c r="FL51">
        <f>IF('Pick List'!876:876,"AAAAAC5q36c=",0)</f>
        <v>0</v>
      </c>
      <c r="FM51">
        <f>IF('Pick List'!877:877,"AAAAAC5q36g=",0)</f>
        <v>0</v>
      </c>
      <c r="FN51">
        <f>IF('Pick List'!878:878,"AAAAAC5q36k=",0)</f>
        <v>0</v>
      </c>
      <c r="FO51">
        <f>IF('Pick List'!879:879,"AAAAAC5q36o=",0)</f>
        <v>0</v>
      </c>
      <c r="FP51">
        <f>IF('Pick List'!880:880,"AAAAAC5q36s=",0)</f>
        <v>0</v>
      </c>
      <c r="FQ51">
        <f>IF('Pick List'!881:881,"AAAAAC5q36w=",0)</f>
        <v>0</v>
      </c>
      <c r="FR51">
        <f>IF('Pick List'!882:882,"AAAAAC5q360=",0)</f>
        <v>0</v>
      </c>
      <c r="FS51">
        <f>IF('Pick List'!883:883,"AAAAAC5q364=",0)</f>
        <v>0</v>
      </c>
      <c r="FT51">
        <f>IF('Pick List'!884:884,"AAAAAC5q368=",0)</f>
        <v>0</v>
      </c>
      <c r="FU51">
        <f>IF('Pick List'!885:885,"AAAAAC5q37A=",0)</f>
        <v>0</v>
      </c>
      <c r="FV51">
        <f>IF('Pick List'!886:886,"AAAAAC5q37E=",0)</f>
        <v>0</v>
      </c>
      <c r="FW51">
        <f>IF('Pick List'!887:887,"AAAAAC5q37I=",0)</f>
        <v>0</v>
      </c>
      <c r="FX51">
        <f>IF('Pick List'!888:888,"AAAAAC5q37M=",0)</f>
        <v>0</v>
      </c>
      <c r="FY51">
        <f>IF('Pick List'!889:889,"AAAAAC5q37Q=",0)</f>
        <v>0</v>
      </c>
      <c r="FZ51">
        <f>IF('Pick List'!890:890,"AAAAAC5q37U=",0)</f>
        <v>0</v>
      </c>
      <c r="GA51">
        <f>IF('Pick List'!891:891,"AAAAAC5q37Y=",0)</f>
        <v>0</v>
      </c>
      <c r="GB51">
        <f>IF('Pick List'!892:892,"AAAAAC5q37c=",0)</f>
        <v>0</v>
      </c>
      <c r="GC51">
        <f>IF('Pick List'!893:893,"AAAAAC5q37g=",0)</f>
        <v>0</v>
      </c>
      <c r="GD51">
        <f>IF('Pick List'!894:894,"AAAAAC5q37k=",0)</f>
        <v>0</v>
      </c>
      <c r="GE51">
        <f>IF('Pick List'!895:895,"AAAAAC5q37o=",0)</f>
        <v>0</v>
      </c>
      <c r="GF51">
        <f>IF('Pick List'!896:896,"AAAAAC5q37s=",0)</f>
        <v>0</v>
      </c>
      <c r="GG51">
        <f>IF('Pick List'!897:897,"AAAAAC5q37w=",0)</f>
        <v>0</v>
      </c>
      <c r="GH51">
        <f>IF('Pick List'!898:898,"AAAAAC5q370=",0)</f>
        <v>0</v>
      </c>
      <c r="GI51">
        <f>IF('Pick List'!899:899,"AAAAAC5q374=",0)</f>
        <v>0</v>
      </c>
      <c r="GJ51">
        <f>IF('Pick List'!900:900,"AAAAAC5q378=",0)</f>
        <v>0</v>
      </c>
      <c r="GK51">
        <f>IF('Pick List'!901:901,"AAAAAC5q38A=",0)</f>
        <v>0</v>
      </c>
      <c r="GL51">
        <f>IF('Pick List'!902:902,"AAAAAC5q38E=",0)</f>
        <v>0</v>
      </c>
      <c r="GM51">
        <f>IF('Pick List'!903:903,"AAAAAC5q38I=",0)</f>
        <v>0</v>
      </c>
      <c r="GN51">
        <f>IF('Pick List'!904:904,"AAAAAC5q38M=",0)</f>
        <v>0</v>
      </c>
      <c r="GO51">
        <f>IF('Pick List'!905:905,"AAAAAC5q38Q=",0)</f>
        <v>0</v>
      </c>
      <c r="GP51">
        <f>IF('Pick List'!906:906,"AAAAAC5q38U=",0)</f>
        <v>0</v>
      </c>
      <c r="GQ51">
        <f>IF('Pick List'!907:907,"AAAAAC5q38Y=",0)</f>
        <v>0</v>
      </c>
      <c r="GR51">
        <f>IF('Pick List'!908:908,"AAAAAC5q38c=",0)</f>
        <v>0</v>
      </c>
      <c r="GS51">
        <f>IF('Pick List'!909:909,"AAAAAC5q38g=",0)</f>
        <v>0</v>
      </c>
      <c r="GT51">
        <f>IF('Pick List'!910:910,"AAAAAC5q38k=",0)</f>
        <v>0</v>
      </c>
      <c r="GU51">
        <f>IF('Pick List'!911:911,"AAAAAC5q38o=",0)</f>
        <v>0</v>
      </c>
      <c r="GV51">
        <f>IF('Pick List'!912:912,"AAAAAC5q38s=",0)</f>
        <v>0</v>
      </c>
      <c r="GW51">
        <f>IF('Pick List'!913:913,"AAAAAC5q38w=",0)</f>
        <v>0</v>
      </c>
      <c r="GX51">
        <f>IF('Pick List'!914:914,"AAAAAC5q380=",0)</f>
        <v>0</v>
      </c>
      <c r="GY51">
        <f>IF('Pick List'!915:915,"AAAAAC5q384=",0)</f>
        <v>0</v>
      </c>
      <c r="GZ51">
        <f>IF('Pick List'!916:916,"AAAAAC5q388=",0)</f>
        <v>0</v>
      </c>
      <c r="HA51">
        <f>IF('Pick List'!917:917,"AAAAAC5q39A=",0)</f>
        <v>0</v>
      </c>
      <c r="HB51">
        <f>IF('Pick List'!918:918,"AAAAAC5q39E=",0)</f>
        <v>0</v>
      </c>
      <c r="HC51">
        <f>IF('Pick List'!919:919,"AAAAAC5q39I=",0)</f>
        <v>0</v>
      </c>
      <c r="HD51">
        <f>IF('Pick List'!920:920,"AAAAAC5q39M=",0)</f>
        <v>0</v>
      </c>
      <c r="HE51">
        <f>IF('Pick List'!921:921,"AAAAAC5q39Q=",0)</f>
        <v>0</v>
      </c>
      <c r="HF51">
        <f>IF('Pick List'!922:922,"AAAAAC5q39U=",0)</f>
        <v>0</v>
      </c>
      <c r="HG51">
        <f>IF('Pick List'!923:923,"AAAAAC5q39Y=",0)</f>
        <v>0</v>
      </c>
      <c r="HH51">
        <f>IF('Pick List'!924:924,"AAAAAC5q39c=",0)</f>
        <v>0</v>
      </c>
      <c r="HI51">
        <f>IF('Pick List'!925:925,"AAAAAC5q39g=",0)</f>
        <v>0</v>
      </c>
      <c r="HJ51">
        <f>IF('Pick List'!926:926,"AAAAAC5q39k=",0)</f>
        <v>0</v>
      </c>
      <c r="HK51">
        <f>IF('Pick List'!927:927,"AAAAAC5q39o=",0)</f>
        <v>0</v>
      </c>
      <c r="HL51">
        <f>IF('Pick List'!928:928,"AAAAAC5q39s=",0)</f>
        <v>0</v>
      </c>
      <c r="HM51">
        <f>IF('Pick List'!929:929,"AAAAAC5q39w=",0)</f>
        <v>0</v>
      </c>
      <c r="HN51">
        <f>IF('Pick List'!930:930,"AAAAAC5q390=",0)</f>
        <v>0</v>
      </c>
      <c r="HO51">
        <f>IF('Pick List'!931:931,"AAAAAC5q394=",0)</f>
        <v>0</v>
      </c>
      <c r="HP51">
        <f>IF('Pick List'!932:932,"AAAAAC5q398=",0)</f>
        <v>0</v>
      </c>
      <c r="HQ51">
        <f>IF('Pick List'!933:933,"AAAAAC5q3+A=",0)</f>
        <v>0</v>
      </c>
      <c r="HR51">
        <f>IF('Pick List'!934:934,"AAAAAC5q3+E=",0)</f>
        <v>0</v>
      </c>
      <c r="HS51">
        <f>IF('Pick List'!935:935,"AAAAAC5q3+I=",0)</f>
        <v>0</v>
      </c>
      <c r="HT51">
        <f>IF('Pick List'!936:936,"AAAAAC5q3+M=",0)</f>
        <v>0</v>
      </c>
      <c r="HU51">
        <f>IF('Pick List'!937:937,"AAAAAC5q3+Q=",0)</f>
        <v>0</v>
      </c>
      <c r="HV51">
        <f>IF('Pick List'!938:938,"AAAAAC5q3+U=",0)</f>
        <v>0</v>
      </c>
      <c r="HW51">
        <f>IF('Pick List'!939:939,"AAAAAC5q3+Y=",0)</f>
        <v>0</v>
      </c>
      <c r="HX51">
        <f>IF('Pick List'!940:940,"AAAAAC5q3+c=",0)</f>
        <v>0</v>
      </c>
      <c r="HY51">
        <f>IF('Pick List'!941:941,"AAAAAC5q3+g=",0)</f>
        <v>0</v>
      </c>
      <c r="HZ51">
        <f>IF('Pick List'!942:942,"AAAAAC5q3+k=",0)</f>
        <v>0</v>
      </c>
      <c r="IA51">
        <f>IF('Pick List'!943:943,"AAAAAC5q3+o=",0)</f>
        <v>0</v>
      </c>
      <c r="IB51">
        <f>IF('Pick List'!944:944,"AAAAAC5q3+s=",0)</f>
        <v>0</v>
      </c>
      <c r="IC51">
        <f>IF('Pick List'!945:945,"AAAAAC5q3+w=",0)</f>
        <v>0</v>
      </c>
      <c r="ID51">
        <f>IF('Pick List'!946:946,"AAAAAC5q3+0=",0)</f>
        <v>0</v>
      </c>
      <c r="IE51">
        <f>IF('Pick List'!947:947,"AAAAAC5q3+4=",0)</f>
        <v>0</v>
      </c>
      <c r="IF51">
        <f>IF('Pick List'!948:948,"AAAAAC5q3+8=",0)</f>
        <v>0</v>
      </c>
      <c r="IG51">
        <f>IF('Pick List'!949:949,"AAAAAC5q3/A=",0)</f>
        <v>0</v>
      </c>
      <c r="IH51">
        <f>IF('Pick List'!950:950,"AAAAAC5q3/E=",0)</f>
        <v>0</v>
      </c>
      <c r="II51">
        <f>IF('Pick List'!951:951,"AAAAAC5q3/I=",0)</f>
        <v>0</v>
      </c>
      <c r="IJ51">
        <f>IF('Pick List'!952:952,"AAAAAC5q3/M=",0)</f>
        <v>0</v>
      </c>
      <c r="IK51">
        <f>IF('Pick List'!953:953,"AAAAAC5q3/Q=",0)</f>
        <v>0</v>
      </c>
      <c r="IL51">
        <f>IF('Pick List'!954:954,"AAAAAC5q3/U=",0)</f>
        <v>0</v>
      </c>
      <c r="IM51">
        <f>IF('Pick List'!955:955,"AAAAAC5q3/Y=",0)</f>
        <v>0</v>
      </c>
      <c r="IN51">
        <f>IF('Pick List'!956:956,"AAAAAC5q3/c=",0)</f>
        <v>0</v>
      </c>
      <c r="IO51">
        <f>IF('Pick List'!957:957,"AAAAAC5q3/g=",0)</f>
        <v>0</v>
      </c>
      <c r="IP51">
        <f>IF('Pick List'!958:958,"AAAAAC5q3/k=",0)</f>
        <v>0</v>
      </c>
      <c r="IQ51">
        <f>IF('Pick List'!959:959,"AAAAAC5q3/o=",0)</f>
        <v>0</v>
      </c>
      <c r="IR51">
        <f>IF('Pick List'!960:960,"AAAAAC5q3/s=",0)</f>
        <v>0</v>
      </c>
      <c r="IS51">
        <f>IF('Pick List'!961:961,"AAAAAC5q3/w=",0)</f>
        <v>0</v>
      </c>
      <c r="IT51">
        <f>IF('Pick List'!962:962,"AAAAAC5q3/0=",0)</f>
        <v>0</v>
      </c>
      <c r="IU51">
        <f>IF('Pick List'!963:963,"AAAAAC5q3/4=",0)</f>
        <v>0</v>
      </c>
      <c r="IV51">
        <f>IF('Pick List'!964:964,"AAAAAC5q3/8=",0)</f>
        <v>0</v>
      </c>
    </row>
    <row r="52" spans="1:256" x14ac:dyDescent="0.2">
      <c r="A52">
        <f>IF('Pick List'!965:965,"AAAAADbXLwA=",0)</f>
        <v>0</v>
      </c>
      <c r="B52">
        <f>IF('Pick List'!966:966,"AAAAADbXLwE=",0)</f>
        <v>0</v>
      </c>
      <c r="C52">
        <f>IF('Pick List'!967:967,"AAAAADbXLwI=",0)</f>
        <v>0</v>
      </c>
      <c r="D52">
        <f>IF('Pick List'!968:968,"AAAAADbXLwM=",0)</f>
        <v>0</v>
      </c>
      <c r="E52">
        <f>IF('Pick List'!969:969,"AAAAADbXLwQ=",0)</f>
        <v>0</v>
      </c>
      <c r="F52">
        <f>IF('Pick List'!970:970,"AAAAADbXLwU=",0)</f>
        <v>0</v>
      </c>
      <c r="G52">
        <f>IF('Pick List'!971:971,"AAAAADbXLwY=",0)</f>
        <v>0</v>
      </c>
      <c r="H52">
        <f>IF('Pick List'!972:972,"AAAAADbXLwc=",0)</f>
        <v>0</v>
      </c>
      <c r="I52">
        <f>IF('Pick List'!973:973,"AAAAADbXLwg=",0)</f>
        <v>0</v>
      </c>
      <c r="J52">
        <f>IF('Pick List'!974:974,"AAAAADbXLwk=",0)</f>
        <v>0</v>
      </c>
      <c r="K52">
        <f>IF('Pick List'!975:975,"AAAAADbXLwo=",0)</f>
        <v>0</v>
      </c>
      <c r="L52">
        <f>IF('Pick List'!976:976,"AAAAADbXLws=",0)</f>
        <v>0</v>
      </c>
      <c r="M52">
        <f>IF('Pick List'!977:977,"AAAAADbXLww=",0)</f>
        <v>0</v>
      </c>
      <c r="N52">
        <f>IF('Pick List'!978:978,"AAAAADbXLw0=",0)</f>
        <v>0</v>
      </c>
      <c r="O52">
        <f>IF('Pick List'!979:979,"AAAAADbXLw4=",0)</f>
        <v>0</v>
      </c>
      <c r="P52">
        <f>IF('Pick List'!980:980,"AAAAADbXLw8=",0)</f>
        <v>0</v>
      </c>
      <c r="Q52">
        <f>IF('Pick List'!981:981,"AAAAADbXLxA=",0)</f>
        <v>0</v>
      </c>
      <c r="R52">
        <f>IF('Pick List'!982:982,"AAAAADbXLxE=",0)</f>
        <v>0</v>
      </c>
      <c r="S52">
        <f>IF('Pick List'!983:983,"AAAAADbXLxI=",0)</f>
        <v>0</v>
      </c>
      <c r="T52">
        <f>IF('Pick List'!984:984,"AAAAADbXLxM=",0)</f>
        <v>0</v>
      </c>
      <c r="U52">
        <f>IF('Pick List'!985:985,"AAAAADbXLxQ=",0)</f>
        <v>0</v>
      </c>
      <c r="V52">
        <f>IF('Pick List'!986:986,"AAAAADbXLxU=",0)</f>
        <v>0</v>
      </c>
      <c r="W52">
        <f>IF('Pick List'!987:987,"AAAAADbXLxY=",0)</f>
        <v>0</v>
      </c>
      <c r="X52">
        <f>IF('Pick List'!988:988,"AAAAADbXLxc=",0)</f>
        <v>0</v>
      </c>
      <c r="Y52">
        <f>IF('Pick List'!989:989,"AAAAADbXLxg=",0)</f>
        <v>0</v>
      </c>
      <c r="Z52">
        <f>IF('Pick List'!990:990,"AAAAADbXLxk=",0)</f>
        <v>0</v>
      </c>
      <c r="AA52">
        <f>IF('Pick List'!991:991,"AAAAADbXLxo=",0)</f>
        <v>0</v>
      </c>
      <c r="AB52">
        <f>IF('Pick List'!992:992,"AAAAADbXLxs=",0)</f>
        <v>0</v>
      </c>
      <c r="AC52">
        <f>IF('Pick List'!993:993,"AAAAADbXLxw=",0)</f>
        <v>0</v>
      </c>
      <c r="AD52">
        <f>IF('Pick List'!994:994,"AAAAADbXLx0=",0)</f>
        <v>0</v>
      </c>
      <c r="AE52">
        <f>IF('Pick List'!995:995,"AAAAADbXLx4=",0)</f>
        <v>0</v>
      </c>
      <c r="AF52">
        <f>IF('Pick List'!996:996,"AAAAADbXLx8=",0)</f>
        <v>0</v>
      </c>
      <c r="AG52">
        <f>IF('Pick List'!997:997,"AAAAADbXLyA=",0)</f>
        <v>0</v>
      </c>
      <c r="AH52">
        <f>IF('Pick List'!998:998,"AAAAADbXLyE=",0)</f>
        <v>0</v>
      </c>
      <c r="AI52">
        <f>IF('Pick List'!999:999,"AAAAADbXLyI=",0)</f>
        <v>0</v>
      </c>
      <c r="AJ52">
        <f>IF('Pick List'!1000:1000,"AAAAADbXLyM=",0)</f>
        <v>0</v>
      </c>
      <c r="AK52">
        <f>IF('Pick List'!1001:1001,"AAAAADbXLyQ=",0)</f>
        <v>0</v>
      </c>
      <c r="AL52">
        <f>IF('Pick List'!1002:1002,"AAAAADbXLyU=",0)</f>
        <v>0</v>
      </c>
      <c r="AM52">
        <f>IF('Pick List'!1003:1003,"AAAAADbXLyY=",0)</f>
        <v>0</v>
      </c>
      <c r="AN52">
        <f>IF('Pick List'!1004:1004,"AAAAADbXLyc=",0)</f>
        <v>0</v>
      </c>
      <c r="AO52">
        <f>IF('Pick List'!1005:1005,"AAAAADbXLyg=",0)</f>
        <v>0</v>
      </c>
      <c r="AP52">
        <f>IF('Pick List'!1006:1006,"AAAAADbXLyk=",0)</f>
        <v>0</v>
      </c>
      <c r="AQ52">
        <f>IF('Pick List'!1007:1007,"AAAAADbXLyo=",0)</f>
        <v>0</v>
      </c>
      <c r="AR52">
        <f>IF('Pick List'!1008:1008,"AAAAADbXLys=",0)</f>
        <v>0</v>
      </c>
      <c r="AS52">
        <f>IF('Pick List'!1009:1009,"AAAAADbXLyw=",0)</f>
        <v>0</v>
      </c>
      <c r="AT52">
        <f>IF('Pick List'!1010:1010,"AAAAADbXLy0=",0)</f>
        <v>0</v>
      </c>
      <c r="AU52">
        <f>IF('Pick List'!1011:1011,"AAAAADbXLy4=",0)</f>
        <v>0</v>
      </c>
      <c r="AV52">
        <f>IF('Pick List'!1012:1012,"AAAAADbXLy8=",0)</f>
        <v>0</v>
      </c>
      <c r="AW52">
        <f>IF('Pick List'!1013:1013,"AAAAADbXLzA=",0)</f>
        <v>0</v>
      </c>
      <c r="AX52">
        <f>IF('Pick List'!1014:1014,"AAAAADbXLzE=",0)</f>
        <v>0</v>
      </c>
      <c r="AY52">
        <f>IF('Pick List'!1015:1015,"AAAAADbXLzI=",0)</f>
        <v>0</v>
      </c>
      <c r="AZ52">
        <f>IF('Pick List'!1016:1016,"AAAAADbXLzM=",0)</f>
        <v>0</v>
      </c>
      <c r="BA52">
        <f>IF('Pick List'!1017:1017,"AAAAADbXLzQ=",0)</f>
        <v>0</v>
      </c>
      <c r="BB52">
        <f>IF('Pick List'!1018:1018,"AAAAADbXLzU=",0)</f>
        <v>0</v>
      </c>
      <c r="BC52">
        <f>IF('Pick List'!1019:1019,"AAAAADbXLzY=",0)</f>
        <v>0</v>
      </c>
      <c r="BD52">
        <f>IF('Pick List'!1020:1020,"AAAAADbXLzc=",0)</f>
        <v>0</v>
      </c>
      <c r="BE52">
        <f>IF('Pick List'!1021:1021,"AAAAADbXLzg=",0)</f>
        <v>0</v>
      </c>
      <c r="BF52">
        <f>IF('Pick List'!1022:1022,"AAAAADbXLzk=",0)</f>
        <v>0</v>
      </c>
      <c r="BG52">
        <f>IF('Pick List'!1023:1023,"AAAAADbXLzo=",0)</f>
        <v>0</v>
      </c>
      <c r="BH52">
        <f>IF('Pick List'!1024:1024,"AAAAADbXLzs=",0)</f>
        <v>0</v>
      </c>
      <c r="BI52">
        <f>IF('Pick List'!1025:1025,"AAAAADbXLzw=",0)</f>
        <v>0</v>
      </c>
      <c r="BJ52">
        <f>IF('Pick List'!1026:1026,"AAAAADbXLz0=",0)</f>
        <v>0</v>
      </c>
      <c r="BK52">
        <f>IF('Pick List'!1027:1027,"AAAAADbXLz4=",0)</f>
        <v>0</v>
      </c>
      <c r="BL52">
        <f>IF('Pick List'!1028:1028,"AAAAADbXLz8=",0)</f>
        <v>0</v>
      </c>
      <c r="BM52">
        <f>IF('Pick List'!1029:1029,"AAAAADbXL0A=",0)</f>
        <v>0</v>
      </c>
      <c r="BN52">
        <f>IF('Pick List'!1030:1030,"AAAAADbXL0E=",0)</f>
        <v>0</v>
      </c>
      <c r="BO52">
        <f>IF('Pick List'!1031:1031,"AAAAADbXL0I=",0)</f>
        <v>0</v>
      </c>
      <c r="BP52">
        <f>IF('Pick List'!1032:1032,"AAAAADbXL0M=",0)</f>
        <v>0</v>
      </c>
      <c r="BQ52">
        <f>IF('Pick List'!1033:1033,"AAAAADbXL0Q=",0)</f>
        <v>0</v>
      </c>
      <c r="BR52">
        <f>IF('Pick List'!1034:1034,"AAAAADbXL0U=",0)</f>
        <v>0</v>
      </c>
      <c r="BS52">
        <f>IF('Pick List'!1035:1035,"AAAAADbXL0Y=",0)</f>
        <v>0</v>
      </c>
      <c r="BT52">
        <f>IF('Pick List'!1036:1036,"AAAAADbXL0c=",0)</f>
        <v>0</v>
      </c>
      <c r="BU52">
        <f>IF('Pick List'!1037:1037,"AAAAADbXL0g=",0)</f>
        <v>0</v>
      </c>
      <c r="BV52">
        <f>IF('Pick List'!1038:1038,"AAAAADbXL0k=",0)</f>
        <v>0</v>
      </c>
      <c r="BW52">
        <f>IF('Pick List'!1039:1039,"AAAAADbXL0o=",0)</f>
        <v>0</v>
      </c>
      <c r="BX52">
        <f>IF('Pick List'!1040:1040,"AAAAADbXL0s=",0)</f>
        <v>0</v>
      </c>
      <c r="BY52">
        <f>IF('Pick List'!1041:1041,"AAAAADbXL0w=",0)</f>
        <v>0</v>
      </c>
      <c r="BZ52">
        <f>IF('Pick List'!1042:1042,"AAAAADbXL00=",0)</f>
        <v>0</v>
      </c>
      <c r="CA52">
        <f>IF('Pick List'!1043:1043,"AAAAADbXL04=",0)</f>
        <v>0</v>
      </c>
      <c r="CB52">
        <f>IF('Pick List'!1044:1044,"AAAAADbXL08=",0)</f>
        <v>0</v>
      </c>
      <c r="CC52">
        <f>IF('Pick List'!1045:1045,"AAAAADbXL1A=",0)</f>
        <v>0</v>
      </c>
      <c r="CD52">
        <f>IF('Pick List'!1046:1046,"AAAAADbXL1E=",0)</f>
        <v>0</v>
      </c>
      <c r="CE52">
        <f>IF('Pick List'!1047:1047,"AAAAADbXL1I=",0)</f>
        <v>0</v>
      </c>
      <c r="CF52">
        <f>IF('Pick List'!1048:1048,"AAAAADbXL1M=",0)</f>
        <v>0</v>
      </c>
      <c r="CG52">
        <f>IF('Pick List'!1049:1049,"AAAAADbXL1Q=",0)</f>
        <v>0</v>
      </c>
      <c r="CH52">
        <f>IF('Pick List'!1050:1050,"AAAAADbXL1U=",0)</f>
        <v>0</v>
      </c>
      <c r="CI52">
        <f>IF('Pick List'!1051:1051,"AAAAADbXL1Y=",0)</f>
        <v>0</v>
      </c>
      <c r="CJ52">
        <f>IF('Pick List'!1052:1052,"AAAAADbXL1c=",0)</f>
        <v>0</v>
      </c>
      <c r="CK52">
        <f>IF('Pick List'!1053:1053,"AAAAADbXL1g=",0)</f>
        <v>0</v>
      </c>
      <c r="CL52">
        <f>IF('Pick List'!1054:1054,"AAAAADbXL1k=",0)</f>
        <v>0</v>
      </c>
      <c r="CM52">
        <f>IF('Pick List'!1055:1055,"AAAAADbXL1o=",0)</f>
        <v>0</v>
      </c>
      <c r="CN52">
        <f>IF('Pick List'!1056:1056,"AAAAADbXL1s=",0)</f>
        <v>0</v>
      </c>
      <c r="CO52">
        <f>IF('Pick List'!1057:1057,"AAAAADbXL1w=",0)</f>
        <v>0</v>
      </c>
      <c r="CP52">
        <f>IF('Pick List'!1058:1058,"AAAAADbXL10=",0)</f>
        <v>0</v>
      </c>
      <c r="CQ52">
        <f>IF('Pick List'!1059:1059,"AAAAADbXL14=",0)</f>
        <v>0</v>
      </c>
      <c r="CR52">
        <f>IF('Pick List'!1060:1060,"AAAAADbXL18=",0)</f>
        <v>0</v>
      </c>
      <c r="CS52">
        <f>IF('Pick List'!1061:1061,"AAAAADbXL2A=",0)</f>
        <v>0</v>
      </c>
      <c r="CT52">
        <f>IF('Pick List'!1062:1062,"AAAAADbXL2E=",0)</f>
        <v>0</v>
      </c>
      <c r="CU52">
        <f>IF('Pick List'!1063:1063,"AAAAADbXL2I=",0)</f>
        <v>0</v>
      </c>
      <c r="CV52">
        <f>IF('Pick List'!1064:1064,"AAAAADbXL2M=",0)</f>
        <v>0</v>
      </c>
      <c r="CW52">
        <f>IF('Pick List'!1065:1065,"AAAAADbXL2Q=",0)</f>
        <v>0</v>
      </c>
      <c r="CX52">
        <f>IF('Pick List'!1066:1066,"AAAAADbXL2U=",0)</f>
        <v>0</v>
      </c>
      <c r="CY52">
        <f>IF('Pick List'!1067:1067,"AAAAADbXL2Y=",0)</f>
        <v>0</v>
      </c>
      <c r="CZ52">
        <f>IF('Pick List'!1068:1068,"AAAAADbXL2c=",0)</f>
        <v>0</v>
      </c>
      <c r="DA52">
        <f>IF('Pick List'!1069:1069,"AAAAADbXL2g=",0)</f>
        <v>0</v>
      </c>
      <c r="DB52">
        <f>IF('Pick List'!1070:1070,"AAAAADbXL2k=",0)</f>
        <v>0</v>
      </c>
      <c r="DC52">
        <f>IF('Pick List'!1071:1071,"AAAAADbXL2o=",0)</f>
        <v>0</v>
      </c>
      <c r="DD52">
        <f>IF('Pick List'!1072:1072,"AAAAADbXL2s=",0)</f>
        <v>0</v>
      </c>
      <c r="DE52">
        <f>IF('Pick List'!1073:1073,"AAAAADbXL2w=",0)</f>
        <v>0</v>
      </c>
      <c r="DF52">
        <f>IF('Pick List'!1074:1074,"AAAAADbXL20=",0)</f>
        <v>0</v>
      </c>
      <c r="DG52">
        <f>IF('Pick List'!1075:1075,"AAAAADbXL24=",0)</f>
        <v>0</v>
      </c>
      <c r="DH52">
        <f>IF('Pick List'!1076:1076,"AAAAADbXL28=",0)</f>
        <v>0</v>
      </c>
      <c r="DI52">
        <f>IF('Pick List'!1077:1077,"AAAAADbXL3A=",0)</f>
        <v>0</v>
      </c>
      <c r="DJ52">
        <f>IF('Pick List'!1078:1078,"AAAAADbXL3E=",0)</f>
        <v>0</v>
      </c>
      <c r="DK52">
        <f>IF('Pick List'!1079:1079,"AAAAADbXL3I=",0)</f>
        <v>0</v>
      </c>
      <c r="DL52">
        <f>IF('Pick List'!1080:1080,"AAAAADbXL3M=",0)</f>
        <v>0</v>
      </c>
      <c r="DM52">
        <f>IF('Pick List'!1081:1081,"AAAAADbXL3Q=",0)</f>
        <v>0</v>
      </c>
      <c r="DN52">
        <f>IF('Pick List'!1082:1082,"AAAAADbXL3U=",0)</f>
        <v>0</v>
      </c>
      <c r="DO52">
        <f>IF('Pick List'!1083:1083,"AAAAADbXL3Y=",0)</f>
        <v>0</v>
      </c>
      <c r="DP52">
        <f>IF('Pick List'!1084:1084,"AAAAADbXL3c=",0)</f>
        <v>0</v>
      </c>
      <c r="DQ52">
        <f>IF('Pick List'!1085:1085,"AAAAADbXL3g=",0)</f>
        <v>0</v>
      </c>
      <c r="DR52">
        <f>IF('Pick List'!1086:1086,"AAAAADbXL3k=",0)</f>
        <v>0</v>
      </c>
      <c r="DS52">
        <f>IF('Pick List'!1087:1087,"AAAAADbXL3o=",0)</f>
        <v>0</v>
      </c>
      <c r="DT52">
        <f>IF('Pick List'!1088:1088,"AAAAADbXL3s=",0)</f>
        <v>0</v>
      </c>
      <c r="DU52">
        <f>IF('Pick List'!1089:1089,"AAAAADbXL3w=",0)</f>
        <v>0</v>
      </c>
      <c r="DV52">
        <f>IF('Pick List'!1090:1090,"AAAAADbXL30=",0)</f>
        <v>0</v>
      </c>
      <c r="DW52">
        <f>IF('Pick List'!1091:1091,"AAAAADbXL34=",0)</f>
        <v>0</v>
      </c>
      <c r="DX52">
        <f>IF('Pick List'!1092:1092,"AAAAADbXL38=",0)</f>
        <v>0</v>
      </c>
      <c r="DY52">
        <f>IF('Pick List'!1093:1093,"AAAAADbXL4A=",0)</f>
        <v>0</v>
      </c>
      <c r="DZ52">
        <f>IF('Pick List'!1094:1094,"AAAAADbXL4E=",0)</f>
        <v>0</v>
      </c>
      <c r="EA52">
        <f>IF('Pick List'!1095:1095,"AAAAADbXL4I=",0)</f>
        <v>0</v>
      </c>
      <c r="EB52">
        <f>IF('Pick List'!1096:1096,"AAAAADbXL4M=",0)</f>
        <v>0</v>
      </c>
      <c r="EC52">
        <f>IF('Pick List'!1097:1097,"AAAAADbXL4Q=",0)</f>
        <v>0</v>
      </c>
      <c r="ED52">
        <f>IF('Pick List'!1098:1098,"AAAAADbXL4U=",0)</f>
        <v>0</v>
      </c>
      <c r="EE52">
        <f>IF('Pick List'!1099:1099,"AAAAADbXL4Y=",0)</f>
        <v>0</v>
      </c>
      <c r="EF52">
        <f>IF('Pick List'!1100:1100,"AAAAADbXL4c=",0)</f>
        <v>0</v>
      </c>
      <c r="EG52">
        <f>IF('Pick List'!1101:1101,"AAAAADbXL4g=",0)</f>
        <v>0</v>
      </c>
      <c r="EH52">
        <f>IF('Pick List'!1102:1102,"AAAAADbXL4k=",0)</f>
        <v>0</v>
      </c>
      <c r="EI52">
        <f>IF('Pick List'!1103:1103,"AAAAADbXL4o=",0)</f>
        <v>0</v>
      </c>
      <c r="EJ52">
        <f>IF('Pick List'!1104:1104,"AAAAADbXL4s=",0)</f>
        <v>0</v>
      </c>
      <c r="EK52">
        <f>IF('Pick List'!1105:1105,"AAAAADbXL4w=",0)</f>
        <v>0</v>
      </c>
      <c r="EL52">
        <f>IF('Pick List'!1106:1106,"AAAAADbXL40=",0)</f>
        <v>0</v>
      </c>
      <c r="EM52">
        <f>IF('Pick List'!1107:1107,"AAAAADbXL44=",0)</f>
        <v>0</v>
      </c>
      <c r="EN52">
        <f>IF('Pick List'!1108:1108,"AAAAADbXL48=",0)</f>
        <v>0</v>
      </c>
      <c r="EO52">
        <f>IF('Pick List'!1109:1109,"AAAAADbXL5A=",0)</f>
        <v>0</v>
      </c>
      <c r="EP52">
        <f>IF('Pick List'!1110:1110,"AAAAADbXL5E=",0)</f>
        <v>0</v>
      </c>
      <c r="EQ52">
        <f>IF('Pick List'!1111:1111,"AAAAADbXL5I=",0)</f>
        <v>0</v>
      </c>
      <c r="ER52">
        <f>IF('Pick List'!1112:1112,"AAAAADbXL5M=",0)</f>
        <v>0</v>
      </c>
      <c r="ES52">
        <f>IF('Pick List'!1113:1113,"AAAAADbXL5Q=",0)</f>
        <v>0</v>
      </c>
      <c r="ET52">
        <f>IF('Pick List'!1114:1114,"AAAAADbXL5U=",0)</f>
        <v>0</v>
      </c>
      <c r="EU52">
        <f>IF('Pick List'!1115:1115,"AAAAADbXL5Y=",0)</f>
        <v>0</v>
      </c>
      <c r="EV52">
        <f>IF('Pick List'!1116:1116,"AAAAADbXL5c=",0)</f>
        <v>0</v>
      </c>
      <c r="EW52">
        <f>IF('Pick List'!1117:1117,"AAAAADbXL5g=",0)</f>
        <v>0</v>
      </c>
      <c r="EX52">
        <f>IF('Pick List'!1118:1118,"AAAAADbXL5k=",0)</f>
        <v>0</v>
      </c>
      <c r="EY52">
        <f>IF('Pick List'!1119:1119,"AAAAADbXL5o=",0)</f>
        <v>0</v>
      </c>
      <c r="EZ52">
        <f>IF('Pick List'!1120:1120,"AAAAADbXL5s=",0)</f>
        <v>0</v>
      </c>
      <c r="FA52">
        <f>IF('Pick List'!1121:1121,"AAAAADbXL5w=",0)</f>
        <v>0</v>
      </c>
      <c r="FB52">
        <f>IF('Pick List'!1122:1122,"AAAAADbXL50=",0)</f>
        <v>0</v>
      </c>
      <c r="FC52">
        <f>IF('Pick List'!1123:1123,"AAAAADbXL54=",0)</f>
        <v>0</v>
      </c>
      <c r="FD52">
        <f>IF('Pick List'!1124:1124,"AAAAADbXL58=",0)</f>
        <v>0</v>
      </c>
      <c r="FE52">
        <f>IF('Pick List'!1125:1125,"AAAAADbXL6A=",0)</f>
        <v>0</v>
      </c>
      <c r="FF52">
        <f>IF('Pick List'!1126:1126,"AAAAADbXL6E=",0)</f>
        <v>0</v>
      </c>
      <c r="FG52">
        <f>IF('Pick List'!1127:1127,"AAAAADbXL6I=",0)</f>
        <v>0</v>
      </c>
      <c r="FH52">
        <f>IF('Pick List'!1128:1128,"AAAAADbXL6M=",0)</f>
        <v>0</v>
      </c>
      <c r="FI52">
        <f>IF('Pick List'!1129:1129,"AAAAADbXL6Q=",0)</f>
        <v>0</v>
      </c>
      <c r="FJ52">
        <f>IF('Pick List'!1130:1130,"AAAAADbXL6U=",0)</f>
        <v>0</v>
      </c>
      <c r="FK52">
        <f>IF('Pick List'!1131:1131,"AAAAADbXL6Y=",0)</f>
        <v>0</v>
      </c>
      <c r="FL52">
        <f>IF('Pick List'!1132:1132,"AAAAADbXL6c=",0)</f>
        <v>0</v>
      </c>
      <c r="FM52">
        <f>IF('Pick List'!1133:1133,"AAAAADbXL6g=",0)</f>
        <v>0</v>
      </c>
      <c r="FN52">
        <f>IF('Pick List'!1134:1134,"AAAAADbXL6k=",0)</f>
        <v>0</v>
      </c>
      <c r="FO52">
        <f>IF('Pick List'!1135:1135,"AAAAADbXL6o=",0)</f>
        <v>0</v>
      </c>
      <c r="FP52">
        <f>IF('Pick List'!1136:1136,"AAAAADbXL6s=",0)</f>
        <v>0</v>
      </c>
      <c r="FQ52">
        <f>IF('Pick List'!1137:1137,"AAAAADbXL6w=",0)</f>
        <v>0</v>
      </c>
      <c r="FR52">
        <f>IF('Pick List'!1138:1138,"AAAAADbXL60=",0)</f>
        <v>0</v>
      </c>
      <c r="FS52">
        <f>IF('Pick List'!1139:1139,"AAAAADbXL64=",0)</f>
        <v>0</v>
      </c>
      <c r="FT52">
        <f>IF('Pick List'!1140:1140,"AAAAADbXL68=",0)</f>
        <v>0</v>
      </c>
      <c r="FU52">
        <f>IF('Pick List'!1141:1141,"AAAAADbXL7A=",0)</f>
        <v>0</v>
      </c>
      <c r="FV52">
        <f>IF('Pick List'!1142:1142,"AAAAADbXL7E=",0)</f>
        <v>0</v>
      </c>
      <c r="FW52">
        <f>IF('Pick List'!1143:1143,"AAAAADbXL7I=",0)</f>
        <v>0</v>
      </c>
      <c r="FX52">
        <f>IF('Pick List'!1144:1144,"AAAAADbXL7M=",0)</f>
        <v>0</v>
      </c>
      <c r="FY52">
        <f>IF('Pick List'!1145:1145,"AAAAADbXL7Q=",0)</f>
        <v>0</v>
      </c>
      <c r="FZ52">
        <f>IF('Pick List'!1146:1146,"AAAAADbXL7U=",0)</f>
        <v>0</v>
      </c>
      <c r="GA52">
        <f>IF('Pick List'!1147:1147,"AAAAADbXL7Y=",0)</f>
        <v>0</v>
      </c>
      <c r="GB52">
        <f>IF('Pick List'!1148:1148,"AAAAADbXL7c=",0)</f>
        <v>0</v>
      </c>
      <c r="GC52">
        <f>IF('Pick List'!1149:1149,"AAAAADbXL7g=",0)</f>
        <v>0</v>
      </c>
      <c r="GD52">
        <f>IF('Pick List'!1150:1150,"AAAAADbXL7k=",0)</f>
        <v>0</v>
      </c>
      <c r="GE52">
        <f>IF('Pick List'!1151:1151,"AAAAADbXL7o=",0)</f>
        <v>0</v>
      </c>
      <c r="GF52">
        <f>IF('Pick List'!1152:1152,"AAAAADbXL7s=",0)</f>
        <v>0</v>
      </c>
      <c r="GG52">
        <f>IF('Pick List'!1153:1153,"AAAAADbXL7w=",0)</f>
        <v>0</v>
      </c>
      <c r="GH52">
        <f>IF('Pick List'!1154:1154,"AAAAADbXL70=",0)</f>
        <v>0</v>
      </c>
      <c r="GI52">
        <f>IF('Pick List'!1155:1155,"AAAAADbXL74=",0)</f>
        <v>0</v>
      </c>
      <c r="GJ52">
        <f>IF('Pick List'!1156:1156,"AAAAADbXL78=",0)</f>
        <v>0</v>
      </c>
      <c r="GK52">
        <f>IF('Pick List'!1157:1157,"AAAAADbXL8A=",0)</f>
        <v>0</v>
      </c>
      <c r="GL52">
        <f>IF('Pick List'!1158:1158,"AAAAADbXL8E=",0)</f>
        <v>0</v>
      </c>
      <c r="GM52">
        <f>IF('Pick List'!1159:1159,"AAAAADbXL8I=",0)</f>
        <v>0</v>
      </c>
      <c r="GN52">
        <f>IF('Pick List'!1160:1160,"AAAAADbXL8M=",0)</f>
        <v>0</v>
      </c>
      <c r="GO52">
        <f>IF('Pick List'!1161:1161,"AAAAADbXL8Q=",0)</f>
        <v>0</v>
      </c>
      <c r="GP52">
        <f>IF('Pick List'!1162:1162,"AAAAADbXL8U=",0)</f>
        <v>0</v>
      </c>
      <c r="GQ52">
        <f>IF('Pick List'!1163:1163,"AAAAADbXL8Y=",0)</f>
        <v>0</v>
      </c>
      <c r="GR52">
        <f>IF('Pick List'!1164:1164,"AAAAADbXL8c=",0)</f>
        <v>0</v>
      </c>
      <c r="GS52">
        <f>IF('Pick List'!1165:1165,"AAAAADbXL8g=",0)</f>
        <v>0</v>
      </c>
      <c r="GT52">
        <f>IF('Pick List'!1166:1166,"AAAAADbXL8k=",0)</f>
        <v>0</v>
      </c>
      <c r="GU52">
        <f>IF('Pick List'!1167:1167,"AAAAADbXL8o=",0)</f>
        <v>0</v>
      </c>
      <c r="GV52">
        <f>IF('Pick List'!1168:1168,"AAAAADbXL8s=",0)</f>
        <v>0</v>
      </c>
      <c r="GW52">
        <f>IF('Pick List'!1169:1169,"AAAAADbXL8w=",0)</f>
        <v>0</v>
      </c>
      <c r="GX52">
        <f>IF('Pick List'!1170:1170,"AAAAADbXL80=",0)</f>
        <v>0</v>
      </c>
      <c r="GY52">
        <f>IF('Pick List'!1171:1171,"AAAAADbXL84=",0)</f>
        <v>0</v>
      </c>
      <c r="GZ52">
        <f>IF('Pick List'!1172:1172,"AAAAADbXL88=",0)</f>
        <v>0</v>
      </c>
      <c r="HA52">
        <f>IF('Pick List'!1173:1173,"AAAAADbXL9A=",0)</f>
        <v>0</v>
      </c>
      <c r="HB52">
        <f>IF('Pick List'!1174:1174,"AAAAADbXL9E=",0)</f>
        <v>0</v>
      </c>
      <c r="HC52">
        <f>IF('Pick List'!1175:1175,"AAAAADbXL9I=",0)</f>
        <v>0</v>
      </c>
      <c r="HD52">
        <f>IF('Pick List'!1176:1176,"AAAAADbXL9M=",0)</f>
        <v>0</v>
      </c>
      <c r="HE52">
        <f>IF('Pick List'!1177:1177,"AAAAADbXL9Q=",0)</f>
        <v>0</v>
      </c>
      <c r="HF52">
        <f>IF('Pick List'!1178:1178,"AAAAADbXL9U=",0)</f>
        <v>0</v>
      </c>
      <c r="HG52">
        <f>IF('Pick List'!1179:1179,"AAAAADbXL9Y=",0)</f>
        <v>0</v>
      </c>
      <c r="HH52">
        <f>IF('Pick List'!1180:1180,"AAAAADbXL9c=",0)</f>
        <v>0</v>
      </c>
      <c r="HI52">
        <f>IF('Pick List'!1181:1181,"AAAAADbXL9g=",0)</f>
        <v>0</v>
      </c>
      <c r="HJ52">
        <f>IF('Pick List'!1182:1182,"AAAAADbXL9k=",0)</f>
        <v>0</v>
      </c>
      <c r="HK52">
        <f>IF('Pick List'!1183:1183,"AAAAADbXL9o=",0)</f>
        <v>0</v>
      </c>
      <c r="HL52">
        <f>IF('Pick List'!1184:1184,"AAAAADbXL9s=",0)</f>
        <v>0</v>
      </c>
      <c r="HM52">
        <f>IF('Pick List'!1185:1185,"AAAAADbXL9w=",0)</f>
        <v>0</v>
      </c>
      <c r="HN52">
        <f>IF('Pick List'!1186:1186,"AAAAADbXL90=",0)</f>
        <v>0</v>
      </c>
      <c r="HO52">
        <f>IF('Pick List'!1187:1187,"AAAAADbXL94=",0)</f>
        <v>0</v>
      </c>
      <c r="HP52">
        <f>IF('Pick List'!1188:1188,"AAAAADbXL98=",0)</f>
        <v>0</v>
      </c>
      <c r="HQ52">
        <f>IF('Pick List'!1189:1189,"AAAAADbXL+A=",0)</f>
        <v>0</v>
      </c>
      <c r="HR52">
        <f>IF('Pick List'!1190:1190,"AAAAADbXL+E=",0)</f>
        <v>0</v>
      </c>
      <c r="HS52">
        <f>IF('Pick List'!1191:1191,"AAAAADbXL+I=",0)</f>
        <v>0</v>
      </c>
      <c r="HT52">
        <f>IF('Pick List'!1192:1192,"AAAAADbXL+M=",0)</f>
        <v>0</v>
      </c>
      <c r="HU52">
        <f>IF('Pick List'!1193:1193,"AAAAADbXL+Q=",0)</f>
        <v>0</v>
      </c>
      <c r="HV52">
        <f>IF('Pick List'!1194:1194,"AAAAADbXL+U=",0)</f>
        <v>0</v>
      </c>
      <c r="HW52">
        <f>IF('Pick List'!1195:1195,"AAAAADbXL+Y=",0)</f>
        <v>0</v>
      </c>
      <c r="HX52">
        <f>IF('Pick List'!1196:1196,"AAAAADbXL+c=",0)</f>
        <v>0</v>
      </c>
      <c r="HY52">
        <f>IF('Pick List'!1197:1197,"AAAAADbXL+g=",0)</f>
        <v>0</v>
      </c>
      <c r="HZ52">
        <f>IF('Pick List'!1198:1198,"AAAAADbXL+k=",0)</f>
        <v>0</v>
      </c>
      <c r="IA52">
        <f>IF('Pick List'!1199:1199,"AAAAADbXL+o=",0)</f>
        <v>0</v>
      </c>
      <c r="IB52">
        <f>IF('Pick List'!1200:1200,"AAAAADbXL+s=",0)</f>
        <v>0</v>
      </c>
      <c r="IC52">
        <f>IF('Pick List'!1201:1201,"AAAAADbXL+w=",0)</f>
        <v>0</v>
      </c>
      <c r="ID52">
        <f>IF('Pick List'!1202:1202,"AAAAADbXL+0=",0)</f>
        <v>0</v>
      </c>
      <c r="IE52">
        <f>IF('Pick List'!1203:1203,"AAAAADbXL+4=",0)</f>
        <v>0</v>
      </c>
      <c r="IF52">
        <f>IF('Pick List'!1204:1204,"AAAAADbXL+8=",0)</f>
        <v>0</v>
      </c>
      <c r="IG52">
        <f>IF('Pick List'!1205:1205,"AAAAADbXL/A=",0)</f>
        <v>0</v>
      </c>
      <c r="IH52">
        <f>IF('Pick List'!1206:1206,"AAAAADbXL/E=",0)</f>
        <v>0</v>
      </c>
      <c r="II52">
        <f>IF('Pick List'!1207:1207,"AAAAADbXL/I=",0)</f>
        <v>0</v>
      </c>
      <c r="IJ52">
        <f>IF('Pick List'!1208:1208,"AAAAADbXL/M=",0)</f>
        <v>0</v>
      </c>
      <c r="IK52">
        <f>IF('Pick List'!1209:1209,"AAAAADbXL/Q=",0)</f>
        <v>0</v>
      </c>
      <c r="IL52">
        <f>IF('Pick List'!1210:1210,"AAAAADbXL/U=",0)</f>
        <v>0</v>
      </c>
      <c r="IM52">
        <f>IF('Pick List'!1211:1211,"AAAAADbXL/Y=",0)</f>
        <v>0</v>
      </c>
      <c r="IN52">
        <f>IF('Pick List'!1212:1212,"AAAAADbXL/c=",0)</f>
        <v>0</v>
      </c>
      <c r="IO52">
        <f>IF('Pick List'!1213:1213,"AAAAADbXL/g=",0)</f>
        <v>0</v>
      </c>
      <c r="IP52">
        <f>IF('Pick List'!1214:1214,"AAAAADbXL/k=",0)</f>
        <v>0</v>
      </c>
      <c r="IQ52">
        <f>IF('Pick List'!1215:1215,"AAAAADbXL/o=",0)</f>
        <v>0</v>
      </c>
      <c r="IR52">
        <f>IF('Pick List'!1216:1216,"AAAAADbXL/s=",0)</f>
        <v>0</v>
      </c>
      <c r="IS52">
        <f>IF('Pick List'!1217:1217,"AAAAADbXL/w=",0)</f>
        <v>0</v>
      </c>
      <c r="IT52">
        <f>IF('Pick List'!1218:1218,"AAAAADbXL/0=",0)</f>
        <v>0</v>
      </c>
      <c r="IU52">
        <f>IF('Pick List'!1219:1219,"AAAAADbXL/4=",0)</f>
        <v>0</v>
      </c>
      <c r="IV52">
        <f>IF('Pick List'!1220:1220,"AAAAADbXL/8=",0)</f>
        <v>0</v>
      </c>
    </row>
    <row r="53" spans="1:256" x14ac:dyDescent="0.2">
      <c r="A53">
        <f>IF('Pick List'!1221:1221,"AAAAADzmzQA=",0)</f>
        <v>0</v>
      </c>
      <c r="B53">
        <f>IF('Pick List'!1222:1222,"AAAAADzmzQE=",0)</f>
        <v>0</v>
      </c>
      <c r="C53">
        <f>IF('Pick List'!1223:1223,"AAAAADzmzQI=",0)</f>
        <v>0</v>
      </c>
      <c r="D53">
        <f>IF('Pick List'!1224:1224,"AAAAADzmzQM=",0)</f>
        <v>0</v>
      </c>
      <c r="E53">
        <f>IF('Pick List'!1225:1225,"AAAAADzmzQQ=",0)</f>
        <v>0</v>
      </c>
      <c r="F53">
        <f>IF('Pick List'!1226:1226,"AAAAADzmzQU=",0)</f>
        <v>0</v>
      </c>
      <c r="G53">
        <f>IF('Pick List'!1227:1227,"AAAAADzmzQY=",0)</f>
        <v>0</v>
      </c>
      <c r="H53">
        <f>IF('Pick List'!1228:1228,"AAAAADzmzQc=",0)</f>
        <v>0</v>
      </c>
      <c r="I53">
        <f>IF('Pick List'!1229:1229,"AAAAADzmzQg=",0)</f>
        <v>0</v>
      </c>
      <c r="J53">
        <f>IF('Pick List'!1230:1230,"AAAAADzmzQk=",0)</f>
        <v>0</v>
      </c>
      <c r="K53">
        <f>IF('Pick List'!1231:1231,"AAAAADzmzQo=",0)</f>
        <v>0</v>
      </c>
      <c r="L53">
        <f>IF('Pick List'!1232:1232,"AAAAADzmzQs=",0)</f>
        <v>0</v>
      </c>
      <c r="M53">
        <f>IF('Pick List'!1233:1233,"AAAAADzmzQw=",0)</f>
        <v>0</v>
      </c>
      <c r="N53">
        <f>IF('Pick List'!1234:1234,"AAAAADzmzQ0=",0)</f>
        <v>0</v>
      </c>
      <c r="O53">
        <f>IF('Pick List'!1235:1235,"AAAAADzmzQ4=",0)</f>
        <v>0</v>
      </c>
      <c r="P53">
        <f>IF('Pick List'!1236:1236,"AAAAADzmzQ8=",0)</f>
        <v>0</v>
      </c>
      <c r="Q53">
        <f>IF('Pick List'!1237:1237,"AAAAADzmzRA=",0)</f>
        <v>0</v>
      </c>
      <c r="R53">
        <f>IF('Pick List'!1238:1238,"AAAAADzmzRE=",0)</f>
        <v>0</v>
      </c>
      <c r="S53">
        <f>IF('Pick List'!1239:1239,"AAAAADzmzRI=",0)</f>
        <v>0</v>
      </c>
      <c r="T53">
        <f>IF('Pick List'!1240:1240,"AAAAADzmzRM=",0)</f>
        <v>0</v>
      </c>
      <c r="U53">
        <f>IF('Pick List'!1241:1241,"AAAAADzmzRQ=",0)</f>
        <v>0</v>
      </c>
      <c r="V53">
        <f>IF('Pick List'!1242:1242,"AAAAADzmzRU=",0)</f>
        <v>0</v>
      </c>
      <c r="W53">
        <f>IF('Pick List'!1243:1243,"AAAAADzmzRY=",0)</f>
        <v>0</v>
      </c>
      <c r="X53">
        <f>IF('Pick List'!1244:1244,"AAAAADzmzRc=",0)</f>
        <v>0</v>
      </c>
      <c r="Y53">
        <f>IF('Pick List'!1245:1245,"AAAAADzmzRg=",0)</f>
        <v>0</v>
      </c>
      <c r="Z53">
        <f>IF('Pick List'!1246:1246,"AAAAADzmzRk=",0)</f>
        <v>0</v>
      </c>
      <c r="AA53">
        <f>IF('Pick List'!1247:1247,"AAAAADzmzRo=",0)</f>
        <v>0</v>
      </c>
      <c r="AB53">
        <f>IF('Pick List'!1248:1248,"AAAAADzmzRs=",0)</f>
        <v>0</v>
      </c>
      <c r="AC53">
        <f>IF('Pick List'!1249:1249,"AAAAADzmzRw=",0)</f>
        <v>0</v>
      </c>
      <c r="AD53">
        <f>IF('Pick List'!1250:1250,"AAAAADzmzR0=",0)</f>
        <v>0</v>
      </c>
      <c r="AE53">
        <f>IF('Pick List'!1251:1251,"AAAAADzmzR4=",0)</f>
        <v>0</v>
      </c>
      <c r="AF53">
        <f>IF('Pick List'!1252:1252,"AAAAADzmzR8=",0)</f>
        <v>0</v>
      </c>
      <c r="AG53">
        <f>IF('Pick List'!1253:1253,"AAAAADzmzSA=",0)</f>
        <v>0</v>
      </c>
      <c r="AH53">
        <f>IF('Pick List'!1254:1254,"AAAAADzmzSE=",0)</f>
        <v>0</v>
      </c>
      <c r="AI53">
        <f>IF('Pick List'!1255:1255,"AAAAADzmzSI=",0)</f>
        <v>0</v>
      </c>
      <c r="AJ53">
        <f>IF('Pick List'!1256:1256,"AAAAADzmzSM=",0)</f>
        <v>0</v>
      </c>
      <c r="AK53">
        <f>IF('Pick List'!1257:1257,"AAAAADzmzSQ=",0)</f>
        <v>0</v>
      </c>
      <c r="AL53">
        <f>IF('Pick List'!1258:1258,"AAAAADzmzSU=",0)</f>
        <v>0</v>
      </c>
      <c r="AM53">
        <f>IF('Pick List'!1259:1259,"AAAAADzmzSY=",0)</f>
        <v>0</v>
      </c>
      <c r="AN53">
        <f>IF('Pick List'!1260:1260,"AAAAADzmzSc=",0)</f>
        <v>0</v>
      </c>
      <c r="AO53">
        <f>IF('Pick List'!1261:1261,"AAAAADzmzSg=",0)</f>
        <v>0</v>
      </c>
      <c r="AP53">
        <f>IF('Pick List'!1262:1262,"AAAAADzmzSk=",0)</f>
        <v>0</v>
      </c>
      <c r="AQ53">
        <f>IF('Pick List'!1263:1263,"AAAAADzmzSo=",0)</f>
        <v>0</v>
      </c>
      <c r="AR53">
        <f>IF('Pick List'!1264:1264,"AAAAADzmzSs=",0)</f>
        <v>0</v>
      </c>
      <c r="AS53">
        <f>IF('Pick List'!1265:1265,"AAAAADzmzSw=",0)</f>
        <v>0</v>
      </c>
      <c r="AT53">
        <f>IF('Pick List'!1266:1266,"AAAAADzmzS0=",0)</f>
        <v>0</v>
      </c>
      <c r="AU53">
        <f>IF('Pick List'!1267:1267,"AAAAADzmzS4=",0)</f>
        <v>0</v>
      </c>
      <c r="AV53">
        <f>IF('Pick List'!1268:1268,"AAAAADzmzS8=",0)</f>
        <v>0</v>
      </c>
      <c r="AW53">
        <f>IF('Pick List'!1269:1269,"AAAAADzmzTA=",0)</f>
        <v>0</v>
      </c>
      <c r="AX53">
        <f>IF('Pick List'!1270:1270,"AAAAADzmzTE=",0)</f>
        <v>0</v>
      </c>
      <c r="AY53">
        <f>IF('Pick List'!1271:1271,"AAAAADzmzTI=",0)</f>
        <v>0</v>
      </c>
      <c r="AZ53">
        <f>IF('Pick List'!1272:1272,"AAAAADzmzTM=",0)</f>
        <v>0</v>
      </c>
      <c r="BA53">
        <f>IF('Pick List'!1273:1273,"AAAAADzmzTQ=",0)</f>
        <v>0</v>
      </c>
      <c r="BB53">
        <f>IF('Pick List'!1274:1274,"AAAAADzmzTU=",0)</f>
        <v>0</v>
      </c>
      <c r="BC53">
        <f>IF('Pick List'!1275:1275,"AAAAADzmzTY=",0)</f>
        <v>0</v>
      </c>
      <c r="BD53">
        <f>IF('Pick List'!1276:1276,"AAAAADzmzTc=",0)</f>
        <v>0</v>
      </c>
      <c r="BE53">
        <f>IF('Pick List'!1277:1277,"AAAAADzmzTg=",0)</f>
        <v>0</v>
      </c>
      <c r="BF53">
        <f>IF('Pick List'!1278:1278,"AAAAADzmzTk=",0)</f>
        <v>0</v>
      </c>
      <c r="BG53">
        <f>IF('Pick List'!1279:1279,"AAAAADzmzTo=",0)</f>
        <v>0</v>
      </c>
      <c r="BH53">
        <f>IF('Pick List'!1280:1280,"AAAAADzmzTs=",0)</f>
        <v>0</v>
      </c>
      <c r="BI53">
        <f>IF('Pick List'!1281:1281,"AAAAADzmzTw=",0)</f>
        <v>0</v>
      </c>
      <c r="BJ53">
        <f>IF('Pick List'!1282:1282,"AAAAADzmzT0=",0)</f>
        <v>0</v>
      </c>
      <c r="BK53">
        <f>IF('Pick List'!1283:1283,"AAAAADzmzT4=",0)</f>
        <v>0</v>
      </c>
      <c r="BL53">
        <f>IF('Pick List'!1284:1284,"AAAAADzmzT8=",0)</f>
        <v>0</v>
      </c>
      <c r="BM53">
        <f>IF('Pick List'!1285:1285,"AAAAADzmzUA=",0)</f>
        <v>0</v>
      </c>
      <c r="BN53">
        <f>IF('Pick List'!1286:1286,"AAAAADzmzUE=",0)</f>
        <v>0</v>
      </c>
      <c r="BO53">
        <f>IF('Pick List'!1287:1287,"AAAAADzmzUI=",0)</f>
        <v>0</v>
      </c>
      <c r="BP53">
        <f>IF('Pick List'!1288:1288,"AAAAADzmzUM=",0)</f>
        <v>0</v>
      </c>
      <c r="BQ53">
        <f>IF('Pick List'!1289:1289,"AAAAADzmzUQ=",0)</f>
        <v>0</v>
      </c>
      <c r="BR53">
        <f>IF('Pick List'!1290:1290,"AAAAADzmzUU=",0)</f>
        <v>0</v>
      </c>
      <c r="BS53">
        <f>IF('Pick List'!1291:1291,"AAAAADzmzUY=",0)</f>
        <v>0</v>
      </c>
      <c r="BT53">
        <f>IF('Pick List'!1292:1292,"AAAAADzmzUc=",0)</f>
        <v>0</v>
      </c>
      <c r="BU53">
        <f>IF('Pick List'!1293:1293,"AAAAADzmzUg=",0)</f>
        <v>0</v>
      </c>
      <c r="BV53">
        <f>IF('Pick List'!1294:1294,"AAAAADzmzUk=",0)</f>
        <v>0</v>
      </c>
      <c r="BW53">
        <f>IF('Pick List'!1295:1295,"AAAAADzmzUo=",0)</f>
        <v>0</v>
      </c>
      <c r="BX53">
        <f>IF('Pick List'!1296:1296,"AAAAADzmzUs=",0)</f>
        <v>0</v>
      </c>
      <c r="BY53">
        <f>IF('Pick List'!1297:1297,"AAAAADzmzUw=",0)</f>
        <v>0</v>
      </c>
      <c r="BZ53">
        <f>IF('Pick List'!1298:1298,"AAAAADzmzU0=",0)</f>
        <v>0</v>
      </c>
      <c r="CA53">
        <f>IF('Pick List'!1299:1299,"AAAAADzmzU4=",0)</f>
        <v>0</v>
      </c>
      <c r="CB53">
        <f>IF('Pick List'!1300:1300,"AAAAADzmzU8=",0)</f>
        <v>0</v>
      </c>
      <c r="CC53">
        <f>IF('Pick List'!1301:1301,"AAAAADzmzVA=",0)</f>
        <v>0</v>
      </c>
      <c r="CD53">
        <f>IF('Pick List'!1302:1302,"AAAAADzmzVE=",0)</f>
        <v>0</v>
      </c>
      <c r="CE53">
        <f>IF('Pick List'!1303:1303,"AAAAADzmzVI=",0)</f>
        <v>0</v>
      </c>
      <c r="CF53">
        <f>IF('Pick List'!1304:1304,"AAAAADzmzVM=",0)</f>
        <v>0</v>
      </c>
      <c r="CG53">
        <f>IF('Pick List'!1305:1305,"AAAAADzmzVQ=",0)</f>
        <v>0</v>
      </c>
      <c r="CH53">
        <f>IF('Pick List'!1306:1306,"AAAAADzmzVU=",0)</f>
        <v>0</v>
      </c>
      <c r="CI53">
        <f>IF('Pick List'!1307:1307,"AAAAADzmzVY=",0)</f>
        <v>0</v>
      </c>
      <c r="CJ53">
        <f>IF('Pick List'!1308:1308,"AAAAADzmzVc=",0)</f>
        <v>0</v>
      </c>
      <c r="CK53">
        <f>IF('Pick List'!1309:1309,"AAAAADzmzVg=",0)</f>
        <v>0</v>
      </c>
      <c r="CL53">
        <f>IF('Pick List'!1310:1310,"AAAAADzmzVk=",0)</f>
        <v>0</v>
      </c>
      <c r="CM53">
        <f>IF('Pick List'!1311:1311,"AAAAADzmzVo=",0)</f>
        <v>0</v>
      </c>
      <c r="CN53">
        <f>IF('Pick List'!1312:1312,"AAAAADzmzVs=",0)</f>
        <v>0</v>
      </c>
      <c r="CO53">
        <f>IF('Pick List'!1313:1313,"AAAAADzmzVw=",0)</f>
        <v>0</v>
      </c>
      <c r="CP53">
        <f>IF('Pick List'!1314:1314,"AAAAADzmzV0=",0)</f>
        <v>0</v>
      </c>
      <c r="CQ53">
        <f>IF('Pick List'!1315:1315,"AAAAADzmzV4=",0)</f>
        <v>0</v>
      </c>
      <c r="CR53">
        <f>IF('Pick List'!1316:1316,"AAAAADzmzV8=",0)</f>
        <v>0</v>
      </c>
      <c r="CS53">
        <f>IF('Pick List'!1317:1317,"AAAAADzmzWA=",0)</f>
        <v>0</v>
      </c>
      <c r="CT53">
        <f>IF('Pick List'!1318:1318,"AAAAADzmzWE=",0)</f>
        <v>0</v>
      </c>
      <c r="CU53">
        <f>IF('Pick List'!1319:1319,"AAAAADzmzWI=",0)</f>
        <v>0</v>
      </c>
      <c r="CV53">
        <f>IF('Pick List'!1320:1320,"AAAAADzmzWM=",0)</f>
        <v>0</v>
      </c>
      <c r="CW53">
        <f>IF('Pick List'!1321:1321,"AAAAADzmzWQ=",0)</f>
        <v>0</v>
      </c>
      <c r="CX53">
        <f>IF('Pick List'!1322:1322,"AAAAADzmzWU=",0)</f>
        <v>0</v>
      </c>
      <c r="CY53">
        <f>IF('Pick List'!1323:1323,"AAAAADzmzWY=",0)</f>
        <v>0</v>
      </c>
      <c r="CZ53">
        <f>IF('Pick List'!1324:1324,"AAAAADzmzWc=",0)</f>
        <v>0</v>
      </c>
      <c r="DA53">
        <f>IF('Pick List'!1325:1325,"AAAAADzmzWg=",0)</f>
        <v>0</v>
      </c>
      <c r="DB53">
        <f>IF('Pick List'!1326:1326,"AAAAADzmzWk=",0)</f>
        <v>0</v>
      </c>
      <c r="DC53">
        <f>IF('Pick List'!1327:1327,"AAAAADzmzWo=",0)</f>
        <v>0</v>
      </c>
      <c r="DD53">
        <f>IF('Pick List'!1328:1328,"AAAAADzmzWs=",0)</f>
        <v>0</v>
      </c>
      <c r="DE53">
        <f>IF('Pick List'!1329:1329,"AAAAADzmzWw=",0)</f>
        <v>0</v>
      </c>
      <c r="DF53">
        <f>IF('Pick List'!1330:1330,"AAAAADzmzW0=",0)</f>
        <v>0</v>
      </c>
      <c r="DG53">
        <f>IF('Pick List'!1331:1331,"AAAAADzmzW4=",0)</f>
        <v>0</v>
      </c>
      <c r="DH53">
        <f>IF('Pick List'!1332:1332,"AAAAADzmzW8=",0)</f>
        <v>0</v>
      </c>
      <c r="DI53">
        <f>IF('Pick List'!1333:1333,"AAAAADzmzXA=",0)</f>
        <v>0</v>
      </c>
      <c r="DJ53">
        <f>IF('Pick List'!1334:1334,"AAAAADzmzXE=",0)</f>
        <v>0</v>
      </c>
      <c r="DK53">
        <f>IF('Pick List'!1335:1335,"AAAAADzmzXI=",0)</f>
        <v>0</v>
      </c>
      <c r="DL53">
        <f>IF('Pick List'!1336:1336,"AAAAADzmzXM=",0)</f>
        <v>0</v>
      </c>
      <c r="DM53">
        <f>IF('Pick List'!1337:1337,"AAAAADzmzXQ=",0)</f>
        <v>0</v>
      </c>
      <c r="DN53">
        <f>IF('Pick List'!1338:1338,"AAAAADzmzXU=",0)</f>
        <v>0</v>
      </c>
      <c r="DO53">
        <f>IF('Pick List'!1339:1339,"AAAAADzmzXY=",0)</f>
        <v>0</v>
      </c>
      <c r="DP53">
        <f>IF('Pick List'!1340:1340,"AAAAADzmzXc=",0)</f>
        <v>0</v>
      </c>
      <c r="DQ53">
        <f>IF('Pick List'!1341:1341,"AAAAADzmzXg=",0)</f>
        <v>0</v>
      </c>
      <c r="DR53">
        <f>IF('Pick List'!1342:1342,"AAAAADzmzXk=",0)</f>
        <v>0</v>
      </c>
      <c r="DS53">
        <f>IF('Pick List'!1343:1343,"AAAAADzmzXo=",0)</f>
        <v>0</v>
      </c>
      <c r="DT53">
        <f>IF('Pick List'!1344:1344,"AAAAADzmzXs=",0)</f>
        <v>0</v>
      </c>
      <c r="DU53">
        <f>IF('Pick List'!1345:1345,"AAAAADzmzXw=",0)</f>
        <v>0</v>
      </c>
      <c r="DV53">
        <f>IF('Pick List'!1346:1346,"AAAAADzmzX0=",0)</f>
        <v>0</v>
      </c>
      <c r="DW53">
        <f>IF('Pick List'!1347:1347,"AAAAADzmzX4=",0)</f>
        <v>0</v>
      </c>
      <c r="DX53">
        <f>IF('Pick List'!1348:1348,"AAAAADzmzX8=",0)</f>
        <v>0</v>
      </c>
      <c r="DY53">
        <f>IF('Pick List'!1349:1349,"AAAAADzmzYA=",0)</f>
        <v>0</v>
      </c>
      <c r="DZ53">
        <f>IF('Pick List'!1350:1350,"AAAAADzmzYE=",0)</f>
        <v>0</v>
      </c>
      <c r="EA53">
        <f>IF('Pick List'!1351:1351,"AAAAADzmzYI=",0)</f>
        <v>0</v>
      </c>
      <c r="EB53">
        <f>IF('Pick List'!1352:1352,"AAAAADzmzYM=",0)</f>
        <v>0</v>
      </c>
      <c r="EC53">
        <f>IF('Pick List'!1353:1353,"AAAAADzmzYQ=",0)</f>
        <v>0</v>
      </c>
      <c r="ED53">
        <f>IF('Pick List'!1354:1354,"AAAAADzmzYU=",0)</f>
        <v>0</v>
      </c>
      <c r="EE53">
        <f>IF('Pick List'!1355:1355,"AAAAADzmzYY=",0)</f>
        <v>0</v>
      </c>
      <c r="EF53">
        <f>IF('Pick List'!1356:1356,"AAAAADzmzYc=",0)</f>
        <v>0</v>
      </c>
      <c r="EG53">
        <f>IF('Pick List'!1357:1357,"AAAAADzmzYg=",0)</f>
        <v>0</v>
      </c>
      <c r="EH53">
        <f>IF('Pick List'!1358:1358,"AAAAADzmzYk=",0)</f>
        <v>0</v>
      </c>
      <c r="EI53">
        <f>IF('Pick List'!1359:1359,"AAAAADzmzYo=",0)</f>
        <v>0</v>
      </c>
      <c r="EJ53">
        <f>IF('Pick List'!1360:1360,"AAAAADzmzYs=",0)</f>
        <v>0</v>
      </c>
      <c r="EK53">
        <f>IF('Pick List'!1361:1361,"AAAAADzmzYw=",0)</f>
        <v>0</v>
      </c>
      <c r="EL53">
        <f>IF('Pick List'!1362:1362,"AAAAADzmzY0=",0)</f>
        <v>0</v>
      </c>
      <c r="EM53">
        <f>IF('Pick List'!1363:1363,"AAAAADzmzY4=",0)</f>
        <v>0</v>
      </c>
      <c r="EN53">
        <f>IF('Pick List'!1364:1364,"AAAAADzmzY8=",0)</f>
        <v>0</v>
      </c>
      <c r="EO53">
        <f>IF('Pick List'!1365:1365,"AAAAADzmzZA=",0)</f>
        <v>0</v>
      </c>
      <c r="EP53">
        <f>IF('Pick List'!1366:1366,"AAAAADzmzZE=",0)</f>
        <v>0</v>
      </c>
      <c r="EQ53">
        <f>IF('Pick List'!1367:1367,"AAAAADzmzZI=",0)</f>
        <v>0</v>
      </c>
      <c r="ER53">
        <f>IF('Pick List'!1368:1368,"AAAAADzmzZM=",0)</f>
        <v>0</v>
      </c>
      <c r="ES53">
        <f>IF('Pick List'!1369:1369,"AAAAADzmzZQ=",0)</f>
        <v>0</v>
      </c>
      <c r="ET53">
        <f>IF('Pick List'!1370:1370,"AAAAADzmzZU=",0)</f>
        <v>0</v>
      </c>
      <c r="EU53">
        <f>IF('Pick List'!1371:1371,"AAAAADzmzZY=",0)</f>
        <v>0</v>
      </c>
      <c r="EV53">
        <f>IF('Pick List'!1372:1372,"AAAAADzmzZc=",0)</f>
        <v>0</v>
      </c>
      <c r="EW53">
        <f>IF('Pick List'!1373:1373,"AAAAADzmzZg=",0)</f>
        <v>0</v>
      </c>
      <c r="EX53">
        <f>IF('Pick List'!1374:1374,"AAAAADzmzZk=",0)</f>
        <v>0</v>
      </c>
      <c r="EY53">
        <f>IF('Pick List'!1375:1375,"AAAAADzmzZo=",0)</f>
        <v>0</v>
      </c>
      <c r="EZ53">
        <f>IF('Pick List'!1376:1376,"AAAAADzmzZs=",0)</f>
        <v>0</v>
      </c>
      <c r="FA53">
        <f>IF('Pick List'!1377:1377,"AAAAADzmzZw=",0)</f>
        <v>0</v>
      </c>
      <c r="FB53">
        <f>IF('Pick List'!1378:1378,"AAAAADzmzZ0=",0)</f>
        <v>0</v>
      </c>
      <c r="FC53">
        <f>IF('Pick List'!1379:1379,"AAAAADzmzZ4=",0)</f>
        <v>0</v>
      </c>
      <c r="FD53">
        <f>IF('Pick List'!1380:1380,"AAAAADzmzZ8=",0)</f>
        <v>0</v>
      </c>
      <c r="FE53">
        <f>IF('Pick List'!1381:1381,"AAAAADzmzaA=",0)</f>
        <v>0</v>
      </c>
      <c r="FF53">
        <f>IF('Pick List'!1382:1382,"AAAAADzmzaE=",0)</f>
        <v>0</v>
      </c>
      <c r="FG53">
        <f>IF('Pick List'!1383:1383,"AAAAADzmzaI=",0)</f>
        <v>0</v>
      </c>
      <c r="FH53">
        <f>IF('Pick List'!1384:1384,"AAAAADzmzaM=",0)</f>
        <v>0</v>
      </c>
      <c r="FI53">
        <f>IF('Pick List'!1385:1385,"AAAAADzmzaQ=",0)</f>
        <v>0</v>
      </c>
      <c r="FJ53">
        <f>IF('Pick List'!1386:1386,"AAAAADzmzaU=",0)</f>
        <v>0</v>
      </c>
      <c r="FK53">
        <f>IF('Pick List'!1387:1387,"AAAAADzmzaY=",0)</f>
        <v>0</v>
      </c>
      <c r="FL53">
        <f>IF('Pick List'!1388:1388,"AAAAADzmzac=",0)</f>
        <v>0</v>
      </c>
      <c r="FM53">
        <f>IF('Pick List'!1389:1389,"AAAAADzmzag=",0)</f>
        <v>0</v>
      </c>
      <c r="FN53">
        <f>IF('Pick List'!1390:1390,"AAAAADzmzak=",0)</f>
        <v>0</v>
      </c>
      <c r="FO53">
        <f>IF('Pick List'!1391:1391,"AAAAADzmzao=",0)</f>
        <v>0</v>
      </c>
      <c r="FP53">
        <f>IF('Pick List'!1392:1392,"AAAAADzmzas=",0)</f>
        <v>0</v>
      </c>
      <c r="FQ53">
        <f>IF('Pick List'!1393:1393,"AAAAADzmzaw=",0)</f>
        <v>0</v>
      </c>
      <c r="FR53">
        <f>IF('Pick List'!1394:1394,"AAAAADzmza0=",0)</f>
        <v>0</v>
      </c>
      <c r="FS53">
        <f>IF('Pick List'!1395:1395,"AAAAADzmza4=",0)</f>
        <v>0</v>
      </c>
      <c r="FT53">
        <f>IF('Pick List'!1396:1396,"AAAAADzmza8=",0)</f>
        <v>0</v>
      </c>
      <c r="FU53">
        <f>IF('Pick List'!1397:1397,"AAAAADzmzbA=",0)</f>
        <v>0</v>
      </c>
      <c r="FV53">
        <f>IF('Pick List'!1398:1398,"AAAAADzmzbE=",0)</f>
        <v>0</v>
      </c>
      <c r="FW53">
        <f>IF('Pick List'!1399:1399,"AAAAADzmzbI=",0)</f>
        <v>0</v>
      </c>
      <c r="FX53">
        <f>IF('Pick List'!1400:1400,"AAAAADzmzbM=",0)</f>
        <v>0</v>
      </c>
      <c r="FY53">
        <f>IF('Pick List'!1401:1401,"AAAAADzmzbQ=",0)</f>
        <v>0</v>
      </c>
      <c r="FZ53">
        <f>IF('Pick List'!1402:1402,"AAAAADzmzbU=",0)</f>
        <v>0</v>
      </c>
      <c r="GA53">
        <f>IF('Pick List'!1403:1403,"AAAAADzmzbY=",0)</f>
        <v>0</v>
      </c>
      <c r="GB53">
        <f>IF('Pick List'!1404:1404,"AAAAADzmzbc=",0)</f>
        <v>0</v>
      </c>
      <c r="GC53">
        <f>IF('Pick List'!1405:1405,"AAAAADzmzbg=",0)</f>
        <v>0</v>
      </c>
      <c r="GD53">
        <f>IF('Pick List'!1406:1406,"AAAAADzmzbk=",0)</f>
        <v>0</v>
      </c>
      <c r="GE53">
        <f>IF('Pick List'!1407:1407,"AAAAADzmzbo=",0)</f>
        <v>0</v>
      </c>
      <c r="GF53">
        <f>IF('Pick List'!1408:1408,"AAAAADzmzbs=",0)</f>
        <v>0</v>
      </c>
      <c r="GG53">
        <f>IF('Pick List'!1409:1409,"AAAAADzmzbw=",0)</f>
        <v>0</v>
      </c>
      <c r="GH53">
        <f>IF('Pick List'!1410:1410,"AAAAADzmzb0=",0)</f>
        <v>0</v>
      </c>
      <c r="GI53">
        <f>IF('Pick List'!1411:1411,"AAAAADzmzb4=",0)</f>
        <v>0</v>
      </c>
      <c r="GJ53">
        <f>IF('Pick List'!1412:1412,"AAAAADzmzb8=",0)</f>
        <v>0</v>
      </c>
      <c r="GK53">
        <f>IF('Pick List'!1413:1413,"AAAAADzmzcA=",0)</f>
        <v>0</v>
      </c>
      <c r="GL53">
        <f>IF('Pick List'!1414:1414,"AAAAADzmzcE=",0)</f>
        <v>0</v>
      </c>
      <c r="GM53">
        <f>IF('Pick List'!1415:1415,"AAAAADzmzcI=",0)</f>
        <v>0</v>
      </c>
      <c r="GN53">
        <f>IF('Pick List'!1416:1416,"AAAAADzmzcM=",0)</f>
        <v>0</v>
      </c>
      <c r="GO53">
        <f>IF('Pick List'!1417:1417,"AAAAADzmzcQ=",0)</f>
        <v>0</v>
      </c>
      <c r="GP53">
        <f>IF('Pick List'!1418:1418,"AAAAADzmzcU=",0)</f>
        <v>0</v>
      </c>
      <c r="GQ53">
        <f>IF('Pick List'!1419:1419,"AAAAADzmzcY=",0)</f>
        <v>0</v>
      </c>
      <c r="GR53">
        <f>IF('Pick List'!1420:1420,"AAAAADzmzcc=",0)</f>
        <v>0</v>
      </c>
      <c r="GS53">
        <f>IF('Pick List'!1421:1421,"AAAAADzmzcg=",0)</f>
        <v>0</v>
      </c>
      <c r="GT53">
        <f>IF('Pick List'!1422:1422,"AAAAADzmzck=",0)</f>
        <v>0</v>
      </c>
      <c r="GU53">
        <f>IF('Pick List'!1423:1423,"AAAAADzmzco=",0)</f>
        <v>0</v>
      </c>
      <c r="GV53">
        <f>IF('Pick List'!1424:1424,"AAAAADzmzcs=",0)</f>
        <v>0</v>
      </c>
      <c r="GW53">
        <f>IF('Pick List'!1425:1425,"AAAAADzmzcw=",0)</f>
        <v>0</v>
      </c>
      <c r="GX53">
        <f>IF('Pick List'!1426:1426,"AAAAADzmzc0=",0)</f>
        <v>0</v>
      </c>
      <c r="GY53">
        <f>IF('Pick List'!1427:1427,"AAAAADzmzc4=",0)</f>
        <v>0</v>
      </c>
      <c r="GZ53">
        <f>IF('Pick List'!1428:1428,"AAAAADzmzc8=",0)</f>
        <v>0</v>
      </c>
      <c r="HA53">
        <f>IF('Pick List'!1429:1429,"AAAAADzmzdA=",0)</f>
        <v>0</v>
      </c>
      <c r="HB53">
        <f>IF('Pick List'!1430:1430,"AAAAADzmzdE=",0)</f>
        <v>0</v>
      </c>
      <c r="HC53">
        <f>IF('Pick List'!1431:1431,"AAAAADzmzdI=",0)</f>
        <v>0</v>
      </c>
      <c r="HD53">
        <f>IF('Pick List'!1432:1432,"AAAAADzmzdM=",0)</f>
        <v>0</v>
      </c>
      <c r="HE53">
        <f>IF('Pick List'!1433:1433,"AAAAADzmzdQ=",0)</f>
        <v>0</v>
      </c>
      <c r="HF53">
        <f>IF('Pick List'!1434:1434,"AAAAADzmzdU=",0)</f>
        <v>0</v>
      </c>
      <c r="HG53">
        <f>IF('Pick List'!1435:1435,"AAAAADzmzdY=",0)</f>
        <v>0</v>
      </c>
      <c r="HH53">
        <f>IF('Pick List'!1436:1436,"AAAAADzmzdc=",0)</f>
        <v>0</v>
      </c>
      <c r="HI53">
        <f>IF('Pick List'!1437:1437,"AAAAADzmzdg=",0)</f>
        <v>0</v>
      </c>
      <c r="HJ53">
        <f>IF('Pick List'!1438:1438,"AAAAADzmzdk=",0)</f>
        <v>0</v>
      </c>
      <c r="HK53">
        <f>IF('Pick List'!1439:1439,"AAAAADzmzdo=",0)</f>
        <v>0</v>
      </c>
      <c r="HL53">
        <f>IF('Pick List'!1440:1440,"AAAAADzmzds=",0)</f>
        <v>0</v>
      </c>
      <c r="HM53">
        <f>IF('Pick List'!1441:1441,"AAAAADzmzdw=",0)</f>
        <v>0</v>
      </c>
      <c r="HN53">
        <f>IF('Pick List'!1442:1442,"AAAAADzmzd0=",0)</f>
        <v>0</v>
      </c>
      <c r="HO53">
        <f>IF('Pick List'!1443:1443,"AAAAADzmzd4=",0)</f>
        <v>0</v>
      </c>
      <c r="HP53">
        <f>IF('Pick List'!1444:1444,"AAAAADzmzd8=",0)</f>
        <v>0</v>
      </c>
      <c r="HQ53">
        <f>IF('Pick List'!1445:1445,"AAAAADzmzeA=",0)</f>
        <v>0</v>
      </c>
      <c r="HR53">
        <f>IF('Pick List'!1446:1446,"AAAAADzmzeE=",0)</f>
        <v>0</v>
      </c>
      <c r="HS53">
        <f>IF('Pick List'!1447:1447,"AAAAADzmzeI=",0)</f>
        <v>0</v>
      </c>
      <c r="HT53">
        <f>IF('Pick List'!1448:1448,"AAAAADzmzeM=",0)</f>
        <v>0</v>
      </c>
      <c r="HU53">
        <f>IF('Pick List'!1449:1449,"AAAAADzmzeQ=",0)</f>
        <v>0</v>
      </c>
      <c r="HV53">
        <f>IF('Pick List'!1450:1450,"AAAAADzmzeU=",0)</f>
        <v>0</v>
      </c>
      <c r="HW53">
        <f>IF('Pick List'!1451:1451,"AAAAADzmzeY=",0)</f>
        <v>0</v>
      </c>
      <c r="HX53">
        <f>IF('Pick List'!1452:1452,"AAAAADzmzec=",0)</f>
        <v>0</v>
      </c>
      <c r="HY53">
        <f>IF('Pick List'!1453:1453,"AAAAADzmzeg=",0)</f>
        <v>0</v>
      </c>
      <c r="HZ53">
        <f>IF('Pick List'!1454:1454,"AAAAADzmzek=",0)</f>
        <v>0</v>
      </c>
      <c r="IA53">
        <f>IF('Pick List'!1455:1455,"AAAAADzmzeo=",0)</f>
        <v>0</v>
      </c>
      <c r="IB53">
        <f>IF('Pick List'!1456:1456,"AAAAADzmzes=",0)</f>
        <v>0</v>
      </c>
      <c r="IC53">
        <f>IF('Pick List'!1457:1457,"AAAAADzmzew=",0)</f>
        <v>0</v>
      </c>
      <c r="ID53">
        <f>IF('Pick List'!1458:1458,"AAAAADzmze0=",0)</f>
        <v>0</v>
      </c>
      <c r="IE53">
        <f>IF('Pick List'!1459:1459,"AAAAADzmze4=",0)</f>
        <v>0</v>
      </c>
      <c r="IF53">
        <f>IF('Pick List'!1460:1460,"AAAAADzmze8=",0)</f>
        <v>0</v>
      </c>
      <c r="IG53">
        <f>IF('Pick List'!1461:1461,"AAAAADzmzfA=",0)</f>
        <v>0</v>
      </c>
      <c r="IH53">
        <f>IF('Pick List'!1462:1462,"AAAAADzmzfE=",0)</f>
        <v>0</v>
      </c>
      <c r="II53">
        <f>IF('Pick List'!1463:1463,"AAAAADzmzfI=",0)</f>
        <v>0</v>
      </c>
      <c r="IJ53">
        <f>IF('Pick List'!1464:1464,"AAAAADzmzfM=",0)</f>
        <v>0</v>
      </c>
      <c r="IK53">
        <f>IF('Pick List'!1465:1465,"AAAAADzmzfQ=",0)</f>
        <v>0</v>
      </c>
      <c r="IL53">
        <f>IF('Pick List'!1466:1466,"AAAAADzmzfU=",0)</f>
        <v>0</v>
      </c>
      <c r="IM53">
        <f>IF('Pick List'!1467:1467,"AAAAADzmzfY=",0)</f>
        <v>0</v>
      </c>
      <c r="IN53">
        <f>IF('Pick List'!1468:1468,"AAAAADzmzfc=",0)</f>
        <v>0</v>
      </c>
      <c r="IO53">
        <f>IF('Pick List'!1469:1469,"AAAAADzmzfg=",0)</f>
        <v>0</v>
      </c>
      <c r="IP53">
        <f>IF('Pick List'!1470:1470,"AAAAADzmzfk=",0)</f>
        <v>0</v>
      </c>
      <c r="IQ53">
        <f>IF('Pick List'!1471:1471,"AAAAADzmzfo=",0)</f>
        <v>0</v>
      </c>
      <c r="IR53">
        <f>IF('Pick List'!1472:1472,"AAAAADzmzfs=",0)</f>
        <v>0</v>
      </c>
      <c r="IS53">
        <f>IF('Pick List'!1473:1473,"AAAAADzmzfw=",0)</f>
        <v>0</v>
      </c>
      <c r="IT53">
        <f>IF('Pick List'!1474:1474,"AAAAADzmzf0=",0)</f>
        <v>0</v>
      </c>
      <c r="IU53">
        <f>IF('Pick List'!1475:1475,"AAAAADzmzf4=",0)</f>
        <v>0</v>
      </c>
      <c r="IV53">
        <f>IF('Pick List'!1476:1476,"AAAAADzmzf8=",0)</f>
        <v>0</v>
      </c>
    </row>
    <row r="54" spans="1:256" x14ac:dyDescent="0.2">
      <c r="A54">
        <f>IF('Pick List'!1477:1477,"AAAAAFvnvwA=",0)</f>
        <v>0</v>
      </c>
      <c r="B54">
        <f>IF('Pick List'!1478:1478,"AAAAAFvnvwE=",0)</f>
        <v>0</v>
      </c>
      <c r="C54">
        <f>IF('Pick List'!1479:1479,"AAAAAFvnvwI=",0)</f>
        <v>0</v>
      </c>
      <c r="D54">
        <f>IF('Pick List'!1480:1480,"AAAAAFvnvwM=",0)</f>
        <v>0</v>
      </c>
      <c r="E54">
        <f>IF('Pick List'!1481:1481,"AAAAAFvnvwQ=",0)</f>
        <v>0</v>
      </c>
      <c r="F54">
        <f>IF('Pick List'!1482:1482,"AAAAAFvnvwU=",0)</f>
        <v>0</v>
      </c>
      <c r="G54">
        <f>IF('Pick List'!1483:1483,"AAAAAFvnvwY=",0)</f>
        <v>0</v>
      </c>
      <c r="H54">
        <f>IF('Pick List'!1484:1484,"AAAAAFvnvwc=",0)</f>
        <v>0</v>
      </c>
      <c r="I54">
        <f>IF('Pick List'!1485:1485,"AAAAAFvnvwg=",0)</f>
        <v>0</v>
      </c>
      <c r="J54">
        <f>IF('Pick List'!1486:1486,"AAAAAFvnvwk=",0)</f>
        <v>0</v>
      </c>
      <c r="K54">
        <f>IF('Pick List'!1487:1487,"AAAAAFvnvwo=",0)</f>
        <v>0</v>
      </c>
      <c r="L54">
        <f>IF('Pick List'!1488:1488,"AAAAAFvnvws=",0)</f>
        <v>0</v>
      </c>
      <c r="M54">
        <f>IF('Pick List'!1489:1489,"AAAAAFvnvww=",0)</f>
        <v>0</v>
      </c>
      <c r="N54">
        <f>IF('Pick List'!1490:1490,"AAAAAFvnvw0=",0)</f>
        <v>0</v>
      </c>
      <c r="O54">
        <f>IF('Pick List'!1491:1491,"AAAAAFvnvw4=",0)</f>
        <v>0</v>
      </c>
      <c r="P54">
        <f>IF('Pick List'!1492:1492,"AAAAAFvnvw8=",0)</f>
        <v>0</v>
      </c>
      <c r="Q54">
        <f>IF('Pick List'!1493:1493,"AAAAAFvnvxA=",0)</f>
        <v>0</v>
      </c>
      <c r="R54">
        <f>IF('Pick List'!1494:1494,"AAAAAFvnvxE=",0)</f>
        <v>0</v>
      </c>
      <c r="S54">
        <f>IF('Pick List'!1495:1495,"AAAAAFvnvxI=",0)</f>
        <v>0</v>
      </c>
      <c r="T54">
        <f>IF('Pick List'!1496:1496,"AAAAAFvnvxM=",0)</f>
        <v>0</v>
      </c>
      <c r="U54">
        <f>IF('Pick List'!1497:1497,"AAAAAFvnvxQ=",0)</f>
        <v>0</v>
      </c>
      <c r="V54">
        <f>IF('Pick List'!1498:1498,"AAAAAFvnvxU=",0)</f>
        <v>0</v>
      </c>
      <c r="W54">
        <f>IF('Pick List'!1499:1499,"AAAAAFvnvxY=",0)</f>
        <v>0</v>
      </c>
      <c r="X54">
        <f>IF('Pick List'!1500:1500,"AAAAAFvnvxc=",0)</f>
        <v>0</v>
      </c>
      <c r="Y54">
        <f>IF('Pick List'!1501:1501,"AAAAAFvnvxg=",0)</f>
        <v>0</v>
      </c>
      <c r="Z54">
        <f>IF('Pick List'!1502:1502,"AAAAAFvnvxk=",0)</f>
        <v>0</v>
      </c>
      <c r="AA54">
        <f>IF('Pick List'!1503:1503,"AAAAAFvnvxo=",0)</f>
        <v>0</v>
      </c>
      <c r="AB54">
        <f>IF('Pick List'!1504:1504,"AAAAAFvnvxs=",0)</f>
        <v>0</v>
      </c>
      <c r="AC54">
        <f>IF('Pick List'!1505:1505,"AAAAAFvnvxw=",0)</f>
        <v>0</v>
      </c>
      <c r="AD54">
        <f>IF('Pick List'!1506:1506,"AAAAAFvnvx0=",0)</f>
        <v>0</v>
      </c>
      <c r="AE54">
        <f>IF('Pick List'!1507:1507,"AAAAAFvnvx4=",0)</f>
        <v>0</v>
      </c>
      <c r="AF54">
        <f>IF('Pick List'!1508:1508,"AAAAAFvnvx8=",0)</f>
        <v>0</v>
      </c>
      <c r="AG54">
        <f>IF('Pick List'!1509:1509,"AAAAAFvnvyA=",0)</f>
        <v>0</v>
      </c>
      <c r="AH54">
        <f>IF('Pick List'!1510:1510,"AAAAAFvnvyE=",0)</f>
        <v>0</v>
      </c>
      <c r="AI54">
        <f>IF('Pick List'!1511:1511,"AAAAAFvnvyI=",0)</f>
        <v>0</v>
      </c>
      <c r="AJ54">
        <f>IF('Pick List'!1512:1512,"AAAAAFvnvyM=",0)</f>
        <v>0</v>
      </c>
      <c r="AK54">
        <f>IF('Pick List'!1513:1513,"AAAAAFvnvyQ=",0)</f>
        <v>0</v>
      </c>
      <c r="AL54">
        <f>IF('Pick List'!1514:1514,"AAAAAFvnvyU=",0)</f>
        <v>0</v>
      </c>
      <c r="AM54">
        <f>IF('Pick List'!1515:1515,"AAAAAFvnvyY=",0)</f>
        <v>0</v>
      </c>
      <c r="AN54">
        <f>IF('Pick List'!1516:1516,"AAAAAFvnvyc=",0)</f>
        <v>0</v>
      </c>
      <c r="AO54">
        <f>IF('Pick List'!1517:1517,"AAAAAFvnvyg=",0)</f>
        <v>0</v>
      </c>
      <c r="AP54">
        <f>IF('Pick List'!1518:1518,"AAAAAFvnvyk=",0)</f>
        <v>0</v>
      </c>
      <c r="AQ54">
        <f>IF('Pick List'!1519:1519,"AAAAAFvnvyo=",0)</f>
        <v>0</v>
      </c>
      <c r="AR54">
        <f>IF('Pick List'!1520:1520,"AAAAAFvnvys=",0)</f>
        <v>0</v>
      </c>
      <c r="AS54">
        <f>IF('Pick List'!1521:1521,"AAAAAFvnvyw=",0)</f>
        <v>0</v>
      </c>
      <c r="AT54">
        <f>IF('Pick List'!1522:1522,"AAAAAFvnvy0=",0)</f>
        <v>0</v>
      </c>
      <c r="AU54">
        <f>IF('Pick List'!1523:1523,"AAAAAFvnvy4=",0)</f>
        <v>0</v>
      </c>
      <c r="AV54">
        <f>IF('Pick List'!1524:1524,"AAAAAFvnvy8=",0)</f>
        <v>0</v>
      </c>
      <c r="AW54">
        <f>IF('Pick List'!1525:1525,"AAAAAFvnvzA=",0)</f>
        <v>0</v>
      </c>
      <c r="AX54">
        <f>IF('Pick List'!1526:1526,"AAAAAFvnvzE=",0)</f>
        <v>0</v>
      </c>
      <c r="AY54">
        <f>IF('Pick List'!1527:1527,"AAAAAFvnvzI=",0)</f>
        <v>0</v>
      </c>
      <c r="AZ54">
        <f>IF('Pick List'!1528:1528,"AAAAAFvnvzM=",0)</f>
        <v>0</v>
      </c>
      <c r="BA54">
        <f>IF('Pick List'!1529:1529,"AAAAAFvnvzQ=",0)</f>
        <v>0</v>
      </c>
      <c r="BB54">
        <f>IF('Pick List'!1530:1530,"AAAAAFvnvzU=",0)</f>
        <v>0</v>
      </c>
      <c r="BC54">
        <f>IF('Pick List'!1531:1531,"AAAAAFvnvzY=",0)</f>
        <v>0</v>
      </c>
      <c r="BD54">
        <f>IF('Pick List'!1532:1532,"AAAAAFvnvzc=",0)</f>
        <v>0</v>
      </c>
      <c r="BE54">
        <f>IF('Pick List'!1533:1533,"AAAAAFvnvzg=",0)</f>
        <v>0</v>
      </c>
      <c r="BF54">
        <f>IF('Pick List'!1534:1534,"AAAAAFvnvzk=",0)</f>
        <v>0</v>
      </c>
      <c r="BG54">
        <f>IF('Pick List'!1535:1535,"AAAAAFvnvzo=",0)</f>
        <v>0</v>
      </c>
      <c r="BH54">
        <f>IF('Pick List'!1536:1536,"AAAAAFvnvzs=",0)</f>
        <v>0</v>
      </c>
      <c r="BI54">
        <f>IF('Pick List'!1537:1537,"AAAAAFvnvzw=",0)</f>
        <v>0</v>
      </c>
      <c r="BJ54">
        <f>IF('Pick List'!1538:1538,"AAAAAFvnvz0=",0)</f>
        <v>0</v>
      </c>
      <c r="BK54">
        <f>IF('Pick List'!1539:1539,"AAAAAFvnvz4=",0)</f>
        <v>0</v>
      </c>
      <c r="BL54">
        <f>IF('Pick List'!1540:1540,"AAAAAFvnvz8=",0)</f>
        <v>0</v>
      </c>
      <c r="BM54">
        <f>IF('Pick List'!1541:1541,"AAAAAFvnv0A=",0)</f>
        <v>0</v>
      </c>
      <c r="BN54">
        <f>IF('Pick List'!1542:1542,"AAAAAFvnv0E=",0)</f>
        <v>0</v>
      </c>
      <c r="BO54">
        <f>IF('Pick List'!1543:1543,"AAAAAFvnv0I=",0)</f>
        <v>0</v>
      </c>
      <c r="BP54">
        <f>IF('Pick List'!1544:1544,"AAAAAFvnv0M=",0)</f>
        <v>0</v>
      </c>
      <c r="BQ54">
        <f>IF('Pick List'!1545:1545,"AAAAAFvnv0Q=",0)</f>
        <v>0</v>
      </c>
      <c r="BR54">
        <f>IF('Pick List'!1546:1546,"AAAAAFvnv0U=",0)</f>
        <v>0</v>
      </c>
      <c r="BS54">
        <f>IF('Pick List'!1547:1547,"AAAAAFvnv0Y=",0)</f>
        <v>0</v>
      </c>
      <c r="BT54">
        <f>IF('Pick List'!1548:1548,"AAAAAFvnv0c=",0)</f>
        <v>0</v>
      </c>
      <c r="BU54">
        <f>IF('Pick List'!1549:1549,"AAAAAFvnv0g=",0)</f>
        <v>0</v>
      </c>
      <c r="BV54">
        <f>IF('Pick List'!1550:1550,"AAAAAFvnv0k=",0)</f>
        <v>0</v>
      </c>
      <c r="BW54">
        <f>IF('Pick List'!1551:1551,"AAAAAFvnv0o=",0)</f>
        <v>0</v>
      </c>
      <c r="BX54">
        <f>IF('Pick List'!1552:1552,"AAAAAFvnv0s=",0)</f>
        <v>0</v>
      </c>
      <c r="BY54">
        <f>IF('Pick List'!1553:1553,"AAAAAFvnv0w=",0)</f>
        <v>0</v>
      </c>
      <c r="BZ54">
        <f>IF('Pick List'!1554:1554,"AAAAAFvnv00=",0)</f>
        <v>0</v>
      </c>
      <c r="CA54">
        <f>IF('Pick List'!1555:1555,"AAAAAFvnv04=",0)</f>
        <v>0</v>
      </c>
      <c r="CB54">
        <f>IF('Pick List'!1556:1556,"AAAAAFvnv08=",0)</f>
        <v>0</v>
      </c>
      <c r="CC54">
        <f>IF('Pick List'!1557:1557,"AAAAAFvnv1A=",0)</f>
        <v>0</v>
      </c>
      <c r="CD54">
        <f>IF('Pick List'!1558:1558,"AAAAAFvnv1E=",0)</f>
        <v>0</v>
      </c>
      <c r="CE54">
        <f>IF('Pick List'!1559:1559,"AAAAAFvnv1I=",0)</f>
        <v>0</v>
      </c>
      <c r="CF54">
        <f>IF('Pick List'!1560:1560,"AAAAAFvnv1M=",0)</f>
        <v>0</v>
      </c>
      <c r="CG54">
        <f>IF('Pick List'!1561:1561,"AAAAAFvnv1Q=",0)</f>
        <v>0</v>
      </c>
      <c r="CH54">
        <f>IF('Pick List'!1562:1562,"AAAAAFvnv1U=",0)</f>
        <v>0</v>
      </c>
      <c r="CI54">
        <f>IF('Pick List'!1563:1563,"AAAAAFvnv1Y=",0)</f>
        <v>0</v>
      </c>
      <c r="CJ54">
        <f>IF('Pick List'!1564:1564,"AAAAAFvnv1c=",0)</f>
        <v>0</v>
      </c>
      <c r="CK54">
        <f>IF('Pick List'!1565:1565,"AAAAAFvnv1g=",0)</f>
        <v>0</v>
      </c>
      <c r="CL54">
        <f>IF('Pick List'!1566:1566,"AAAAAFvnv1k=",0)</f>
        <v>0</v>
      </c>
      <c r="CM54">
        <f>IF('Pick List'!1567:1567,"AAAAAFvnv1o=",0)</f>
        <v>0</v>
      </c>
      <c r="CN54">
        <f>IF('Pick List'!1568:1568,"AAAAAFvnv1s=",0)</f>
        <v>0</v>
      </c>
      <c r="CO54">
        <f>IF('Pick List'!1569:1569,"AAAAAFvnv1w=",0)</f>
        <v>0</v>
      </c>
      <c r="CP54">
        <f>IF('Pick List'!1570:1570,"AAAAAFvnv10=",0)</f>
        <v>0</v>
      </c>
      <c r="CQ54">
        <f>IF('Pick List'!1571:1571,"AAAAAFvnv14=",0)</f>
        <v>0</v>
      </c>
      <c r="CR54">
        <f>IF('Pick List'!1572:1572,"AAAAAFvnv18=",0)</f>
        <v>0</v>
      </c>
      <c r="CS54">
        <f>IF('Pick List'!1573:1573,"AAAAAFvnv2A=",0)</f>
        <v>0</v>
      </c>
      <c r="CT54">
        <f>IF('Pick List'!1574:1574,"AAAAAFvnv2E=",0)</f>
        <v>0</v>
      </c>
      <c r="CU54">
        <f>IF('Pick List'!1575:1575,"AAAAAFvnv2I=",0)</f>
        <v>0</v>
      </c>
      <c r="CV54">
        <f>IF('Pick List'!1576:1576,"AAAAAFvnv2M=",0)</f>
        <v>0</v>
      </c>
      <c r="CW54">
        <f>IF('Pick List'!1577:1577,"AAAAAFvnv2Q=",0)</f>
        <v>0</v>
      </c>
      <c r="CX54">
        <f>IF('Pick List'!1578:1578,"AAAAAFvnv2U=",0)</f>
        <v>0</v>
      </c>
      <c r="CY54">
        <f>IF('Pick List'!1579:1579,"AAAAAFvnv2Y=",0)</f>
        <v>0</v>
      </c>
      <c r="CZ54">
        <f>IF('Pick List'!1580:1580,"AAAAAFvnv2c=",0)</f>
        <v>0</v>
      </c>
      <c r="DA54">
        <f>IF('Pick List'!1581:1581,"AAAAAFvnv2g=",0)</f>
        <v>0</v>
      </c>
      <c r="DB54">
        <f>IF('Pick List'!1582:1582,"AAAAAFvnv2k=",0)</f>
        <v>0</v>
      </c>
      <c r="DC54">
        <f>IF('Pick List'!1583:1583,"AAAAAFvnv2o=",0)</f>
        <v>0</v>
      </c>
      <c r="DD54">
        <f>IF('Pick List'!1584:1584,"AAAAAFvnv2s=",0)</f>
        <v>0</v>
      </c>
      <c r="DE54">
        <f>IF('Pick List'!1585:1585,"AAAAAFvnv2w=",0)</f>
        <v>0</v>
      </c>
      <c r="DF54">
        <f>IF('Pick List'!1586:1586,"AAAAAFvnv20=",0)</f>
        <v>0</v>
      </c>
      <c r="DG54">
        <f>IF('Pick List'!1587:1587,"AAAAAFvnv24=",0)</f>
        <v>0</v>
      </c>
      <c r="DH54">
        <f>IF('Pick List'!1588:1588,"AAAAAFvnv28=",0)</f>
        <v>0</v>
      </c>
      <c r="DI54">
        <f>IF('Pick List'!1589:1589,"AAAAAFvnv3A=",0)</f>
        <v>0</v>
      </c>
      <c r="DJ54">
        <f>IF('Pick List'!1590:1590,"AAAAAFvnv3E=",0)</f>
        <v>0</v>
      </c>
      <c r="DK54">
        <f>IF('Pick List'!1591:1591,"AAAAAFvnv3I=",0)</f>
        <v>0</v>
      </c>
      <c r="DL54">
        <f>IF('Pick List'!1592:1592,"AAAAAFvnv3M=",0)</f>
        <v>0</v>
      </c>
      <c r="DM54">
        <f>IF('Pick List'!1593:1593,"AAAAAFvnv3Q=",0)</f>
        <v>0</v>
      </c>
      <c r="DN54">
        <f>IF('Pick List'!1594:1594,"AAAAAFvnv3U=",0)</f>
        <v>0</v>
      </c>
      <c r="DO54">
        <f>IF('Pick List'!1595:1595,"AAAAAFvnv3Y=",0)</f>
        <v>0</v>
      </c>
      <c r="DP54">
        <f>IF('Pick List'!1596:1596,"AAAAAFvnv3c=",0)</f>
        <v>0</v>
      </c>
      <c r="DQ54">
        <f>IF('Pick List'!1597:1597,"AAAAAFvnv3g=",0)</f>
        <v>0</v>
      </c>
      <c r="DR54">
        <f>IF('Pick List'!1598:1598,"AAAAAFvnv3k=",0)</f>
        <v>0</v>
      </c>
      <c r="DS54">
        <f>IF('Pick List'!1599:1599,"AAAAAFvnv3o=",0)</f>
        <v>0</v>
      </c>
      <c r="DT54">
        <f>IF('Pick List'!1600:1600,"AAAAAFvnv3s=",0)</f>
        <v>0</v>
      </c>
      <c r="DU54">
        <f>IF('Pick List'!1601:1601,"AAAAAFvnv3w=",0)</f>
        <v>0</v>
      </c>
      <c r="DV54">
        <f>IF('Pick List'!1602:1602,"AAAAAFvnv30=",0)</f>
        <v>0</v>
      </c>
      <c r="DW54">
        <f>IF('Pick List'!1603:1603,"AAAAAFvnv34=",0)</f>
        <v>0</v>
      </c>
      <c r="DX54">
        <f>IF('Pick List'!1604:1604,"AAAAAFvnv38=",0)</f>
        <v>0</v>
      </c>
      <c r="DY54">
        <f>IF('Pick List'!1605:1605,"AAAAAFvnv4A=",0)</f>
        <v>0</v>
      </c>
      <c r="DZ54">
        <f>IF('Pick List'!1606:1606,"AAAAAFvnv4E=",0)</f>
        <v>0</v>
      </c>
      <c r="EA54">
        <f>IF('Pick List'!1607:1607,"AAAAAFvnv4I=",0)</f>
        <v>0</v>
      </c>
      <c r="EB54">
        <f>IF('Pick List'!1608:1608,"AAAAAFvnv4M=",0)</f>
        <v>0</v>
      </c>
      <c r="EC54">
        <f>IF('Pick List'!1609:1609,"AAAAAFvnv4Q=",0)</f>
        <v>0</v>
      </c>
      <c r="ED54">
        <f>IF('Pick List'!1610:1610,"AAAAAFvnv4U=",0)</f>
        <v>0</v>
      </c>
      <c r="EE54">
        <f>IF('Pick List'!1611:1611,"AAAAAFvnv4Y=",0)</f>
        <v>0</v>
      </c>
      <c r="EF54">
        <f>IF('Pick List'!1612:1612,"AAAAAFvnv4c=",0)</f>
        <v>0</v>
      </c>
      <c r="EG54">
        <f>IF('Pick List'!1613:1613,"AAAAAFvnv4g=",0)</f>
        <v>0</v>
      </c>
      <c r="EH54">
        <f>IF('Pick List'!1614:1614,"AAAAAFvnv4k=",0)</f>
        <v>0</v>
      </c>
      <c r="EI54">
        <f>IF('Pick List'!1615:1615,"AAAAAFvnv4o=",0)</f>
        <v>0</v>
      </c>
      <c r="EJ54">
        <f>IF('Pick List'!1616:1616,"AAAAAFvnv4s=",0)</f>
        <v>0</v>
      </c>
      <c r="EK54">
        <f>IF('Pick List'!1617:1617,"AAAAAFvnv4w=",0)</f>
        <v>0</v>
      </c>
      <c r="EL54">
        <f>IF('Pick List'!1618:1618,"AAAAAFvnv40=",0)</f>
        <v>0</v>
      </c>
      <c r="EM54">
        <f>IF('Pick List'!1619:1619,"AAAAAFvnv44=",0)</f>
        <v>0</v>
      </c>
      <c r="EN54">
        <f>IF('Pick List'!1620:1620,"AAAAAFvnv48=",0)</f>
        <v>0</v>
      </c>
      <c r="EO54">
        <f>IF('Pick List'!1621:1621,"AAAAAFvnv5A=",0)</f>
        <v>0</v>
      </c>
      <c r="EP54">
        <f>IF('Pick List'!1622:1622,"AAAAAFvnv5E=",0)</f>
        <v>0</v>
      </c>
      <c r="EQ54">
        <f>IF('Pick List'!1623:1623,"AAAAAFvnv5I=",0)</f>
        <v>0</v>
      </c>
      <c r="ER54">
        <f>IF('Pick List'!1624:1624,"AAAAAFvnv5M=",0)</f>
        <v>0</v>
      </c>
      <c r="ES54">
        <f>IF('Pick List'!1625:1625,"AAAAAFvnv5Q=",0)</f>
        <v>0</v>
      </c>
      <c r="ET54">
        <f>IF('Pick List'!1626:1626,"AAAAAFvnv5U=",0)</f>
        <v>0</v>
      </c>
      <c r="EU54">
        <f>IF('Pick List'!1627:1627,"AAAAAFvnv5Y=",0)</f>
        <v>0</v>
      </c>
      <c r="EV54">
        <f>IF('Pick List'!1628:1628,"AAAAAFvnv5c=",0)</f>
        <v>0</v>
      </c>
      <c r="EW54">
        <f>IF('Pick List'!1629:1629,"AAAAAFvnv5g=",0)</f>
        <v>0</v>
      </c>
      <c r="EX54">
        <f>IF('Pick List'!1630:1630,"AAAAAFvnv5k=",0)</f>
        <v>0</v>
      </c>
      <c r="EY54">
        <f>IF('Pick List'!1631:1631,"AAAAAFvnv5o=",0)</f>
        <v>0</v>
      </c>
      <c r="EZ54">
        <f>IF('Pick List'!1632:1632,"AAAAAFvnv5s=",0)</f>
        <v>0</v>
      </c>
      <c r="FA54">
        <f>IF('Pick List'!1633:1633,"AAAAAFvnv5w=",0)</f>
        <v>0</v>
      </c>
      <c r="FB54">
        <f>IF('Pick List'!1634:1634,"AAAAAFvnv50=",0)</f>
        <v>0</v>
      </c>
      <c r="FC54">
        <f>IF('Pick List'!1635:1635,"AAAAAFvnv54=",0)</f>
        <v>0</v>
      </c>
      <c r="FD54">
        <f>IF('Pick List'!1636:1636,"AAAAAFvnv58=",0)</f>
        <v>0</v>
      </c>
      <c r="FE54">
        <f>IF('Pick List'!1637:1637,"AAAAAFvnv6A=",0)</f>
        <v>0</v>
      </c>
      <c r="FF54">
        <f>IF('Pick List'!1638:1638,"AAAAAFvnv6E=",0)</f>
        <v>0</v>
      </c>
      <c r="FG54">
        <f>IF('Pick List'!1639:1639,"AAAAAFvnv6I=",0)</f>
        <v>0</v>
      </c>
      <c r="FH54">
        <f>IF('Pick List'!1640:1640,"AAAAAFvnv6M=",0)</f>
        <v>0</v>
      </c>
      <c r="FI54">
        <f>IF('Pick List'!1641:1641,"AAAAAFvnv6Q=",0)</f>
        <v>0</v>
      </c>
      <c r="FJ54">
        <f>IF('Pick List'!1642:1642,"AAAAAFvnv6U=",0)</f>
        <v>0</v>
      </c>
      <c r="FK54">
        <f>IF('Pick List'!1643:1643,"AAAAAFvnv6Y=",0)</f>
        <v>0</v>
      </c>
      <c r="FL54">
        <f>IF('Pick List'!1644:1644,"AAAAAFvnv6c=",0)</f>
        <v>0</v>
      </c>
      <c r="FM54">
        <f>IF('Pick List'!1645:1645,"AAAAAFvnv6g=",0)</f>
        <v>0</v>
      </c>
      <c r="FN54">
        <f>IF('Pick List'!1646:1646,"AAAAAFvnv6k=",0)</f>
        <v>0</v>
      </c>
      <c r="FO54">
        <f>IF('Pick List'!1647:1647,"AAAAAFvnv6o=",0)</f>
        <v>0</v>
      </c>
      <c r="FP54">
        <f>IF('Pick List'!1648:1648,"AAAAAFvnv6s=",0)</f>
        <v>0</v>
      </c>
      <c r="FQ54">
        <f>IF('Pick List'!1649:1649,"AAAAAFvnv6w=",0)</f>
        <v>0</v>
      </c>
      <c r="FR54">
        <f>IF('Pick List'!1650:1650,"AAAAAFvnv60=",0)</f>
        <v>0</v>
      </c>
      <c r="FS54">
        <f>IF('Pick List'!1651:1651,"AAAAAFvnv64=",0)</f>
        <v>0</v>
      </c>
      <c r="FT54">
        <f>IF('Pick List'!1652:1652,"AAAAAFvnv68=",0)</f>
        <v>0</v>
      </c>
      <c r="FU54">
        <f>IF('Pick List'!1653:1653,"AAAAAFvnv7A=",0)</f>
        <v>0</v>
      </c>
      <c r="FV54">
        <f>IF('Pick List'!1654:1654,"AAAAAFvnv7E=",0)</f>
        <v>0</v>
      </c>
      <c r="FW54">
        <f>IF('Pick List'!1655:1655,"AAAAAFvnv7I=",0)</f>
        <v>0</v>
      </c>
      <c r="FX54">
        <f>IF('Pick List'!1656:1656,"AAAAAFvnv7M=",0)</f>
        <v>0</v>
      </c>
      <c r="FY54">
        <f>IF('Pick List'!1657:1657,"AAAAAFvnv7Q=",0)</f>
        <v>0</v>
      </c>
      <c r="FZ54">
        <f>IF('Pick List'!1658:1658,"AAAAAFvnv7U=",0)</f>
        <v>0</v>
      </c>
      <c r="GA54">
        <f>IF('Pick List'!1659:1659,"AAAAAFvnv7Y=",0)</f>
        <v>0</v>
      </c>
      <c r="GB54">
        <f>IF('Pick List'!1660:1660,"AAAAAFvnv7c=",0)</f>
        <v>0</v>
      </c>
      <c r="GC54">
        <f>IF('Pick List'!1661:1661,"AAAAAFvnv7g=",0)</f>
        <v>0</v>
      </c>
      <c r="GD54">
        <f>IF('Pick List'!1662:1662,"AAAAAFvnv7k=",0)</f>
        <v>0</v>
      </c>
      <c r="GE54">
        <f>IF('Pick List'!1663:1663,"AAAAAFvnv7o=",0)</f>
        <v>0</v>
      </c>
      <c r="GF54">
        <f>IF('Pick List'!1664:1664,"AAAAAFvnv7s=",0)</f>
        <v>0</v>
      </c>
      <c r="GG54">
        <f>IF('Pick List'!1665:1665,"AAAAAFvnv7w=",0)</f>
        <v>0</v>
      </c>
      <c r="GH54">
        <f>IF('Pick List'!1666:1666,"AAAAAFvnv70=",0)</f>
        <v>0</v>
      </c>
      <c r="GI54">
        <f>IF('Pick List'!1667:1667,"AAAAAFvnv74=",0)</f>
        <v>0</v>
      </c>
      <c r="GJ54">
        <f>IF('Pick List'!1668:1668,"AAAAAFvnv78=",0)</f>
        <v>0</v>
      </c>
      <c r="GK54">
        <f>IF('Pick List'!1669:1669,"AAAAAFvnv8A=",0)</f>
        <v>0</v>
      </c>
      <c r="GL54">
        <f>IF('Pick List'!1670:1670,"AAAAAFvnv8E=",0)</f>
        <v>0</v>
      </c>
      <c r="GM54">
        <f>IF('Pick List'!1671:1671,"AAAAAFvnv8I=",0)</f>
        <v>0</v>
      </c>
      <c r="GN54">
        <f>IF('Pick List'!1672:1672,"AAAAAFvnv8M=",0)</f>
        <v>0</v>
      </c>
      <c r="GO54">
        <f>IF('Pick List'!1673:1673,"AAAAAFvnv8Q=",0)</f>
        <v>0</v>
      </c>
      <c r="GP54">
        <f>IF('Pick List'!1674:1674,"AAAAAFvnv8U=",0)</f>
        <v>0</v>
      </c>
      <c r="GQ54">
        <f>IF('Pick List'!1675:1675,"AAAAAFvnv8Y=",0)</f>
        <v>0</v>
      </c>
      <c r="GR54">
        <f>IF('Pick List'!1676:1676,"AAAAAFvnv8c=",0)</f>
        <v>0</v>
      </c>
      <c r="GS54">
        <f>IF('Pick List'!1677:1677,"AAAAAFvnv8g=",0)</f>
        <v>0</v>
      </c>
      <c r="GT54">
        <f>IF('Pick List'!1678:1678,"AAAAAFvnv8k=",0)</f>
        <v>0</v>
      </c>
      <c r="GU54">
        <f>IF('Pick List'!1679:1679,"AAAAAFvnv8o=",0)</f>
        <v>0</v>
      </c>
      <c r="GV54">
        <f>IF('Pick List'!1680:1680,"AAAAAFvnv8s=",0)</f>
        <v>0</v>
      </c>
      <c r="GW54">
        <f>IF('Pick List'!1681:1681,"AAAAAFvnv8w=",0)</f>
        <v>0</v>
      </c>
      <c r="GX54">
        <f>IF('Pick List'!1682:1682,"AAAAAFvnv80=",0)</f>
        <v>0</v>
      </c>
      <c r="GY54">
        <f>IF('Pick List'!1683:1683,"AAAAAFvnv84=",0)</f>
        <v>0</v>
      </c>
      <c r="GZ54">
        <f>IF('Pick List'!1684:1684,"AAAAAFvnv88=",0)</f>
        <v>0</v>
      </c>
      <c r="HA54">
        <f>IF('Pick List'!1685:1685,"AAAAAFvnv9A=",0)</f>
        <v>0</v>
      </c>
      <c r="HB54">
        <f>IF('Pick List'!1686:1686,"AAAAAFvnv9E=",0)</f>
        <v>0</v>
      </c>
      <c r="HC54">
        <f>IF('Pick List'!1687:1687,"AAAAAFvnv9I=",0)</f>
        <v>0</v>
      </c>
      <c r="HD54">
        <f>IF('Pick List'!1688:1688,"AAAAAFvnv9M=",0)</f>
        <v>0</v>
      </c>
      <c r="HE54">
        <f>IF('Pick List'!1689:1689,"AAAAAFvnv9Q=",0)</f>
        <v>0</v>
      </c>
      <c r="HF54">
        <f>IF('Pick List'!1690:1690,"AAAAAFvnv9U=",0)</f>
        <v>0</v>
      </c>
      <c r="HG54">
        <f>IF('Pick List'!1691:1691,"AAAAAFvnv9Y=",0)</f>
        <v>0</v>
      </c>
      <c r="HH54">
        <f>IF('Pick List'!1692:1692,"AAAAAFvnv9c=",0)</f>
        <v>0</v>
      </c>
      <c r="HI54">
        <f>IF('Pick List'!1693:1693,"AAAAAFvnv9g=",0)</f>
        <v>0</v>
      </c>
      <c r="HJ54">
        <f>IF('Pick List'!1694:1694,"AAAAAFvnv9k=",0)</f>
        <v>0</v>
      </c>
      <c r="HK54">
        <f>IF('Pick List'!1695:1695,"AAAAAFvnv9o=",0)</f>
        <v>0</v>
      </c>
      <c r="HL54">
        <f>IF('Pick List'!1696:1696,"AAAAAFvnv9s=",0)</f>
        <v>0</v>
      </c>
      <c r="HM54">
        <f>IF('Pick List'!1697:1697,"AAAAAFvnv9w=",0)</f>
        <v>0</v>
      </c>
      <c r="HN54">
        <f>IF('Pick List'!1698:1698,"AAAAAFvnv90=",0)</f>
        <v>0</v>
      </c>
      <c r="HO54">
        <f>IF('Pick List'!1699:1699,"AAAAAFvnv94=",0)</f>
        <v>0</v>
      </c>
      <c r="HP54">
        <f>IF('Pick List'!1700:1700,"AAAAAFvnv98=",0)</f>
        <v>0</v>
      </c>
      <c r="HQ54">
        <f>IF('Pick List'!1701:1701,"AAAAAFvnv+A=",0)</f>
        <v>0</v>
      </c>
      <c r="HR54">
        <f>IF('Pick List'!1702:1702,"AAAAAFvnv+E=",0)</f>
        <v>0</v>
      </c>
      <c r="HS54">
        <f>IF('Pick List'!1703:1703,"AAAAAFvnv+I=",0)</f>
        <v>0</v>
      </c>
      <c r="HT54">
        <f>IF('Pick List'!1704:1704,"AAAAAFvnv+M=",0)</f>
        <v>0</v>
      </c>
      <c r="HU54">
        <f>IF('Pick List'!1705:1705,"AAAAAFvnv+Q=",0)</f>
        <v>0</v>
      </c>
      <c r="HV54">
        <f>IF('Pick List'!1706:1706,"AAAAAFvnv+U=",0)</f>
        <v>0</v>
      </c>
      <c r="HW54">
        <f>IF('Pick List'!1707:1707,"AAAAAFvnv+Y=",0)</f>
        <v>0</v>
      </c>
      <c r="HX54">
        <f>IF('Pick List'!1708:1708,"AAAAAFvnv+c=",0)</f>
        <v>0</v>
      </c>
      <c r="HY54">
        <f>IF('Pick List'!1709:1709,"AAAAAFvnv+g=",0)</f>
        <v>0</v>
      </c>
      <c r="HZ54">
        <f>IF('Pick List'!1710:1710,"AAAAAFvnv+k=",0)</f>
        <v>0</v>
      </c>
      <c r="IA54">
        <f>IF('Pick List'!1711:1711,"AAAAAFvnv+o=",0)</f>
        <v>0</v>
      </c>
      <c r="IB54">
        <f>IF('Pick List'!1712:1712,"AAAAAFvnv+s=",0)</f>
        <v>0</v>
      </c>
      <c r="IC54">
        <f>IF('Pick List'!1713:1713,"AAAAAFvnv+w=",0)</f>
        <v>0</v>
      </c>
      <c r="ID54">
        <f>IF('Pick List'!1714:1714,"AAAAAFvnv+0=",0)</f>
        <v>0</v>
      </c>
      <c r="IE54">
        <f>IF('Pick List'!1715:1715,"AAAAAFvnv+4=",0)</f>
        <v>0</v>
      </c>
      <c r="IF54">
        <f>IF('Pick List'!1716:1716,"AAAAAFvnv+8=",0)</f>
        <v>0</v>
      </c>
      <c r="IG54">
        <f>IF('Pick List'!1717:1717,"AAAAAFvnv/A=",0)</f>
        <v>0</v>
      </c>
      <c r="IH54">
        <f>IF('Pick List'!1718:1718,"AAAAAFvnv/E=",0)</f>
        <v>0</v>
      </c>
      <c r="II54">
        <f>IF('Pick List'!1719:1719,"AAAAAFvnv/I=",0)</f>
        <v>0</v>
      </c>
      <c r="IJ54">
        <f>IF('Pick List'!1720:1720,"AAAAAFvnv/M=",0)</f>
        <v>0</v>
      </c>
      <c r="IK54">
        <f>IF('Pick List'!1721:1721,"AAAAAFvnv/Q=",0)</f>
        <v>0</v>
      </c>
      <c r="IL54">
        <f>IF('Pick List'!1722:1722,"AAAAAFvnv/U=",0)</f>
        <v>0</v>
      </c>
      <c r="IM54">
        <f>IF('Pick List'!1723:1723,"AAAAAFvnv/Y=",0)</f>
        <v>0</v>
      </c>
      <c r="IN54">
        <f>IF('Pick List'!1724:1724,"AAAAAFvnv/c=",0)</f>
        <v>0</v>
      </c>
      <c r="IO54">
        <f>IF('Pick List'!1725:1725,"AAAAAFvnv/g=",0)</f>
        <v>0</v>
      </c>
      <c r="IP54">
        <f>IF('Pick List'!1726:1726,"AAAAAFvnv/k=",0)</f>
        <v>0</v>
      </c>
      <c r="IQ54">
        <f>IF('Pick List'!1727:1727,"AAAAAFvnv/o=",0)</f>
        <v>0</v>
      </c>
      <c r="IR54">
        <f>IF('Pick List'!1728:1728,"AAAAAFvnv/s=",0)</f>
        <v>0</v>
      </c>
      <c r="IS54">
        <f>IF('Pick List'!1729:1729,"AAAAAFvnv/w=",0)</f>
        <v>0</v>
      </c>
      <c r="IT54">
        <f>IF('Pick List'!1730:1730,"AAAAAFvnv/0=",0)</f>
        <v>0</v>
      </c>
      <c r="IU54">
        <f>IF('Pick List'!1731:1731,"AAAAAFvnv/4=",0)</f>
        <v>0</v>
      </c>
      <c r="IV54">
        <f>IF('Pick List'!1732:1732,"AAAAAFvnv/8=",0)</f>
        <v>0</v>
      </c>
    </row>
    <row r="55" spans="1:256" x14ac:dyDescent="0.2">
      <c r="A55">
        <f>IF('Pick List'!1733:1733,"AAAAAF7efwA=",0)</f>
        <v>0</v>
      </c>
      <c r="B55">
        <f>IF('Pick List'!1734:1734,"AAAAAF7efwE=",0)</f>
        <v>0</v>
      </c>
      <c r="C55">
        <f>IF('Pick List'!1735:1735,"AAAAAF7efwI=",0)</f>
        <v>0</v>
      </c>
      <c r="D55">
        <f>IF('Pick List'!1736:1736,"AAAAAF7efwM=",0)</f>
        <v>0</v>
      </c>
      <c r="E55">
        <f>IF('Pick List'!1737:1737,"AAAAAF7efwQ=",0)</f>
        <v>0</v>
      </c>
      <c r="F55">
        <f>IF('Pick List'!1738:1738,"AAAAAF7efwU=",0)</f>
        <v>0</v>
      </c>
      <c r="G55">
        <f>IF('Pick List'!1739:1739,"AAAAAF7efwY=",0)</f>
        <v>0</v>
      </c>
      <c r="H55">
        <f>IF('Pick List'!1740:1740,"AAAAAF7efwc=",0)</f>
        <v>0</v>
      </c>
      <c r="I55">
        <f>IF('Pick List'!1741:1741,"AAAAAF7efwg=",0)</f>
        <v>0</v>
      </c>
      <c r="J55">
        <f>IF('Pick List'!1742:1742,"AAAAAF7efwk=",0)</f>
        <v>0</v>
      </c>
      <c r="K55">
        <f>IF('Pick List'!1743:1743,"AAAAAF7efwo=",0)</f>
        <v>0</v>
      </c>
      <c r="L55">
        <f>IF('Pick List'!1744:1744,"AAAAAF7efws=",0)</f>
        <v>0</v>
      </c>
      <c r="M55">
        <f>IF('Pick List'!1745:1745,"AAAAAF7efww=",0)</f>
        <v>0</v>
      </c>
      <c r="N55">
        <f>IF('Pick List'!1746:1746,"AAAAAF7efw0=",0)</f>
        <v>0</v>
      </c>
      <c r="O55">
        <f>IF('Pick List'!1747:1747,"AAAAAF7efw4=",0)</f>
        <v>0</v>
      </c>
      <c r="P55">
        <f>IF('Pick List'!1748:1748,"AAAAAF7efw8=",0)</f>
        <v>0</v>
      </c>
      <c r="Q55">
        <f>IF('Pick List'!1749:1749,"AAAAAF7efxA=",0)</f>
        <v>0</v>
      </c>
      <c r="R55">
        <f>IF('Pick List'!1750:1750,"AAAAAF7efxE=",0)</f>
        <v>0</v>
      </c>
      <c r="S55">
        <f>IF('Pick List'!1751:1751,"AAAAAF7efxI=",0)</f>
        <v>0</v>
      </c>
      <c r="T55">
        <f>IF('Pick List'!1752:1752,"AAAAAF7efxM=",0)</f>
        <v>0</v>
      </c>
      <c r="U55">
        <f>IF('Pick List'!1753:1753,"AAAAAF7efxQ=",0)</f>
        <v>0</v>
      </c>
      <c r="V55">
        <f>IF('Pick List'!1754:1754,"AAAAAF7efxU=",0)</f>
        <v>0</v>
      </c>
      <c r="W55">
        <f>IF('Pick List'!1755:1755,"AAAAAF7efxY=",0)</f>
        <v>0</v>
      </c>
      <c r="X55">
        <f>IF('Pick List'!1756:1756,"AAAAAF7efxc=",0)</f>
        <v>0</v>
      </c>
      <c r="Y55">
        <f>IF('Pick List'!1757:1757,"AAAAAF7efxg=",0)</f>
        <v>0</v>
      </c>
      <c r="Z55">
        <f>IF('Pick List'!1758:1758,"AAAAAF7efxk=",0)</f>
        <v>0</v>
      </c>
      <c r="AA55">
        <f>IF('Pick List'!1759:1759,"AAAAAF7efxo=",0)</f>
        <v>0</v>
      </c>
      <c r="AB55">
        <f>IF('Pick List'!1760:1760,"AAAAAF7efxs=",0)</f>
        <v>0</v>
      </c>
      <c r="AC55">
        <f>IF('Pick List'!1761:1761,"AAAAAF7efxw=",0)</f>
        <v>0</v>
      </c>
      <c r="AD55">
        <f>IF('Pick List'!1762:1762,"AAAAAF7efx0=",0)</f>
        <v>0</v>
      </c>
      <c r="AE55">
        <f>IF('Pick List'!1763:1763,"AAAAAF7efx4=",0)</f>
        <v>0</v>
      </c>
      <c r="AF55">
        <f>IF('Pick List'!1764:1764,"AAAAAF7efx8=",0)</f>
        <v>0</v>
      </c>
      <c r="AG55">
        <f>IF('Pick List'!1765:1765,"AAAAAF7efyA=",0)</f>
        <v>0</v>
      </c>
      <c r="AH55">
        <f>IF('Pick List'!1766:1766,"AAAAAF7efyE=",0)</f>
        <v>0</v>
      </c>
      <c r="AI55">
        <f>IF('Pick List'!1767:1767,"AAAAAF7efyI=",0)</f>
        <v>0</v>
      </c>
      <c r="AJ55">
        <f>IF('Pick List'!1768:1768,"AAAAAF7efyM=",0)</f>
        <v>0</v>
      </c>
      <c r="AK55">
        <f>IF('Pick List'!1769:1769,"AAAAAF7efyQ=",0)</f>
        <v>0</v>
      </c>
      <c r="AL55">
        <f>IF('Pick List'!1770:1770,"AAAAAF7efyU=",0)</f>
        <v>0</v>
      </c>
      <c r="AM55">
        <f>IF('Pick List'!1771:1771,"AAAAAF7efyY=",0)</f>
        <v>0</v>
      </c>
      <c r="AN55">
        <f>IF('Pick List'!1772:1772,"AAAAAF7efyc=",0)</f>
        <v>0</v>
      </c>
      <c r="AO55">
        <f>IF('Pick List'!1773:1773,"AAAAAF7efyg=",0)</f>
        <v>0</v>
      </c>
      <c r="AP55">
        <f>IF('Pick List'!1774:1774,"AAAAAF7efyk=",0)</f>
        <v>0</v>
      </c>
      <c r="AQ55">
        <f>IF('Pick List'!1775:1775,"AAAAAF7efyo=",0)</f>
        <v>0</v>
      </c>
      <c r="AR55">
        <f>IF('Pick List'!1776:1776,"AAAAAF7efys=",0)</f>
        <v>0</v>
      </c>
      <c r="AS55">
        <f>IF('Pick List'!1777:1777,"AAAAAF7efyw=",0)</f>
        <v>0</v>
      </c>
      <c r="AT55">
        <f>IF('Pick List'!1778:1778,"AAAAAF7efy0=",0)</f>
        <v>0</v>
      </c>
      <c r="AU55">
        <f>IF('Pick List'!1779:1779,"AAAAAF7efy4=",0)</f>
        <v>0</v>
      </c>
      <c r="AV55">
        <f>IF('Pick List'!1780:1780,"AAAAAF7efy8=",0)</f>
        <v>0</v>
      </c>
      <c r="AW55">
        <f>IF('Pick List'!1781:1781,"AAAAAF7efzA=",0)</f>
        <v>0</v>
      </c>
      <c r="AX55">
        <f>IF('Pick List'!1782:1782,"AAAAAF7efzE=",0)</f>
        <v>0</v>
      </c>
      <c r="AY55">
        <f>IF('Pick List'!1783:1783,"AAAAAF7efzI=",0)</f>
        <v>0</v>
      </c>
      <c r="AZ55">
        <f>IF('Pick List'!1784:1784,"AAAAAF7efzM=",0)</f>
        <v>0</v>
      </c>
      <c r="BA55">
        <f>IF('Pick List'!1785:1785,"AAAAAF7efzQ=",0)</f>
        <v>0</v>
      </c>
      <c r="BB55">
        <f>IF('Pick List'!1786:1786,"AAAAAF7efzU=",0)</f>
        <v>0</v>
      </c>
      <c r="BC55">
        <f>IF('Pick List'!1787:1787,"AAAAAF7efzY=",0)</f>
        <v>0</v>
      </c>
      <c r="BD55">
        <f>IF('Pick List'!1788:1788,"AAAAAF7efzc=",0)</f>
        <v>0</v>
      </c>
      <c r="BE55">
        <f>IF('Pick List'!1789:1789,"AAAAAF7efzg=",0)</f>
        <v>0</v>
      </c>
      <c r="BF55">
        <f>IF('Pick List'!1790:1790,"AAAAAF7efzk=",0)</f>
        <v>0</v>
      </c>
      <c r="BG55">
        <f>IF('Pick List'!1791:1791,"AAAAAF7efzo=",0)</f>
        <v>0</v>
      </c>
      <c r="BH55">
        <f>IF('Pick List'!1792:1792,"AAAAAF7efzs=",0)</f>
        <v>0</v>
      </c>
      <c r="BI55">
        <f>IF('Pick List'!1793:1793,"AAAAAF7efzw=",0)</f>
        <v>0</v>
      </c>
      <c r="BJ55">
        <f>IF('Pick List'!1794:1794,"AAAAAF7efz0=",0)</f>
        <v>0</v>
      </c>
      <c r="BK55">
        <f>IF('Pick List'!1795:1795,"AAAAAF7efz4=",0)</f>
        <v>0</v>
      </c>
      <c r="BL55">
        <f>IF('Pick List'!1796:1796,"AAAAAF7efz8=",0)</f>
        <v>0</v>
      </c>
      <c r="BM55">
        <f>IF('Pick List'!1797:1797,"AAAAAF7ef0A=",0)</f>
        <v>0</v>
      </c>
      <c r="BN55">
        <f>IF('Pick List'!1798:1798,"AAAAAF7ef0E=",0)</f>
        <v>0</v>
      </c>
      <c r="BO55">
        <f>IF('Pick List'!1799:1799,"AAAAAF7ef0I=",0)</f>
        <v>0</v>
      </c>
      <c r="BP55">
        <f>IF('Pick List'!1800:1800,"AAAAAF7ef0M=",0)</f>
        <v>0</v>
      </c>
      <c r="BQ55">
        <f>IF('Pick List'!1801:1801,"AAAAAF7ef0Q=",0)</f>
        <v>0</v>
      </c>
      <c r="BR55">
        <f>IF('Pick List'!1802:1802,"AAAAAF7ef0U=",0)</f>
        <v>0</v>
      </c>
      <c r="BS55">
        <f>IF('Pick List'!1803:1803,"AAAAAF7ef0Y=",0)</f>
        <v>0</v>
      </c>
      <c r="BT55">
        <f>IF('Pick List'!1804:1804,"AAAAAF7ef0c=",0)</f>
        <v>0</v>
      </c>
      <c r="BU55">
        <f>IF('Pick List'!1805:1805,"AAAAAF7ef0g=",0)</f>
        <v>0</v>
      </c>
      <c r="BV55">
        <f>IF('Pick List'!1806:1806,"AAAAAF7ef0k=",0)</f>
        <v>0</v>
      </c>
      <c r="BW55">
        <f>IF('Pick List'!1807:1807,"AAAAAF7ef0o=",0)</f>
        <v>0</v>
      </c>
      <c r="BX55">
        <f>IF('Pick List'!1808:1808,"AAAAAF7ef0s=",0)</f>
        <v>0</v>
      </c>
      <c r="BY55">
        <f>IF('Pick List'!1809:1809,"AAAAAF7ef0w=",0)</f>
        <v>0</v>
      </c>
      <c r="BZ55">
        <f>IF('Pick List'!1810:1810,"AAAAAF7ef00=",0)</f>
        <v>0</v>
      </c>
      <c r="CA55">
        <f>IF('Pick List'!1811:1811,"AAAAAF7ef04=",0)</f>
        <v>0</v>
      </c>
      <c r="CB55">
        <f>IF('Pick List'!1812:1812,"AAAAAF7ef08=",0)</f>
        <v>0</v>
      </c>
      <c r="CC55">
        <f>IF('Pick List'!1813:1813,"AAAAAF7ef1A=",0)</f>
        <v>0</v>
      </c>
      <c r="CD55">
        <f>IF('Pick List'!1814:1814,"AAAAAF7ef1E=",0)</f>
        <v>0</v>
      </c>
      <c r="CE55">
        <f>IF('Pick List'!1815:1815,"AAAAAF7ef1I=",0)</f>
        <v>0</v>
      </c>
      <c r="CF55">
        <f>IF('Pick List'!1816:1816,"AAAAAF7ef1M=",0)</f>
        <v>0</v>
      </c>
      <c r="CG55">
        <f>IF('Pick List'!1817:1817,"AAAAAF7ef1Q=",0)</f>
        <v>0</v>
      </c>
      <c r="CH55">
        <f>IF('Pick List'!1818:1818,"AAAAAF7ef1U=",0)</f>
        <v>0</v>
      </c>
      <c r="CI55">
        <f>IF('Pick List'!1819:1819,"AAAAAF7ef1Y=",0)</f>
        <v>0</v>
      </c>
      <c r="CJ55">
        <f>IF('Pick List'!1820:1820,"AAAAAF7ef1c=",0)</f>
        <v>0</v>
      </c>
      <c r="CK55">
        <f>IF('Pick List'!1821:1821,"AAAAAF7ef1g=",0)</f>
        <v>0</v>
      </c>
      <c r="CL55">
        <f>IF('Pick List'!1822:1822,"AAAAAF7ef1k=",0)</f>
        <v>0</v>
      </c>
      <c r="CM55">
        <f>IF('Pick List'!1823:1823,"AAAAAF7ef1o=",0)</f>
        <v>0</v>
      </c>
      <c r="CN55">
        <f>IF('Pick List'!1824:1824,"AAAAAF7ef1s=",0)</f>
        <v>0</v>
      </c>
      <c r="CO55">
        <f>IF('Pick List'!1825:1825,"AAAAAF7ef1w=",0)</f>
        <v>0</v>
      </c>
      <c r="CP55">
        <f>IF('Pick List'!1826:1826,"AAAAAF7ef10=",0)</f>
        <v>0</v>
      </c>
      <c r="CQ55">
        <f>IF('Pick List'!1827:1827,"AAAAAF7ef14=",0)</f>
        <v>0</v>
      </c>
      <c r="CR55">
        <f>IF('Pick List'!1828:1828,"AAAAAF7ef18=",0)</f>
        <v>0</v>
      </c>
      <c r="CS55">
        <f>IF('Pick List'!1829:1829,"AAAAAF7ef2A=",0)</f>
        <v>0</v>
      </c>
      <c r="CT55">
        <f>IF('Pick List'!1830:1830,"AAAAAF7ef2E=",0)</f>
        <v>0</v>
      </c>
      <c r="CU55">
        <f>IF('Pick List'!1831:1831,"AAAAAF7ef2I=",0)</f>
        <v>0</v>
      </c>
      <c r="CV55">
        <f>IF('Pick List'!1832:1832,"AAAAAF7ef2M=",0)</f>
        <v>0</v>
      </c>
      <c r="CW55">
        <f>IF('Pick List'!1833:1833,"AAAAAF7ef2Q=",0)</f>
        <v>0</v>
      </c>
      <c r="CX55">
        <f>IF('Pick List'!1834:1834,"AAAAAF7ef2U=",0)</f>
        <v>0</v>
      </c>
      <c r="CY55">
        <f>IF('Pick List'!1835:1835,"AAAAAF7ef2Y=",0)</f>
        <v>0</v>
      </c>
      <c r="CZ55">
        <f>IF('Pick List'!1836:1836,"AAAAAF7ef2c=",0)</f>
        <v>0</v>
      </c>
      <c r="DA55">
        <f>IF('Pick List'!1837:1837,"AAAAAF7ef2g=",0)</f>
        <v>0</v>
      </c>
      <c r="DB55">
        <f>IF('Pick List'!1838:1838,"AAAAAF7ef2k=",0)</f>
        <v>0</v>
      </c>
      <c r="DC55">
        <f>IF('Pick List'!1839:1839,"AAAAAF7ef2o=",0)</f>
        <v>0</v>
      </c>
      <c r="DD55">
        <f>IF('Pick List'!1840:1840,"AAAAAF7ef2s=",0)</f>
        <v>0</v>
      </c>
      <c r="DE55">
        <f>IF('Pick List'!1841:1841,"AAAAAF7ef2w=",0)</f>
        <v>0</v>
      </c>
      <c r="DF55">
        <f>IF('Pick List'!1842:1842,"AAAAAF7ef20=",0)</f>
        <v>0</v>
      </c>
      <c r="DG55">
        <f>IF('Pick List'!1843:1843,"AAAAAF7ef24=",0)</f>
        <v>0</v>
      </c>
      <c r="DH55">
        <f>IF('Pick List'!1844:1844,"AAAAAF7ef28=",0)</f>
        <v>0</v>
      </c>
      <c r="DI55">
        <f>IF('Pick List'!1845:1845,"AAAAAF7ef3A=",0)</f>
        <v>0</v>
      </c>
      <c r="DJ55">
        <f>IF('Pick List'!1846:1846,"AAAAAF7ef3E=",0)</f>
        <v>0</v>
      </c>
      <c r="DK55">
        <f>IF('Pick List'!1847:1847,"AAAAAF7ef3I=",0)</f>
        <v>0</v>
      </c>
      <c r="DL55">
        <f>IF('Pick List'!1848:1848,"AAAAAF7ef3M=",0)</f>
        <v>0</v>
      </c>
      <c r="DM55">
        <f>IF('Pick List'!1849:1849,"AAAAAF7ef3Q=",0)</f>
        <v>0</v>
      </c>
      <c r="DN55">
        <f>IF('Pick List'!1850:1850,"AAAAAF7ef3U=",0)</f>
        <v>0</v>
      </c>
      <c r="DO55">
        <f>IF('Pick List'!1851:1851,"AAAAAF7ef3Y=",0)</f>
        <v>0</v>
      </c>
      <c r="DP55">
        <f>IF('Pick List'!1852:1852,"AAAAAF7ef3c=",0)</f>
        <v>0</v>
      </c>
      <c r="DQ55">
        <f>IF('Pick List'!1853:1853,"AAAAAF7ef3g=",0)</f>
        <v>0</v>
      </c>
      <c r="DR55">
        <f>IF('Pick List'!1854:1854,"AAAAAF7ef3k=",0)</f>
        <v>0</v>
      </c>
      <c r="DS55">
        <f>IF('Pick List'!1855:1855,"AAAAAF7ef3o=",0)</f>
        <v>0</v>
      </c>
      <c r="DT55">
        <f>IF('Pick List'!1856:1856,"AAAAAF7ef3s=",0)</f>
        <v>0</v>
      </c>
      <c r="DU55">
        <f>IF('Pick List'!1857:1857,"AAAAAF7ef3w=",0)</f>
        <v>0</v>
      </c>
      <c r="DV55">
        <f>IF('Pick List'!1858:1858,"AAAAAF7ef30=",0)</f>
        <v>0</v>
      </c>
      <c r="DW55">
        <f>IF('Pick List'!1859:1859,"AAAAAF7ef34=",0)</f>
        <v>0</v>
      </c>
      <c r="DX55">
        <f>IF('Pick List'!1860:1860,"AAAAAF7ef38=",0)</f>
        <v>0</v>
      </c>
      <c r="DY55">
        <f>IF('Pick List'!1861:1861,"AAAAAF7ef4A=",0)</f>
        <v>0</v>
      </c>
      <c r="DZ55">
        <f>IF('Pick List'!1862:1862,"AAAAAF7ef4E=",0)</f>
        <v>0</v>
      </c>
      <c r="EA55">
        <f>IF('Pick List'!1863:1863,"AAAAAF7ef4I=",0)</f>
        <v>0</v>
      </c>
      <c r="EB55">
        <f>IF('Pick List'!1864:1864,"AAAAAF7ef4M=",0)</f>
        <v>0</v>
      </c>
      <c r="EC55">
        <f>IF('Pick List'!1865:1865,"AAAAAF7ef4Q=",0)</f>
        <v>0</v>
      </c>
      <c r="ED55">
        <f>IF('Pick List'!1866:1866,"AAAAAF7ef4U=",0)</f>
        <v>0</v>
      </c>
      <c r="EE55">
        <f>IF('Pick List'!1867:1867,"AAAAAF7ef4Y=",0)</f>
        <v>0</v>
      </c>
      <c r="EF55">
        <f>IF('Pick List'!1868:1868,"AAAAAF7ef4c=",0)</f>
        <v>0</v>
      </c>
      <c r="EG55">
        <f>IF('Pick List'!1869:1869,"AAAAAF7ef4g=",0)</f>
        <v>0</v>
      </c>
      <c r="EH55">
        <f>IF('Pick List'!1870:1870,"AAAAAF7ef4k=",0)</f>
        <v>0</v>
      </c>
      <c r="EI55">
        <f>IF('Pick List'!1871:1871,"AAAAAF7ef4o=",0)</f>
        <v>0</v>
      </c>
      <c r="EJ55">
        <f>IF('Pick List'!1872:1872,"AAAAAF7ef4s=",0)</f>
        <v>0</v>
      </c>
      <c r="EK55">
        <f>IF('Pick List'!1873:1873,"AAAAAF7ef4w=",0)</f>
        <v>0</v>
      </c>
      <c r="EL55">
        <f>IF('Pick List'!1874:1874,"AAAAAF7ef40=",0)</f>
        <v>0</v>
      </c>
      <c r="EM55">
        <f>IF('Pick List'!1875:1875,"AAAAAF7ef44=",0)</f>
        <v>0</v>
      </c>
      <c r="EN55">
        <f>IF('Pick List'!1876:1876,"AAAAAF7ef48=",0)</f>
        <v>0</v>
      </c>
      <c r="EO55">
        <f>IF('Pick List'!1877:1877,"AAAAAF7ef5A=",0)</f>
        <v>0</v>
      </c>
      <c r="EP55">
        <f>IF('Pick List'!1878:1878,"AAAAAF7ef5E=",0)</f>
        <v>0</v>
      </c>
      <c r="EQ55">
        <f>IF('Pick List'!1879:1879,"AAAAAF7ef5I=",0)</f>
        <v>0</v>
      </c>
      <c r="ER55">
        <f>IF('Pick List'!1880:1880,"AAAAAF7ef5M=",0)</f>
        <v>0</v>
      </c>
      <c r="ES55">
        <f>IF('Pick List'!1881:1881,"AAAAAF7ef5Q=",0)</f>
        <v>0</v>
      </c>
      <c r="ET55">
        <f>IF('Pick List'!1882:1882,"AAAAAF7ef5U=",0)</f>
        <v>0</v>
      </c>
      <c r="EU55">
        <f>IF('Pick List'!1883:1883,"AAAAAF7ef5Y=",0)</f>
        <v>0</v>
      </c>
      <c r="EV55">
        <f>IF('Pick List'!1884:1884,"AAAAAF7ef5c=",0)</f>
        <v>0</v>
      </c>
      <c r="EW55">
        <f>IF('Pick List'!1885:1885,"AAAAAF7ef5g=",0)</f>
        <v>0</v>
      </c>
      <c r="EX55">
        <f>IF('Pick List'!1886:1886,"AAAAAF7ef5k=",0)</f>
        <v>0</v>
      </c>
      <c r="EY55">
        <f>IF('Pick List'!1887:1887,"AAAAAF7ef5o=",0)</f>
        <v>0</v>
      </c>
      <c r="EZ55">
        <f>IF('Pick List'!1888:1888,"AAAAAF7ef5s=",0)</f>
        <v>0</v>
      </c>
      <c r="FA55">
        <f>IF('Pick List'!1889:1889,"AAAAAF7ef5w=",0)</f>
        <v>0</v>
      </c>
      <c r="FB55">
        <f>IF('Pick List'!1890:1890,"AAAAAF7ef50=",0)</f>
        <v>0</v>
      </c>
      <c r="FC55">
        <f>IF('Pick List'!1891:1891,"AAAAAF7ef54=",0)</f>
        <v>0</v>
      </c>
      <c r="FD55">
        <f>IF('Pick List'!1892:1892,"AAAAAF7ef58=",0)</f>
        <v>0</v>
      </c>
      <c r="FE55">
        <f>IF('Pick List'!1893:1893,"AAAAAF7ef6A=",0)</f>
        <v>0</v>
      </c>
      <c r="FF55">
        <f>IF('Pick List'!1894:1894,"AAAAAF7ef6E=",0)</f>
        <v>0</v>
      </c>
      <c r="FG55">
        <f>IF('Pick List'!1895:1895,"AAAAAF7ef6I=",0)</f>
        <v>0</v>
      </c>
      <c r="FH55">
        <f>IF('Pick List'!1896:1896,"AAAAAF7ef6M=",0)</f>
        <v>0</v>
      </c>
      <c r="FI55">
        <f>IF('Pick List'!1897:1897,"AAAAAF7ef6Q=",0)</f>
        <v>0</v>
      </c>
      <c r="FJ55">
        <f>IF('Pick List'!1898:1898,"AAAAAF7ef6U=",0)</f>
        <v>0</v>
      </c>
      <c r="FK55">
        <f>IF('Pick List'!1899:1899,"AAAAAF7ef6Y=",0)</f>
        <v>0</v>
      </c>
      <c r="FL55">
        <f>IF('Pick List'!1900:1900,"AAAAAF7ef6c=",0)</f>
        <v>0</v>
      </c>
      <c r="FM55">
        <f>IF('Pick List'!1901:1901,"AAAAAF7ef6g=",0)</f>
        <v>0</v>
      </c>
      <c r="FN55">
        <f>IF('Pick List'!1902:1902,"AAAAAF7ef6k=",0)</f>
        <v>0</v>
      </c>
      <c r="FO55">
        <f>IF('Pick List'!1903:1903,"AAAAAF7ef6o=",0)</f>
        <v>0</v>
      </c>
      <c r="FP55">
        <f>IF('Pick List'!1904:1904,"AAAAAF7ef6s=",0)</f>
        <v>0</v>
      </c>
      <c r="FQ55">
        <f>IF('Pick List'!1905:1905,"AAAAAF7ef6w=",0)</f>
        <v>0</v>
      </c>
      <c r="FR55">
        <f>IF('Pick List'!1906:1906,"AAAAAF7ef60=",0)</f>
        <v>0</v>
      </c>
      <c r="FS55">
        <f>IF('Pick List'!1907:1907,"AAAAAF7ef64=",0)</f>
        <v>0</v>
      </c>
      <c r="FT55">
        <f>IF('Pick List'!1908:1908,"AAAAAF7ef68=",0)</f>
        <v>0</v>
      </c>
      <c r="FU55">
        <f>IF('Pick List'!1909:1909,"AAAAAF7ef7A=",0)</f>
        <v>0</v>
      </c>
      <c r="FV55">
        <f>IF('Pick List'!1910:1910,"AAAAAF7ef7E=",0)</f>
        <v>0</v>
      </c>
      <c r="FW55">
        <f>IF('Pick List'!1911:1911,"AAAAAF7ef7I=",0)</f>
        <v>0</v>
      </c>
      <c r="FX55">
        <f>IF('Pick List'!1912:1912,"AAAAAF7ef7M=",0)</f>
        <v>0</v>
      </c>
      <c r="FY55">
        <f>IF('Pick List'!1913:1913,"AAAAAF7ef7Q=",0)</f>
        <v>0</v>
      </c>
      <c r="FZ55">
        <f>IF('Pick List'!1914:1914,"AAAAAF7ef7U=",0)</f>
        <v>0</v>
      </c>
      <c r="GA55">
        <f>IF('Pick List'!1915:1915,"AAAAAF7ef7Y=",0)</f>
        <v>0</v>
      </c>
      <c r="GB55">
        <f>IF('Pick List'!1916:1916,"AAAAAF7ef7c=",0)</f>
        <v>0</v>
      </c>
      <c r="GC55">
        <f>IF('Pick List'!1917:1917,"AAAAAF7ef7g=",0)</f>
        <v>0</v>
      </c>
      <c r="GD55">
        <f>IF('Pick List'!1918:1918,"AAAAAF7ef7k=",0)</f>
        <v>0</v>
      </c>
      <c r="GE55">
        <f>IF('Pick List'!1919:1919,"AAAAAF7ef7o=",0)</f>
        <v>0</v>
      </c>
      <c r="GF55">
        <f>IF('Pick List'!1920:1920,"AAAAAF7ef7s=",0)</f>
        <v>0</v>
      </c>
      <c r="GG55">
        <f>IF('Pick List'!1921:1921,"AAAAAF7ef7w=",0)</f>
        <v>0</v>
      </c>
      <c r="GH55">
        <f>IF('Pick List'!1922:1922,"AAAAAF7ef70=",0)</f>
        <v>0</v>
      </c>
      <c r="GI55">
        <f>IF('Pick List'!1923:1923,"AAAAAF7ef74=",0)</f>
        <v>0</v>
      </c>
      <c r="GJ55">
        <f>IF('Pick List'!1924:1924,"AAAAAF7ef78=",0)</f>
        <v>0</v>
      </c>
      <c r="GK55">
        <f>IF('Pick List'!1925:1925,"AAAAAF7ef8A=",0)</f>
        <v>0</v>
      </c>
      <c r="GL55">
        <f>IF('Pick List'!1926:1926,"AAAAAF7ef8E=",0)</f>
        <v>0</v>
      </c>
      <c r="GM55">
        <f>IF('Pick List'!1927:1927,"AAAAAF7ef8I=",0)</f>
        <v>0</v>
      </c>
      <c r="GN55">
        <f>IF('Pick List'!1928:1928,"AAAAAF7ef8M=",0)</f>
        <v>0</v>
      </c>
      <c r="GO55">
        <f>IF('Pick List'!1929:1929,"AAAAAF7ef8Q=",0)</f>
        <v>0</v>
      </c>
      <c r="GP55">
        <f>IF('Pick List'!1930:1930,"AAAAAF7ef8U=",0)</f>
        <v>0</v>
      </c>
      <c r="GQ55">
        <f>IF('Pick List'!1931:1931,"AAAAAF7ef8Y=",0)</f>
        <v>0</v>
      </c>
      <c r="GR55">
        <f>IF('Pick List'!1932:1932,"AAAAAF7ef8c=",0)</f>
        <v>0</v>
      </c>
      <c r="GS55">
        <f>IF('Pick List'!1933:1933,"AAAAAF7ef8g=",0)</f>
        <v>0</v>
      </c>
      <c r="GT55">
        <f>IF('Pick List'!1934:1934,"AAAAAF7ef8k=",0)</f>
        <v>0</v>
      </c>
      <c r="GU55">
        <f>IF('Pick List'!1935:1935,"AAAAAF7ef8o=",0)</f>
        <v>0</v>
      </c>
      <c r="GV55">
        <f>IF('Pick List'!1936:1936,"AAAAAF7ef8s=",0)</f>
        <v>0</v>
      </c>
      <c r="GW55">
        <f>IF('Pick List'!1937:1937,"AAAAAF7ef8w=",0)</f>
        <v>0</v>
      </c>
      <c r="GX55">
        <f>IF('Pick List'!1938:1938,"AAAAAF7ef80=",0)</f>
        <v>0</v>
      </c>
      <c r="GY55">
        <f>IF('Pick List'!1939:1939,"AAAAAF7ef84=",0)</f>
        <v>0</v>
      </c>
      <c r="GZ55">
        <f>IF('Pick List'!1940:1940,"AAAAAF7ef88=",0)</f>
        <v>0</v>
      </c>
      <c r="HA55">
        <f>IF('Pick List'!1941:1941,"AAAAAF7ef9A=",0)</f>
        <v>0</v>
      </c>
      <c r="HB55">
        <f>IF('Pick List'!1942:1942,"AAAAAF7ef9E=",0)</f>
        <v>0</v>
      </c>
      <c r="HC55">
        <f>IF('Pick List'!1943:1943,"AAAAAF7ef9I=",0)</f>
        <v>0</v>
      </c>
      <c r="HD55">
        <f>IF('Pick List'!1944:1944,"AAAAAF7ef9M=",0)</f>
        <v>0</v>
      </c>
      <c r="HE55">
        <f>IF('Pick List'!1945:1945,"AAAAAF7ef9Q=",0)</f>
        <v>0</v>
      </c>
      <c r="HF55">
        <f>IF('Pick List'!1946:1946,"AAAAAF7ef9U=",0)</f>
        <v>0</v>
      </c>
      <c r="HG55">
        <f>IF('Pick List'!1947:1947,"AAAAAF7ef9Y=",0)</f>
        <v>0</v>
      </c>
      <c r="HH55">
        <f>IF('Pick List'!1948:1948,"AAAAAF7ef9c=",0)</f>
        <v>0</v>
      </c>
      <c r="HI55">
        <f>IF('Pick List'!1949:1949,"AAAAAF7ef9g=",0)</f>
        <v>0</v>
      </c>
      <c r="HJ55">
        <f>IF('Pick List'!1950:1950,"AAAAAF7ef9k=",0)</f>
        <v>0</v>
      </c>
      <c r="HK55">
        <f>IF('Pick List'!1951:1951,"AAAAAF7ef9o=",0)</f>
        <v>0</v>
      </c>
      <c r="HL55">
        <f>IF('Pick List'!1952:1952,"AAAAAF7ef9s=",0)</f>
        <v>0</v>
      </c>
      <c r="HM55">
        <f>IF('Pick List'!1953:1953,"AAAAAF7ef9w=",0)</f>
        <v>0</v>
      </c>
      <c r="HN55">
        <f>IF('Pick List'!1954:1954,"AAAAAF7ef90=",0)</f>
        <v>0</v>
      </c>
      <c r="HO55">
        <f>IF('Pick List'!1955:1955,"AAAAAF7ef94=",0)</f>
        <v>0</v>
      </c>
      <c r="HP55">
        <f>IF('Pick List'!1956:1956,"AAAAAF7ef98=",0)</f>
        <v>0</v>
      </c>
      <c r="HQ55">
        <f>IF('Pick List'!1957:1957,"AAAAAF7ef+A=",0)</f>
        <v>0</v>
      </c>
      <c r="HR55">
        <f>IF('Pick List'!1958:1958,"AAAAAF7ef+E=",0)</f>
        <v>0</v>
      </c>
      <c r="HS55">
        <f>IF('Pick List'!1959:1959,"AAAAAF7ef+I=",0)</f>
        <v>0</v>
      </c>
      <c r="HT55">
        <f>IF('Pick List'!1960:1960,"AAAAAF7ef+M=",0)</f>
        <v>0</v>
      </c>
      <c r="HU55">
        <f>IF('Pick List'!1961:1961,"AAAAAF7ef+Q=",0)</f>
        <v>0</v>
      </c>
      <c r="HV55">
        <f>IF('Pick List'!1962:1962,"AAAAAF7ef+U=",0)</f>
        <v>0</v>
      </c>
      <c r="HW55">
        <f>IF('Pick List'!1963:1963,"AAAAAF7ef+Y=",0)</f>
        <v>0</v>
      </c>
      <c r="HX55">
        <f>IF('Pick List'!1964:1964,"AAAAAF7ef+c=",0)</f>
        <v>0</v>
      </c>
      <c r="HY55">
        <f>IF('Pick List'!1965:1965,"AAAAAF7ef+g=",0)</f>
        <v>0</v>
      </c>
      <c r="HZ55">
        <f>IF('Pick List'!1966:1966,"AAAAAF7ef+k=",0)</f>
        <v>0</v>
      </c>
      <c r="IA55">
        <f>IF('Pick List'!1967:1967,"AAAAAF7ef+o=",0)</f>
        <v>0</v>
      </c>
      <c r="IB55">
        <f>IF('Pick List'!1968:1968,"AAAAAF7ef+s=",0)</f>
        <v>0</v>
      </c>
      <c r="IC55">
        <f>IF('Pick List'!1969:1969,"AAAAAF7ef+w=",0)</f>
        <v>0</v>
      </c>
      <c r="ID55">
        <f>IF('Pick List'!1970:1970,"AAAAAF7ef+0=",0)</f>
        <v>0</v>
      </c>
      <c r="IE55">
        <f>IF('Pick List'!1971:1971,"AAAAAF7ef+4=",0)</f>
        <v>0</v>
      </c>
      <c r="IF55">
        <f>IF('Pick List'!1972:1972,"AAAAAF7ef+8=",0)</f>
        <v>0</v>
      </c>
      <c r="IG55">
        <f>IF('Pick List'!1973:1973,"AAAAAF7ef/A=",0)</f>
        <v>0</v>
      </c>
      <c r="IH55">
        <f>IF('Pick List'!1974:1974,"AAAAAF7ef/E=",0)</f>
        <v>0</v>
      </c>
      <c r="II55">
        <f>IF('Pick List'!1975:1975,"AAAAAF7ef/I=",0)</f>
        <v>0</v>
      </c>
      <c r="IJ55">
        <f>IF('Pick List'!1976:1976,"AAAAAF7ef/M=",0)</f>
        <v>0</v>
      </c>
      <c r="IK55">
        <f>IF('Pick List'!1977:1977,"AAAAAF7ef/Q=",0)</f>
        <v>0</v>
      </c>
      <c r="IL55">
        <f>IF('Pick List'!1978:1978,"AAAAAF7ef/U=",0)</f>
        <v>0</v>
      </c>
      <c r="IM55">
        <f>IF('Pick List'!1979:1979,"AAAAAF7ef/Y=",0)</f>
        <v>0</v>
      </c>
      <c r="IN55">
        <f>IF('Pick List'!1980:1980,"AAAAAF7ef/c=",0)</f>
        <v>0</v>
      </c>
      <c r="IO55">
        <f>IF('Pick List'!1981:1981,"AAAAAF7ef/g=",0)</f>
        <v>0</v>
      </c>
      <c r="IP55">
        <f>IF('Pick List'!1982:1982,"AAAAAF7ef/k=",0)</f>
        <v>0</v>
      </c>
      <c r="IQ55">
        <f>IF('Pick List'!1983:1983,"AAAAAF7ef/o=",0)</f>
        <v>0</v>
      </c>
      <c r="IR55">
        <f>IF('Pick List'!1984:1984,"AAAAAF7ef/s=",0)</f>
        <v>0</v>
      </c>
      <c r="IS55">
        <f>IF('Pick List'!1985:1985,"AAAAAF7ef/w=",0)</f>
        <v>0</v>
      </c>
      <c r="IT55">
        <f>IF('Pick List'!1986:1986,"AAAAAF7ef/0=",0)</f>
        <v>0</v>
      </c>
      <c r="IU55">
        <f>IF('Pick List'!1987:1987,"AAAAAF7ef/4=",0)</f>
        <v>0</v>
      </c>
      <c r="IV55">
        <f>IF('Pick List'!1988:1988,"AAAAAF7ef/8=",0)</f>
        <v>0</v>
      </c>
    </row>
    <row r="56" spans="1:256" x14ac:dyDescent="0.2">
      <c r="A56">
        <f>IF('Pick List'!1989:1989,"AAAAAH3+7wA=",0)</f>
        <v>0</v>
      </c>
      <c r="B56">
        <f>IF('Pick List'!1990:1990,"AAAAAH3+7wE=",0)</f>
        <v>0</v>
      </c>
      <c r="C56">
        <f>IF('Pick List'!1991:1991,"AAAAAH3+7wI=",0)</f>
        <v>0</v>
      </c>
      <c r="D56">
        <f>IF('Pick List'!1992:1992,"AAAAAH3+7wM=",0)</f>
        <v>0</v>
      </c>
      <c r="E56">
        <f>IF('Pick List'!1993:1993,"AAAAAH3+7wQ=",0)</f>
        <v>0</v>
      </c>
      <c r="F56">
        <f>IF('Pick List'!1994:1994,"AAAAAH3+7wU=",0)</f>
        <v>0</v>
      </c>
      <c r="G56">
        <f>IF('Pick List'!1995:1995,"AAAAAH3+7wY=",0)</f>
        <v>0</v>
      </c>
      <c r="H56">
        <f>IF('Pick List'!1996:1996,"AAAAAH3+7wc=",0)</f>
        <v>0</v>
      </c>
      <c r="I56">
        <f>IF('Pick List'!1997:1997,"AAAAAH3+7wg=",0)</f>
        <v>0</v>
      </c>
      <c r="J56">
        <f>IF('Pick List'!1998:1998,"AAAAAH3+7wk=",0)</f>
        <v>0</v>
      </c>
      <c r="K56">
        <f>IF('Pick List'!1999:1999,"AAAAAH3+7wo=",0)</f>
        <v>0</v>
      </c>
      <c r="L56">
        <f>IF('Pick List'!2000:2000,"AAAAAH3+7ws=",0)</f>
        <v>0</v>
      </c>
      <c r="M56">
        <f>IF('Pick List'!2001:2001,"AAAAAH3+7ww=",0)</f>
        <v>0</v>
      </c>
      <c r="N56">
        <f>IF('Pick List'!2002:2002,"AAAAAH3+7w0=",0)</f>
        <v>0</v>
      </c>
      <c r="O56">
        <f>IF('Pick List'!2003:2003,"AAAAAH3+7w4=",0)</f>
        <v>0</v>
      </c>
      <c r="P56">
        <f>IF('Pick List'!2004:2004,"AAAAAH3+7w8=",0)</f>
        <v>0</v>
      </c>
      <c r="Q56">
        <f>IF('Pick List'!2005:2005,"AAAAAH3+7xA=",0)</f>
        <v>0</v>
      </c>
      <c r="R56">
        <f>IF('Pick List'!2006:2006,"AAAAAH3+7xE=",0)</f>
        <v>0</v>
      </c>
      <c r="S56">
        <f>IF('Pick List'!2007:2007,"AAAAAH3+7xI=",0)</f>
        <v>0</v>
      </c>
      <c r="T56">
        <f>IF('Pick List'!2008:2008,"AAAAAH3+7xM=",0)</f>
        <v>0</v>
      </c>
      <c r="U56">
        <f>IF('Pick List'!2009:2009,"AAAAAH3+7xQ=",0)</f>
        <v>0</v>
      </c>
      <c r="V56">
        <f>IF('Pick List'!2010:2010,"AAAAAH3+7xU=",0)</f>
        <v>0</v>
      </c>
      <c r="W56">
        <f>IF('Pick List'!2011:2011,"AAAAAH3+7xY=",0)</f>
        <v>0</v>
      </c>
      <c r="X56">
        <f>IF('Pick List'!2012:2012,"AAAAAH3+7xc=",0)</f>
        <v>0</v>
      </c>
      <c r="Y56">
        <f>IF('Pick List'!2013:2013,"AAAAAH3+7xg=",0)</f>
        <v>0</v>
      </c>
      <c r="Z56">
        <f>IF('Pick List'!2014:2014,"AAAAAH3+7xk=",0)</f>
        <v>0</v>
      </c>
      <c r="AA56">
        <f>IF('Pick List'!2015:2015,"AAAAAH3+7xo=",0)</f>
        <v>0</v>
      </c>
      <c r="AB56">
        <f>IF('Pick List'!2016:2016,"AAAAAH3+7xs=",0)</f>
        <v>0</v>
      </c>
      <c r="AC56">
        <f>IF('Pick List'!2017:2017,"AAAAAH3+7xw=",0)</f>
        <v>0</v>
      </c>
      <c r="AD56">
        <f>IF('Pick List'!2018:2018,"AAAAAH3+7x0=",0)</f>
        <v>0</v>
      </c>
      <c r="AE56">
        <f>IF('Pick List'!2019:2019,"AAAAAH3+7x4=",0)</f>
        <v>0</v>
      </c>
      <c r="AF56">
        <f>IF('Pick List'!2020:2020,"AAAAAH3+7x8=",0)</f>
        <v>0</v>
      </c>
      <c r="AG56">
        <f>IF('Pick List'!2021:2021,"AAAAAH3+7yA=",0)</f>
        <v>0</v>
      </c>
      <c r="AH56">
        <f>IF('Pick List'!2022:2022,"AAAAAH3+7yE=",0)</f>
        <v>0</v>
      </c>
      <c r="AI56">
        <f>IF('Pick List'!2023:2023,"AAAAAH3+7yI=",0)</f>
        <v>0</v>
      </c>
      <c r="AJ56">
        <f>IF('Pick List'!2024:2024,"AAAAAH3+7yM=",0)</f>
        <v>0</v>
      </c>
      <c r="AK56">
        <f>IF('Pick List'!2025:2025,"AAAAAH3+7yQ=",0)</f>
        <v>0</v>
      </c>
      <c r="AL56">
        <f>IF('Pick List'!2026:2026,"AAAAAH3+7yU=",0)</f>
        <v>0</v>
      </c>
      <c r="AM56">
        <f>IF('Pick List'!2027:2027,"AAAAAH3+7yY=",0)</f>
        <v>0</v>
      </c>
      <c r="AN56">
        <f>IF('Pick List'!2028:2028,"AAAAAH3+7yc=",0)</f>
        <v>0</v>
      </c>
      <c r="AO56">
        <f>IF('Pick List'!2029:2029,"AAAAAH3+7yg=",0)</f>
        <v>0</v>
      </c>
      <c r="AP56">
        <f>IF('Pick List'!2030:2030,"AAAAAH3+7yk=",0)</f>
        <v>0</v>
      </c>
      <c r="AQ56">
        <f>IF('Pick List'!2031:2031,"AAAAAH3+7yo=",0)</f>
        <v>0</v>
      </c>
      <c r="AR56">
        <f>IF('Pick List'!2032:2032,"AAAAAH3+7ys=",0)</f>
        <v>0</v>
      </c>
      <c r="AS56">
        <f>IF('Pick List'!2033:2033,"AAAAAH3+7yw=",0)</f>
        <v>0</v>
      </c>
      <c r="AT56">
        <f>IF('Pick List'!2034:2034,"AAAAAH3+7y0=",0)</f>
        <v>0</v>
      </c>
      <c r="AU56">
        <f>IF('Pick List'!2035:2035,"AAAAAH3+7y4=",0)</f>
        <v>0</v>
      </c>
      <c r="AV56">
        <f>IF('Pick List'!2036:2036,"AAAAAH3+7y8=",0)</f>
        <v>0</v>
      </c>
      <c r="AW56">
        <f>IF('Pick List'!2037:2037,"AAAAAH3+7zA=",0)</f>
        <v>0</v>
      </c>
      <c r="AX56">
        <f>IF('Pick List'!2038:2038,"AAAAAH3+7zE=",0)</f>
        <v>0</v>
      </c>
      <c r="AY56">
        <f>IF('Pick List'!2039:2039,"AAAAAH3+7zI=",0)</f>
        <v>0</v>
      </c>
      <c r="AZ56">
        <f>IF('Pick List'!2040:2040,"AAAAAH3+7zM=",0)</f>
        <v>0</v>
      </c>
      <c r="BA56">
        <f>IF('Pick List'!2041:2041,"AAAAAH3+7zQ=",0)</f>
        <v>0</v>
      </c>
      <c r="BB56">
        <f>IF('Pick List'!2042:2042,"AAAAAH3+7zU=",0)</f>
        <v>0</v>
      </c>
      <c r="BC56">
        <f>IF('Pick List'!2043:2043,"AAAAAH3+7zY=",0)</f>
        <v>0</v>
      </c>
      <c r="BD56">
        <f>IF('Pick List'!2044:2044,"AAAAAH3+7zc=",0)</f>
        <v>0</v>
      </c>
      <c r="BE56">
        <f>IF('Pick List'!2045:2045,"AAAAAH3+7zg=",0)</f>
        <v>0</v>
      </c>
      <c r="BF56">
        <f>IF('Pick List'!2046:2046,"AAAAAH3+7zk=",0)</f>
        <v>0</v>
      </c>
      <c r="BG56">
        <f>IF('Pick List'!2047:2047,"AAAAAH3+7zo=",0)</f>
        <v>0</v>
      </c>
      <c r="BH56">
        <f>IF('Pick List'!2048:2048,"AAAAAH3+7zs=",0)</f>
        <v>0</v>
      </c>
      <c r="BI56">
        <f>IF('Pick List'!2049:2049,"AAAAAH3+7zw=",0)</f>
        <v>0</v>
      </c>
      <c r="BJ56">
        <f>IF('Pick List'!2050:2050,"AAAAAH3+7z0=",0)</f>
        <v>0</v>
      </c>
      <c r="BK56">
        <f>IF('Pick List'!2051:2051,"AAAAAH3+7z4=",0)</f>
        <v>0</v>
      </c>
      <c r="BL56">
        <f>IF('Pick List'!2052:2052,"AAAAAH3+7z8=",0)</f>
        <v>0</v>
      </c>
      <c r="BM56">
        <f>IF('Pick List'!2053:2053,"AAAAAH3+70A=",0)</f>
        <v>0</v>
      </c>
      <c r="BN56">
        <f>IF('Pick List'!2054:2054,"AAAAAH3+70E=",0)</f>
        <v>0</v>
      </c>
      <c r="BO56">
        <f>IF('Pick List'!2055:2055,"AAAAAH3+70I=",0)</f>
        <v>0</v>
      </c>
      <c r="BP56">
        <f>IF('Pick List'!2056:2056,"AAAAAH3+70M=",0)</f>
        <v>0</v>
      </c>
      <c r="BQ56">
        <f>IF('Pick List'!2057:2057,"AAAAAH3+70Q=",0)</f>
        <v>0</v>
      </c>
      <c r="BR56">
        <f>IF('Pick List'!2058:2058,"AAAAAH3+70U=",0)</f>
        <v>0</v>
      </c>
      <c r="BS56">
        <f>IF('Pick List'!2059:2059,"AAAAAH3+70Y=",0)</f>
        <v>0</v>
      </c>
      <c r="BT56">
        <f>IF('Pick List'!2060:2060,"AAAAAH3+70c=",0)</f>
        <v>0</v>
      </c>
      <c r="BU56">
        <f>IF('Pick List'!2061:2061,"AAAAAH3+70g=",0)</f>
        <v>0</v>
      </c>
      <c r="BV56">
        <f>IF('Pick List'!2062:2062,"AAAAAH3+70k=",0)</f>
        <v>0</v>
      </c>
      <c r="BW56">
        <f>IF('Pick List'!2063:2063,"AAAAAH3+70o=",0)</f>
        <v>0</v>
      </c>
      <c r="BX56">
        <f>IF('Pick List'!2064:2064,"AAAAAH3+70s=",0)</f>
        <v>0</v>
      </c>
      <c r="BY56">
        <f>IF('Pick List'!2065:2065,"AAAAAH3+70w=",0)</f>
        <v>0</v>
      </c>
      <c r="BZ56">
        <f>IF('Pick List'!2066:2066,"AAAAAH3+700=",0)</f>
        <v>0</v>
      </c>
      <c r="CA56">
        <f>IF('Pick List'!2067:2067,"AAAAAH3+704=",0)</f>
        <v>0</v>
      </c>
      <c r="CB56">
        <f>IF('Pick List'!2068:2068,"AAAAAH3+708=",0)</f>
        <v>0</v>
      </c>
      <c r="CC56">
        <f>IF('Pick List'!2069:2069,"AAAAAH3+71A=",0)</f>
        <v>0</v>
      </c>
      <c r="CD56">
        <f>IF('Pick List'!2070:2070,"AAAAAH3+71E=",0)</f>
        <v>0</v>
      </c>
      <c r="CE56">
        <f>IF('Pick List'!2071:2071,"AAAAAH3+71I=",0)</f>
        <v>0</v>
      </c>
      <c r="CF56">
        <f>IF('Pick List'!2072:2072,"AAAAAH3+71M=",0)</f>
        <v>0</v>
      </c>
      <c r="CG56">
        <f>IF('Pick List'!2073:2073,"AAAAAH3+71Q=",0)</f>
        <v>0</v>
      </c>
      <c r="CH56">
        <f>IF('Pick List'!2074:2074,"AAAAAH3+71U=",0)</f>
        <v>0</v>
      </c>
      <c r="CI56">
        <f>IF('Pick List'!2075:2075,"AAAAAH3+71Y=",0)</f>
        <v>0</v>
      </c>
      <c r="CJ56">
        <f>IF('Pick List'!2076:2076,"AAAAAH3+71c=",0)</f>
        <v>0</v>
      </c>
      <c r="CK56">
        <f>IF('Pick List'!2077:2077,"AAAAAH3+71g=",0)</f>
        <v>0</v>
      </c>
      <c r="CL56">
        <f>IF('Pick List'!2078:2078,"AAAAAH3+71k=",0)</f>
        <v>0</v>
      </c>
      <c r="CM56">
        <f>IF('Pick List'!2079:2079,"AAAAAH3+71o=",0)</f>
        <v>0</v>
      </c>
      <c r="CN56">
        <f>IF('Pick List'!2080:2080,"AAAAAH3+71s=",0)</f>
        <v>0</v>
      </c>
      <c r="CO56">
        <f>IF('Pick List'!2081:2081,"AAAAAH3+71w=",0)</f>
        <v>0</v>
      </c>
      <c r="CP56">
        <f>IF('Pick List'!2082:2082,"AAAAAH3+710=",0)</f>
        <v>0</v>
      </c>
      <c r="CQ56">
        <f>IF('Pick List'!2083:2083,"AAAAAH3+714=",0)</f>
        <v>0</v>
      </c>
      <c r="CR56">
        <f>IF('Pick List'!2084:2084,"AAAAAH3+718=",0)</f>
        <v>0</v>
      </c>
      <c r="CS56">
        <f>IF('Pick List'!2085:2085,"AAAAAH3+72A=",0)</f>
        <v>0</v>
      </c>
      <c r="CT56">
        <f>IF('Pick List'!2086:2086,"AAAAAH3+72E=",0)</f>
        <v>0</v>
      </c>
      <c r="CU56">
        <f>IF('Pick List'!2087:2087,"AAAAAH3+72I=",0)</f>
        <v>0</v>
      </c>
      <c r="CV56">
        <f>IF('Pick List'!2088:2088,"AAAAAH3+72M=",0)</f>
        <v>0</v>
      </c>
      <c r="CW56">
        <f>IF('Pick List'!2089:2089,"AAAAAH3+72Q=",0)</f>
        <v>0</v>
      </c>
      <c r="CX56">
        <f>IF('Pick List'!2090:2090,"AAAAAH3+72U=",0)</f>
        <v>0</v>
      </c>
      <c r="CY56">
        <f>IF('Pick List'!2091:2091,"AAAAAH3+72Y=",0)</f>
        <v>0</v>
      </c>
      <c r="CZ56">
        <f>IF('Pick List'!2092:2092,"AAAAAH3+72c=",0)</f>
        <v>0</v>
      </c>
      <c r="DA56">
        <f>IF('Pick List'!2093:2093,"AAAAAH3+72g=",0)</f>
        <v>0</v>
      </c>
      <c r="DB56">
        <f>IF('Pick List'!2094:2094,"AAAAAH3+72k=",0)</f>
        <v>0</v>
      </c>
      <c r="DC56">
        <f>IF('Pick List'!2095:2095,"AAAAAH3+72o=",0)</f>
        <v>0</v>
      </c>
      <c r="DD56">
        <f>IF('Pick List'!2096:2096,"AAAAAH3+72s=",0)</f>
        <v>0</v>
      </c>
      <c r="DE56">
        <f>IF('Pick List'!2097:2097,"AAAAAH3+72w=",0)</f>
        <v>0</v>
      </c>
      <c r="DF56">
        <f>IF('Pick List'!2098:2098,"AAAAAH3+720=",0)</f>
        <v>0</v>
      </c>
      <c r="DG56">
        <f>IF('Pick List'!2099:2099,"AAAAAH3+724=",0)</f>
        <v>0</v>
      </c>
      <c r="DH56">
        <f>IF('Pick List'!2100:2100,"AAAAAH3+728=",0)</f>
        <v>0</v>
      </c>
      <c r="DI56">
        <f>IF('Pick List'!2101:2101,"AAAAAH3+73A=",0)</f>
        <v>0</v>
      </c>
      <c r="DJ56">
        <f>IF('Pick List'!2102:2102,"AAAAAH3+73E=",0)</f>
        <v>0</v>
      </c>
      <c r="DK56">
        <f>IF('Pick List'!2103:2103,"AAAAAH3+73I=",0)</f>
        <v>0</v>
      </c>
      <c r="DL56">
        <f>IF('Pick List'!2104:2104,"AAAAAH3+73M=",0)</f>
        <v>0</v>
      </c>
      <c r="DM56">
        <f>IF('Pick List'!2105:2105,"AAAAAH3+73Q=",0)</f>
        <v>0</v>
      </c>
      <c r="DN56">
        <f>IF('Pick List'!2106:2106,"AAAAAH3+73U=",0)</f>
        <v>0</v>
      </c>
      <c r="DO56">
        <f>IF('Pick List'!2107:2107,"AAAAAH3+73Y=",0)</f>
        <v>0</v>
      </c>
      <c r="DP56">
        <f>IF('Pick List'!2108:2108,"AAAAAH3+73c=",0)</f>
        <v>0</v>
      </c>
      <c r="DQ56">
        <f>IF('Pick List'!2109:2109,"AAAAAH3+73g=",0)</f>
        <v>0</v>
      </c>
      <c r="DR56">
        <f>IF('Pick List'!2110:2110,"AAAAAH3+73k=",0)</f>
        <v>0</v>
      </c>
      <c r="DS56">
        <f>IF('Pick List'!2111:2111,"AAAAAH3+73o=",0)</f>
        <v>0</v>
      </c>
      <c r="DT56">
        <f>IF('Pick List'!2112:2112,"AAAAAH3+73s=",0)</f>
        <v>0</v>
      </c>
      <c r="DU56">
        <f>IF('Pick List'!2113:2113,"AAAAAH3+73w=",0)</f>
        <v>0</v>
      </c>
      <c r="DV56">
        <f>IF('Pick List'!2114:2114,"AAAAAH3+730=",0)</f>
        <v>0</v>
      </c>
      <c r="DW56">
        <f>IF('Pick List'!2115:2115,"AAAAAH3+734=",0)</f>
        <v>0</v>
      </c>
      <c r="DX56">
        <f>IF('Pick List'!2116:2116,"AAAAAH3+738=",0)</f>
        <v>0</v>
      </c>
      <c r="DY56">
        <f>IF('Pick List'!2117:2117,"AAAAAH3+74A=",0)</f>
        <v>0</v>
      </c>
      <c r="DZ56">
        <f>IF('Pick List'!2118:2118,"AAAAAH3+74E=",0)</f>
        <v>0</v>
      </c>
      <c r="EA56">
        <f>IF('Pick List'!2119:2119,"AAAAAH3+74I=",0)</f>
        <v>0</v>
      </c>
      <c r="EB56">
        <f>IF('Pick List'!2120:2120,"AAAAAH3+74M=",0)</f>
        <v>0</v>
      </c>
      <c r="EC56">
        <f>IF('Pick List'!2121:2121,"AAAAAH3+74Q=",0)</f>
        <v>0</v>
      </c>
      <c r="ED56">
        <f>IF('Pick List'!2122:2122,"AAAAAH3+74U=",0)</f>
        <v>0</v>
      </c>
      <c r="EE56">
        <f>IF('Pick List'!2123:2123,"AAAAAH3+74Y=",0)</f>
        <v>0</v>
      </c>
      <c r="EF56">
        <f>IF('Pick List'!2124:2124,"AAAAAH3+74c=",0)</f>
        <v>0</v>
      </c>
      <c r="EG56">
        <f>IF('Pick List'!2125:2125,"AAAAAH3+74g=",0)</f>
        <v>0</v>
      </c>
      <c r="EH56">
        <f>IF('Pick List'!2126:2126,"AAAAAH3+74k=",0)</f>
        <v>0</v>
      </c>
      <c r="EI56">
        <f>IF('Pick List'!2127:2127,"AAAAAH3+74o=",0)</f>
        <v>0</v>
      </c>
      <c r="EJ56">
        <f>IF('Pick List'!2128:2128,"AAAAAH3+74s=",0)</f>
        <v>0</v>
      </c>
      <c r="EK56">
        <f>IF('Pick List'!2129:2129,"AAAAAH3+74w=",0)</f>
        <v>0</v>
      </c>
      <c r="EL56">
        <f>IF('Pick List'!2130:2130,"AAAAAH3+740=",0)</f>
        <v>0</v>
      </c>
      <c r="EM56">
        <f>IF('Pick List'!2131:2131,"AAAAAH3+744=",0)</f>
        <v>0</v>
      </c>
      <c r="EN56">
        <f>IF('Pick List'!2132:2132,"AAAAAH3+748=",0)</f>
        <v>0</v>
      </c>
      <c r="EO56">
        <f>IF('Pick List'!2133:2133,"AAAAAH3+75A=",0)</f>
        <v>0</v>
      </c>
      <c r="EP56">
        <f>IF('Pick List'!2134:2134,"AAAAAH3+75E=",0)</f>
        <v>0</v>
      </c>
      <c r="EQ56">
        <f>IF('Pick List'!2135:2135,"AAAAAH3+75I=",0)</f>
        <v>0</v>
      </c>
      <c r="ER56">
        <f>IF('Pick List'!2136:2136,"AAAAAH3+75M=",0)</f>
        <v>0</v>
      </c>
      <c r="ES56">
        <f>IF('Pick List'!2137:2137,"AAAAAH3+75Q=",0)</f>
        <v>0</v>
      </c>
      <c r="ET56">
        <f>IF('Pick List'!2138:2138,"AAAAAH3+75U=",0)</f>
        <v>0</v>
      </c>
      <c r="EU56">
        <f>IF('Pick List'!2139:2139,"AAAAAH3+75Y=",0)</f>
        <v>0</v>
      </c>
      <c r="EV56">
        <f>IF('Pick List'!2140:2140,"AAAAAH3+75c=",0)</f>
        <v>0</v>
      </c>
      <c r="EW56">
        <f>IF('Pick List'!2141:2141,"AAAAAH3+75g=",0)</f>
        <v>0</v>
      </c>
      <c r="EX56">
        <f>IF('Pick List'!2142:2142,"AAAAAH3+75k=",0)</f>
        <v>0</v>
      </c>
      <c r="EY56">
        <f>IF('Pick List'!2143:2143,"AAAAAH3+75o=",0)</f>
        <v>0</v>
      </c>
      <c r="EZ56">
        <f>IF('Pick List'!2144:2144,"AAAAAH3+75s=",0)</f>
        <v>0</v>
      </c>
      <c r="FA56">
        <f>IF('Pick List'!2145:2145,"AAAAAH3+75w=",0)</f>
        <v>0</v>
      </c>
      <c r="FB56">
        <f>IF('Pick List'!2146:2146,"AAAAAH3+750=",0)</f>
        <v>0</v>
      </c>
      <c r="FC56">
        <f>IF('Pick List'!2147:2147,"AAAAAH3+754=",0)</f>
        <v>0</v>
      </c>
      <c r="FD56">
        <f>IF('Pick List'!2148:2148,"AAAAAH3+758=",0)</f>
        <v>0</v>
      </c>
      <c r="FE56">
        <f>IF('Pick List'!2149:2149,"AAAAAH3+76A=",0)</f>
        <v>0</v>
      </c>
      <c r="FF56">
        <f>IF('Pick List'!2150:2150,"AAAAAH3+76E=",0)</f>
        <v>0</v>
      </c>
      <c r="FG56">
        <f>IF('Pick List'!2151:2151,"AAAAAH3+76I=",0)</f>
        <v>0</v>
      </c>
      <c r="FH56">
        <f>IF('Pick List'!2152:2152,"AAAAAH3+76M=",0)</f>
        <v>0</v>
      </c>
      <c r="FI56">
        <f>IF('Pick List'!2153:2153,"AAAAAH3+76Q=",0)</f>
        <v>0</v>
      </c>
      <c r="FJ56">
        <f>IF('Pick List'!2154:2154,"AAAAAH3+76U=",0)</f>
        <v>0</v>
      </c>
      <c r="FK56">
        <f>IF('Pick List'!2155:2155,"AAAAAH3+76Y=",0)</f>
        <v>0</v>
      </c>
      <c r="FL56">
        <f>IF('Pick List'!2156:2156,"AAAAAH3+76c=",0)</f>
        <v>0</v>
      </c>
      <c r="FM56">
        <f>IF('Pick List'!2157:2157,"AAAAAH3+76g=",0)</f>
        <v>0</v>
      </c>
      <c r="FN56">
        <f>IF('Pick List'!2158:2158,"AAAAAH3+76k=",0)</f>
        <v>0</v>
      </c>
      <c r="FO56">
        <f>IF('Pick List'!2159:2159,"AAAAAH3+76o=",0)</f>
        <v>0</v>
      </c>
      <c r="FP56">
        <f>IF('Pick List'!2160:2160,"AAAAAH3+76s=",0)</f>
        <v>0</v>
      </c>
      <c r="FQ56">
        <f>IF('Pick List'!2161:2161,"AAAAAH3+76w=",0)</f>
        <v>0</v>
      </c>
      <c r="FR56">
        <f>IF('Pick List'!2162:2162,"AAAAAH3+760=",0)</f>
        <v>0</v>
      </c>
      <c r="FS56">
        <f>IF('Pick List'!2163:2163,"AAAAAH3+764=",0)</f>
        <v>0</v>
      </c>
      <c r="FT56">
        <f>IF('Pick List'!2164:2164,"AAAAAH3+768=",0)</f>
        <v>0</v>
      </c>
      <c r="FU56">
        <f>IF('Pick List'!2165:2165,"AAAAAH3+77A=",0)</f>
        <v>0</v>
      </c>
      <c r="FV56">
        <f>IF('Pick List'!2166:2166,"AAAAAH3+77E=",0)</f>
        <v>0</v>
      </c>
      <c r="FW56">
        <f>IF('Pick List'!2167:2167,"AAAAAH3+77I=",0)</f>
        <v>0</v>
      </c>
      <c r="FX56">
        <f>IF('Pick List'!2168:2168,"AAAAAH3+77M=",0)</f>
        <v>0</v>
      </c>
      <c r="FY56">
        <f>IF('Pick List'!2169:2169,"AAAAAH3+77Q=",0)</f>
        <v>0</v>
      </c>
      <c r="FZ56">
        <f>IF('Pick List'!2170:2170,"AAAAAH3+77U=",0)</f>
        <v>0</v>
      </c>
      <c r="GA56">
        <f>IF('Pick List'!2171:2171,"AAAAAH3+77Y=",0)</f>
        <v>0</v>
      </c>
      <c r="GB56">
        <f>IF('Pick List'!2172:2172,"AAAAAH3+77c=",0)</f>
        <v>0</v>
      </c>
      <c r="GC56">
        <f>IF('Pick List'!2173:2173,"AAAAAH3+77g=",0)</f>
        <v>0</v>
      </c>
      <c r="GD56">
        <f>IF('Pick List'!2174:2174,"AAAAAH3+77k=",0)</f>
        <v>0</v>
      </c>
      <c r="GE56">
        <f>IF('Pick List'!2175:2175,"AAAAAH3+77o=",0)</f>
        <v>0</v>
      </c>
      <c r="GF56">
        <f>IF('Pick List'!2176:2176,"AAAAAH3+77s=",0)</f>
        <v>0</v>
      </c>
      <c r="GG56">
        <f>IF('Pick List'!2177:2177,"AAAAAH3+77w=",0)</f>
        <v>0</v>
      </c>
      <c r="GH56">
        <f>IF('Pick List'!2178:2178,"AAAAAH3+770=",0)</f>
        <v>0</v>
      </c>
      <c r="GI56">
        <f>IF('Pick List'!2179:2179,"AAAAAH3+774=",0)</f>
        <v>0</v>
      </c>
      <c r="GJ56">
        <f>IF('Pick List'!2180:2180,"AAAAAH3+778=",0)</f>
        <v>0</v>
      </c>
      <c r="GK56">
        <f>IF('Pick List'!2181:2181,"AAAAAH3+78A=",0)</f>
        <v>0</v>
      </c>
      <c r="GL56">
        <f>IF('Pick List'!2182:2182,"AAAAAH3+78E=",0)</f>
        <v>0</v>
      </c>
      <c r="GM56">
        <f>IF('Pick List'!2183:2183,"AAAAAH3+78I=",0)</f>
        <v>0</v>
      </c>
      <c r="GN56">
        <f>IF('Pick List'!2184:2184,"AAAAAH3+78M=",0)</f>
        <v>0</v>
      </c>
      <c r="GO56">
        <f>IF('Pick List'!2185:2185,"AAAAAH3+78Q=",0)</f>
        <v>0</v>
      </c>
      <c r="GP56">
        <f>IF('Pick List'!2186:2186,"AAAAAH3+78U=",0)</f>
        <v>0</v>
      </c>
      <c r="GQ56">
        <f>IF('Pick List'!2187:2187,"AAAAAH3+78Y=",0)</f>
        <v>0</v>
      </c>
      <c r="GR56">
        <f>IF('Pick List'!2188:2188,"AAAAAH3+78c=",0)</f>
        <v>0</v>
      </c>
      <c r="GS56">
        <f>IF('Pick List'!2189:2189,"AAAAAH3+78g=",0)</f>
        <v>0</v>
      </c>
      <c r="GT56">
        <f>IF('Pick List'!2190:2190,"AAAAAH3+78k=",0)</f>
        <v>0</v>
      </c>
      <c r="GU56">
        <f>IF('Pick List'!2191:2191,"AAAAAH3+78o=",0)</f>
        <v>0</v>
      </c>
      <c r="GV56">
        <f>IF('Pick List'!2192:2192,"AAAAAH3+78s=",0)</f>
        <v>0</v>
      </c>
      <c r="GW56">
        <f>IF('Pick List'!2193:2193,"AAAAAH3+78w=",0)</f>
        <v>0</v>
      </c>
      <c r="GX56">
        <f>IF('Pick List'!2194:2194,"AAAAAH3+780=",0)</f>
        <v>0</v>
      </c>
      <c r="GY56">
        <f>IF('Pick List'!2195:2195,"AAAAAH3+784=",0)</f>
        <v>0</v>
      </c>
      <c r="GZ56">
        <f>IF('Pick List'!2196:2196,"AAAAAH3+788=",0)</f>
        <v>0</v>
      </c>
      <c r="HA56">
        <f>IF('Pick List'!2197:2197,"AAAAAH3+79A=",0)</f>
        <v>0</v>
      </c>
      <c r="HB56">
        <f>IF('Pick List'!2198:2198,"AAAAAH3+79E=",0)</f>
        <v>0</v>
      </c>
      <c r="HC56">
        <f>IF('Pick List'!2199:2199,"AAAAAH3+79I=",0)</f>
        <v>0</v>
      </c>
      <c r="HD56">
        <f>IF('Pick List'!2200:2200,"AAAAAH3+79M=",0)</f>
        <v>0</v>
      </c>
      <c r="HE56">
        <f>IF('Pick List'!2201:2201,"AAAAAH3+79Q=",0)</f>
        <v>0</v>
      </c>
      <c r="HF56">
        <f>IF('Pick List'!2202:2202,"AAAAAH3+79U=",0)</f>
        <v>0</v>
      </c>
      <c r="HG56">
        <f>IF('Pick List'!2203:2203,"AAAAAH3+79Y=",0)</f>
        <v>0</v>
      </c>
      <c r="HH56">
        <f>IF('Pick List'!2204:2204,"AAAAAH3+79c=",0)</f>
        <v>0</v>
      </c>
      <c r="HI56">
        <f>IF('Pick List'!2205:2205,"AAAAAH3+79g=",0)</f>
        <v>0</v>
      </c>
      <c r="HJ56">
        <f>IF('Pick List'!2206:2206,"AAAAAH3+79k=",0)</f>
        <v>0</v>
      </c>
      <c r="HK56">
        <f>IF('Pick List'!2207:2207,"AAAAAH3+79o=",0)</f>
        <v>0</v>
      </c>
      <c r="HL56">
        <f>IF('Pick List'!2208:2208,"AAAAAH3+79s=",0)</f>
        <v>0</v>
      </c>
      <c r="HM56">
        <f>IF('Pick List'!2209:2209,"AAAAAH3+79w=",0)</f>
        <v>0</v>
      </c>
      <c r="HN56">
        <f>IF('Pick List'!2210:2210,"AAAAAH3+790=",0)</f>
        <v>0</v>
      </c>
      <c r="HO56">
        <f>IF('Pick List'!2211:2211,"AAAAAH3+794=",0)</f>
        <v>0</v>
      </c>
      <c r="HP56">
        <f>IF('Pick List'!2212:2212,"AAAAAH3+798=",0)</f>
        <v>0</v>
      </c>
      <c r="HQ56">
        <f>IF('Pick List'!2213:2213,"AAAAAH3+7+A=",0)</f>
        <v>0</v>
      </c>
      <c r="HR56">
        <f>IF('Pick List'!2214:2214,"AAAAAH3+7+E=",0)</f>
        <v>0</v>
      </c>
      <c r="HS56">
        <f>IF('Pick List'!2215:2215,"AAAAAH3+7+I=",0)</f>
        <v>0</v>
      </c>
      <c r="HT56">
        <f>IF('Pick List'!2216:2216,"AAAAAH3+7+M=",0)</f>
        <v>0</v>
      </c>
      <c r="HU56">
        <f>IF('Pick List'!2217:2217,"AAAAAH3+7+Q=",0)</f>
        <v>0</v>
      </c>
      <c r="HV56">
        <f>IF('Pick List'!2218:2218,"AAAAAH3+7+U=",0)</f>
        <v>0</v>
      </c>
      <c r="HW56">
        <f>IF('Pick List'!2219:2219,"AAAAAH3+7+Y=",0)</f>
        <v>0</v>
      </c>
      <c r="HX56">
        <f>IF('Pick List'!2220:2220,"AAAAAH3+7+c=",0)</f>
        <v>0</v>
      </c>
      <c r="HY56">
        <f>IF('Pick List'!2221:2221,"AAAAAH3+7+g=",0)</f>
        <v>0</v>
      </c>
      <c r="HZ56">
        <f>IF('Pick List'!2222:2222,"AAAAAH3+7+k=",0)</f>
        <v>0</v>
      </c>
      <c r="IA56">
        <f>IF('Pick List'!2223:2223,"AAAAAH3+7+o=",0)</f>
        <v>0</v>
      </c>
      <c r="IB56">
        <f>IF('Pick List'!2224:2224,"AAAAAH3+7+s=",0)</f>
        <v>0</v>
      </c>
      <c r="IC56">
        <f>IF('Pick List'!2225:2225,"AAAAAH3+7+w=",0)</f>
        <v>0</v>
      </c>
      <c r="ID56">
        <f>IF('Pick List'!2226:2226,"AAAAAH3+7+0=",0)</f>
        <v>0</v>
      </c>
      <c r="IE56">
        <f>IF('Pick List'!2227:2227,"AAAAAH3+7+4=",0)</f>
        <v>0</v>
      </c>
      <c r="IF56">
        <f>IF('Pick List'!2228:2228,"AAAAAH3+7+8=",0)</f>
        <v>0</v>
      </c>
      <c r="IG56">
        <f>IF('Pick List'!2229:2229,"AAAAAH3+7/A=",0)</f>
        <v>0</v>
      </c>
      <c r="IH56">
        <f>IF('Pick List'!2230:2230,"AAAAAH3+7/E=",0)</f>
        <v>0</v>
      </c>
      <c r="II56">
        <f>IF('Pick List'!2231:2231,"AAAAAH3+7/I=",0)</f>
        <v>0</v>
      </c>
      <c r="IJ56">
        <f>IF('Pick List'!2232:2232,"AAAAAH3+7/M=",0)</f>
        <v>0</v>
      </c>
      <c r="IK56">
        <f>IF('Pick List'!2233:2233,"AAAAAH3+7/Q=",0)</f>
        <v>0</v>
      </c>
      <c r="IL56">
        <f>IF('Pick List'!2234:2234,"AAAAAH3+7/U=",0)</f>
        <v>0</v>
      </c>
      <c r="IM56">
        <f>IF('Pick List'!2235:2235,"AAAAAH3+7/Y=",0)</f>
        <v>0</v>
      </c>
      <c r="IN56">
        <f>IF('Pick List'!2236:2236,"AAAAAH3+7/c=",0)</f>
        <v>0</v>
      </c>
      <c r="IO56">
        <f>IF('Pick List'!2237:2237,"AAAAAH3+7/g=",0)</f>
        <v>0</v>
      </c>
      <c r="IP56">
        <f>IF('Pick List'!2238:2238,"AAAAAH3+7/k=",0)</f>
        <v>0</v>
      </c>
      <c r="IQ56">
        <f>IF('Pick List'!2239:2239,"AAAAAH3+7/o=",0)</f>
        <v>0</v>
      </c>
      <c r="IR56">
        <f>IF('Pick List'!2240:2240,"AAAAAH3+7/s=",0)</f>
        <v>0</v>
      </c>
      <c r="IS56">
        <f>IF('Pick List'!2241:2241,"AAAAAH3+7/w=",0)</f>
        <v>0</v>
      </c>
      <c r="IT56">
        <f>IF('Pick List'!2242:2242,"AAAAAH3+7/0=",0)</f>
        <v>0</v>
      </c>
      <c r="IU56">
        <f>IF('Pick List'!2243:2243,"AAAAAH3+7/4=",0)</f>
        <v>0</v>
      </c>
      <c r="IV56">
        <f>IF('Pick List'!2244:2244,"AAAAAH3+7/8=",0)</f>
        <v>0</v>
      </c>
    </row>
    <row r="57" spans="1:256" x14ac:dyDescent="0.2">
      <c r="A57">
        <f>IF('Pick List'!2245:2245,"AAAAAHXO/gA=",0)</f>
        <v>0</v>
      </c>
      <c r="B57">
        <f>IF('Pick List'!2246:2246,"AAAAAHXO/gE=",0)</f>
        <v>0</v>
      </c>
      <c r="C57">
        <f>IF('Pick List'!2247:2247,"AAAAAHXO/gI=",0)</f>
        <v>0</v>
      </c>
      <c r="D57">
        <f>IF('Pick List'!2248:2248,"AAAAAHXO/gM=",0)</f>
        <v>0</v>
      </c>
      <c r="E57">
        <f>IF('Pick List'!2249:2249,"AAAAAHXO/gQ=",0)</f>
        <v>0</v>
      </c>
      <c r="F57">
        <f>IF('Pick List'!2250:2250,"AAAAAHXO/gU=",0)</f>
        <v>0</v>
      </c>
      <c r="G57">
        <f>IF('Pick List'!2251:2251,"AAAAAHXO/gY=",0)</f>
        <v>0</v>
      </c>
      <c r="H57">
        <f>IF('Pick List'!2252:2252,"AAAAAHXO/gc=",0)</f>
        <v>0</v>
      </c>
      <c r="I57">
        <f>IF('Pick List'!2253:2253,"AAAAAHXO/gg=",0)</f>
        <v>0</v>
      </c>
      <c r="J57">
        <f>IF('Pick List'!2254:2254,"AAAAAHXO/gk=",0)</f>
        <v>0</v>
      </c>
      <c r="K57">
        <f>IF('Pick List'!2255:2255,"AAAAAHXO/go=",0)</f>
        <v>0</v>
      </c>
      <c r="L57">
        <f>IF('Pick List'!2256:2256,"AAAAAHXO/gs=",0)</f>
        <v>0</v>
      </c>
      <c r="M57">
        <f>IF('Pick List'!2257:2257,"AAAAAHXO/gw=",0)</f>
        <v>0</v>
      </c>
      <c r="N57">
        <f>IF('Pick List'!2258:2258,"AAAAAHXO/g0=",0)</f>
        <v>0</v>
      </c>
      <c r="O57">
        <f>IF('Pick List'!2259:2259,"AAAAAHXO/g4=",0)</f>
        <v>0</v>
      </c>
      <c r="P57">
        <f>IF('Pick List'!2260:2260,"AAAAAHXO/g8=",0)</f>
        <v>0</v>
      </c>
      <c r="Q57">
        <f>IF('Pick List'!2261:2261,"AAAAAHXO/hA=",0)</f>
        <v>0</v>
      </c>
      <c r="R57">
        <f>IF('Pick List'!2262:2262,"AAAAAHXO/hE=",0)</f>
        <v>0</v>
      </c>
      <c r="S57">
        <f>IF('Pick List'!2263:2263,"AAAAAHXO/hI=",0)</f>
        <v>0</v>
      </c>
      <c r="T57">
        <f>IF('Pick List'!2264:2264,"AAAAAHXO/hM=",0)</f>
        <v>0</v>
      </c>
      <c r="U57">
        <f>IF('Pick List'!2265:2265,"AAAAAHXO/hQ=",0)</f>
        <v>0</v>
      </c>
      <c r="V57">
        <f>IF('Pick List'!2266:2266,"AAAAAHXO/hU=",0)</f>
        <v>0</v>
      </c>
      <c r="W57">
        <f>IF('Pick List'!2267:2267,"AAAAAHXO/hY=",0)</f>
        <v>0</v>
      </c>
      <c r="X57">
        <f>IF('Pick List'!2268:2268,"AAAAAHXO/hc=",0)</f>
        <v>0</v>
      </c>
      <c r="Y57">
        <f>IF('Pick List'!2269:2269,"AAAAAHXO/hg=",0)</f>
        <v>0</v>
      </c>
      <c r="Z57">
        <f>IF('Pick List'!2270:2270,"AAAAAHXO/hk=",0)</f>
        <v>0</v>
      </c>
      <c r="AA57">
        <f>IF('Pick List'!2271:2271,"AAAAAHXO/ho=",0)</f>
        <v>0</v>
      </c>
      <c r="AB57">
        <f>IF('Pick List'!2272:2272,"AAAAAHXO/hs=",0)</f>
        <v>0</v>
      </c>
      <c r="AC57">
        <f>IF('Pick List'!2273:2273,"AAAAAHXO/hw=",0)</f>
        <v>0</v>
      </c>
      <c r="AD57">
        <f>IF('Pick List'!2274:2274,"AAAAAHXO/h0=",0)</f>
        <v>0</v>
      </c>
      <c r="AE57">
        <f>IF('Pick List'!2275:2275,"AAAAAHXO/h4=",0)</f>
        <v>0</v>
      </c>
      <c r="AF57">
        <f>IF('Pick List'!2276:2276,"AAAAAHXO/h8=",0)</f>
        <v>0</v>
      </c>
      <c r="AG57">
        <f>IF('Pick List'!2277:2277,"AAAAAHXO/iA=",0)</f>
        <v>0</v>
      </c>
      <c r="AH57">
        <f>IF('Pick List'!2278:2278,"AAAAAHXO/iE=",0)</f>
        <v>0</v>
      </c>
      <c r="AI57">
        <f>IF('Pick List'!2279:2279,"AAAAAHXO/iI=",0)</f>
        <v>0</v>
      </c>
      <c r="AJ57">
        <f>IF('Pick List'!2280:2280,"AAAAAHXO/iM=",0)</f>
        <v>0</v>
      </c>
      <c r="AK57">
        <f>IF('Pick List'!2281:2281,"AAAAAHXO/iQ=",0)</f>
        <v>0</v>
      </c>
      <c r="AL57">
        <f>IF('Pick List'!2282:2282,"AAAAAHXO/iU=",0)</f>
        <v>0</v>
      </c>
      <c r="AM57">
        <f>IF('Pick List'!2283:2283,"AAAAAHXO/iY=",0)</f>
        <v>0</v>
      </c>
      <c r="AN57">
        <f>IF('Pick List'!2284:2284,"AAAAAHXO/ic=",0)</f>
        <v>0</v>
      </c>
      <c r="AO57">
        <f>IF('Pick List'!2285:2285,"AAAAAHXO/ig=",0)</f>
        <v>0</v>
      </c>
      <c r="AP57">
        <f>IF('Pick List'!2286:2286,"AAAAAHXO/ik=",0)</f>
        <v>0</v>
      </c>
      <c r="AQ57">
        <f>IF('Pick List'!2287:2287,"AAAAAHXO/io=",0)</f>
        <v>0</v>
      </c>
      <c r="AR57">
        <f>IF('Pick List'!2288:2288,"AAAAAHXO/is=",0)</f>
        <v>0</v>
      </c>
      <c r="AS57">
        <f>IF('Pick List'!2289:2289,"AAAAAHXO/iw=",0)</f>
        <v>0</v>
      </c>
      <c r="AT57">
        <f>IF('Pick List'!2290:2290,"AAAAAHXO/i0=",0)</f>
        <v>0</v>
      </c>
      <c r="AU57">
        <f>IF('Pick List'!2291:2291,"AAAAAHXO/i4=",0)</f>
        <v>0</v>
      </c>
      <c r="AV57">
        <f>IF('Pick List'!2292:2292,"AAAAAHXO/i8=",0)</f>
        <v>0</v>
      </c>
      <c r="AW57">
        <f>IF('Pick List'!2293:2293,"AAAAAHXO/jA=",0)</f>
        <v>0</v>
      </c>
      <c r="AX57">
        <f>IF('Pick List'!2294:2294,"AAAAAHXO/jE=",0)</f>
        <v>0</v>
      </c>
      <c r="AY57">
        <f>IF('Pick List'!2295:2295,"AAAAAHXO/jI=",0)</f>
        <v>0</v>
      </c>
      <c r="AZ57">
        <f>IF('Pick List'!2296:2296,"AAAAAHXO/jM=",0)</f>
        <v>0</v>
      </c>
      <c r="BA57">
        <f>IF('Pick List'!2297:2297,"AAAAAHXO/jQ=",0)</f>
        <v>0</v>
      </c>
      <c r="BB57">
        <f>IF('Pick List'!2298:2298,"AAAAAHXO/jU=",0)</f>
        <v>0</v>
      </c>
      <c r="BC57">
        <f>IF('Pick List'!2299:2299,"AAAAAHXO/jY=",0)</f>
        <v>0</v>
      </c>
      <c r="BD57">
        <f>IF('Pick List'!2300:2300,"AAAAAHXO/jc=",0)</f>
        <v>0</v>
      </c>
      <c r="BE57">
        <f>IF('Pick List'!2301:2301,"AAAAAHXO/jg=",0)</f>
        <v>0</v>
      </c>
      <c r="BF57">
        <f>IF('Pick List'!2302:2302,"AAAAAHXO/jk=",0)</f>
        <v>0</v>
      </c>
      <c r="BG57">
        <f>IF('Pick List'!2303:2303,"AAAAAHXO/jo=",0)</f>
        <v>0</v>
      </c>
      <c r="BH57">
        <f>IF('Pick List'!2304:2304,"AAAAAHXO/js=",0)</f>
        <v>0</v>
      </c>
      <c r="BI57">
        <f>IF('Pick List'!2305:2305,"AAAAAHXO/jw=",0)</f>
        <v>0</v>
      </c>
      <c r="BJ57">
        <f>IF('Pick List'!2306:2306,"AAAAAHXO/j0=",0)</f>
        <v>0</v>
      </c>
      <c r="BK57">
        <f>IF('Pick List'!2307:2307,"AAAAAHXO/j4=",0)</f>
        <v>0</v>
      </c>
      <c r="BL57">
        <f>IF('Pick List'!2308:2308,"AAAAAHXO/j8=",0)</f>
        <v>0</v>
      </c>
      <c r="BM57">
        <f>IF('Pick List'!2309:2309,"AAAAAHXO/kA=",0)</f>
        <v>0</v>
      </c>
      <c r="BN57">
        <f>IF('Pick List'!2310:2310,"AAAAAHXO/kE=",0)</f>
        <v>0</v>
      </c>
      <c r="BO57">
        <f>IF('Pick List'!2311:2311,"AAAAAHXO/kI=",0)</f>
        <v>0</v>
      </c>
      <c r="BP57">
        <f>IF('Pick List'!2312:2312,"AAAAAHXO/kM=",0)</f>
        <v>0</v>
      </c>
      <c r="BQ57">
        <f>IF('Pick List'!2313:2313,"AAAAAHXO/kQ=",0)</f>
        <v>0</v>
      </c>
      <c r="BR57">
        <f>IF('Pick List'!2314:2314,"AAAAAHXO/kU=",0)</f>
        <v>0</v>
      </c>
      <c r="BS57">
        <f>IF('Pick List'!2315:2315,"AAAAAHXO/kY=",0)</f>
        <v>0</v>
      </c>
      <c r="BT57">
        <f>IF('Pick List'!2316:2316,"AAAAAHXO/kc=",0)</f>
        <v>0</v>
      </c>
      <c r="BU57">
        <f>IF('Pick List'!2317:2317,"AAAAAHXO/kg=",0)</f>
        <v>0</v>
      </c>
      <c r="BV57">
        <f>IF('Pick List'!2318:2318,"AAAAAHXO/kk=",0)</f>
        <v>0</v>
      </c>
      <c r="BW57">
        <f>IF('Pick List'!2319:2319,"AAAAAHXO/ko=",0)</f>
        <v>0</v>
      </c>
      <c r="BX57">
        <f>IF('Pick List'!2320:2320,"AAAAAHXO/ks=",0)</f>
        <v>0</v>
      </c>
      <c r="BY57">
        <f>IF('Pick List'!2321:2321,"AAAAAHXO/kw=",0)</f>
        <v>0</v>
      </c>
      <c r="BZ57">
        <f>IF('Pick List'!2322:2322,"AAAAAHXO/k0=",0)</f>
        <v>0</v>
      </c>
      <c r="CA57">
        <f>IF('Pick List'!2323:2323,"AAAAAHXO/k4=",0)</f>
        <v>0</v>
      </c>
      <c r="CB57">
        <f>IF('Pick List'!2324:2324,"AAAAAHXO/k8=",0)</f>
        <v>0</v>
      </c>
      <c r="CC57">
        <f>IF('Pick List'!2325:2325,"AAAAAHXO/lA=",0)</f>
        <v>0</v>
      </c>
      <c r="CD57">
        <f>IF('Pick List'!2326:2326,"AAAAAHXO/lE=",0)</f>
        <v>0</v>
      </c>
      <c r="CE57">
        <f>IF('Pick List'!2327:2327,"AAAAAHXO/lI=",0)</f>
        <v>0</v>
      </c>
      <c r="CF57">
        <f>IF('Pick List'!2328:2328,"AAAAAHXO/lM=",0)</f>
        <v>0</v>
      </c>
      <c r="CG57">
        <f>IF('Pick List'!2329:2329,"AAAAAHXO/lQ=",0)</f>
        <v>0</v>
      </c>
      <c r="CH57">
        <f>IF('Pick List'!2330:2330,"AAAAAHXO/lU=",0)</f>
        <v>0</v>
      </c>
      <c r="CI57">
        <f>IF('Pick List'!2331:2331,"AAAAAHXO/lY=",0)</f>
        <v>0</v>
      </c>
      <c r="CJ57">
        <f>IF('Pick List'!2332:2332,"AAAAAHXO/lc=",0)</f>
        <v>0</v>
      </c>
      <c r="CK57">
        <f>IF('Pick List'!2333:2333,"AAAAAHXO/lg=",0)</f>
        <v>0</v>
      </c>
      <c r="CL57">
        <f>IF('Pick List'!2334:2334,"AAAAAHXO/lk=",0)</f>
        <v>0</v>
      </c>
      <c r="CM57">
        <f>IF('Pick List'!2335:2335,"AAAAAHXO/lo=",0)</f>
        <v>0</v>
      </c>
      <c r="CN57">
        <f>IF('Pick List'!2336:2336,"AAAAAHXO/ls=",0)</f>
        <v>0</v>
      </c>
      <c r="CO57">
        <f>IF('Pick List'!2337:2337,"AAAAAHXO/lw=",0)</f>
        <v>0</v>
      </c>
      <c r="CP57">
        <f>IF('Pick List'!2338:2338,"AAAAAHXO/l0=",0)</f>
        <v>0</v>
      </c>
      <c r="CQ57">
        <f>IF('Pick List'!2339:2339,"AAAAAHXO/l4=",0)</f>
        <v>0</v>
      </c>
      <c r="CR57">
        <f>IF('Pick List'!2340:2340,"AAAAAHXO/l8=",0)</f>
        <v>0</v>
      </c>
      <c r="CS57">
        <f>IF('Pick List'!2341:2341,"AAAAAHXO/mA=",0)</f>
        <v>0</v>
      </c>
      <c r="CT57">
        <f>IF('Pick List'!2342:2342,"AAAAAHXO/mE=",0)</f>
        <v>0</v>
      </c>
      <c r="CU57">
        <f>IF('Pick List'!2343:2343,"AAAAAHXO/mI=",0)</f>
        <v>0</v>
      </c>
      <c r="CV57">
        <f>IF('Pick List'!2344:2344,"AAAAAHXO/mM=",0)</f>
        <v>0</v>
      </c>
      <c r="CW57">
        <f>IF('Pick List'!2345:2345,"AAAAAHXO/mQ=",0)</f>
        <v>0</v>
      </c>
      <c r="CX57">
        <f>IF('Pick List'!2346:2346,"AAAAAHXO/mU=",0)</f>
        <v>0</v>
      </c>
      <c r="CY57">
        <f>IF('Pick List'!2347:2347,"AAAAAHXO/mY=",0)</f>
        <v>0</v>
      </c>
      <c r="CZ57">
        <f>IF('Pick List'!2348:2348,"AAAAAHXO/mc=",0)</f>
        <v>0</v>
      </c>
      <c r="DA57">
        <f>IF('Pick List'!2349:2349,"AAAAAHXO/mg=",0)</f>
        <v>0</v>
      </c>
      <c r="DB57">
        <f>IF('Pick List'!2350:2350,"AAAAAHXO/mk=",0)</f>
        <v>0</v>
      </c>
      <c r="DC57">
        <f>IF('Pick List'!2351:2351,"AAAAAHXO/mo=",0)</f>
        <v>0</v>
      </c>
      <c r="DD57">
        <f>IF('Pick List'!2352:2352,"AAAAAHXO/ms=",0)</f>
        <v>0</v>
      </c>
      <c r="DE57">
        <f>IF('Pick List'!2353:2353,"AAAAAHXO/mw=",0)</f>
        <v>0</v>
      </c>
      <c r="DF57">
        <f>IF('Pick List'!2354:2354,"AAAAAHXO/m0=",0)</f>
        <v>0</v>
      </c>
      <c r="DG57">
        <f>IF('Pick List'!2355:2355,"AAAAAHXO/m4=",0)</f>
        <v>0</v>
      </c>
      <c r="DH57">
        <f>IF('Pick List'!2356:2356,"AAAAAHXO/m8=",0)</f>
        <v>0</v>
      </c>
      <c r="DI57">
        <f>IF('Pick List'!2357:2357,"AAAAAHXO/nA=",0)</f>
        <v>0</v>
      </c>
      <c r="DJ57">
        <f>IF('Pick List'!2358:2358,"AAAAAHXO/nE=",0)</f>
        <v>0</v>
      </c>
      <c r="DK57">
        <f>IF('Pick List'!2359:2359,"AAAAAHXO/nI=",0)</f>
        <v>0</v>
      </c>
      <c r="DL57">
        <f>IF('Pick List'!2360:2360,"AAAAAHXO/nM=",0)</f>
        <v>0</v>
      </c>
      <c r="DM57">
        <f>IF('Pick List'!2361:2361,"AAAAAHXO/nQ=",0)</f>
        <v>0</v>
      </c>
      <c r="DN57">
        <f>IF('Pick List'!2362:2362,"AAAAAHXO/nU=",0)</f>
        <v>0</v>
      </c>
      <c r="DO57">
        <f>IF('Pick List'!2363:2363,"AAAAAHXO/nY=",0)</f>
        <v>0</v>
      </c>
      <c r="DP57">
        <f>IF('Pick List'!2364:2364,"AAAAAHXO/nc=",0)</f>
        <v>0</v>
      </c>
      <c r="DQ57">
        <f>IF('Pick List'!2365:2365,"AAAAAHXO/ng=",0)</f>
        <v>0</v>
      </c>
      <c r="DR57">
        <f>IF('Pick List'!2366:2366,"AAAAAHXO/nk=",0)</f>
        <v>0</v>
      </c>
      <c r="DS57">
        <f>IF('Pick List'!2367:2367,"AAAAAHXO/no=",0)</f>
        <v>0</v>
      </c>
      <c r="DT57">
        <f>IF('Pick List'!2368:2368,"AAAAAHXO/ns=",0)</f>
        <v>0</v>
      </c>
      <c r="DU57">
        <f>IF('Pick List'!2369:2369,"AAAAAHXO/nw=",0)</f>
        <v>0</v>
      </c>
      <c r="DV57">
        <f>IF('Pick List'!2370:2370,"AAAAAHXO/n0=",0)</f>
        <v>0</v>
      </c>
      <c r="DW57">
        <f>IF('Pick List'!2371:2371,"AAAAAHXO/n4=",0)</f>
        <v>0</v>
      </c>
      <c r="DX57">
        <f>IF('Pick List'!2372:2372,"AAAAAHXO/n8=",0)</f>
        <v>0</v>
      </c>
      <c r="DY57">
        <f>IF('Pick List'!2373:2373,"AAAAAHXO/oA=",0)</f>
        <v>0</v>
      </c>
      <c r="DZ57">
        <f>IF('Pick List'!2374:2374,"AAAAAHXO/oE=",0)</f>
        <v>0</v>
      </c>
      <c r="EA57">
        <f>IF('Pick List'!2375:2375,"AAAAAHXO/oI=",0)</f>
        <v>0</v>
      </c>
      <c r="EB57">
        <f>IF('Pick List'!2376:2376,"AAAAAHXO/oM=",0)</f>
        <v>0</v>
      </c>
      <c r="EC57">
        <f>IF('Pick List'!2377:2377,"AAAAAHXO/oQ=",0)</f>
        <v>0</v>
      </c>
      <c r="ED57">
        <f>IF('Pick List'!2378:2378,"AAAAAHXO/oU=",0)</f>
        <v>0</v>
      </c>
      <c r="EE57">
        <f>IF('Pick List'!2379:2379,"AAAAAHXO/oY=",0)</f>
        <v>0</v>
      </c>
      <c r="EF57">
        <f>IF('Pick List'!2380:2380,"AAAAAHXO/oc=",0)</f>
        <v>0</v>
      </c>
      <c r="EG57">
        <f>IF('Pick List'!2381:2381,"AAAAAHXO/og=",0)</f>
        <v>0</v>
      </c>
      <c r="EH57">
        <f>IF('Pick List'!2382:2382,"AAAAAHXO/ok=",0)</f>
        <v>0</v>
      </c>
      <c r="EI57">
        <f>IF('Pick List'!2383:2383,"AAAAAHXO/oo=",0)</f>
        <v>0</v>
      </c>
      <c r="EJ57">
        <f>IF('Pick List'!2384:2384,"AAAAAHXO/os=",0)</f>
        <v>0</v>
      </c>
      <c r="EK57">
        <f>IF('Pick List'!2385:2385,"AAAAAHXO/ow=",0)</f>
        <v>0</v>
      </c>
      <c r="EL57">
        <f>IF('Pick List'!2386:2386,"AAAAAHXO/o0=",0)</f>
        <v>0</v>
      </c>
      <c r="EM57">
        <f>IF('Pick List'!2387:2387,"AAAAAHXO/o4=",0)</f>
        <v>0</v>
      </c>
      <c r="EN57">
        <f>IF('Pick List'!2388:2388,"AAAAAHXO/o8=",0)</f>
        <v>0</v>
      </c>
      <c r="EO57">
        <f>IF('Pick List'!2389:2389,"AAAAAHXO/pA=",0)</f>
        <v>0</v>
      </c>
      <c r="EP57">
        <f>IF('Pick List'!2390:2390,"AAAAAHXO/pE=",0)</f>
        <v>0</v>
      </c>
      <c r="EQ57">
        <f>IF('Pick List'!2391:2391,"AAAAAHXO/pI=",0)</f>
        <v>0</v>
      </c>
      <c r="ER57">
        <f>IF('Pick List'!2392:2392,"AAAAAHXO/pM=",0)</f>
        <v>0</v>
      </c>
      <c r="ES57">
        <f>IF('Pick List'!2393:2393,"AAAAAHXO/pQ=",0)</f>
        <v>0</v>
      </c>
      <c r="ET57">
        <f>IF('Pick List'!2394:2394,"AAAAAHXO/pU=",0)</f>
        <v>0</v>
      </c>
      <c r="EU57">
        <f>IF('Pick List'!2395:2395,"AAAAAHXO/pY=",0)</f>
        <v>0</v>
      </c>
      <c r="EV57">
        <f>IF('Pick List'!2396:2396,"AAAAAHXO/pc=",0)</f>
        <v>0</v>
      </c>
      <c r="EW57">
        <f>IF('Pick List'!2397:2397,"AAAAAHXO/pg=",0)</f>
        <v>0</v>
      </c>
      <c r="EX57">
        <f>IF('Pick List'!2398:2398,"AAAAAHXO/pk=",0)</f>
        <v>0</v>
      </c>
      <c r="EY57">
        <f>IF('Pick List'!2399:2399,"AAAAAHXO/po=",0)</f>
        <v>0</v>
      </c>
      <c r="EZ57">
        <f>IF('Pick List'!2400:2400,"AAAAAHXO/ps=",0)</f>
        <v>0</v>
      </c>
      <c r="FA57">
        <f>IF('Pick List'!2401:2401,"AAAAAHXO/pw=",0)</f>
        <v>0</v>
      </c>
      <c r="FB57">
        <f>IF('Pick List'!2402:2402,"AAAAAHXO/p0=",0)</f>
        <v>0</v>
      </c>
      <c r="FC57">
        <f>IF('Pick List'!2403:2403,"AAAAAHXO/p4=",0)</f>
        <v>0</v>
      </c>
      <c r="FD57">
        <f>IF('Pick List'!2404:2404,"AAAAAHXO/p8=",0)</f>
        <v>0</v>
      </c>
      <c r="FE57">
        <f>IF('Pick List'!2405:2405,"AAAAAHXO/qA=",0)</f>
        <v>0</v>
      </c>
      <c r="FF57">
        <f>IF('Pick List'!2406:2406,"AAAAAHXO/qE=",0)</f>
        <v>0</v>
      </c>
      <c r="FG57">
        <f>IF('Pick List'!2407:2407,"AAAAAHXO/qI=",0)</f>
        <v>0</v>
      </c>
      <c r="FH57">
        <f>IF('Pick List'!2408:2408,"AAAAAHXO/qM=",0)</f>
        <v>0</v>
      </c>
      <c r="FI57">
        <f>IF('Pick List'!2409:2409,"AAAAAHXO/qQ=",0)</f>
        <v>0</v>
      </c>
      <c r="FJ57">
        <f>IF('Pick List'!2410:2410,"AAAAAHXO/qU=",0)</f>
        <v>0</v>
      </c>
      <c r="FK57">
        <f>IF('Pick List'!2411:2411,"AAAAAHXO/qY=",0)</f>
        <v>0</v>
      </c>
      <c r="FL57">
        <f>IF('Pick List'!2412:2412,"AAAAAHXO/qc=",0)</f>
        <v>0</v>
      </c>
      <c r="FM57">
        <f>IF('Pick List'!2413:2413,"AAAAAHXO/qg=",0)</f>
        <v>0</v>
      </c>
      <c r="FN57">
        <f>IF('Pick List'!2414:2414,"AAAAAHXO/qk=",0)</f>
        <v>0</v>
      </c>
      <c r="FO57">
        <f>IF('Pick List'!2415:2415,"AAAAAHXO/qo=",0)</f>
        <v>0</v>
      </c>
      <c r="FP57">
        <f>IF('Pick List'!2416:2416,"AAAAAHXO/qs=",0)</f>
        <v>0</v>
      </c>
      <c r="FQ57">
        <f>IF('Pick List'!2417:2417,"AAAAAHXO/qw=",0)</f>
        <v>0</v>
      </c>
      <c r="FR57">
        <f>IF('Pick List'!2418:2418,"AAAAAHXO/q0=",0)</f>
        <v>0</v>
      </c>
      <c r="FS57">
        <f>IF('Pick List'!2419:2419,"AAAAAHXO/q4=",0)</f>
        <v>0</v>
      </c>
      <c r="FT57">
        <f>IF('Pick List'!2420:2420,"AAAAAHXO/q8=",0)</f>
        <v>0</v>
      </c>
      <c r="FU57">
        <f>IF('Pick List'!2421:2421,"AAAAAHXO/rA=",0)</f>
        <v>0</v>
      </c>
      <c r="FV57">
        <f>IF('Pick List'!2422:2422,"AAAAAHXO/rE=",0)</f>
        <v>0</v>
      </c>
      <c r="FW57">
        <f>IF('Pick List'!2423:2423,"AAAAAHXO/rI=",0)</f>
        <v>0</v>
      </c>
      <c r="FX57">
        <f>IF('Pick List'!2424:2424,"AAAAAHXO/rM=",0)</f>
        <v>0</v>
      </c>
      <c r="FY57">
        <f>IF('Pick List'!2425:2425,"AAAAAHXO/rQ=",0)</f>
        <v>0</v>
      </c>
      <c r="FZ57">
        <f>IF('Pick List'!2426:2426,"AAAAAHXO/rU=",0)</f>
        <v>0</v>
      </c>
      <c r="GA57">
        <f>IF('Pick List'!2427:2427,"AAAAAHXO/rY=",0)</f>
        <v>0</v>
      </c>
      <c r="GB57">
        <f>IF('Pick List'!2428:2428,"AAAAAHXO/rc=",0)</f>
        <v>0</v>
      </c>
      <c r="GC57">
        <f>IF('Pick List'!2429:2429,"AAAAAHXO/rg=",0)</f>
        <v>0</v>
      </c>
      <c r="GD57">
        <f>IF('Pick List'!2430:2430,"AAAAAHXO/rk=",0)</f>
        <v>0</v>
      </c>
      <c r="GE57">
        <f>IF('Pick List'!2431:2431,"AAAAAHXO/ro=",0)</f>
        <v>0</v>
      </c>
      <c r="GF57">
        <f>IF('Pick List'!2432:2432,"AAAAAHXO/rs=",0)</f>
        <v>0</v>
      </c>
      <c r="GG57">
        <f>IF('Pick List'!2433:2433,"AAAAAHXO/rw=",0)</f>
        <v>0</v>
      </c>
      <c r="GH57">
        <f>IF('Pick List'!2434:2434,"AAAAAHXO/r0=",0)</f>
        <v>0</v>
      </c>
      <c r="GI57">
        <f>IF('Pick List'!2435:2435,"AAAAAHXO/r4=",0)</f>
        <v>0</v>
      </c>
      <c r="GJ57">
        <f>IF('Pick List'!2436:2436,"AAAAAHXO/r8=",0)</f>
        <v>0</v>
      </c>
      <c r="GK57">
        <f>IF('Pick List'!2437:2437,"AAAAAHXO/sA=",0)</f>
        <v>0</v>
      </c>
      <c r="GL57">
        <f>IF('Pick List'!2438:2438,"AAAAAHXO/sE=",0)</f>
        <v>0</v>
      </c>
      <c r="GM57">
        <f>IF('Pick List'!2439:2439,"AAAAAHXO/sI=",0)</f>
        <v>0</v>
      </c>
      <c r="GN57">
        <f>IF('Pick List'!2440:2440,"AAAAAHXO/sM=",0)</f>
        <v>0</v>
      </c>
      <c r="GO57">
        <f>IF('Pick List'!2441:2441,"AAAAAHXO/sQ=",0)</f>
        <v>0</v>
      </c>
      <c r="GP57">
        <f>IF('Pick List'!2442:2442,"AAAAAHXO/sU=",0)</f>
        <v>0</v>
      </c>
      <c r="GQ57">
        <f>IF('Pick List'!2443:2443,"AAAAAHXO/sY=",0)</f>
        <v>0</v>
      </c>
      <c r="GR57">
        <f>IF('Pick List'!2444:2444,"AAAAAHXO/sc=",0)</f>
        <v>0</v>
      </c>
      <c r="GS57">
        <f>IF('Pick List'!2445:2445,"AAAAAHXO/sg=",0)</f>
        <v>0</v>
      </c>
      <c r="GT57">
        <f>IF('Pick List'!2446:2446,"AAAAAHXO/sk=",0)</f>
        <v>0</v>
      </c>
      <c r="GU57">
        <f>IF('Pick List'!2447:2447,"AAAAAHXO/so=",0)</f>
        <v>0</v>
      </c>
      <c r="GV57">
        <f>IF('Pick List'!2448:2448,"AAAAAHXO/ss=",0)</f>
        <v>0</v>
      </c>
      <c r="GW57">
        <f>IF('Pick List'!2449:2449,"AAAAAHXO/sw=",0)</f>
        <v>0</v>
      </c>
      <c r="GX57">
        <f>IF('Pick List'!2450:2450,"AAAAAHXO/s0=",0)</f>
        <v>0</v>
      </c>
      <c r="GY57">
        <f>IF('Pick List'!2451:2451,"AAAAAHXO/s4=",0)</f>
        <v>0</v>
      </c>
      <c r="GZ57">
        <f>IF('Pick List'!2452:2452,"AAAAAHXO/s8=",0)</f>
        <v>0</v>
      </c>
      <c r="HA57">
        <f>IF('Pick List'!2453:2453,"AAAAAHXO/tA=",0)</f>
        <v>0</v>
      </c>
      <c r="HB57">
        <f>IF('Pick List'!2454:2454,"AAAAAHXO/tE=",0)</f>
        <v>0</v>
      </c>
      <c r="HC57">
        <f>IF('Pick List'!2455:2455,"AAAAAHXO/tI=",0)</f>
        <v>0</v>
      </c>
      <c r="HD57">
        <f>IF('Pick List'!2456:2456,"AAAAAHXO/tM=",0)</f>
        <v>0</v>
      </c>
      <c r="HE57">
        <f>IF('Pick List'!2457:2457,"AAAAAHXO/tQ=",0)</f>
        <v>0</v>
      </c>
      <c r="HF57">
        <f>IF('Pick List'!2458:2458,"AAAAAHXO/tU=",0)</f>
        <v>0</v>
      </c>
      <c r="HG57">
        <f>IF('Pick List'!2459:2459,"AAAAAHXO/tY=",0)</f>
        <v>0</v>
      </c>
      <c r="HH57">
        <f>IF('Pick List'!2460:2460,"AAAAAHXO/tc=",0)</f>
        <v>0</v>
      </c>
      <c r="HI57">
        <f>IF('Pick List'!2461:2461,"AAAAAHXO/tg=",0)</f>
        <v>0</v>
      </c>
      <c r="HJ57">
        <f>IF('Pick List'!2462:2462,"AAAAAHXO/tk=",0)</f>
        <v>0</v>
      </c>
      <c r="HK57">
        <f>IF('Pick List'!2463:2463,"AAAAAHXO/to=",0)</f>
        <v>0</v>
      </c>
      <c r="HL57">
        <f>IF('Pick List'!2464:2464,"AAAAAHXO/ts=",0)</f>
        <v>0</v>
      </c>
      <c r="HM57">
        <f>IF('Pick List'!2465:2465,"AAAAAHXO/tw=",0)</f>
        <v>0</v>
      </c>
      <c r="HN57">
        <f>IF('Pick List'!2466:2466,"AAAAAHXO/t0=",0)</f>
        <v>0</v>
      </c>
      <c r="HO57">
        <f>IF('Pick List'!2467:2467,"AAAAAHXO/t4=",0)</f>
        <v>0</v>
      </c>
      <c r="HP57">
        <f>IF('Pick List'!2468:2468,"AAAAAHXO/t8=",0)</f>
        <v>0</v>
      </c>
      <c r="HQ57">
        <f>IF('Pick List'!2469:2469,"AAAAAHXO/uA=",0)</f>
        <v>0</v>
      </c>
      <c r="HR57">
        <f>IF('Pick List'!2470:2470,"AAAAAHXO/uE=",0)</f>
        <v>0</v>
      </c>
      <c r="HS57">
        <f>IF('Pick List'!2471:2471,"AAAAAHXO/uI=",0)</f>
        <v>0</v>
      </c>
      <c r="HT57">
        <f>IF('Pick List'!2472:2472,"AAAAAHXO/uM=",0)</f>
        <v>0</v>
      </c>
      <c r="HU57">
        <f>IF('Pick List'!2473:2473,"AAAAAHXO/uQ=",0)</f>
        <v>0</v>
      </c>
      <c r="HV57">
        <f>IF('Pick List'!2474:2474,"AAAAAHXO/uU=",0)</f>
        <v>0</v>
      </c>
      <c r="HW57">
        <f>IF('Pick List'!2475:2475,"AAAAAHXO/uY=",0)</f>
        <v>0</v>
      </c>
      <c r="HX57">
        <f>IF('Pick List'!2476:2476,"AAAAAHXO/uc=",0)</f>
        <v>0</v>
      </c>
      <c r="HY57">
        <f>IF('Pick List'!2477:2477,"AAAAAHXO/ug=",0)</f>
        <v>0</v>
      </c>
      <c r="HZ57">
        <f>IF('Pick List'!2478:2478,"AAAAAHXO/uk=",0)</f>
        <v>0</v>
      </c>
      <c r="IA57">
        <f>IF('Pick List'!2479:2479,"AAAAAHXO/uo=",0)</f>
        <v>0</v>
      </c>
      <c r="IB57">
        <f>IF('Pick List'!2480:2480,"AAAAAHXO/us=",0)</f>
        <v>0</v>
      </c>
      <c r="IC57">
        <f>IF('Pick List'!2481:2481,"AAAAAHXO/uw=",0)</f>
        <v>0</v>
      </c>
      <c r="ID57">
        <f>IF('Pick List'!2482:2482,"AAAAAHXO/u0=",0)</f>
        <v>0</v>
      </c>
      <c r="IE57">
        <f>IF('Pick List'!2483:2483,"AAAAAHXO/u4=",0)</f>
        <v>0</v>
      </c>
      <c r="IF57">
        <f>IF('Pick List'!2484:2484,"AAAAAHXO/u8=",0)</f>
        <v>0</v>
      </c>
      <c r="IG57">
        <f>IF('Pick List'!2485:2485,"AAAAAHXO/vA=",0)</f>
        <v>0</v>
      </c>
      <c r="IH57">
        <f>IF('Pick List'!2486:2486,"AAAAAHXO/vE=",0)</f>
        <v>0</v>
      </c>
      <c r="II57">
        <f>IF('Pick List'!2487:2487,"AAAAAHXO/vI=",0)</f>
        <v>0</v>
      </c>
      <c r="IJ57">
        <f>IF('Pick List'!2488:2488,"AAAAAHXO/vM=",0)</f>
        <v>0</v>
      </c>
      <c r="IK57">
        <f>IF('Pick List'!2489:2489,"AAAAAHXO/vQ=",0)</f>
        <v>0</v>
      </c>
      <c r="IL57">
        <f>IF('Pick List'!2490:2490,"AAAAAHXO/vU=",0)</f>
        <v>0</v>
      </c>
      <c r="IM57">
        <f>IF('Pick List'!2491:2491,"AAAAAHXO/vY=",0)</f>
        <v>0</v>
      </c>
      <c r="IN57">
        <f>IF('Pick List'!2492:2492,"AAAAAHXO/vc=",0)</f>
        <v>0</v>
      </c>
      <c r="IO57">
        <f>IF('Pick List'!2493:2493,"AAAAAHXO/vg=",0)</f>
        <v>0</v>
      </c>
      <c r="IP57">
        <f>IF('Pick List'!2494:2494,"AAAAAHXO/vk=",0)</f>
        <v>0</v>
      </c>
      <c r="IQ57">
        <f>IF('Pick List'!2495:2495,"AAAAAHXO/vo=",0)</f>
        <v>0</v>
      </c>
      <c r="IR57">
        <f>IF('Pick List'!2496:2496,"AAAAAHXO/vs=",0)</f>
        <v>0</v>
      </c>
      <c r="IS57">
        <f>IF('Pick List'!2497:2497,"AAAAAHXO/vw=",0)</f>
        <v>0</v>
      </c>
      <c r="IT57">
        <f>IF('Pick List'!2498:2498,"AAAAAHXO/v0=",0)</f>
        <v>0</v>
      </c>
      <c r="IU57">
        <f>IF('Pick List'!2499:2499,"AAAAAHXO/v4=",0)</f>
        <v>0</v>
      </c>
      <c r="IV57">
        <f>IF('Pick List'!2500:2500,"AAAAAHXO/v8=",0)</f>
        <v>0</v>
      </c>
    </row>
    <row r="58" spans="1:256" x14ac:dyDescent="0.2">
      <c r="A58">
        <f>IF('Pick List'!2501:2501,"AAAAAGv99wA=",0)</f>
        <v>0</v>
      </c>
      <c r="B58">
        <f>IF('Pick List'!2502:2502,"AAAAAGv99wE=",0)</f>
        <v>0</v>
      </c>
      <c r="C58">
        <f>IF('Pick List'!2503:2503,"AAAAAGv99wI=",0)</f>
        <v>0</v>
      </c>
      <c r="D58">
        <f>IF('Pick List'!2504:2504,"AAAAAGv99wM=",0)</f>
        <v>0</v>
      </c>
      <c r="E58">
        <f>IF('Pick List'!2505:2505,"AAAAAGv99wQ=",0)</f>
        <v>0</v>
      </c>
      <c r="F58">
        <f>IF('Pick List'!2506:2506,"AAAAAGv99wU=",0)</f>
        <v>0</v>
      </c>
      <c r="G58">
        <f>IF('Pick List'!2507:2507,"AAAAAGv99wY=",0)</f>
        <v>0</v>
      </c>
      <c r="H58">
        <f>IF('Pick List'!2508:2508,"AAAAAGv99wc=",0)</f>
        <v>0</v>
      </c>
      <c r="I58">
        <f>IF('Pick List'!2509:2509,"AAAAAGv99wg=",0)</f>
        <v>0</v>
      </c>
      <c r="J58">
        <f>IF('Pick List'!2510:2510,"AAAAAGv99wk=",0)</f>
        <v>0</v>
      </c>
      <c r="K58">
        <f>IF('Pick List'!2511:2511,"AAAAAGv99wo=",0)</f>
        <v>0</v>
      </c>
      <c r="L58">
        <f>IF('Pick List'!2512:2512,"AAAAAGv99ws=",0)</f>
        <v>0</v>
      </c>
      <c r="M58">
        <f>IF('Pick List'!2513:2513,"AAAAAGv99ww=",0)</f>
        <v>0</v>
      </c>
      <c r="N58">
        <f>IF('Pick List'!2514:2514,"AAAAAGv99w0=",0)</f>
        <v>0</v>
      </c>
      <c r="O58">
        <f>IF('Pick List'!2515:2515,"AAAAAGv99w4=",0)</f>
        <v>0</v>
      </c>
      <c r="P58">
        <f>IF('Pick List'!2516:2516,"AAAAAGv99w8=",0)</f>
        <v>0</v>
      </c>
      <c r="Q58">
        <f>IF('Pick List'!2517:2517,"AAAAAGv99xA=",0)</f>
        <v>0</v>
      </c>
      <c r="R58">
        <f>IF('Pick List'!2518:2518,"AAAAAGv99xE=",0)</f>
        <v>0</v>
      </c>
      <c r="S58">
        <f>IF('Pick List'!2519:2519,"AAAAAGv99xI=",0)</f>
        <v>0</v>
      </c>
      <c r="T58">
        <f>IF('Pick List'!2520:2520,"AAAAAGv99xM=",0)</f>
        <v>0</v>
      </c>
      <c r="U58">
        <f>IF('Pick List'!2521:2521,"AAAAAGv99xQ=",0)</f>
        <v>0</v>
      </c>
      <c r="V58">
        <f>IF('Pick List'!2522:2522,"AAAAAGv99xU=",0)</f>
        <v>0</v>
      </c>
      <c r="W58">
        <f>IF('Pick List'!2523:2523,"AAAAAGv99xY=",0)</f>
        <v>0</v>
      </c>
      <c r="X58">
        <f>IF('Pick List'!2524:2524,"AAAAAGv99xc=",0)</f>
        <v>0</v>
      </c>
      <c r="Y58">
        <f>IF('Pick List'!2525:2525,"AAAAAGv99xg=",0)</f>
        <v>0</v>
      </c>
      <c r="Z58">
        <f>IF('Pick List'!2526:2526,"AAAAAGv99xk=",0)</f>
        <v>0</v>
      </c>
      <c r="AA58">
        <f>IF('Pick List'!2527:2527,"AAAAAGv99xo=",0)</f>
        <v>0</v>
      </c>
      <c r="AB58">
        <f>IF('Pick List'!2528:2528,"AAAAAGv99xs=",0)</f>
        <v>0</v>
      </c>
      <c r="AC58">
        <f>IF('Pick List'!2529:2529,"AAAAAGv99xw=",0)</f>
        <v>0</v>
      </c>
      <c r="AD58">
        <f>IF('Pick List'!2530:2530,"AAAAAGv99x0=",0)</f>
        <v>0</v>
      </c>
      <c r="AE58">
        <f>IF('Pick List'!2531:2531,"AAAAAGv99x4=",0)</f>
        <v>0</v>
      </c>
      <c r="AF58">
        <f>IF('Pick List'!2532:2532,"AAAAAGv99x8=",0)</f>
        <v>0</v>
      </c>
      <c r="AG58">
        <f>IF('Pick List'!2533:2533,"AAAAAGv99yA=",0)</f>
        <v>0</v>
      </c>
      <c r="AH58">
        <f>IF('Pick List'!2534:2534,"AAAAAGv99yE=",0)</f>
        <v>0</v>
      </c>
      <c r="AI58">
        <f>IF('Pick List'!2535:2535,"AAAAAGv99yI=",0)</f>
        <v>0</v>
      </c>
      <c r="AJ58">
        <f>IF('Pick List'!2536:2536,"AAAAAGv99yM=",0)</f>
        <v>0</v>
      </c>
      <c r="AK58">
        <f>IF('Pick List'!2537:2537,"AAAAAGv99yQ=",0)</f>
        <v>0</v>
      </c>
      <c r="AL58">
        <f>IF('Pick List'!2538:2538,"AAAAAGv99yU=",0)</f>
        <v>0</v>
      </c>
      <c r="AM58">
        <f>IF('Pick List'!2539:2539,"AAAAAGv99yY=",0)</f>
        <v>0</v>
      </c>
      <c r="AN58">
        <f>IF('Pick List'!2540:2540,"AAAAAGv99yc=",0)</f>
        <v>0</v>
      </c>
      <c r="AO58">
        <f>IF('Pick List'!2541:2541,"AAAAAGv99yg=",0)</f>
        <v>0</v>
      </c>
      <c r="AP58">
        <f>IF('Pick List'!2542:2542,"AAAAAGv99yk=",0)</f>
        <v>0</v>
      </c>
      <c r="AQ58">
        <f>IF('Pick List'!2543:2543,"AAAAAGv99yo=",0)</f>
        <v>0</v>
      </c>
      <c r="AR58">
        <f>IF('Pick List'!2544:2544,"AAAAAGv99ys=",0)</f>
        <v>0</v>
      </c>
      <c r="AS58">
        <f>IF('Pick List'!2545:2545,"AAAAAGv99yw=",0)</f>
        <v>0</v>
      </c>
      <c r="AT58">
        <f>IF('Pick List'!2546:2546,"AAAAAGv99y0=",0)</f>
        <v>0</v>
      </c>
      <c r="AU58">
        <f>IF('Pick List'!2547:2547,"AAAAAGv99y4=",0)</f>
        <v>0</v>
      </c>
      <c r="AV58">
        <f>IF('Pick List'!2548:2548,"AAAAAGv99y8=",0)</f>
        <v>0</v>
      </c>
      <c r="AW58">
        <f>IF('Pick List'!2549:2549,"AAAAAGv99zA=",0)</f>
        <v>0</v>
      </c>
      <c r="AX58">
        <f>IF('Pick List'!2550:2550,"AAAAAGv99zE=",0)</f>
        <v>0</v>
      </c>
      <c r="AY58">
        <f>IF('Pick List'!2551:2551,"AAAAAGv99zI=",0)</f>
        <v>0</v>
      </c>
      <c r="AZ58">
        <f>IF('Pick List'!2552:2552,"AAAAAGv99zM=",0)</f>
        <v>0</v>
      </c>
      <c r="BA58">
        <f>IF('Pick List'!2553:2553,"AAAAAGv99zQ=",0)</f>
        <v>0</v>
      </c>
      <c r="BB58">
        <f>IF('Pick List'!2554:2554,"AAAAAGv99zU=",0)</f>
        <v>0</v>
      </c>
      <c r="BC58">
        <f>IF('Pick List'!2555:2555,"AAAAAGv99zY=",0)</f>
        <v>0</v>
      </c>
      <c r="BD58">
        <f>IF('Pick List'!2556:2556,"AAAAAGv99zc=",0)</f>
        <v>0</v>
      </c>
      <c r="BE58">
        <f>IF('Pick List'!2557:2557,"AAAAAGv99zg=",0)</f>
        <v>0</v>
      </c>
      <c r="BF58">
        <f>IF('Pick List'!2558:2558,"AAAAAGv99zk=",0)</f>
        <v>0</v>
      </c>
      <c r="BG58">
        <f>IF('Pick List'!2559:2559,"AAAAAGv99zo=",0)</f>
        <v>0</v>
      </c>
      <c r="BH58">
        <f>IF('Pick List'!2560:2560,"AAAAAGv99zs=",0)</f>
        <v>0</v>
      </c>
      <c r="BI58">
        <f>IF('Pick List'!2561:2561,"AAAAAGv99zw=",0)</f>
        <v>0</v>
      </c>
      <c r="BJ58">
        <f>IF('Pick List'!2562:2562,"AAAAAGv99z0=",0)</f>
        <v>0</v>
      </c>
      <c r="BK58">
        <f>IF('Pick List'!2563:2563,"AAAAAGv99z4=",0)</f>
        <v>0</v>
      </c>
      <c r="BL58">
        <f>IF('Pick List'!2564:2564,"AAAAAGv99z8=",0)</f>
        <v>0</v>
      </c>
      <c r="BM58">
        <f>IF('Pick List'!2565:2565,"AAAAAGv990A=",0)</f>
        <v>0</v>
      </c>
      <c r="BN58">
        <f>IF('Pick List'!2566:2566,"AAAAAGv990E=",0)</f>
        <v>0</v>
      </c>
      <c r="BO58">
        <f>IF('Pick List'!2567:2567,"AAAAAGv990I=",0)</f>
        <v>0</v>
      </c>
      <c r="BP58">
        <f>IF('Pick List'!2568:2568,"AAAAAGv990M=",0)</f>
        <v>0</v>
      </c>
      <c r="BQ58">
        <f>IF('Pick List'!2569:2569,"AAAAAGv990Q=",0)</f>
        <v>0</v>
      </c>
      <c r="BR58">
        <f>IF('Pick List'!2570:2570,"AAAAAGv990U=",0)</f>
        <v>0</v>
      </c>
      <c r="BS58">
        <f>IF('Pick List'!2571:2571,"AAAAAGv990Y=",0)</f>
        <v>0</v>
      </c>
      <c r="BT58">
        <f>IF('Pick List'!2572:2572,"AAAAAGv990c=",0)</f>
        <v>0</v>
      </c>
      <c r="BU58">
        <f>IF('Pick List'!2573:2573,"AAAAAGv990g=",0)</f>
        <v>0</v>
      </c>
      <c r="BV58">
        <f>IF('Pick List'!2574:2574,"AAAAAGv990k=",0)</f>
        <v>0</v>
      </c>
      <c r="BW58">
        <f>IF('Pick List'!2575:2575,"AAAAAGv990o=",0)</f>
        <v>0</v>
      </c>
      <c r="BX58">
        <f>IF('Pick List'!2576:2576,"AAAAAGv990s=",0)</f>
        <v>0</v>
      </c>
      <c r="BY58">
        <f>IF('Pick List'!2577:2577,"AAAAAGv990w=",0)</f>
        <v>0</v>
      </c>
      <c r="BZ58">
        <f>IF('Pick List'!2578:2578,"AAAAAGv9900=",0)</f>
        <v>0</v>
      </c>
      <c r="CA58">
        <f>IF('Pick List'!2579:2579,"AAAAAGv9904=",0)</f>
        <v>0</v>
      </c>
      <c r="CB58">
        <f>IF('Pick List'!2580:2580,"AAAAAGv9908=",0)</f>
        <v>0</v>
      </c>
      <c r="CC58">
        <f>IF('Pick List'!2581:2581,"AAAAAGv991A=",0)</f>
        <v>0</v>
      </c>
      <c r="CD58">
        <f>IF('Pick List'!2582:2582,"AAAAAGv991E=",0)</f>
        <v>0</v>
      </c>
      <c r="CE58">
        <f>IF('Pick List'!2583:2583,"AAAAAGv991I=",0)</f>
        <v>0</v>
      </c>
      <c r="CF58">
        <f>IF('Pick List'!2584:2584,"AAAAAGv991M=",0)</f>
        <v>0</v>
      </c>
      <c r="CG58">
        <f>IF('Pick List'!2585:2585,"AAAAAGv991Q=",0)</f>
        <v>0</v>
      </c>
      <c r="CH58">
        <f>IF('Pick List'!2586:2586,"AAAAAGv991U=",0)</f>
        <v>0</v>
      </c>
      <c r="CI58">
        <f>IF('Pick List'!2587:2587,"AAAAAGv991Y=",0)</f>
        <v>0</v>
      </c>
      <c r="CJ58">
        <f>IF('Pick List'!2588:2588,"AAAAAGv991c=",0)</f>
        <v>0</v>
      </c>
      <c r="CK58">
        <f>IF('Pick List'!2589:2589,"AAAAAGv991g=",0)</f>
        <v>0</v>
      </c>
      <c r="CL58">
        <f>IF('Pick List'!2590:2590,"AAAAAGv991k=",0)</f>
        <v>0</v>
      </c>
      <c r="CM58">
        <f>IF('Pick List'!2591:2591,"AAAAAGv991o=",0)</f>
        <v>0</v>
      </c>
      <c r="CN58">
        <f>IF('Pick List'!2592:2592,"AAAAAGv991s=",0)</f>
        <v>0</v>
      </c>
      <c r="CO58">
        <f>IF('Pick List'!2593:2593,"AAAAAGv991w=",0)</f>
        <v>0</v>
      </c>
      <c r="CP58">
        <f>IF('Pick List'!2594:2594,"AAAAAGv9910=",0)</f>
        <v>0</v>
      </c>
      <c r="CQ58">
        <f>IF('Pick List'!2595:2595,"AAAAAGv9914=",0)</f>
        <v>0</v>
      </c>
      <c r="CR58">
        <f>IF('Pick List'!2596:2596,"AAAAAGv9918=",0)</f>
        <v>0</v>
      </c>
      <c r="CS58">
        <f>IF('Pick List'!2597:2597,"AAAAAGv992A=",0)</f>
        <v>0</v>
      </c>
      <c r="CT58">
        <f>IF('Pick List'!2598:2598,"AAAAAGv992E=",0)</f>
        <v>0</v>
      </c>
      <c r="CU58">
        <f>IF('Pick List'!2599:2599,"AAAAAGv992I=",0)</f>
        <v>0</v>
      </c>
      <c r="CV58">
        <f>IF('Pick List'!2600:2600,"AAAAAGv992M=",0)</f>
        <v>0</v>
      </c>
      <c r="CW58">
        <f>IF('Pick List'!2601:2601,"AAAAAGv992Q=",0)</f>
        <v>0</v>
      </c>
      <c r="CX58">
        <f>IF('Pick List'!2602:2602,"AAAAAGv992U=",0)</f>
        <v>0</v>
      </c>
      <c r="CY58">
        <f>IF('Pick List'!2603:2603,"AAAAAGv992Y=",0)</f>
        <v>0</v>
      </c>
      <c r="CZ58">
        <f>IF('Pick List'!2604:2604,"AAAAAGv992c=",0)</f>
        <v>0</v>
      </c>
      <c r="DA58">
        <f>IF('Pick List'!2605:2605,"AAAAAGv992g=",0)</f>
        <v>0</v>
      </c>
      <c r="DB58">
        <f>IF('Pick List'!2606:2606,"AAAAAGv992k=",0)</f>
        <v>0</v>
      </c>
      <c r="DC58">
        <f>IF('Pick List'!2607:2607,"AAAAAGv992o=",0)</f>
        <v>0</v>
      </c>
      <c r="DD58">
        <f>IF('Pick List'!2608:2608,"AAAAAGv992s=",0)</f>
        <v>0</v>
      </c>
      <c r="DE58">
        <f>IF('Pick List'!2609:2609,"AAAAAGv992w=",0)</f>
        <v>0</v>
      </c>
      <c r="DF58">
        <f>IF('Pick List'!2610:2610,"AAAAAGv9920=",0)</f>
        <v>0</v>
      </c>
      <c r="DG58">
        <f>IF('Pick List'!2611:2611,"AAAAAGv9924=",0)</f>
        <v>0</v>
      </c>
      <c r="DH58">
        <f>IF('Pick List'!2612:2612,"AAAAAGv9928=",0)</f>
        <v>0</v>
      </c>
      <c r="DI58">
        <f>IF('Pick List'!2613:2613,"AAAAAGv993A=",0)</f>
        <v>0</v>
      </c>
      <c r="DJ58">
        <f>IF('Pick List'!2614:2614,"AAAAAGv993E=",0)</f>
        <v>0</v>
      </c>
      <c r="DK58">
        <f>IF('Pick List'!2615:2615,"AAAAAGv993I=",0)</f>
        <v>0</v>
      </c>
      <c r="DL58">
        <f>IF('Pick List'!2616:2616,"AAAAAGv993M=",0)</f>
        <v>0</v>
      </c>
      <c r="DM58">
        <f>IF('Pick List'!2617:2617,"AAAAAGv993Q=",0)</f>
        <v>0</v>
      </c>
      <c r="DN58">
        <f>IF('Pick List'!2618:2618,"AAAAAGv993U=",0)</f>
        <v>0</v>
      </c>
      <c r="DO58">
        <f>IF('Pick List'!2619:2619,"AAAAAGv993Y=",0)</f>
        <v>0</v>
      </c>
      <c r="DP58">
        <f>IF('Pick List'!2620:2620,"AAAAAGv993c=",0)</f>
        <v>0</v>
      </c>
      <c r="DQ58">
        <f>IF('Pick List'!2621:2621,"AAAAAGv993g=",0)</f>
        <v>0</v>
      </c>
      <c r="DR58">
        <f>IF('Pick List'!2622:2622,"AAAAAGv993k=",0)</f>
        <v>0</v>
      </c>
      <c r="DS58">
        <f>IF('Pick List'!2623:2623,"AAAAAGv993o=",0)</f>
        <v>0</v>
      </c>
      <c r="DT58">
        <f>IF('Pick List'!2624:2624,"AAAAAGv993s=",0)</f>
        <v>0</v>
      </c>
      <c r="DU58">
        <f>IF('Pick List'!2625:2625,"AAAAAGv993w=",0)</f>
        <v>0</v>
      </c>
      <c r="DV58">
        <f>IF('Pick List'!2626:2626,"AAAAAGv9930=",0)</f>
        <v>0</v>
      </c>
      <c r="DW58">
        <f>IF('Pick List'!2627:2627,"AAAAAGv9934=",0)</f>
        <v>0</v>
      </c>
      <c r="DX58">
        <f>IF('Pick List'!2628:2628,"AAAAAGv9938=",0)</f>
        <v>0</v>
      </c>
      <c r="DY58">
        <f>IF('Pick List'!2629:2629,"AAAAAGv994A=",0)</f>
        <v>0</v>
      </c>
      <c r="DZ58">
        <f>IF('Pick List'!2630:2630,"AAAAAGv994E=",0)</f>
        <v>0</v>
      </c>
      <c r="EA58">
        <f>IF('Pick List'!2631:2631,"AAAAAGv994I=",0)</f>
        <v>0</v>
      </c>
      <c r="EB58">
        <f>IF('Pick List'!2632:2632,"AAAAAGv994M=",0)</f>
        <v>0</v>
      </c>
      <c r="EC58">
        <f>IF('Pick List'!2633:2633,"AAAAAGv994Q=",0)</f>
        <v>0</v>
      </c>
      <c r="ED58">
        <f>IF('Pick List'!2634:2634,"AAAAAGv994U=",0)</f>
        <v>0</v>
      </c>
      <c r="EE58">
        <f>IF('Pick List'!2635:2635,"AAAAAGv994Y=",0)</f>
        <v>0</v>
      </c>
      <c r="EF58">
        <f>IF('Pick List'!2636:2636,"AAAAAGv994c=",0)</f>
        <v>0</v>
      </c>
      <c r="EG58">
        <f>IF('Pick List'!2637:2637,"AAAAAGv994g=",0)</f>
        <v>0</v>
      </c>
      <c r="EH58">
        <f>IF('Pick List'!2638:2638,"AAAAAGv994k=",0)</f>
        <v>0</v>
      </c>
      <c r="EI58">
        <f>IF('Pick List'!2639:2639,"AAAAAGv994o=",0)</f>
        <v>0</v>
      </c>
      <c r="EJ58">
        <f>IF('Pick List'!2640:2640,"AAAAAGv994s=",0)</f>
        <v>0</v>
      </c>
      <c r="EK58">
        <f>IF('Pick List'!2641:2641,"AAAAAGv994w=",0)</f>
        <v>0</v>
      </c>
      <c r="EL58">
        <f>IF('Pick List'!2642:2642,"AAAAAGv9940=",0)</f>
        <v>0</v>
      </c>
      <c r="EM58">
        <f>IF('Pick List'!2643:2643,"AAAAAGv9944=",0)</f>
        <v>0</v>
      </c>
      <c r="EN58">
        <f>IF('Pick List'!2644:2644,"AAAAAGv9948=",0)</f>
        <v>0</v>
      </c>
      <c r="EO58">
        <f>IF('Pick List'!2645:2645,"AAAAAGv995A=",0)</f>
        <v>0</v>
      </c>
      <c r="EP58">
        <f>IF('Pick List'!2646:2646,"AAAAAGv995E=",0)</f>
        <v>0</v>
      </c>
      <c r="EQ58">
        <f>IF('Pick List'!2647:2647,"AAAAAGv995I=",0)</f>
        <v>0</v>
      </c>
      <c r="ER58">
        <f>IF('Pick List'!2648:2648,"AAAAAGv995M=",0)</f>
        <v>0</v>
      </c>
      <c r="ES58">
        <f>IF('Pick List'!2649:2649,"AAAAAGv995Q=",0)</f>
        <v>0</v>
      </c>
      <c r="ET58">
        <f>IF('Pick List'!2650:2650,"AAAAAGv995U=",0)</f>
        <v>0</v>
      </c>
      <c r="EU58">
        <f>IF('Pick List'!2651:2651,"AAAAAGv995Y=",0)</f>
        <v>0</v>
      </c>
      <c r="EV58">
        <f>IF('Pick List'!2652:2652,"AAAAAGv995c=",0)</f>
        <v>0</v>
      </c>
      <c r="EW58">
        <f>IF('Pick List'!2653:2653,"AAAAAGv995g=",0)</f>
        <v>0</v>
      </c>
      <c r="EX58">
        <f>IF('Pick List'!2654:2654,"AAAAAGv995k=",0)</f>
        <v>0</v>
      </c>
      <c r="EY58">
        <f>IF('Pick List'!2655:2655,"AAAAAGv995o=",0)</f>
        <v>0</v>
      </c>
      <c r="EZ58">
        <f>IF('Pick List'!2656:2656,"AAAAAGv995s=",0)</f>
        <v>0</v>
      </c>
      <c r="FA58">
        <f>IF('Pick List'!2657:2657,"AAAAAGv995w=",0)</f>
        <v>0</v>
      </c>
      <c r="FB58">
        <f>IF('Pick List'!2658:2658,"AAAAAGv9950=",0)</f>
        <v>0</v>
      </c>
      <c r="FC58">
        <f>IF('Pick List'!2659:2659,"AAAAAGv9954=",0)</f>
        <v>0</v>
      </c>
      <c r="FD58">
        <f>IF('Pick List'!2660:2660,"AAAAAGv9958=",0)</f>
        <v>0</v>
      </c>
      <c r="FE58">
        <f>IF('Pick List'!2661:2661,"AAAAAGv996A=",0)</f>
        <v>0</v>
      </c>
      <c r="FF58">
        <f>IF('Pick List'!2662:2662,"AAAAAGv996E=",0)</f>
        <v>0</v>
      </c>
      <c r="FG58">
        <f>IF('Pick List'!2663:2663,"AAAAAGv996I=",0)</f>
        <v>0</v>
      </c>
      <c r="FH58">
        <f>IF('Pick List'!2664:2664,"AAAAAGv996M=",0)</f>
        <v>0</v>
      </c>
      <c r="FI58">
        <f>IF('Pick List'!2665:2665,"AAAAAGv996Q=",0)</f>
        <v>0</v>
      </c>
      <c r="FJ58">
        <f>IF('Pick List'!2666:2666,"AAAAAGv996U=",0)</f>
        <v>0</v>
      </c>
      <c r="FK58">
        <f>IF('Pick List'!2667:2667,"AAAAAGv996Y=",0)</f>
        <v>0</v>
      </c>
      <c r="FL58">
        <f>IF('Pick List'!2668:2668,"AAAAAGv996c=",0)</f>
        <v>0</v>
      </c>
      <c r="FM58">
        <f>IF('Pick List'!2669:2669,"AAAAAGv996g=",0)</f>
        <v>0</v>
      </c>
      <c r="FN58">
        <f>IF('Pick List'!2670:2670,"AAAAAGv996k=",0)</f>
        <v>0</v>
      </c>
      <c r="FO58">
        <f>IF('Pick List'!2671:2671,"AAAAAGv996o=",0)</f>
        <v>0</v>
      </c>
      <c r="FP58">
        <f>IF('Pick List'!2672:2672,"AAAAAGv996s=",0)</f>
        <v>0</v>
      </c>
      <c r="FQ58">
        <f>IF('Pick List'!2673:2673,"AAAAAGv996w=",0)</f>
        <v>0</v>
      </c>
      <c r="FR58">
        <f>IF('Pick List'!2674:2674,"AAAAAGv9960=",0)</f>
        <v>0</v>
      </c>
      <c r="FS58">
        <f>IF('Pick List'!2675:2675,"AAAAAGv9964=",0)</f>
        <v>0</v>
      </c>
      <c r="FT58">
        <f>IF('Pick List'!2676:2676,"AAAAAGv9968=",0)</f>
        <v>0</v>
      </c>
      <c r="FU58">
        <f>IF('Pick List'!2677:2677,"AAAAAGv997A=",0)</f>
        <v>0</v>
      </c>
      <c r="FV58">
        <f>IF('Pick List'!2678:2678,"AAAAAGv997E=",0)</f>
        <v>0</v>
      </c>
      <c r="FW58">
        <f>IF('Pick List'!2679:2679,"AAAAAGv997I=",0)</f>
        <v>0</v>
      </c>
      <c r="FX58">
        <f>IF('Pick List'!2680:2680,"AAAAAGv997M=",0)</f>
        <v>0</v>
      </c>
      <c r="FY58">
        <f>IF('Pick List'!2681:2681,"AAAAAGv997Q=",0)</f>
        <v>0</v>
      </c>
      <c r="FZ58">
        <f>IF('Pick List'!2682:2682,"AAAAAGv997U=",0)</f>
        <v>0</v>
      </c>
      <c r="GA58">
        <f>IF('Pick List'!2683:2683,"AAAAAGv997Y=",0)</f>
        <v>0</v>
      </c>
      <c r="GB58">
        <f>IF('Pick List'!2684:2684,"AAAAAGv997c=",0)</f>
        <v>0</v>
      </c>
      <c r="GC58">
        <f>IF('Pick List'!2685:2685,"AAAAAGv997g=",0)</f>
        <v>0</v>
      </c>
      <c r="GD58">
        <f>IF('Pick List'!2686:2686,"AAAAAGv997k=",0)</f>
        <v>0</v>
      </c>
      <c r="GE58">
        <f>IF('Pick List'!2687:2687,"AAAAAGv997o=",0)</f>
        <v>0</v>
      </c>
      <c r="GF58">
        <f>IF('Pick List'!2688:2688,"AAAAAGv997s=",0)</f>
        <v>0</v>
      </c>
      <c r="GG58">
        <f>IF('Pick List'!2689:2689,"AAAAAGv997w=",0)</f>
        <v>0</v>
      </c>
      <c r="GH58">
        <f>IF('Pick List'!2690:2690,"AAAAAGv9970=",0)</f>
        <v>0</v>
      </c>
      <c r="GI58">
        <f>IF('Pick List'!2691:2691,"AAAAAGv9974=",0)</f>
        <v>0</v>
      </c>
      <c r="GJ58">
        <f>IF('Pick List'!2692:2692,"AAAAAGv9978=",0)</f>
        <v>0</v>
      </c>
      <c r="GK58">
        <f>IF('Pick List'!2693:2693,"AAAAAGv998A=",0)</f>
        <v>0</v>
      </c>
      <c r="GL58">
        <f>IF('Pick List'!2694:2694,"AAAAAGv998E=",0)</f>
        <v>0</v>
      </c>
      <c r="GM58">
        <f>IF('Pick List'!2695:2695,"AAAAAGv998I=",0)</f>
        <v>0</v>
      </c>
      <c r="GN58">
        <f>IF('Pick List'!2696:2696,"AAAAAGv998M=",0)</f>
        <v>0</v>
      </c>
      <c r="GO58">
        <f>IF('Pick List'!2697:2697,"AAAAAGv998Q=",0)</f>
        <v>0</v>
      </c>
      <c r="GP58">
        <f>IF('Pick List'!2698:2698,"AAAAAGv998U=",0)</f>
        <v>0</v>
      </c>
      <c r="GQ58">
        <f>IF('Pick List'!2699:2699,"AAAAAGv998Y=",0)</f>
        <v>0</v>
      </c>
      <c r="GR58">
        <f>IF('Pick List'!2700:2700,"AAAAAGv998c=",0)</f>
        <v>0</v>
      </c>
      <c r="GS58">
        <f>IF('Pick List'!2701:2701,"AAAAAGv998g=",0)</f>
        <v>0</v>
      </c>
      <c r="GT58">
        <f>IF('Pick List'!2702:2702,"AAAAAGv998k=",0)</f>
        <v>0</v>
      </c>
      <c r="GU58">
        <f>IF('Pick List'!2703:2703,"AAAAAGv998o=",0)</f>
        <v>0</v>
      </c>
      <c r="GV58">
        <f>IF('Pick List'!2704:2704,"AAAAAGv998s=",0)</f>
        <v>0</v>
      </c>
      <c r="GW58">
        <f>IF('Pick List'!2705:2705,"AAAAAGv998w=",0)</f>
        <v>0</v>
      </c>
      <c r="GX58">
        <f>IF('Pick List'!2706:2706,"AAAAAGv9980=",0)</f>
        <v>0</v>
      </c>
      <c r="GY58">
        <f>IF('Pick List'!2707:2707,"AAAAAGv9984=",0)</f>
        <v>0</v>
      </c>
      <c r="GZ58">
        <f>IF('Pick List'!2708:2708,"AAAAAGv9988=",0)</f>
        <v>0</v>
      </c>
      <c r="HA58">
        <f>IF('Pick List'!2709:2709,"AAAAAGv999A=",0)</f>
        <v>0</v>
      </c>
      <c r="HB58">
        <f>IF('Pick List'!2710:2710,"AAAAAGv999E=",0)</f>
        <v>0</v>
      </c>
      <c r="HC58">
        <f>IF('Pick List'!2711:2711,"AAAAAGv999I=",0)</f>
        <v>0</v>
      </c>
      <c r="HD58">
        <f>IF('Pick List'!2712:2712,"AAAAAGv999M=",0)</f>
        <v>0</v>
      </c>
      <c r="HE58">
        <f>IF('Pick List'!2713:2713,"AAAAAGv999Q=",0)</f>
        <v>0</v>
      </c>
      <c r="HF58">
        <f>IF('Pick List'!2714:2714,"AAAAAGv999U=",0)</f>
        <v>0</v>
      </c>
      <c r="HG58">
        <f>IF('Pick List'!2715:2715,"AAAAAGv999Y=",0)</f>
        <v>0</v>
      </c>
      <c r="HH58">
        <f>IF('Pick List'!2716:2716,"AAAAAGv999c=",0)</f>
        <v>0</v>
      </c>
      <c r="HI58">
        <f>IF('Pick List'!2717:2717,"AAAAAGv999g=",0)</f>
        <v>0</v>
      </c>
      <c r="HJ58">
        <f>IF('Pick List'!2718:2718,"AAAAAGv999k=",0)</f>
        <v>0</v>
      </c>
      <c r="HK58">
        <f>IF('Pick List'!2719:2719,"AAAAAGv999o=",0)</f>
        <v>0</v>
      </c>
      <c r="HL58">
        <f>IF('Pick List'!2720:2720,"AAAAAGv999s=",0)</f>
        <v>0</v>
      </c>
      <c r="HM58">
        <f>IF('Pick List'!2721:2721,"AAAAAGv999w=",0)</f>
        <v>0</v>
      </c>
      <c r="HN58">
        <f>IF('Pick List'!2722:2722,"AAAAAGv9990=",0)</f>
        <v>0</v>
      </c>
      <c r="HO58">
        <f>IF('Pick List'!2723:2723,"AAAAAGv9994=",0)</f>
        <v>0</v>
      </c>
      <c r="HP58">
        <f>IF('Pick List'!2724:2724,"AAAAAGv9998=",0)</f>
        <v>0</v>
      </c>
      <c r="HQ58">
        <f>IF('Pick List'!2725:2725,"AAAAAGv99+A=",0)</f>
        <v>0</v>
      </c>
      <c r="HR58">
        <f>IF('Pick List'!2726:2726,"AAAAAGv99+E=",0)</f>
        <v>0</v>
      </c>
      <c r="HS58">
        <f>IF('Pick List'!2727:2727,"AAAAAGv99+I=",0)</f>
        <v>0</v>
      </c>
      <c r="HT58">
        <f>IF('Pick List'!2728:2728,"AAAAAGv99+M=",0)</f>
        <v>0</v>
      </c>
      <c r="HU58">
        <f>IF('Pick List'!2729:2729,"AAAAAGv99+Q=",0)</f>
        <v>0</v>
      </c>
      <c r="HV58">
        <f>IF('Pick List'!2730:2730,"AAAAAGv99+U=",0)</f>
        <v>0</v>
      </c>
      <c r="HW58">
        <f>IF('Pick List'!2731:2731,"AAAAAGv99+Y=",0)</f>
        <v>0</v>
      </c>
      <c r="HX58">
        <f>IF('Pick List'!2732:2732,"AAAAAGv99+c=",0)</f>
        <v>0</v>
      </c>
      <c r="HY58">
        <f>IF('Pick List'!2733:2733,"AAAAAGv99+g=",0)</f>
        <v>0</v>
      </c>
      <c r="HZ58">
        <f>IF('Pick List'!2734:2734,"AAAAAGv99+k=",0)</f>
        <v>0</v>
      </c>
      <c r="IA58">
        <f>IF('Pick List'!2735:2735,"AAAAAGv99+o=",0)</f>
        <v>0</v>
      </c>
      <c r="IB58">
        <f>IF('Pick List'!2736:2736,"AAAAAGv99+s=",0)</f>
        <v>0</v>
      </c>
      <c r="IC58">
        <f>IF('Pick List'!2737:2737,"AAAAAGv99+w=",0)</f>
        <v>0</v>
      </c>
      <c r="ID58">
        <f>IF('Pick List'!2738:2738,"AAAAAGv99+0=",0)</f>
        <v>0</v>
      </c>
      <c r="IE58">
        <f>IF('Pick List'!2739:2739,"AAAAAGv99+4=",0)</f>
        <v>0</v>
      </c>
      <c r="IF58">
        <f>IF('Pick List'!2740:2740,"AAAAAGv99+8=",0)</f>
        <v>0</v>
      </c>
      <c r="IG58">
        <f>IF('Pick List'!2741:2741,"AAAAAGv99/A=",0)</f>
        <v>0</v>
      </c>
      <c r="IH58">
        <f>IF('Pick List'!2742:2742,"AAAAAGv99/E=",0)</f>
        <v>0</v>
      </c>
      <c r="II58">
        <f>IF('Pick List'!2743:2743,"AAAAAGv99/I=",0)</f>
        <v>0</v>
      </c>
      <c r="IJ58">
        <f>IF('Pick List'!2744:2744,"AAAAAGv99/M=",0)</f>
        <v>0</v>
      </c>
      <c r="IK58">
        <f>IF('Pick List'!2745:2745,"AAAAAGv99/Q=",0)</f>
        <v>0</v>
      </c>
      <c r="IL58">
        <f>IF('Pick List'!2746:2746,"AAAAAGv99/U=",0)</f>
        <v>0</v>
      </c>
      <c r="IM58">
        <f>IF('Pick List'!2747:2747,"AAAAAGv99/Y=",0)</f>
        <v>0</v>
      </c>
      <c r="IN58">
        <f>IF('Pick List'!2748:2748,"AAAAAGv99/c=",0)</f>
        <v>0</v>
      </c>
      <c r="IO58">
        <f>IF('Pick List'!2749:2749,"AAAAAGv99/g=",0)</f>
        <v>0</v>
      </c>
      <c r="IP58">
        <f>IF('Pick List'!2750:2750,"AAAAAGv99/k=",0)</f>
        <v>0</v>
      </c>
      <c r="IQ58">
        <f>IF('Pick List'!2751:2751,"AAAAAGv99/o=",0)</f>
        <v>0</v>
      </c>
      <c r="IR58">
        <f>IF('Pick List'!2752:2752,"AAAAAGv99/s=",0)</f>
        <v>0</v>
      </c>
      <c r="IS58">
        <f>IF('Pick List'!2753:2753,"AAAAAGv99/w=",0)</f>
        <v>0</v>
      </c>
      <c r="IT58">
        <f>IF('Pick List'!2754:2754,"AAAAAGv99/0=",0)</f>
        <v>0</v>
      </c>
      <c r="IU58">
        <f>IF('Pick List'!2755:2755,"AAAAAGv99/4=",0)</f>
        <v>0</v>
      </c>
      <c r="IV58">
        <f>IF('Pick List'!2756:2756,"AAAAAGv99/8=",0)</f>
        <v>0</v>
      </c>
    </row>
    <row r="59" spans="1:256" x14ac:dyDescent="0.2">
      <c r="A59">
        <f>IF('Pick List'!2757:2757,"AAAAAH+fcwA=",0)</f>
        <v>0</v>
      </c>
      <c r="B59">
        <f>IF('Pick List'!2758:2758,"AAAAAH+fcwE=",0)</f>
        <v>0</v>
      </c>
      <c r="C59">
        <f>IF('Pick List'!2759:2759,"AAAAAH+fcwI=",0)</f>
        <v>0</v>
      </c>
      <c r="D59">
        <f>IF('Pick List'!2760:2760,"AAAAAH+fcwM=",0)</f>
        <v>0</v>
      </c>
      <c r="E59">
        <f>IF('Pick List'!2761:2761,"AAAAAH+fcwQ=",0)</f>
        <v>0</v>
      </c>
      <c r="F59">
        <f>IF('Pick List'!2762:2762,"AAAAAH+fcwU=",0)</f>
        <v>0</v>
      </c>
      <c r="G59">
        <f>IF('Pick List'!2763:2763,"AAAAAH+fcwY=",0)</f>
        <v>0</v>
      </c>
      <c r="H59">
        <f>IF('Pick List'!2764:2764,"AAAAAH+fcwc=",0)</f>
        <v>0</v>
      </c>
      <c r="I59">
        <f>IF('Pick List'!2765:2765,"AAAAAH+fcwg=",0)</f>
        <v>0</v>
      </c>
      <c r="J59">
        <f>IF('Pick List'!2766:2766,"AAAAAH+fcwk=",0)</f>
        <v>0</v>
      </c>
      <c r="K59">
        <f>IF('Pick List'!2767:2767,"AAAAAH+fcwo=",0)</f>
        <v>0</v>
      </c>
      <c r="L59">
        <f>IF('Pick List'!2768:2768,"AAAAAH+fcws=",0)</f>
        <v>0</v>
      </c>
      <c r="M59">
        <f>IF('Pick List'!2769:2769,"AAAAAH+fcww=",0)</f>
        <v>0</v>
      </c>
      <c r="N59">
        <f>IF('Pick List'!2770:2770,"AAAAAH+fcw0=",0)</f>
        <v>0</v>
      </c>
      <c r="O59">
        <f>IF('Pick List'!2771:2771,"AAAAAH+fcw4=",0)</f>
        <v>0</v>
      </c>
      <c r="P59">
        <f>IF('Pick List'!2772:2772,"AAAAAH+fcw8=",0)</f>
        <v>0</v>
      </c>
      <c r="Q59">
        <f>IF('Pick List'!2773:2773,"AAAAAH+fcxA=",0)</f>
        <v>0</v>
      </c>
      <c r="R59">
        <f>IF('Pick List'!2774:2774,"AAAAAH+fcxE=",0)</f>
        <v>0</v>
      </c>
      <c r="S59">
        <f>IF('Pick List'!2775:2775,"AAAAAH+fcxI=",0)</f>
        <v>0</v>
      </c>
      <c r="T59">
        <f>IF('Pick List'!2776:2776,"AAAAAH+fcxM=",0)</f>
        <v>0</v>
      </c>
      <c r="U59">
        <f>IF('Pick List'!2777:2777,"AAAAAH+fcxQ=",0)</f>
        <v>0</v>
      </c>
      <c r="V59">
        <f>IF('Pick List'!2778:2778,"AAAAAH+fcxU=",0)</f>
        <v>0</v>
      </c>
      <c r="W59">
        <f>IF('Pick List'!2779:2779,"AAAAAH+fcxY=",0)</f>
        <v>0</v>
      </c>
      <c r="X59">
        <f>IF('Pick List'!2780:2780,"AAAAAH+fcxc=",0)</f>
        <v>0</v>
      </c>
      <c r="Y59">
        <f>IF('Pick List'!2781:2781,"AAAAAH+fcxg=",0)</f>
        <v>0</v>
      </c>
      <c r="Z59">
        <f>IF('Pick List'!2782:2782,"AAAAAH+fcxk=",0)</f>
        <v>0</v>
      </c>
      <c r="AA59">
        <f>IF('Pick List'!2783:2783,"AAAAAH+fcxo=",0)</f>
        <v>0</v>
      </c>
      <c r="AB59">
        <f>IF('Pick List'!2784:2784,"AAAAAH+fcxs=",0)</f>
        <v>0</v>
      </c>
      <c r="AC59">
        <f>IF('Pick List'!2785:2785,"AAAAAH+fcxw=",0)</f>
        <v>0</v>
      </c>
      <c r="AD59">
        <f>IF('Pick List'!2786:2786,"AAAAAH+fcx0=",0)</f>
        <v>0</v>
      </c>
      <c r="AE59">
        <f>IF('Pick List'!2787:2787,"AAAAAH+fcx4=",0)</f>
        <v>0</v>
      </c>
      <c r="AF59">
        <f>IF('Pick List'!2788:2788,"AAAAAH+fcx8=",0)</f>
        <v>0</v>
      </c>
      <c r="AG59">
        <f>IF('Pick List'!2789:2789,"AAAAAH+fcyA=",0)</f>
        <v>0</v>
      </c>
      <c r="AH59">
        <f>IF('Pick List'!2790:2790,"AAAAAH+fcyE=",0)</f>
        <v>0</v>
      </c>
      <c r="AI59">
        <f>IF('Pick List'!2791:2791,"AAAAAH+fcyI=",0)</f>
        <v>0</v>
      </c>
      <c r="AJ59">
        <f>IF('Pick List'!2792:2792,"AAAAAH+fcyM=",0)</f>
        <v>0</v>
      </c>
      <c r="AK59">
        <f>IF('Pick List'!2793:2793,"AAAAAH+fcyQ=",0)</f>
        <v>0</v>
      </c>
      <c r="AL59">
        <f>IF('Pick List'!2794:2794,"AAAAAH+fcyU=",0)</f>
        <v>0</v>
      </c>
      <c r="AM59">
        <f>IF('Pick List'!2795:2795,"AAAAAH+fcyY=",0)</f>
        <v>0</v>
      </c>
      <c r="AN59">
        <f>IF('Pick List'!2796:2796,"AAAAAH+fcyc=",0)</f>
        <v>0</v>
      </c>
      <c r="AO59">
        <f>IF('Pick List'!2797:2797,"AAAAAH+fcyg=",0)</f>
        <v>0</v>
      </c>
      <c r="AP59">
        <f>IF('Pick List'!2798:2798,"AAAAAH+fcyk=",0)</f>
        <v>0</v>
      </c>
      <c r="AQ59">
        <f>IF('Pick List'!2799:2799,"AAAAAH+fcyo=",0)</f>
        <v>0</v>
      </c>
      <c r="AR59">
        <f>IF('Pick List'!2800:2800,"AAAAAH+fcys=",0)</f>
        <v>0</v>
      </c>
      <c r="AS59">
        <f>IF('Pick List'!2801:2801,"AAAAAH+fcyw=",0)</f>
        <v>0</v>
      </c>
      <c r="AT59">
        <f>IF('Pick List'!2802:2802,"AAAAAH+fcy0=",0)</f>
        <v>0</v>
      </c>
      <c r="AU59">
        <f>IF('Pick List'!2803:2803,"AAAAAH+fcy4=",0)</f>
        <v>0</v>
      </c>
      <c r="AV59">
        <f>IF('Pick List'!2804:2804,"AAAAAH+fcy8=",0)</f>
        <v>0</v>
      </c>
      <c r="AW59">
        <f>IF('Pick List'!2805:2805,"AAAAAH+fczA=",0)</f>
        <v>0</v>
      </c>
      <c r="AX59">
        <f>IF('Pick List'!2806:2806,"AAAAAH+fczE=",0)</f>
        <v>0</v>
      </c>
      <c r="AY59">
        <f>IF('Pick List'!2807:2807,"AAAAAH+fczI=",0)</f>
        <v>0</v>
      </c>
      <c r="AZ59">
        <f>IF('Pick List'!2808:2808,"AAAAAH+fczM=",0)</f>
        <v>0</v>
      </c>
      <c r="BA59">
        <f>IF('Pick List'!2809:2809,"AAAAAH+fczQ=",0)</f>
        <v>0</v>
      </c>
      <c r="BB59">
        <f>IF('Pick List'!2810:2810,"AAAAAH+fczU=",0)</f>
        <v>0</v>
      </c>
      <c r="BC59">
        <f>IF('Pick List'!2811:2811,"AAAAAH+fczY=",0)</f>
        <v>0</v>
      </c>
      <c r="BD59">
        <f>IF('Pick List'!2812:2812,"AAAAAH+fczc=",0)</f>
        <v>0</v>
      </c>
      <c r="BE59">
        <f>IF('Pick List'!2813:2813,"AAAAAH+fczg=",0)</f>
        <v>0</v>
      </c>
      <c r="BF59">
        <f>IF('Pick List'!2814:2814,"AAAAAH+fczk=",0)</f>
        <v>0</v>
      </c>
      <c r="BG59">
        <f>IF('Pick List'!2815:2815,"AAAAAH+fczo=",0)</f>
        <v>0</v>
      </c>
      <c r="BH59">
        <f>IF('Pick List'!2816:2816,"AAAAAH+fczs=",0)</f>
        <v>0</v>
      </c>
      <c r="BI59">
        <f>IF('Pick List'!2817:2817,"AAAAAH+fczw=",0)</f>
        <v>0</v>
      </c>
      <c r="BJ59">
        <f>IF('Pick List'!2818:2818,"AAAAAH+fcz0=",0)</f>
        <v>0</v>
      </c>
      <c r="BK59">
        <f>IF('Pick List'!2819:2819,"AAAAAH+fcz4=",0)</f>
        <v>0</v>
      </c>
      <c r="BL59">
        <f>IF('Pick List'!2820:2820,"AAAAAH+fcz8=",0)</f>
        <v>0</v>
      </c>
      <c r="BM59">
        <f>IF('Pick List'!2821:2821,"AAAAAH+fc0A=",0)</f>
        <v>0</v>
      </c>
      <c r="BN59">
        <f>IF('Pick List'!2822:2822,"AAAAAH+fc0E=",0)</f>
        <v>0</v>
      </c>
      <c r="BO59">
        <f>IF('Pick List'!2823:2823,"AAAAAH+fc0I=",0)</f>
        <v>0</v>
      </c>
      <c r="BP59">
        <f>IF('Pick List'!2824:2824,"AAAAAH+fc0M=",0)</f>
        <v>0</v>
      </c>
      <c r="BQ59">
        <f>IF('Pick List'!2825:2825,"AAAAAH+fc0Q=",0)</f>
        <v>0</v>
      </c>
      <c r="BR59">
        <f>IF('Pick List'!2826:2826,"AAAAAH+fc0U=",0)</f>
        <v>0</v>
      </c>
      <c r="BS59">
        <f>IF('Pick List'!2827:2827,"AAAAAH+fc0Y=",0)</f>
        <v>0</v>
      </c>
      <c r="BT59">
        <f>IF('Pick List'!2828:2828,"AAAAAH+fc0c=",0)</f>
        <v>0</v>
      </c>
      <c r="BU59">
        <f>IF('Pick List'!2829:2829,"AAAAAH+fc0g=",0)</f>
        <v>0</v>
      </c>
      <c r="BV59">
        <f>IF('Pick List'!2830:2830,"AAAAAH+fc0k=",0)</f>
        <v>0</v>
      </c>
      <c r="BW59">
        <f>IF('Pick List'!2831:2831,"AAAAAH+fc0o=",0)</f>
        <v>0</v>
      </c>
      <c r="BX59">
        <f>IF('Pick List'!2832:2832,"AAAAAH+fc0s=",0)</f>
        <v>0</v>
      </c>
      <c r="BY59">
        <f>IF('Pick List'!2833:2833,"AAAAAH+fc0w=",0)</f>
        <v>0</v>
      </c>
      <c r="BZ59">
        <f>IF('Pick List'!2834:2834,"AAAAAH+fc00=",0)</f>
        <v>0</v>
      </c>
      <c r="CA59">
        <f>IF('Pick List'!2835:2835,"AAAAAH+fc04=",0)</f>
        <v>0</v>
      </c>
      <c r="CB59">
        <f>IF('Pick List'!2836:2836,"AAAAAH+fc08=",0)</f>
        <v>0</v>
      </c>
      <c r="CC59">
        <f>IF('Pick List'!2837:2837,"AAAAAH+fc1A=",0)</f>
        <v>0</v>
      </c>
      <c r="CD59">
        <f>IF('Pick List'!2838:2838,"AAAAAH+fc1E=",0)</f>
        <v>0</v>
      </c>
      <c r="CE59">
        <f>IF('Pick List'!2839:2839,"AAAAAH+fc1I=",0)</f>
        <v>0</v>
      </c>
      <c r="CF59">
        <f>IF('Pick List'!2840:2840,"AAAAAH+fc1M=",0)</f>
        <v>0</v>
      </c>
      <c r="CG59">
        <f>IF('Pick List'!2841:2841,"AAAAAH+fc1Q=",0)</f>
        <v>0</v>
      </c>
      <c r="CH59">
        <f>IF('Pick List'!2842:2842,"AAAAAH+fc1U=",0)</f>
        <v>0</v>
      </c>
      <c r="CI59">
        <f>IF('Pick List'!2843:2843,"AAAAAH+fc1Y=",0)</f>
        <v>0</v>
      </c>
      <c r="CJ59">
        <f>IF('Pick List'!2844:2844,"AAAAAH+fc1c=",0)</f>
        <v>0</v>
      </c>
      <c r="CK59">
        <f>IF('Pick List'!2845:2845,"AAAAAH+fc1g=",0)</f>
        <v>0</v>
      </c>
      <c r="CL59">
        <f>IF('Pick List'!2846:2846,"AAAAAH+fc1k=",0)</f>
        <v>0</v>
      </c>
      <c r="CM59">
        <f>IF('Pick List'!2847:2847,"AAAAAH+fc1o=",0)</f>
        <v>0</v>
      </c>
      <c r="CN59">
        <f>IF('Pick List'!2848:2848,"AAAAAH+fc1s=",0)</f>
        <v>0</v>
      </c>
      <c r="CO59">
        <f>IF('Pick List'!2849:2849,"AAAAAH+fc1w=",0)</f>
        <v>0</v>
      </c>
      <c r="CP59">
        <f>IF('Pick List'!2850:2850,"AAAAAH+fc10=",0)</f>
        <v>0</v>
      </c>
      <c r="CQ59">
        <f>IF('Pick List'!2851:2851,"AAAAAH+fc14=",0)</f>
        <v>0</v>
      </c>
      <c r="CR59">
        <f>IF('Pick List'!2852:2852,"AAAAAH+fc18=",0)</f>
        <v>0</v>
      </c>
      <c r="CS59">
        <f>IF('Pick List'!2853:2853,"AAAAAH+fc2A=",0)</f>
        <v>0</v>
      </c>
      <c r="CT59">
        <f>IF('Pick List'!2854:2854,"AAAAAH+fc2E=",0)</f>
        <v>0</v>
      </c>
      <c r="CU59">
        <f>IF('Pick List'!2855:2855,"AAAAAH+fc2I=",0)</f>
        <v>0</v>
      </c>
      <c r="CV59">
        <f>IF('Pick List'!2856:2856,"AAAAAH+fc2M=",0)</f>
        <v>0</v>
      </c>
      <c r="CW59">
        <f>IF('Pick List'!2857:2857,"AAAAAH+fc2Q=",0)</f>
        <v>0</v>
      </c>
      <c r="CX59">
        <f>IF('Pick List'!2858:2858,"AAAAAH+fc2U=",0)</f>
        <v>0</v>
      </c>
      <c r="CY59">
        <f>IF('Pick List'!2859:2859,"AAAAAH+fc2Y=",0)</f>
        <v>0</v>
      </c>
      <c r="CZ59">
        <f>IF('Pick List'!2860:2860,"AAAAAH+fc2c=",0)</f>
        <v>0</v>
      </c>
      <c r="DA59">
        <f>IF('Pick List'!2861:2861,"AAAAAH+fc2g=",0)</f>
        <v>0</v>
      </c>
      <c r="DB59">
        <f>IF('Pick List'!2862:2862,"AAAAAH+fc2k=",0)</f>
        <v>0</v>
      </c>
      <c r="DC59">
        <f>IF('Pick List'!2863:2863,"AAAAAH+fc2o=",0)</f>
        <v>0</v>
      </c>
      <c r="DD59">
        <f>IF('Pick List'!2864:2864,"AAAAAH+fc2s=",0)</f>
        <v>0</v>
      </c>
      <c r="DE59">
        <f>IF('Pick List'!2865:2865,"AAAAAH+fc2w=",0)</f>
        <v>0</v>
      </c>
      <c r="DF59">
        <f>IF('Pick List'!2866:2866,"AAAAAH+fc20=",0)</f>
        <v>0</v>
      </c>
      <c r="DG59">
        <f>IF('Pick List'!2867:2867,"AAAAAH+fc24=",0)</f>
        <v>0</v>
      </c>
      <c r="DH59">
        <f>IF('Pick List'!2868:2868,"AAAAAH+fc28=",0)</f>
        <v>0</v>
      </c>
      <c r="DI59">
        <f>IF('Pick List'!2869:2869,"AAAAAH+fc3A=",0)</f>
        <v>0</v>
      </c>
      <c r="DJ59">
        <f>IF('Pick List'!2870:2870,"AAAAAH+fc3E=",0)</f>
        <v>0</v>
      </c>
      <c r="DK59">
        <f>IF('Pick List'!2871:2871,"AAAAAH+fc3I=",0)</f>
        <v>0</v>
      </c>
      <c r="DL59">
        <f>IF('Pick List'!2872:2872,"AAAAAH+fc3M=",0)</f>
        <v>0</v>
      </c>
      <c r="DM59">
        <f>IF('Pick List'!2873:2873,"AAAAAH+fc3Q=",0)</f>
        <v>0</v>
      </c>
      <c r="DN59">
        <f>IF('Pick List'!2874:2874,"AAAAAH+fc3U=",0)</f>
        <v>0</v>
      </c>
      <c r="DO59">
        <f>IF('Pick List'!2875:2875,"AAAAAH+fc3Y=",0)</f>
        <v>0</v>
      </c>
      <c r="DP59">
        <f>IF('Pick List'!2876:2876,"AAAAAH+fc3c=",0)</f>
        <v>0</v>
      </c>
      <c r="DQ59">
        <f>IF('Pick List'!2877:2877,"AAAAAH+fc3g=",0)</f>
        <v>0</v>
      </c>
      <c r="DR59">
        <f>IF('Pick List'!2878:2878,"AAAAAH+fc3k=",0)</f>
        <v>0</v>
      </c>
      <c r="DS59">
        <f>IF('Pick List'!2879:2879,"AAAAAH+fc3o=",0)</f>
        <v>0</v>
      </c>
      <c r="DT59">
        <f>IF('Pick List'!2880:2880,"AAAAAH+fc3s=",0)</f>
        <v>0</v>
      </c>
      <c r="DU59">
        <f>IF('Pick List'!2881:2881,"AAAAAH+fc3w=",0)</f>
        <v>0</v>
      </c>
      <c r="DV59">
        <f>IF('Pick List'!2882:2882,"AAAAAH+fc30=",0)</f>
        <v>0</v>
      </c>
      <c r="DW59">
        <f>IF('Pick List'!2883:2883,"AAAAAH+fc34=",0)</f>
        <v>0</v>
      </c>
      <c r="DX59">
        <f>IF('Pick List'!2884:2884,"AAAAAH+fc38=",0)</f>
        <v>0</v>
      </c>
      <c r="DY59">
        <f>IF('Pick List'!2885:2885,"AAAAAH+fc4A=",0)</f>
        <v>0</v>
      </c>
      <c r="DZ59">
        <f>IF('Pick List'!2886:2886,"AAAAAH+fc4E=",0)</f>
        <v>0</v>
      </c>
      <c r="EA59">
        <f>IF('Pick List'!2887:2887,"AAAAAH+fc4I=",0)</f>
        <v>0</v>
      </c>
      <c r="EB59">
        <f>IF('Pick List'!2888:2888,"AAAAAH+fc4M=",0)</f>
        <v>0</v>
      </c>
      <c r="EC59">
        <f>IF('Pick List'!2889:2889,"AAAAAH+fc4Q=",0)</f>
        <v>0</v>
      </c>
      <c r="ED59">
        <f>IF('Pick List'!2890:2890,"AAAAAH+fc4U=",0)</f>
        <v>0</v>
      </c>
      <c r="EE59">
        <f>IF('Pick List'!2891:2891,"AAAAAH+fc4Y=",0)</f>
        <v>0</v>
      </c>
      <c r="EF59">
        <f>IF('Pick List'!2892:2892,"AAAAAH+fc4c=",0)</f>
        <v>0</v>
      </c>
      <c r="EG59">
        <f>IF('Pick List'!2893:2893,"AAAAAH+fc4g=",0)</f>
        <v>0</v>
      </c>
      <c r="EH59">
        <f>IF('Pick List'!2894:2894,"AAAAAH+fc4k=",0)</f>
        <v>0</v>
      </c>
      <c r="EI59">
        <f>IF('Pick List'!2895:2895,"AAAAAH+fc4o=",0)</f>
        <v>0</v>
      </c>
      <c r="EJ59">
        <f>IF('Pick List'!2896:2896,"AAAAAH+fc4s=",0)</f>
        <v>0</v>
      </c>
      <c r="EK59">
        <f>IF('Pick List'!2897:2897,"AAAAAH+fc4w=",0)</f>
        <v>0</v>
      </c>
      <c r="EL59">
        <f>IF('Pick List'!2898:2898,"AAAAAH+fc40=",0)</f>
        <v>0</v>
      </c>
      <c r="EM59">
        <f>IF('Pick List'!2899:2899,"AAAAAH+fc44=",0)</f>
        <v>0</v>
      </c>
      <c r="EN59">
        <f>IF('Pick List'!2900:2900,"AAAAAH+fc48=",0)</f>
        <v>0</v>
      </c>
      <c r="EO59">
        <f>IF('Pick List'!2901:2901,"AAAAAH+fc5A=",0)</f>
        <v>0</v>
      </c>
      <c r="EP59">
        <f>IF('Pick List'!2902:2902,"AAAAAH+fc5E=",0)</f>
        <v>0</v>
      </c>
      <c r="EQ59">
        <f>IF('Pick List'!2903:2903,"AAAAAH+fc5I=",0)</f>
        <v>0</v>
      </c>
      <c r="ER59">
        <f>IF('Pick List'!2904:2904,"AAAAAH+fc5M=",0)</f>
        <v>0</v>
      </c>
      <c r="ES59">
        <f>IF('Pick List'!2905:2905,"AAAAAH+fc5Q=",0)</f>
        <v>0</v>
      </c>
      <c r="ET59">
        <f>IF('Pick List'!2906:2906,"AAAAAH+fc5U=",0)</f>
        <v>0</v>
      </c>
      <c r="EU59">
        <f>IF('Pick List'!2907:2907,"AAAAAH+fc5Y=",0)</f>
        <v>0</v>
      </c>
      <c r="EV59">
        <f>IF('Pick List'!2908:2908,"AAAAAH+fc5c=",0)</f>
        <v>0</v>
      </c>
      <c r="EW59">
        <f>IF('Pick List'!2909:2909,"AAAAAH+fc5g=",0)</f>
        <v>0</v>
      </c>
      <c r="EX59">
        <f>IF('Pick List'!2910:2910,"AAAAAH+fc5k=",0)</f>
        <v>0</v>
      </c>
      <c r="EY59">
        <f>IF('Pick List'!2911:2911,"AAAAAH+fc5o=",0)</f>
        <v>0</v>
      </c>
      <c r="EZ59">
        <f>IF('Pick List'!2912:2912,"AAAAAH+fc5s=",0)</f>
        <v>0</v>
      </c>
      <c r="FA59">
        <f>IF('Pick List'!2913:2913,"AAAAAH+fc5w=",0)</f>
        <v>0</v>
      </c>
      <c r="FB59">
        <f>IF('Pick List'!2914:2914,"AAAAAH+fc50=",0)</f>
        <v>0</v>
      </c>
      <c r="FC59">
        <f>IF('Pick List'!2915:2915,"AAAAAH+fc54=",0)</f>
        <v>0</v>
      </c>
      <c r="FD59">
        <f>IF('Pick List'!2916:2916,"AAAAAH+fc58=",0)</f>
        <v>0</v>
      </c>
      <c r="FE59">
        <f>IF('Pick List'!2917:2917,"AAAAAH+fc6A=",0)</f>
        <v>0</v>
      </c>
      <c r="FF59">
        <f>IF('Pick List'!2918:2918,"AAAAAH+fc6E=",0)</f>
        <v>0</v>
      </c>
      <c r="FG59">
        <f>IF('Pick List'!2919:2919,"AAAAAH+fc6I=",0)</f>
        <v>0</v>
      </c>
      <c r="FH59">
        <f>IF('Pick List'!2920:2920,"AAAAAH+fc6M=",0)</f>
        <v>0</v>
      </c>
      <c r="FI59">
        <f>IF('Pick List'!2921:2921,"AAAAAH+fc6Q=",0)</f>
        <v>0</v>
      </c>
      <c r="FJ59">
        <f>IF('Pick List'!2922:2922,"AAAAAH+fc6U=",0)</f>
        <v>0</v>
      </c>
      <c r="FK59">
        <f>IF('Pick List'!2923:2923,"AAAAAH+fc6Y=",0)</f>
        <v>0</v>
      </c>
      <c r="FL59">
        <f>IF('Pick List'!2924:2924,"AAAAAH+fc6c=",0)</f>
        <v>0</v>
      </c>
      <c r="FM59">
        <f>IF('Pick List'!2925:2925,"AAAAAH+fc6g=",0)</f>
        <v>0</v>
      </c>
      <c r="FN59">
        <f>IF('Pick List'!2926:2926,"AAAAAH+fc6k=",0)</f>
        <v>0</v>
      </c>
      <c r="FO59">
        <f>IF('Pick List'!2927:2927,"AAAAAH+fc6o=",0)</f>
        <v>0</v>
      </c>
      <c r="FP59">
        <f>IF('Pick List'!2928:2928,"AAAAAH+fc6s=",0)</f>
        <v>0</v>
      </c>
      <c r="FQ59">
        <f>IF('Pick List'!2929:2929,"AAAAAH+fc6w=",0)</f>
        <v>0</v>
      </c>
      <c r="FR59">
        <f>IF('Pick List'!2930:2930,"AAAAAH+fc60=",0)</f>
        <v>0</v>
      </c>
      <c r="FS59">
        <f>IF('Pick List'!2931:2931,"AAAAAH+fc64=",0)</f>
        <v>0</v>
      </c>
      <c r="FT59">
        <f>IF('Pick List'!2932:2932,"AAAAAH+fc68=",0)</f>
        <v>0</v>
      </c>
      <c r="FU59">
        <f>IF('Pick List'!2933:2933,"AAAAAH+fc7A=",0)</f>
        <v>0</v>
      </c>
      <c r="FV59">
        <f>IF('Pick List'!2934:2934,"AAAAAH+fc7E=",0)</f>
        <v>0</v>
      </c>
      <c r="FW59">
        <f>IF('Pick List'!2935:2935,"AAAAAH+fc7I=",0)</f>
        <v>0</v>
      </c>
      <c r="FX59">
        <f>IF('Pick List'!2936:2936,"AAAAAH+fc7M=",0)</f>
        <v>0</v>
      </c>
      <c r="FY59">
        <f>IF('Pick List'!2937:2937,"AAAAAH+fc7Q=",0)</f>
        <v>0</v>
      </c>
      <c r="FZ59">
        <f>IF('Pick List'!2938:2938,"AAAAAH+fc7U=",0)</f>
        <v>0</v>
      </c>
      <c r="GA59">
        <f>IF('Pick List'!2939:2939,"AAAAAH+fc7Y=",0)</f>
        <v>0</v>
      </c>
      <c r="GB59">
        <f>IF('Pick List'!2940:2940,"AAAAAH+fc7c=",0)</f>
        <v>0</v>
      </c>
      <c r="GC59">
        <f>IF('Pick List'!2941:2941,"AAAAAH+fc7g=",0)</f>
        <v>0</v>
      </c>
      <c r="GD59">
        <f>IF('Pick List'!2942:2942,"AAAAAH+fc7k=",0)</f>
        <v>0</v>
      </c>
      <c r="GE59">
        <f>IF('Pick List'!2943:2943,"AAAAAH+fc7o=",0)</f>
        <v>0</v>
      </c>
      <c r="GF59">
        <f>IF('Pick List'!2944:2944,"AAAAAH+fc7s=",0)</f>
        <v>0</v>
      </c>
      <c r="GG59">
        <f>IF('Pick List'!2945:2945,"AAAAAH+fc7w=",0)</f>
        <v>0</v>
      </c>
      <c r="GH59">
        <f>IF('Pick List'!2946:2946,"AAAAAH+fc70=",0)</f>
        <v>0</v>
      </c>
      <c r="GI59">
        <f>IF('Pick List'!2947:2947,"AAAAAH+fc74=",0)</f>
        <v>0</v>
      </c>
      <c r="GJ59">
        <f>IF('Pick List'!2948:2948,"AAAAAH+fc78=",0)</f>
        <v>0</v>
      </c>
      <c r="GK59">
        <f>IF('Pick List'!2949:2949,"AAAAAH+fc8A=",0)</f>
        <v>0</v>
      </c>
      <c r="GL59">
        <f>IF('Pick List'!2950:2950,"AAAAAH+fc8E=",0)</f>
        <v>0</v>
      </c>
      <c r="GM59">
        <f>IF('Pick List'!2951:2951,"AAAAAH+fc8I=",0)</f>
        <v>0</v>
      </c>
      <c r="GN59">
        <f>IF('Pick List'!2952:2952,"AAAAAH+fc8M=",0)</f>
        <v>0</v>
      </c>
      <c r="GO59">
        <f>IF('Pick List'!2953:2953,"AAAAAH+fc8Q=",0)</f>
        <v>0</v>
      </c>
      <c r="GP59">
        <f>IF('Pick List'!2954:2954,"AAAAAH+fc8U=",0)</f>
        <v>0</v>
      </c>
      <c r="GQ59">
        <f>IF('Pick List'!2955:2955,"AAAAAH+fc8Y=",0)</f>
        <v>0</v>
      </c>
      <c r="GR59">
        <f>IF('Pick List'!2956:2956,"AAAAAH+fc8c=",0)</f>
        <v>0</v>
      </c>
      <c r="GS59">
        <f>IF('Pick List'!2957:2957,"AAAAAH+fc8g=",0)</f>
        <v>0</v>
      </c>
      <c r="GT59">
        <f>IF('Pick List'!2958:2958,"AAAAAH+fc8k=",0)</f>
        <v>0</v>
      </c>
      <c r="GU59">
        <f>IF('Pick List'!2959:2959,"AAAAAH+fc8o=",0)</f>
        <v>0</v>
      </c>
      <c r="GV59">
        <f>IF('Pick List'!2960:2960,"AAAAAH+fc8s=",0)</f>
        <v>0</v>
      </c>
      <c r="GW59">
        <f>IF('Pick List'!2961:2961,"AAAAAH+fc8w=",0)</f>
        <v>0</v>
      </c>
      <c r="GX59">
        <f>IF('Pick List'!2962:2962,"AAAAAH+fc80=",0)</f>
        <v>0</v>
      </c>
      <c r="GY59">
        <f>IF('Pick List'!2963:2963,"AAAAAH+fc84=",0)</f>
        <v>0</v>
      </c>
      <c r="GZ59">
        <f>IF('Pick List'!2964:2964,"AAAAAH+fc88=",0)</f>
        <v>0</v>
      </c>
      <c r="HA59">
        <f>IF('Pick List'!2965:2965,"AAAAAH+fc9A=",0)</f>
        <v>0</v>
      </c>
      <c r="HB59">
        <f>IF('Pick List'!2966:2966,"AAAAAH+fc9E=",0)</f>
        <v>0</v>
      </c>
      <c r="HC59">
        <f>IF('Pick List'!2967:2967,"AAAAAH+fc9I=",0)</f>
        <v>0</v>
      </c>
      <c r="HD59">
        <f>IF('Pick List'!2968:2968,"AAAAAH+fc9M=",0)</f>
        <v>0</v>
      </c>
      <c r="HE59">
        <f>IF('Pick List'!2969:2969,"AAAAAH+fc9Q=",0)</f>
        <v>0</v>
      </c>
      <c r="HF59">
        <f>IF('Pick List'!2970:2970,"AAAAAH+fc9U=",0)</f>
        <v>0</v>
      </c>
      <c r="HG59">
        <f>IF('Pick List'!2971:2971,"AAAAAH+fc9Y=",0)</f>
        <v>0</v>
      </c>
      <c r="HH59">
        <f>IF('Pick List'!2972:2972,"AAAAAH+fc9c=",0)</f>
        <v>0</v>
      </c>
      <c r="HI59">
        <f>IF('Pick List'!2973:2973,"AAAAAH+fc9g=",0)</f>
        <v>0</v>
      </c>
      <c r="HJ59">
        <f>IF('Pick List'!2974:2974,"AAAAAH+fc9k=",0)</f>
        <v>0</v>
      </c>
      <c r="HK59">
        <f>IF('Pick List'!2975:2975,"AAAAAH+fc9o=",0)</f>
        <v>0</v>
      </c>
      <c r="HL59">
        <f>IF('Pick List'!2976:2976,"AAAAAH+fc9s=",0)</f>
        <v>0</v>
      </c>
      <c r="HM59">
        <f>IF('Pick List'!2977:2977,"AAAAAH+fc9w=",0)</f>
        <v>0</v>
      </c>
      <c r="HN59">
        <f>IF('Pick List'!2978:2978,"AAAAAH+fc90=",0)</f>
        <v>0</v>
      </c>
      <c r="HO59">
        <f>IF('Pick List'!2979:2979,"AAAAAH+fc94=",0)</f>
        <v>0</v>
      </c>
      <c r="HP59">
        <f>IF('Pick List'!2980:2980,"AAAAAH+fc98=",0)</f>
        <v>0</v>
      </c>
      <c r="HQ59">
        <f>IF('Pick List'!2981:2981,"AAAAAH+fc+A=",0)</f>
        <v>0</v>
      </c>
      <c r="HR59">
        <f>IF('Pick List'!2982:2982,"AAAAAH+fc+E=",0)</f>
        <v>0</v>
      </c>
      <c r="HS59">
        <f>IF('Pick List'!2983:2983,"AAAAAH+fc+I=",0)</f>
        <v>0</v>
      </c>
      <c r="HT59">
        <f>IF('Pick List'!2984:2984,"AAAAAH+fc+M=",0)</f>
        <v>0</v>
      </c>
      <c r="HU59">
        <f>IF('Pick List'!2985:2985,"AAAAAH+fc+Q=",0)</f>
        <v>0</v>
      </c>
      <c r="HV59">
        <f>IF('Pick List'!2986:2986,"AAAAAH+fc+U=",0)</f>
        <v>0</v>
      </c>
      <c r="HW59">
        <f>IF('Pick List'!2987:2987,"AAAAAH+fc+Y=",0)</f>
        <v>0</v>
      </c>
      <c r="HX59">
        <f>IF('Pick List'!2988:2988,"AAAAAH+fc+c=",0)</f>
        <v>0</v>
      </c>
      <c r="HY59">
        <f>IF('Pick List'!2989:2989,"AAAAAH+fc+g=",0)</f>
        <v>0</v>
      </c>
      <c r="HZ59">
        <f>IF('Pick List'!2990:2990,"AAAAAH+fc+k=",0)</f>
        <v>0</v>
      </c>
      <c r="IA59">
        <f>IF('Pick List'!2991:2991,"AAAAAH+fc+o=",0)</f>
        <v>0</v>
      </c>
      <c r="IB59">
        <f>IF('Pick List'!2992:2992,"AAAAAH+fc+s=",0)</f>
        <v>0</v>
      </c>
      <c r="IC59">
        <f>IF('Pick List'!2993:2993,"AAAAAH+fc+w=",0)</f>
        <v>0</v>
      </c>
      <c r="ID59">
        <f>IF('Pick List'!2994:2994,"AAAAAH+fc+0=",0)</f>
        <v>0</v>
      </c>
      <c r="IE59">
        <f>IF('Pick List'!2995:2995,"AAAAAH+fc+4=",0)</f>
        <v>0</v>
      </c>
      <c r="IF59">
        <f>IF('Pick List'!2996:2996,"AAAAAH+fc+8=",0)</f>
        <v>0</v>
      </c>
      <c r="IG59">
        <f>IF('Pick List'!2997:2997,"AAAAAH+fc/A=",0)</f>
        <v>0</v>
      </c>
      <c r="IH59">
        <f>IF('Pick List'!2998:2998,"AAAAAH+fc/E=",0)</f>
        <v>0</v>
      </c>
      <c r="II59">
        <f>IF('Pick List'!2999:2999,"AAAAAH+fc/I=",0)</f>
        <v>0</v>
      </c>
      <c r="IJ59">
        <f>IF('Pick List'!3000:3000,"AAAAAH+fc/M=",0)</f>
        <v>0</v>
      </c>
      <c r="IK59">
        <f>IF('Pick List'!3001:3001,"AAAAAH+fc/Q=",0)</f>
        <v>0</v>
      </c>
      <c r="IL59">
        <f>IF('Pick List'!3002:3002,"AAAAAH+fc/U=",0)</f>
        <v>0</v>
      </c>
      <c r="IM59">
        <f>IF('Pick List'!3003:3003,"AAAAAH+fc/Y=",0)</f>
        <v>0</v>
      </c>
      <c r="IN59">
        <f>IF('Pick List'!3004:3004,"AAAAAH+fc/c=",0)</f>
        <v>0</v>
      </c>
      <c r="IO59">
        <f>IF('Pick List'!3005:3005,"AAAAAH+fc/g=",0)</f>
        <v>0</v>
      </c>
      <c r="IP59">
        <f>IF('Pick List'!3006:3006,"AAAAAH+fc/k=",0)</f>
        <v>0</v>
      </c>
      <c r="IQ59">
        <f>IF('Pick List'!3007:3007,"AAAAAH+fc/o=",0)</f>
        <v>0</v>
      </c>
      <c r="IR59">
        <f>IF('Pick List'!3008:3008,"AAAAAH+fc/s=",0)</f>
        <v>0</v>
      </c>
      <c r="IS59">
        <f>IF('Pick List'!3009:3009,"AAAAAH+fc/w=",0)</f>
        <v>0</v>
      </c>
      <c r="IT59">
        <f>IF('Pick List'!3010:3010,"AAAAAH+fc/0=",0)</f>
        <v>0</v>
      </c>
      <c r="IU59">
        <f>IF('Pick List'!3011:3011,"AAAAAH+fc/4=",0)</f>
        <v>0</v>
      </c>
      <c r="IV59">
        <f>IF('Pick List'!3012:3012,"AAAAAH+fc/8=",0)</f>
        <v>0</v>
      </c>
    </row>
    <row r="60" spans="1:256" x14ac:dyDescent="0.2">
      <c r="A60">
        <f>IF('Pick List'!3013:3013,"AAAAAHb4/wA=",0)</f>
        <v>0</v>
      </c>
      <c r="B60">
        <f>IF('Pick List'!3014:3014,"AAAAAHb4/wE=",0)</f>
        <v>0</v>
      </c>
      <c r="C60">
        <f>IF('Pick List'!3015:3015,"AAAAAHb4/wI=",0)</f>
        <v>0</v>
      </c>
      <c r="D60">
        <f>IF('Pick List'!3016:3016,"AAAAAHb4/wM=",0)</f>
        <v>0</v>
      </c>
      <c r="E60">
        <f>IF('Pick List'!3017:3017,"AAAAAHb4/wQ=",0)</f>
        <v>0</v>
      </c>
      <c r="F60">
        <f>IF('Pick List'!3018:3018,"AAAAAHb4/wU=",0)</f>
        <v>0</v>
      </c>
      <c r="G60">
        <f>IF('Pick List'!3019:3019,"AAAAAHb4/wY=",0)</f>
        <v>0</v>
      </c>
      <c r="H60">
        <f>IF('Pick List'!3020:3020,"AAAAAHb4/wc=",0)</f>
        <v>0</v>
      </c>
      <c r="I60">
        <f>IF('Pick List'!3021:3021,"AAAAAHb4/wg=",0)</f>
        <v>0</v>
      </c>
      <c r="J60">
        <f>IF('Pick List'!3022:3022,"AAAAAHb4/wk=",0)</f>
        <v>0</v>
      </c>
      <c r="K60">
        <f>IF('Pick List'!3023:3023,"AAAAAHb4/wo=",0)</f>
        <v>0</v>
      </c>
      <c r="L60">
        <f>IF('Pick List'!3024:3024,"AAAAAHb4/ws=",0)</f>
        <v>0</v>
      </c>
      <c r="M60">
        <f>IF('Pick List'!3025:3025,"AAAAAHb4/ww=",0)</f>
        <v>0</v>
      </c>
      <c r="N60">
        <f>IF('Pick List'!3026:3026,"AAAAAHb4/w0=",0)</f>
        <v>0</v>
      </c>
      <c r="O60">
        <f>IF('Pick List'!3027:3027,"AAAAAHb4/w4=",0)</f>
        <v>0</v>
      </c>
      <c r="P60">
        <f>IF('Pick List'!3028:3028,"AAAAAHb4/w8=",0)</f>
        <v>0</v>
      </c>
      <c r="Q60">
        <f>IF('Pick List'!3029:3029,"AAAAAHb4/xA=",0)</f>
        <v>0</v>
      </c>
      <c r="R60">
        <f>IF('Pick List'!3030:3030,"AAAAAHb4/xE=",0)</f>
        <v>0</v>
      </c>
      <c r="S60">
        <f>IF('Pick List'!3031:3031,"AAAAAHb4/xI=",0)</f>
        <v>0</v>
      </c>
      <c r="T60">
        <f>IF('Pick List'!3032:3032,"AAAAAHb4/xM=",0)</f>
        <v>0</v>
      </c>
      <c r="U60">
        <f>IF('Pick List'!3033:3033,"AAAAAHb4/xQ=",0)</f>
        <v>0</v>
      </c>
      <c r="V60">
        <f>IF('Pick List'!3034:3034,"AAAAAHb4/xU=",0)</f>
        <v>0</v>
      </c>
      <c r="W60">
        <f>IF('Pick List'!3035:3035,"AAAAAHb4/xY=",0)</f>
        <v>0</v>
      </c>
      <c r="X60">
        <f>IF('Pick List'!3036:3036,"AAAAAHb4/xc=",0)</f>
        <v>0</v>
      </c>
      <c r="Y60">
        <f>IF('Pick List'!3037:3037,"AAAAAHb4/xg=",0)</f>
        <v>0</v>
      </c>
      <c r="Z60">
        <f>IF('Pick List'!3038:3038,"AAAAAHb4/xk=",0)</f>
        <v>0</v>
      </c>
      <c r="AA60">
        <f>IF('Pick List'!3039:3039,"AAAAAHb4/xo=",0)</f>
        <v>0</v>
      </c>
      <c r="AB60">
        <f>IF('Pick List'!3040:3040,"AAAAAHb4/xs=",0)</f>
        <v>0</v>
      </c>
      <c r="AC60">
        <f>IF('Pick List'!3041:3041,"AAAAAHb4/xw=",0)</f>
        <v>0</v>
      </c>
      <c r="AD60">
        <f>IF('Pick List'!3042:3042,"AAAAAHb4/x0=",0)</f>
        <v>0</v>
      </c>
      <c r="AE60">
        <f>IF('Pick List'!3043:3043,"AAAAAHb4/x4=",0)</f>
        <v>0</v>
      </c>
      <c r="AF60">
        <f>IF('Pick List'!3044:3044,"AAAAAHb4/x8=",0)</f>
        <v>0</v>
      </c>
      <c r="AG60">
        <f>IF('Pick List'!3045:3045,"AAAAAHb4/yA=",0)</f>
        <v>0</v>
      </c>
      <c r="AH60">
        <f>IF('Pick List'!3046:3046,"AAAAAHb4/yE=",0)</f>
        <v>0</v>
      </c>
      <c r="AI60">
        <f>IF('Pick List'!3047:3047,"AAAAAHb4/yI=",0)</f>
        <v>0</v>
      </c>
      <c r="AJ60">
        <f>IF('Pick List'!3048:3048,"AAAAAHb4/yM=",0)</f>
        <v>0</v>
      </c>
      <c r="AK60">
        <f>IF('Pick List'!3049:3049,"AAAAAHb4/yQ=",0)</f>
        <v>0</v>
      </c>
      <c r="AL60">
        <f>IF('Pick List'!3050:3050,"AAAAAHb4/yU=",0)</f>
        <v>0</v>
      </c>
      <c r="AM60">
        <f>IF('Pick List'!3051:3051,"AAAAAHb4/yY=",0)</f>
        <v>0</v>
      </c>
      <c r="AN60">
        <f>IF('Pick List'!3052:3052,"AAAAAHb4/yc=",0)</f>
        <v>0</v>
      </c>
      <c r="AO60">
        <f>IF('Pick List'!3053:3053,"AAAAAHb4/yg=",0)</f>
        <v>0</v>
      </c>
      <c r="AP60">
        <f>IF('Pick List'!3054:3054,"AAAAAHb4/yk=",0)</f>
        <v>0</v>
      </c>
      <c r="AQ60">
        <f>IF('Pick List'!3055:3055,"AAAAAHb4/yo=",0)</f>
        <v>0</v>
      </c>
      <c r="AR60">
        <f>IF('Pick List'!3056:3056,"AAAAAHb4/ys=",0)</f>
        <v>0</v>
      </c>
      <c r="AS60">
        <f>IF('Pick List'!3057:3057,"AAAAAHb4/yw=",0)</f>
        <v>0</v>
      </c>
      <c r="AT60">
        <f>IF('Pick List'!3058:3058,"AAAAAHb4/y0=",0)</f>
        <v>0</v>
      </c>
      <c r="AU60">
        <f>IF('Pick List'!3059:3059,"AAAAAHb4/y4=",0)</f>
        <v>0</v>
      </c>
      <c r="AV60">
        <f>IF('Pick List'!3060:3060,"AAAAAHb4/y8=",0)</f>
        <v>0</v>
      </c>
      <c r="AW60">
        <f>IF('Pick List'!3061:3061,"AAAAAHb4/zA=",0)</f>
        <v>0</v>
      </c>
      <c r="AX60">
        <f>IF('Pick List'!3062:3062,"AAAAAHb4/zE=",0)</f>
        <v>0</v>
      </c>
      <c r="AY60">
        <f>IF('Pick List'!3063:3063,"AAAAAHb4/zI=",0)</f>
        <v>0</v>
      </c>
      <c r="AZ60">
        <f>IF('Pick List'!3064:3064,"AAAAAHb4/zM=",0)</f>
        <v>0</v>
      </c>
      <c r="BA60">
        <f>IF('Pick List'!3065:3065,"AAAAAHb4/zQ=",0)</f>
        <v>0</v>
      </c>
      <c r="BB60">
        <f>IF('Pick List'!3066:3066,"AAAAAHb4/zU=",0)</f>
        <v>0</v>
      </c>
      <c r="BC60">
        <f>IF('Pick List'!3067:3067,"AAAAAHb4/zY=",0)</f>
        <v>0</v>
      </c>
      <c r="BD60">
        <f>IF('Pick List'!3068:3068,"AAAAAHb4/zc=",0)</f>
        <v>0</v>
      </c>
      <c r="BE60">
        <f>IF('Pick List'!3069:3069,"AAAAAHb4/zg=",0)</f>
        <v>0</v>
      </c>
      <c r="BF60">
        <f>IF('Pick List'!3070:3070,"AAAAAHb4/zk=",0)</f>
        <v>0</v>
      </c>
      <c r="BG60">
        <f>IF('Pick List'!3071:3071,"AAAAAHb4/zo=",0)</f>
        <v>0</v>
      </c>
      <c r="BH60">
        <f>IF('Pick List'!3072:3072,"AAAAAHb4/zs=",0)</f>
        <v>0</v>
      </c>
      <c r="BI60">
        <f>IF('Pick List'!3073:3073,"AAAAAHb4/zw=",0)</f>
        <v>0</v>
      </c>
      <c r="BJ60">
        <f>IF('Pick List'!3074:3074,"AAAAAHb4/z0=",0)</f>
        <v>0</v>
      </c>
      <c r="BK60">
        <f>IF('Pick List'!3075:3075,"AAAAAHb4/z4=",0)</f>
        <v>0</v>
      </c>
      <c r="BL60">
        <f>IF('Pick List'!3076:3076,"AAAAAHb4/z8=",0)</f>
        <v>0</v>
      </c>
      <c r="BM60">
        <f>IF('Pick List'!3077:3077,"AAAAAHb4/0A=",0)</f>
        <v>0</v>
      </c>
      <c r="BN60">
        <f>IF('Pick List'!3078:3078,"AAAAAHb4/0E=",0)</f>
        <v>0</v>
      </c>
      <c r="BO60">
        <f>IF('Pick List'!3079:3079,"AAAAAHb4/0I=",0)</f>
        <v>0</v>
      </c>
      <c r="BP60">
        <f>IF('Pick List'!3080:3080,"AAAAAHb4/0M=",0)</f>
        <v>0</v>
      </c>
      <c r="BQ60">
        <f>IF('Pick List'!3081:3081,"AAAAAHb4/0Q=",0)</f>
        <v>0</v>
      </c>
      <c r="BR60">
        <f>IF('Pick List'!3082:3082,"AAAAAHb4/0U=",0)</f>
        <v>0</v>
      </c>
      <c r="BS60">
        <f>IF('Pick List'!3083:3083,"AAAAAHb4/0Y=",0)</f>
        <v>0</v>
      </c>
      <c r="BT60">
        <f>IF('Pick List'!3084:3084,"AAAAAHb4/0c=",0)</f>
        <v>0</v>
      </c>
      <c r="BU60">
        <f>IF('Pick List'!3085:3085,"AAAAAHb4/0g=",0)</f>
        <v>0</v>
      </c>
      <c r="BV60">
        <f>IF('Pick List'!3086:3086,"AAAAAHb4/0k=",0)</f>
        <v>0</v>
      </c>
      <c r="BW60">
        <f>IF('Pick List'!3087:3087,"AAAAAHb4/0o=",0)</f>
        <v>0</v>
      </c>
      <c r="BX60">
        <f>IF('Pick List'!3088:3088,"AAAAAHb4/0s=",0)</f>
        <v>0</v>
      </c>
      <c r="BY60">
        <f>IF('Pick List'!3089:3089,"AAAAAHb4/0w=",0)</f>
        <v>0</v>
      </c>
      <c r="BZ60">
        <f>IF('Pick List'!3090:3090,"AAAAAHb4/00=",0)</f>
        <v>0</v>
      </c>
      <c r="CA60">
        <f>IF('Pick List'!3091:3091,"AAAAAHb4/04=",0)</f>
        <v>0</v>
      </c>
      <c r="CB60">
        <f>IF('Pick List'!3092:3092,"AAAAAHb4/08=",0)</f>
        <v>0</v>
      </c>
      <c r="CC60">
        <f>IF('Pick List'!3093:3093,"AAAAAHb4/1A=",0)</f>
        <v>0</v>
      </c>
      <c r="CD60">
        <f>IF('Pick List'!3094:3094,"AAAAAHb4/1E=",0)</f>
        <v>0</v>
      </c>
      <c r="CE60">
        <f>IF('Pick List'!3095:3095,"AAAAAHb4/1I=",0)</f>
        <v>0</v>
      </c>
      <c r="CF60">
        <f>IF('Pick List'!3096:3096,"AAAAAHb4/1M=",0)</f>
        <v>0</v>
      </c>
      <c r="CG60">
        <f>IF('Pick List'!3097:3097,"AAAAAHb4/1Q=",0)</f>
        <v>0</v>
      </c>
      <c r="CH60">
        <f>IF('Pick List'!3098:3098,"AAAAAHb4/1U=",0)</f>
        <v>0</v>
      </c>
      <c r="CI60">
        <f>IF('Pick List'!3099:3099,"AAAAAHb4/1Y=",0)</f>
        <v>0</v>
      </c>
      <c r="CJ60">
        <f>IF('Pick List'!3100:3100,"AAAAAHb4/1c=",0)</f>
        <v>0</v>
      </c>
      <c r="CK60">
        <f>IF('Pick List'!3101:3101,"AAAAAHb4/1g=",0)</f>
        <v>0</v>
      </c>
      <c r="CL60">
        <f>IF('Pick List'!3102:3102,"AAAAAHb4/1k=",0)</f>
        <v>0</v>
      </c>
      <c r="CM60">
        <f>IF('Pick List'!3103:3103,"AAAAAHb4/1o=",0)</f>
        <v>0</v>
      </c>
      <c r="CN60">
        <f>IF('Pick List'!3104:3104,"AAAAAHb4/1s=",0)</f>
        <v>0</v>
      </c>
      <c r="CO60">
        <f>IF('Pick List'!3105:3105,"AAAAAHb4/1w=",0)</f>
        <v>0</v>
      </c>
      <c r="CP60">
        <f>IF('Pick List'!3106:3106,"AAAAAHb4/10=",0)</f>
        <v>0</v>
      </c>
      <c r="CQ60">
        <f>IF('Pick List'!3107:3107,"AAAAAHb4/14=",0)</f>
        <v>0</v>
      </c>
      <c r="CR60">
        <f>IF('Pick List'!3108:3108,"AAAAAHb4/18=",0)</f>
        <v>0</v>
      </c>
      <c r="CS60">
        <f>IF('Pick List'!3109:3109,"AAAAAHb4/2A=",0)</f>
        <v>0</v>
      </c>
      <c r="CT60">
        <f>IF('Pick List'!3110:3110,"AAAAAHb4/2E=",0)</f>
        <v>0</v>
      </c>
      <c r="CU60">
        <f>IF('Pick List'!3111:3111,"AAAAAHb4/2I=",0)</f>
        <v>0</v>
      </c>
      <c r="CV60">
        <f>IF('Pick List'!3112:3112,"AAAAAHb4/2M=",0)</f>
        <v>0</v>
      </c>
      <c r="CW60">
        <f>IF('Pick List'!3113:3113,"AAAAAHb4/2Q=",0)</f>
        <v>0</v>
      </c>
      <c r="CX60">
        <f>IF('Pick List'!3114:3114,"AAAAAHb4/2U=",0)</f>
        <v>0</v>
      </c>
      <c r="CY60">
        <f>IF('Pick List'!3115:3115,"AAAAAHb4/2Y=",0)</f>
        <v>0</v>
      </c>
      <c r="CZ60">
        <f>IF('Pick List'!3116:3116,"AAAAAHb4/2c=",0)</f>
        <v>0</v>
      </c>
      <c r="DA60">
        <f>IF('Pick List'!3117:3117,"AAAAAHb4/2g=",0)</f>
        <v>0</v>
      </c>
      <c r="DB60">
        <f>IF('Pick List'!3118:3118,"AAAAAHb4/2k=",0)</f>
        <v>0</v>
      </c>
      <c r="DC60">
        <f>IF('Pick List'!3119:3119,"AAAAAHb4/2o=",0)</f>
        <v>0</v>
      </c>
      <c r="DD60">
        <f>IF('Pick List'!3120:3120,"AAAAAHb4/2s=",0)</f>
        <v>0</v>
      </c>
      <c r="DE60">
        <f>IF('Pick List'!3121:3121,"AAAAAHb4/2w=",0)</f>
        <v>0</v>
      </c>
      <c r="DF60">
        <f>IF('Pick List'!3122:3122,"AAAAAHb4/20=",0)</f>
        <v>0</v>
      </c>
      <c r="DG60">
        <f>IF('Pick List'!3123:3123,"AAAAAHb4/24=",0)</f>
        <v>0</v>
      </c>
      <c r="DH60">
        <f>IF('Pick List'!3124:3124,"AAAAAHb4/28=",0)</f>
        <v>0</v>
      </c>
      <c r="DI60">
        <f>IF('Pick List'!3125:3125,"AAAAAHb4/3A=",0)</f>
        <v>0</v>
      </c>
      <c r="DJ60">
        <f>IF('Pick List'!3126:3126,"AAAAAHb4/3E=",0)</f>
        <v>0</v>
      </c>
      <c r="DK60">
        <f>IF('Pick List'!3127:3127,"AAAAAHb4/3I=",0)</f>
        <v>0</v>
      </c>
      <c r="DL60">
        <f>IF('Pick List'!3128:3128,"AAAAAHb4/3M=",0)</f>
        <v>0</v>
      </c>
      <c r="DM60">
        <f>IF('Pick List'!3129:3129,"AAAAAHb4/3Q=",0)</f>
        <v>0</v>
      </c>
      <c r="DN60">
        <f>IF('Pick List'!3130:3130,"AAAAAHb4/3U=",0)</f>
        <v>0</v>
      </c>
      <c r="DO60">
        <f>IF('Pick List'!3131:3131,"AAAAAHb4/3Y=",0)</f>
        <v>0</v>
      </c>
      <c r="DP60">
        <f>IF('Pick List'!3132:3132,"AAAAAHb4/3c=",0)</f>
        <v>0</v>
      </c>
      <c r="DQ60">
        <f>IF('Pick List'!3133:3133,"AAAAAHb4/3g=",0)</f>
        <v>0</v>
      </c>
      <c r="DR60">
        <f>IF('Pick List'!3134:3134,"AAAAAHb4/3k=",0)</f>
        <v>0</v>
      </c>
      <c r="DS60">
        <f>IF('Pick List'!3135:3135,"AAAAAHb4/3o=",0)</f>
        <v>0</v>
      </c>
      <c r="DT60">
        <f>IF('Pick List'!3136:3136,"AAAAAHb4/3s=",0)</f>
        <v>0</v>
      </c>
      <c r="DU60">
        <f>IF('Pick List'!3137:3137,"AAAAAHb4/3w=",0)</f>
        <v>0</v>
      </c>
      <c r="DV60">
        <f>IF('Pick List'!3138:3138,"AAAAAHb4/30=",0)</f>
        <v>0</v>
      </c>
      <c r="DW60">
        <f>IF('Pick List'!3139:3139,"AAAAAHb4/34=",0)</f>
        <v>0</v>
      </c>
      <c r="DX60">
        <f>IF('Pick List'!3140:3140,"AAAAAHb4/38=",0)</f>
        <v>0</v>
      </c>
      <c r="DY60">
        <f>IF('Pick List'!3141:3141,"AAAAAHb4/4A=",0)</f>
        <v>0</v>
      </c>
      <c r="DZ60">
        <f>IF('Pick List'!3142:3142,"AAAAAHb4/4E=",0)</f>
        <v>0</v>
      </c>
      <c r="EA60">
        <f>IF('Pick List'!3143:3143,"AAAAAHb4/4I=",0)</f>
        <v>0</v>
      </c>
      <c r="EB60">
        <f>IF('Pick List'!3144:3144,"AAAAAHb4/4M=",0)</f>
        <v>0</v>
      </c>
      <c r="EC60">
        <f>IF('Pick List'!3145:3145,"AAAAAHb4/4Q=",0)</f>
        <v>0</v>
      </c>
      <c r="ED60">
        <f>IF('Pick List'!3146:3146,"AAAAAHb4/4U=",0)</f>
        <v>0</v>
      </c>
      <c r="EE60">
        <f>IF('Pick List'!3147:3147,"AAAAAHb4/4Y=",0)</f>
        <v>0</v>
      </c>
      <c r="EF60">
        <f>IF('Pick List'!3148:3148,"AAAAAHb4/4c=",0)</f>
        <v>0</v>
      </c>
      <c r="EG60">
        <f>IF('Pick List'!3149:3149,"AAAAAHb4/4g=",0)</f>
        <v>0</v>
      </c>
      <c r="EH60">
        <f>IF('Pick List'!3150:3150,"AAAAAHb4/4k=",0)</f>
        <v>0</v>
      </c>
      <c r="EI60">
        <f>IF('Pick List'!3151:3151,"AAAAAHb4/4o=",0)</f>
        <v>0</v>
      </c>
      <c r="EJ60">
        <f>IF('Pick List'!3152:3152,"AAAAAHb4/4s=",0)</f>
        <v>0</v>
      </c>
      <c r="EK60">
        <f>IF('Pick List'!3153:3153,"AAAAAHb4/4w=",0)</f>
        <v>0</v>
      </c>
      <c r="EL60">
        <f>IF('Pick List'!3154:3154,"AAAAAHb4/40=",0)</f>
        <v>0</v>
      </c>
      <c r="EM60">
        <f>IF('Pick List'!3155:3155,"AAAAAHb4/44=",0)</f>
        <v>0</v>
      </c>
      <c r="EN60">
        <f>IF('Pick List'!3156:3156,"AAAAAHb4/48=",0)</f>
        <v>0</v>
      </c>
      <c r="EO60">
        <f>IF('Pick List'!3157:3157,"AAAAAHb4/5A=",0)</f>
        <v>0</v>
      </c>
      <c r="EP60">
        <f>IF('Pick List'!3158:3158,"AAAAAHb4/5E=",0)</f>
        <v>0</v>
      </c>
      <c r="EQ60">
        <f>IF('Pick List'!3159:3159,"AAAAAHb4/5I=",0)</f>
        <v>0</v>
      </c>
      <c r="ER60">
        <f>IF('Pick List'!3160:3160,"AAAAAHb4/5M=",0)</f>
        <v>0</v>
      </c>
      <c r="ES60">
        <f>IF('Pick List'!3161:3161,"AAAAAHb4/5Q=",0)</f>
        <v>0</v>
      </c>
      <c r="ET60">
        <f>IF('Pick List'!3162:3162,"AAAAAHb4/5U=",0)</f>
        <v>0</v>
      </c>
      <c r="EU60">
        <f>IF('Pick List'!3163:3163,"AAAAAHb4/5Y=",0)</f>
        <v>0</v>
      </c>
      <c r="EV60">
        <f>IF('Pick List'!3164:3164,"AAAAAHb4/5c=",0)</f>
        <v>0</v>
      </c>
      <c r="EW60">
        <f>IF('Pick List'!3165:3165,"AAAAAHb4/5g=",0)</f>
        <v>0</v>
      </c>
      <c r="EX60">
        <f>IF('Pick List'!3166:3166,"AAAAAHb4/5k=",0)</f>
        <v>0</v>
      </c>
      <c r="EY60">
        <f>IF('Pick List'!3167:3167,"AAAAAHb4/5o=",0)</f>
        <v>0</v>
      </c>
      <c r="EZ60">
        <f>IF('Pick List'!3168:3168,"AAAAAHb4/5s=",0)</f>
        <v>0</v>
      </c>
      <c r="FA60">
        <f>IF('Pick List'!3169:3169,"AAAAAHb4/5w=",0)</f>
        <v>0</v>
      </c>
      <c r="FB60">
        <f>IF('Pick List'!3170:3170,"AAAAAHb4/50=",0)</f>
        <v>0</v>
      </c>
      <c r="FC60">
        <f>IF('Pick List'!3171:3171,"AAAAAHb4/54=",0)</f>
        <v>0</v>
      </c>
      <c r="FD60">
        <f>IF('Pick List'!3172:3172,"AAAAAHb4/58=",0)</f>
        <v>0</v>
      </c>
      <c r="FE60">
        <f>IF('Pick List'!3173:3173,"AAAAAHb4/6A=",0)</f>
        <v>0</v>
      </c>
      <c r="FF60">
        <f>IF('Pick List'!3174:3174,"AAAAAHb4/6E=",0)</f>
        <v>0</v>
      </c>
      <c r="FG60">
        <f>IF('Pick List'!3175:3175,"AAAAAHb4/6I=",0)</f>
        <v>0</v>
      </c>
      <c r="FH60">
        <f>IF('Pick List'!3176:3176,"AAAAAHb4/6M=",0)</f>
        <v>0</v>
      </c>
      <c r="FI60">
        <f>IF('Pick List'!3177:3177,"AAAAAHb4/6Q=",0)</f>
        <v>0</v>
      </c>
      <c r="FJ60">
        <f>IF('Pick List'!3178:3178,"AAAAAHb4/6U=",0)</f>
        <v>0</v>
      </c>
      <c r="FK60">
        <f>IF('Pick List'!3179:3179,"AAAAAHb4/6Y=",0)</f>
        <v>0</v>
      </c>
      <c r="FL60">
        <f>IF('Pick List'!3180:3180,"AAAAAHb4/6c=",0)</f>
        <v>0</v>
      </c>
      <c r="FM60">
        <f>IF('Pick List'!3181:3181,"AAAAAHb4/6g=",0)</f>
        <v>0</v>
      </c>
      <c r="FN60">
        <f>IF('Pick List'!3182:3182,"AAAAAHb4/6k=",0)</f>
        <v>0</v>
      </c>
      <c r="FO60">
        <f>IF('Pick List'!3183:3183,"AAAAAHb4/6o=",0)</f>
        <v>0</v>
      </c>
      <c r="FP60">
        <f>IF('Pick List'!3184:3184,"AAAAAHb4/6s=",0)</f>
        <v>0</v>
      </c>
      <c r="FQ60">
        <f>IF('Pick List'!3185:3185,"AAAAAHb4/6w=",0)</f>
        <v>0</v>
      </c>
      <c r="FR60">
        <f>IF('Pick List'!3186:3186,"AAAAAHb4/60=",0)</f>
        <v>0</v>
      </c>
      <c r="FS60">
        <f>IF('Pick List'!3187:3187,"AAAAAHb4/64=",0)</f>
        <v>0</v>
      </c>
      <c r="FT60">
        <f>IF('Pick List'!3188:3188,"AAAAAHb4/68=",0)</f>
        <v>0</v>
      </c>
      <c r="FU60">
        <f>IF('Pick List'!3189:3189,"AAAAAHb4/7A=",0)</f>
        <v>0</v>
      </c>
      <c r="FV60">
        <f>IF('Pick List'!3190:3190,"AAAAAHb4/7E=",0)</f>
        <v>0</v>
      </c>
      <c r="FW60">
        <f>IF('Pick List'!3191:3191,"AAAAAHb4/7I=",0)</f>
        <v>0</v>
      </c>
      <c r="FX60">
        <f>IF('Pick List'!3192:3192,"AAAAAHb4/7M=",0)</f>
        <v>0</v>
      </c>
      <c r="FY60">
        <f>IF('Pick List'!3193:3193,"AAAAAHb4/7Q=",0)</f>
        <v>0</v>
      </c>
      <c r="FZ60">
        <f>IF('Pick List'!3194:3194,"AAAAAHb4/7U=",0)</f>
        <v>0</v>
      </c>
      <c r="GA60">
        <f>IF('Pick List'!3195:3195,"AAAAAHb4/7Y=",0)</f>
        <v>0</v>
      </c>
      <c r="GB60">
        <f>IF('Pick List'!3196:3196,"AAAAAHb4/7c=",0)</f>
        <v>0</v>
      </c>
      <c r="GC60">
        <f>IF('Pick List'!3197:3197,"AAAAAHb4/7g=",0)</f>
        <v>0</v>
      </c>
      <c r="GD60">
        <f>IF('Pick List'!3198:3198,"AAAAAHb4/7k=",0)</f>
        <v>0</v>
      </c>
      <c r="GE60">
        <f>IF('Pick List'!3199:3199,"AAAAAHb4/7o=",0)</f>
        <v>0</v>
      </c>
      <c r="GF60">
        <f>IF('Pick List'!3200:3200,"AAAAAHb4/7s=",0)</f>
        <v>0</v>
      </c>
      <c r="GG60">
        <f>IF('Pick List'!3201:3201,"AAAAAHb4/7w=",0)</f>
        <v>0</v>
      </c>
      <c r="GH60">
        <f>IF('Pick List'!3202:3202,"AAAAAHb4/70=",0)</f>
        <v>0</v>
      </c>
      <c r="GI60">
        <f>IF('Pick List'!3203:3203,"AAAAAHb4/74=",0)</f>
        <v>0</v>
      </c>
      <c r="GJ60">
        <f>IF('Pick List'!3204:3204,"AAAAAHb4/78=",0)</f>
        <v>0</v>
      </c>
      <c r="GK60">
        <f>IF('Pick List'!3205:3205,"AAAAAHb4/8A=",0)</f>
        <v>0</v>
      </c>
      <c r="GL60">
        <f>IF('Pick List'!3206:3206,"AAAAAHb4/8E=",0)</f>
        <v>0</v>
      </c>
      <c r="GM60">
        <f>IF('Pick List'!3207:3207,"AAAAAHb4/8I=",0)</f>
        <v>0</v>
      </c>
      <c r="GN60">
        <f>IF('Pick List'!3208:3208,"AAAAAHb4/8M=",0)</f>
        <v>0</v>
      </c>
      <c r="GO60">
        <f>IF('Pick List'!3209:3209,"AAAAAHb4/8Q=",0)</f>
        <v>0</v>
      </c>
      <c r="GP60">
        <f>IF('Pick List'!3210:3210,"AAAAAHb4/8U=",0)</f>
        <v>0</v>
      </c>
      <c r="GQ60">
        <f>IF('Pick List'!3211:3211,"AAAAAHb4/8Y=",0)</f>
        <v>0</v>
      </c>
      <c r="GR60">
        <f>IF('Pick List'!3212:3212,"AAAAAHb4/8c=",0)</f>
        <v>0</v>
      </c>
      <c r="GS60">
        <f>IF('Pick List'!3213:3213,"AAAAAHb4/8g=",0)</f>
        <v>0</v>
      </c>
      <c r="GT60">
        <f>IF('Pick List'!3214:3214,"AAAAAHb4/8k=",0)</f>
        <v>0</v>
      </c>
      <c r="GU60">
        <f>IF('Pick List'!3215:3215,"AAAAAHb4/8o=",0)</f>
        <v>0</v>
      </c>
      <c r="GV60">
        <f>IF('Pick List'!3216:3216,"AAAAAHb4/8s=",0)</f>
        <v>0</v>
      </c>
      <c r="GW60">
        <f>IF('Pick List'!3217:3217,"AAAAAHb4/8w=",0)</f>
        <v>0</v>
      </c>
      <c r="GX60">
        <f>IF('Pick List'!3218:3218,"AAAAAHb4/80=",0)</f>
        <v>0</v>
      </c>
      <c r="GY60">
        <f>IF('Pick List'!3219:3219,"AAAAAHb4/84=",0)</f>
        <v>0</v>
      </c>
      <c r="GZ60">
        <f>IF('Pick List'!3220:3220,"AAAAAHb4/88=",0)</f>
        <v>0</v>
      </c>
      <c r="HA60">
        <f>IF('Pick List'!3221:3221,"AAAAAHb4/9A=",0)</f>
        <v>0</v>
      </c>
      <c r="HB60">
        <f>IF('Pick List'!3222:3222,"AAAAAHb4/9E=",0)</f>
        <v>0</v>
      </c>
      <c r="HC60">
        <f>IF('Pick List'!3223:3223,"AAAAAHb4/9I=",0)</f>
        <v>0</v>
      </c>
      <c r="HD60">
        <f>IF('Pick List'!3224:3224,"AAAAAHb4/9M=",0)</f>
        <v>0</v>
      </c>
      <c r="HE60">
        <f>IF('Pick List'!3225:3225,"AAAAAHb4/9Q=",0)</f>
        <v>0</v>
      </c>
      <c r="HF60">
        <f>IF('Pick List'!3226:3226,"AAAAAHb4/9U=",0)</f>
        <v>0</v>
      </c>
      <c r="HG60">
        <f>IF('Pick List'!3227:3227,"AAAAAHb4/9Y=",0)</f>
        <v>0</v>
      </c>
      <c r="HH60">
        <f>IF('Pick List'!3228:3228,"AAAAAHb4/9c=",0)</f>
        <v>0</v>
      </c>
      <c r="HI60">
        <f>IF('Pick List'!3229:3229,"AAAAAHb4/9g=",0)</f>
        <v>0</v>
      </c>
      <c r="HJ60">
        <f>IF('Pick List'!3230:3230,"AAAAAHb4/9k=",0)</f>
        <v>0</v>
      </c>
      <c r="HK60">
        <f>IF('Pick List'!3231:3231,"AAAAAHb4/9o=",0)</f>
        <v>0</v>
      </c>
      <c r="HL60">
        <f>IF('Pick List'!3232:3232,"AAAAAHb4/9s=",0)</f>
        <v>0</v>
      </c>
      <c r="HM60">
        <f>IF('Pick List'!3233:3233,"AAAAAHb4/9w=",0)</f>
        <v>0</v>
      </c>
      <c r="HN60">
        <f>IF('Pick List'!3234:3234,"AAAAAHb4/90=",0)</f>
        <v>0</v>
      </c>
      <c r="HO60">
        <f>IF('Pick List'!3235:3235,"AAAAAHb4/94=",0)</f>
        <v>0</v>
      </c>
      <c r="HP60">
        <f>IF('Pick List'!3236:3236,"AAAAAHb4/98=",0)</f>
        <v>0</v>
      </c>
      <c r="HQ60">
        <f>IF('Pick List'!3237:3237,"AAAAAHb4/+A=",0)</f>
        <v>0</v>
      </c>
      <c r="HR60">
        <f>IF('Pick List'!3238:3238,"AAAAAHb4/+E=",0)</f>
        <v>0</v>
      </c>
      <c r="HS60">
        <f>IF('Pick List'!3239:3239,"AAAAAHb4/+I=",0)</f>
        <v>0</v>
      </c>
      <c r="HT60">
        <f>IF('Pick List'!3240:3240,"AAAAAHb4/+M=",0)</f>
        <v>0</v>
      </c>
      <c r="HU60">
        <f>IF('Pick List'!3241:3241,"AAAAAHb4/+Q=",0)</f>
        <v>0</v>
      </c>
      <c r="HV60">
        <f>IF('Pick List'!3242:3242,"AAAAAHb4/+U=",0)</f>
        <v>0</v>
      </c>
      <c r="HW60">
        <f>IF('Pick List'!3243:3243,"AAAAAHb4/+Y=",0)</f>
        <v>0</v>
      </c>
      <c r="HX60">
        <f>IF('Pick List'!3244:3244,"AAAAAHb4/+c=",0)</f>
        <v>0</v>
      </c>
      <c r="HY60">
        <f>IF('Pick List'!3245:3245,"AAAAAHb4/+g=",0)</f>
        <v>0</v>
      </c>
      <c r="HZ60">
        <f>IF('Pick List'!3246:3246,"AAAAAHb4/+k=",0)</f>
        <v>0</v>
      </c>
      <c r="IA60">
        <f>IF('Pick List'!3247:3247,"AAAAAHb4/+o=",0)</f>
        <v>0</v>
      </c>
      <c r="IB60">
        <f>IF('Pick List'!3248:3248,"AAAAAHb4/+s=",0)</f>
        <v>0</v>
      </c>
      <c r="IC60">
        <f>IF('Pick List'!3249:3249,"AAAAAHb4/+w=",0)</f>
        <v>0</v>
      </c>
      <c r="ID60">
        <f>IF('Pick List'!3250:3250,"AAAAAHb4/+0=",0)</f>
        <v>0</v>
      </c>
      <c r="IE60">
        <f>IF('Pick List'!3251:3251,"AAAAAHb4/+4=",0)</f>
        <v>0</v>
      </c>
      <c r="IF60">
        <f>IF('Pick List'!3252:3252,"AAAAAHb4/+8=",0)</f>
        <v>0</v>
      </c>
      <c r="IG60">
        <f>IF('Pick List'!3253:3253,"AAAAAHb4//A=",0)</f>
        <v>0</v>
      </c>
      <c r="IH60">
        <f>IF('Pick List'!3254:3254,"AAAAAHb4//E=",0)</f>
        <v>0</v>
      </c>
      <c r="II60">
        <f>IF('Pick List'!3255:3255,"AAAAAHb4//I=",0)</f>
        <v>0</v>
      </c>
      <c r="IJ60">
        <f>IF('Pick List'!3256:3256,"AAAAAHb4//M=",0)</f>
        <v>0</v>
      </c>
      <c r="IK60">
        <f>IF('Pick List'!3257:3257,"AAAAAHb4//Q=",0)</f>
        <v>0</v>
      </c>
      <c r="IL60">
        <f>IF('Pick List'!3258:3258,"AAAAAHb4//U=",0)</f>
        <v>0</v>
      </c>
      <c r="IM60">
        <f>IF('Pick List'!3259:3259,"AAAAAHb4//Y=",0)</f>
        <v>0</v>
      </c>
      <c r="IN60">
        <f>IF('Pick List'!3260:3260,"AAAAAHb4//c=",0)</f>
        <v>0</v>
      </c>
      <c r="IO60">
        <f>IF('Pick List'!3261:3261,"AAAAAHb4//g=",0)</f>
        <v>0</v>
      </c>
      <c r="IP60">
        <f>IF('Pick List'!3262:3262,"AAAAAHb4//k=",0)</f>
        <v>0</v>
      </c>
      <c r="IQ60">
        <f>IF('Pick List'!3263:3263,"AAAAAHb4//o=",0)</f>
        <v>0</v>
      </c>
      <c r="IR60">
        <f>IF('Pick List'!3264:3264,"AAAAAHb4//s=",0)</f>
        <v>0</v>
      </c>
      <c r="IS60">
        <f>IF('Pick List'!3265:3265,"AAAAAHb4//w=",0)</f>
        <v>0</v>
      </c>
      <c r="IT60">
        <f>IF('Pick List'!3266:3266,"AAAAAHb4//0=",0)</f>
        <v>0</v>
      </c>
      <c r="IU60">
        <f>IF('Pick List'!3267:3267,"AAAAAHb4//4=",0)</f>
        <v>0</v>
      </c>
      <c r="IV60">
        <f>IF('Pick List'!3268:3268,"AAAAAHb4//8=",0)</f>
        <v>0</v>
      </c>
    </row>
    <row r="61" spans="1:256" x14ac:dyDescent="0.2">
      <c r="A61">
        <f>IF('Pick List'!3269:3269,"AAAAAE/f7QA=",0)</f>
        <v>0</v>
      </c>
      <c r="B61">
        <f>IF('Pick List'!3270:3270,"AAAAAE/f7QE=",0)</f>
        <v>0</v>
      </c>
      <c r="C61">
        <f>IF('Pick List'!3271:3271,"AAAAAE/f7QI=",0)</f>
        <v>0</v>
      </c>
      <c r="D61">
        <f>IF('Pick List'!3272:3272,"AAAAAE/f7QM=",0)</f>
        <v>0</v>
      </c>
      <c r="E61">
        <f>IF('Pick List'!3273:3273,"AAAAAE/f7QQ=",0)</f>
        <v>0</v>
      </c>
      <c r="F61">
        <f>IF('Pick List'!3274:3274,"AAAAAE/f7QU=",0)</f>
        <v>0</v>
      </c>
      <c r="G61">
        <f>IF('Pick List'!3275:3275,"AAAAAE/f7QY=",0)</f>
        <v>0</v>
      </c>
      <c r="H61">
        <f>IF('Pick List'!3276:3276,"AAAAAE/f7Qc=",0)</f>
        <v>0</v>
      </c>
      <c r="I61">
        <f>IF('Pick List'!3277:3277,"AAAAAE/f7Qg=",0)</f>
        <v>0</v>
      </c>
      <c r="J61">
        <f>IF('Pick List'!3278:3278,"AAAAAE/f7Qk=",0)</f>
        <v>0</v>
      </c>
      <c r="K61">
        <f>IF('Pick List'!3279:3279,"AAAAAE/f7Qo=",0)</f>
        <v>0</v>
      </c>
      <c r="L61">
        <f>IF('Pick List'!3280:3280,"AAAAAE/f7Qs=",0)</f>
        <v>0</v>
      </c>
      <c r="M61">
        <f>IF('Pick List'!3281:3281,"AAAAAE/f7Qw=",0)</f>
        <v>0</v>
      </c>
      <c r="N61">
        <f>IF('Pick List'!3282:3282,"AAAAAE/f7Q0=",0)</f>
        <v>0</v>
      </c>
      <c r="O61">
        <f>IF('Pick List'!3283:3283,"AAAAAE/f7Q4=",0)</f>
        <v>0</v>
      </c>
      <c r="P61">
        <f>IF('Pick List'!3284:3284,"AAAAAE/f7Q8=",0)</f>
        <v>0</v>
      </c>
      <c r="Q61">
        <f>IF('Pick List'!3285:3285,"AAAAAE/f7RA=",0)</f>
        <v>0</v>
      </c>
      <c r="R61">
        <f>IF('Pick List'!3286:3286,"AAAAAE/f7RE=",0)</f>
        <v>0</v>
      </c>
      <c r="S61">
        <f>IF('Pick List'!3287:3287,"AAAAAE/f7RI=",0)</f>
        <v>0</v>
      </c>
      <c r="T61">
        <f>IF('Pick List'!3288:3288,"AAAAAE/f7RM=",0)</f>
        <v>0</v>
      </c>
      <c r="U61">
        <f>IF('Pick List'!3289:3289,"AAAAAE/f7RQ=",0)</f>
        <v>0</v>
      </c>
      <c r="V61">
        <f>IF('Pick List'!3290:3290,"AAAAAE/f7RU=",0)</f>
        <v>0</v>
      </c>
      <c r="W61">
        <f>IF('Pick List'!3291:3291,"AAAAAE/f7RY=",0)</f>
        <v>0</v>
      </c>
      <c r="X61">
        <f>IF('Pick List'!3292:3292,"AAAAAE/f7Rc=",0)</f>
        <v>0</v>
      </c>
      <c r="Y61">
        <f>IF('Pick List'!3293:3293,"AAAAAE/f7Rg=",0)</f>
        <v>0</v>
      </c>
      <c r="Z61">
        <f>IF('Pick List'!3294:3294,"AAAAAE/f7Rk=",0)</f>
        <v>0</v>
      </c>
      <c r="AA61">
        <f>IF('Pick List'!3295:3295,"AAAAAE/f7Ro=",0)</f>
        <v>0</v>
      </c>
      <c r="AB61">
        <f>IF('Pick List'!3296:3296,"AAAAAE/f7Rs=",0)</f>
        <v>0</v>
      </c>
      <c r="AC61">
        <f>IF('Pick List'!3297:3297,"AAAAAE/f7Rw=",0)</f>
        <v>0</v>
      </c>
      <c r="AD61">
        <f>IF('Pick List'!3298:3298,"AAAAAE/f7R0=",0)</f>
        <v>0</v>
      </c>
      <c r="AE61">
        <f>IF('Pick List'!3299:3299,"AAAAAE/f7R4=",0)</f>
        <v>0</v>
      </c>
      <c r="AF61">
        <f>IF('Pick List'!3300:3300,"AAAAAE/f7R8=",0)</f>
        <v>0</v>
      </c>
      <c r="AG61">
        <f>IF('Pick List'!3301:3301,"AAAAAE/f7SA=",0)</f>
        <v>0</v>
      </c>
      <c r="AH61">
        <f>IF('Pick List'!3302:3302,"AAAAAE/f7SE=",0)</f>
        <v>0</v>
      </c>
      <c r="AI61">
        <f>IF('Pick List'!3303:3303,"AAAAAE/f7SI=",0)</f>
        <v>0</v>
      </c>
      <c r="AJ61">
        <f>IF('Pick List'!3304:3304,"AAAAAE/f7SM=",0)</f>
        <v>0</v>
      </c>
      <c r="AK61">
        <f>IF('Pick List'!3305:3305,"AAAAAE/f7SQ=",0)</f>
        <v>0</v>
      </c>
      <c r="AL61">
        <f>IF('Pick List'!3306:3306,"AAAAAE/f7SU=",0)</f>
        <v>0</v>
      </c>
      <c r="AM61">
        <f>IF('Pick List'!3307:3307,"AAAAAE/f7SY=",0)</f>
        <v>0</v>
      </c>
      <c r="AN61">
        <f>IF('Pick List'!3308:3308,"AAAAAE/f7Sc=",0)</f>
        <v>0</v>
      </c>
      <c r="AO61">
        <f>IF('Pick List'!3309:3309,"AAAAAE/f7Sg=",0)</f>
        <v>0</v>
      </c>
      <c r="AP61">
        <f>IF('Pick List'!3310:3310,"AAAAAE/f7Sk=",0)</f>
        <v>0</v>
      </c>
      <c r="AQ61">
        <f>IF('Pick List'!3311:3311,"AAAAAE/f7So=",0)</f>
        <v>0</v>
      </c>
      <c r="AR61">
        <f>IF('Pick List'!3312:3312,"AAAAAE/f7Ss=",0)</f>
        <v>0</v>
      </c>
      <c r="AS61">
        <f>IF('Pick List'!3313:3313,"AAAAAE/f7Sw=",0)</f>
        <v>0</v>
      </c>
      <c r="AT61">
        <f>IF('Pick List'!3314:3314,"AAAAAE/f7S0=",0)</f>
        <v>0</v>
      </c>
      <c r="AU61">
        <f>IF('Pick List'!3315:3315,"AAAAAE/f7S4=",0)</f>
        <v>0</v>
      </c>
      <c r="AV61">
        <f>IF('Pick List'!3316:3316,"AAAAAE/f7S8=",0)</f>
        <v>0</v>
      </c>
      <c r="AW61">
        <f>IF('Pick List'!3317:3317,"AAAAAE/f7TA=",0)</f>
        <v>0</v>
      </c>
      <c r="AX61">
        <f>IF('Pick List'!3318:3318,"AAAAAE/f7TE=",0)</f>
        <v>0</v>
      </c>
      <c r="AY61">
        <f>IF('Pick List'!3319:3319,"AAAAAE/f7TI=",0)</f>
        <v>0</v>
      </c>
      <c r="AZ61">
        <f>IF('Pick List'!3320:3320,"AAAAAE/f7TM=",0)</f>
        <v>0</v>
      </c>
      <c r="BA61">
        <f>IF('Pick List'!3321:3321,"AAAAAE/f7TQ=",0)</f>
        <v>0</v>
      </c>
      <c r="BB61">
        <f>IF('Pick List'!3322:3322,"AAAAAE/f7TU=",0)</f>
        <v>0</v>
      </c>
      <c r="BC61">
        <f>IF('Pick List'!3323:3323,"AAAAAE/f7TY=",0)</f>
        <v>0</v>
      </c>
      <c r="BD61">
        <f>IF('Pick List'!3324:3324,"AAAAAE/f7Tc=",0)</f>
        <v>0</v>
      </c>
      <c r="BE61">
        <f>IF('Pick List'!3325:3325,"AAAAAE/f7Tg=",0)</f>
        <v>0</v>
      </c>
      <c r="BF61">
        <f>IF('Pick List'!3326:3326,"AAAAAE/f7Tk=",0)</f>
        <v>0</v>
      </c>
      <c r="BG61">
        <f>IF('Pick List'!3327:3327,"AAAAAE/f7To=",0)</f>
        <v>0</v>
      </c>
      <c r="BH61">
        <f>IF('Pick List'!3328:3328,"AAAAAE/f7Ts=",0)</f>
        <v>0</v>
      </c>
      <c r="BI61">
        <f>IF('Pick List'!3329:3329,"AAAAAE/f7Tw=",0)</f>
        <v>0</v>
      </c>
      <c r="BJ61">
        <f>IF('Pick List'!3330:3330,"AAAAAE/f7T0=",0)</f>
        <v>0</v>
      </c>
      <c r="BK61">
        <f>IF('Pick List'!3331:3331,"AAAAAE/f7T4=",0)</f>
        <v>0</v>
      </c>
      <c r="BL61">
        <f>IF('Pick List'!3332:3332,"AAAAAE/f7T8=",0)</f>
        <v>0</v>
      </c>
      <c r="BM61">
        <f>IF('Pick List'!3333:3333,"AAAAAE/f7UA=",0)</f>
        <v>0</v>
      </c>
      <c r="BN61">
        <f>IF('Pick List'!3334:3334,"AAAAAE/f7UE=",0)</f>
        <v>0</v>
      </c>
      <c r="BO61">
        <f>IF('Pick List'!3335:3335,"AAAAAE/f7UI=",0)</f>
        <v>0</v>
      </c>
      <c r="BP61">
        <f>IF('Pick List'!3336:3336,"AAAAAE/f7UM=",0)</f>
        <v>0</v>
      </c>
      <c r="BQ61">
        <f>IF('Pick List'!3337:3337,"AAAAAE/f7UQ=",0)</f>
        <v>0</v>
      </c>
      <c r="BR61">
        <f>IF('Pick List'!3338:3338,"AAAAAE/f7UU=",0)</f>
        <v>0</v>
      </c>
      <c r="BS61">
        <f>IF('Pick List'!3339:3339,"AAAAAE/f7UY=",0)</f>
        <v>0</v>
      </c>
      <c r="BT61">
        <f>IF('Pick List'!3340:3340,"AAAAAE/f7Uc=",0)</f>
        <v>0</v>
      </c>
      <c r="BU61">
        <f>IF('Pick List'!3341:3341,"AAAAAE/f7Ug=",0)</f>
        <v>0</v>
      </c>
      <c r="BV61">
        <f>IF('Pick List'!3342:3342,"AAAAAE/f7Uk=",0)</f>
        <v>0</v>
      </c>
      <c r="BW61">
        <f>IF('Pick List'!3343:3343,"AAAAAE/f7Uo=",0)</f>
        <v>0</v>
      </c>
      <c r="BX61">
        <f>IF('Pick List'!3344:3344,"AAAAAE/f7Us=",0)</f>
        <v>0</v>
      </c>
      <c r="BY61">
        <f>IF('Pick List'!3345:3345,"AAAAAE/f7Uw=",0)</f>
        <v>0</v>
      </c>
      <c r="BZ61">
        <f>IF('Pick List'!3346:3346,"AAAAAE/f7U0=",0)</f>
        <v>0</v>
      </c>
      <c r="CA61">
        <f>IF('Pick List'!3347:3347,"AAAAAE/f7U4=",0)</f>
        <v>0</v>
      </c>
      <c r="CB61">
        <f>IF('Pick List'!3348:3348,"AAAAAE/f7U8=",0)</f>
        <v>0</v>
      </c>
      <c r="CC61">
        <f>IF('Pick List'!3349:3349,"AAAAAE/f7VA=",0)</f>
        <v>0</v>
      </c>
      <c r="CD61">
        <f>IF('Pick List'!3350:3350,"AAAAAE/f7VE=",0)</f>
        <v>0</v>
      </c>
      <c r="CE61">
        <f>IF('Pick List'!3351:3351,"AAAAAE/f7VI=",0)</f>
        <v>0</v>
      </c>
      <c r="CF61">
        <f>IF('Pick List'!3352:3352,"AAAAAE/f7VM=",0)</f>
        <v>0</v>
      </c>
      <c r="CG61">
        <f>IF('Pick List'!3353:3353,"AAAAAE/f7VQ=",0)</f>
        <v>0</v>
      </c>
      <c r="CH61">
        <f>IF('Pick List'!3354:3354,"AAAAAE/f7VU=",0)</f>
        <v>0</v>
      </c>
      <c r="CI61">
        <f>IF('Pick List'!3355:3355,"AAAAAE/f7VY=",0)</f>
        <v>0</v>
      </c>
      <c r="CJ61">
        <f>IF('Pick List'!3356:3356,"AAAAAE/f7Vc=",0)</f>
        <v>0</v>
      </c>
      <c r="CK61">
        <f>IF('Pick List'!3357:3357,"AAAAAE/f7Vg=",0)</f>
        <v>0</v>
      </c>
      <c r="CL61">
        <f>IF('Pick List'!3358:3358,"AAAAAE/f7Vk=",0)</f>
        <v>0</v>
      </c>
      <c r="CM61">
        <f>IF('Pick List'!3359:3359,"AAAAAE/f7Vo=",0)</f>
        <v>0</v>
      </c>
      <c r="CN61">
        <f>IF('Pick List'!3360:3360,"AAAAAE/f7Vs=",0)</f>
        <v>0</v>
      </c>
      <c r="CO61">
        <f>IF('Pick List'!3361:3361,"AAAAAE/f7Vw=",0)</f>
        <v>0</v>
      </c>
      <c r="CP61">
        <f>IF('Pick List'!3362:3362,"AAAAAE/f7V0=",0)</f>
        <v>0</v>
      </c>
      <c r="CQ61">
        <f>IF('Pick List'!3363:3363,"AAAAAE/f7V4=",0)</f>
        <v>0</v>
      </c>
      <c r="CR61">
        <f>IF('Pick List'!3364:3364,"AAAAAE/f7V8=",0)</f>
        <v>0</v>
      </c>
      <c r="CS61">
        <f>IF('Pick List'!3365:3365,"AAAAAE/f7WA=",0)</f>
        <v>0</v>
      </c>
      <c r="CT61">
        <f>IF('Pick List'!3366:3366,"AAAAAE/f7WE=",0)</f>
        <v>0</v>
      </c>
      <c r="CU61">
        <f>IF('Pick List'!3367:3367,"AAAAAE/f7WI=",0)</f>
        <v>0</v>
      </c>
      <c r="CV61">
        <f>IF('Pick List'!3368:3368,"AAAAAE/f7WM=",0)</f>
        <v>0</v>
      </c>
      <c r="CW61">
        <f>IF('Pick List'!3369:3369,"AAAAAE/f7WQ=",0)</f>
        <v>0</v>
      </c>
      <c r="CX61">
        <f>IF('Pick List'!3370:3370,"AAAAAE/f7WU=",0)</f>
        <v>0</v>
      </c>
      <c r="CY61">
        <f>IF('Pick List'!3371:3371,"AAAAAE/f7WY=",0)</f>
        <v>0</v>
      </c>
      <c r="CZ61">
        <f>IF('Pick List'!3372:3372,"AAAAAE/f7Wc=",0)</f>
        <v>0</v>
      </c>
      <c r="DA61">
        <f>IF('Pick List'!3373:3373,"AAAAAE/f7Wg=",0)</f>
        <v>0</v>
      </c>
      <c r="DB61">
        <f>IF('Pick List'!3374:3374,"AAAAAE/f7Wk=",0)</f>
        <v>0</v>
      </c>
      <c r="DC61">
        <f>IF('Pick List'!3375:3375,"AAAAAE/f7Wo=",0)</f>
        <v>0</v>
      </c>
      <c r="DD61">
        <f>IF('Pick List'!3376:3376,"AAAAAE/f7Ws=",0)</f>
        <v>0</v>
      </c>
      <c r="DE61">
        <f>IF('Pick List'!3377:3377,"AAAAAE/f7Ww=",0)</f>
        <v>0</v>
      </c>
      <c r="DF61">
        <f>IF('Pick List'!3378:3378,"AAAAAE/f7W0=",0)</f>
        <v>0</v>
      </c>
      <c r="DG61">
        <f>IF('Pick List'!3379:3379,"AAAAAE/f7W4=",0)</f>
        <v>0</v>
      </c>
      <c r="DH61">
        <f>IF('Pick List'!3380:3380,"AAAAAE/f7W8=",0)</f>
        <v>0</v>
      </c>
      <c r="DI61">
        <f>IF('Pick List'!3381:3381,"AAAAAE/f7XA=",0)</f>
        <v>0</v>
      </c>
      <c r="DJ61">
        <f>IF('Pick List'!3382:3382,"AAAAAE/f7XE=",0)</f>
        <v>0</v>
      </c>
      <c r="DK61">
        <f>IF('Pick List'!3383:3383,"AAAAAE/f7XI=",0)</f>
        <v>0</v>
      </c>
      <c r="DL61">
        <f>IF('Pick List'!3384:3384,"AAAAAE/f7XM=",0)</f>
        <v>0</v>
      </c>
      <c r="DM61">
        <f>IF('Pick List'!3385:3385,"AAAAAE/f7XQ=",0)</f>
        <v>0</v>
      </c>
      <c r="DN61">
        <f>IF('Pick List'!3386:3386,"AAAAAE/f7XU=",0)</f>
        <v>0</v>
      </c>
      <c r="DO61">
        <f>IF('Pick List'!3387:3387,"AAAAAE/f7XY=",0)</f>
        <v>0</v>
      </c>
      <c r="DP61">
        <f>IF('Pick List'!3388:3388,"AAAAAE/f7Xc=",0)</f>
        <v>0</v>
      </c>
      <c r="DQ61">
        <f>IF('Pick List'!3389:3389,"AAAAAE/f7Xg=",0)</f>
        <v>0</v>
      </c>
      <c r="DR61">
        <f>IF('Pick List'!3390:3390,"AAAAAE/f7Xk=",0)</f>
        <v>0</v>
      </c>
      <c r="DS61">
        <f>IF('Pick List'!3391:3391,"AAAAAE/f7Xo=",0)</f>
        <v>0</v>
      </c>
      <c r="DT61">
        <f>IF('Pick List'!3392:3392,"AAAAAE/f7Xs=",0)</f>
        <v>0</v>
      </c>
      <c r="DU61">
        <f>IF('Pick List'!3393:3393,"AAAAAE/f7Xw=",0)</f>
        <v>0</v>
      </c>
      <c r="DV61">
        <f>IF('Pick List'!3394:3394,"AAAAAE/f7X0=",0)</f>
        <v>0</v>
      </c>
      <c r="DW61">
        <f>IF('Pick List'!3395:3395,"AAAAAE/f7X4=",0)</f>
        <v>0</v>
      </c>
      <c r="DX61">
        <f>IF('Pick List'!3396:3396,"AAAAAE/f7X8=",0)</f>
        <v>0</v>
      </c>
      <c r="DY61">
        <f>IF('Pick List'!3397:3397,"AAAAAE/f7YA=",0)</f>
        <v>0</v>
      </c>
      <c r="DZ61">
        <f>IF('Pick List'!3398:3398,"AAAAAE/f7YE=",0)</f>
        <v>0</v>
      </c>
      <c r="EA61">
        <f>IF('Pick List'!3399:3399,"AAAAAE/f7YI=",0)</f>
        <v>0</v>
      </c>
      <c r="EB61">
        <f>IF('Pick List'!3400:3400,"AAAAAE/f7YM=",0)</f>
        <v>0</v>
      </c>
      <c r="EC61">
        <f>IF('Pick List'!3401:3401,"AAAAAE/f7YQ=",0)</f>
        <v>0</v>
      </c>
      <c r="ED61">
        <f>IF('Pick List'!3402:3402,"AAAAAE/f7YU=",0)</f>
        <v>0</v>
      </c>
      <c r="EE61">
        <f>IF('Pick List'!3403:3403,"AAAAAE/f7YY=",0)</f>
        <v>0</v>
      </c>
      <c r="EF61">
        <f>IF('Pick List'!3404:3404,"AAAAAE/f7Yc=",0)</f>
        <v>0</v>
      </c>
      <c r="EG61">
        <f>IF('Pick List'!3405:3405,"AAAAAE/f7Yg=",0)</f>
        <v>0</v>
      </c>
      <c r="EH61">
        <f>IF('Pick List'!3406:3406,"AAAAAE/f7Yk=",0)</f>
        <v>0</v>
      </c>
      <c r="EI61">
        <f>IF('Pick List'!3407:3407,"AAAAAE/f7Yo=",0)</f>
        <v>0</v>
      </c>
      <c r="EJ61">
        <f>IF('Pick List'!3408:3408,"AAAAAE/f7Ys=",0)</f>
        <v>0</v>
      </c>
      <c r="EK61">
        <f>IF('Pick List'!3409:3409,"AAAAAE/f7Yw=",0)</f>
        <v>0</v>
      </c>
      <c r="EL61">
        <f>IF('Pick List'!3410:3410,"AAAAAE/f7Y0=",0)</f>
        <v>0</v>
      </c>
      <c r="EM61">
        <f>IF('Pick List'!3411:3411,"AAAAAE/f7Y4=",0)</f>
        <v>0</v>
      </c>
      <c r="EN61">
        <f>IF('Pick List'!3412:3412,"AAAAAE/f7Y8=",0)</f>
        <v>0</v>
      </c>
      <c r="EO61">
        <f>IF('Pick List'!3413:3413,"AAAAAE/f7ZA=",0)</f>
        <v>0</v>
      </c>
      <c r="EP61">
        <f>IF('Pick List'!3414:3414,"AAAAAE/f7ZE=",0)</f>
        <v>0</v>
      </c>
      <c r="EQ61">
        <f>IF('Pick List'!3415:3415,"AAAAAE/f7ZI=",0)</f>
        <v>0</v>
      </c>
      <c r="ER61">
        <f>IF('Pick List'!3416:3416,"AAAAAE/f7ZM=",0)</f>
        <v>0</v>
      </c>
      <c r="ES61">
        <f>IF('Pick List'!3417:3417,"AAAAAE/f7ZQ=",0)</f>
        <v>0</v>
      </c>
      <c r="ET61">
        <f>IF('Pick List'!3418:3418,"AAAAAE/f7ZU=",0)</f>
        <v>0</v>
      </c>
      <c r="EU61">
        <f>IF('Pick List'!3419:3419,"AAAAAE/f7ZY=",0)</f>
        <v>0</v>
      </c>
      <c r="EV61">
        <f>IF('Pick List'!3420:3420,"AAAAAE/f7Zc=",0)</f>
        <v>0</v>
      </c>
      <c r="EW61">
        <f>IF('Pick List'!3421:3421,"AAAAAE/f7Zg=",0)</f>
        <v>0</v>
      </c>
      <c r="EX61">
        <f>IF('Pick List'!3422:3422,"AAAAAE/f7Zk=",0)</f>
        <v>0</v>
      </c>
      <c r="EY61">
        <f>IF('Pick List'!3423:3423,"AAAAAE/f7Zo=",0)</f>
        <v>0</v>
      </c>
      <c r="EZ61">
        <f>IF('Pick List'!3424:3424,"AAAAAE/f7Zs=",0)</f>
        <v>0</v>
      </c>
      <c r="FA61">
        <f>IF('Pick List'!3425:3425,"AAAAAE/f7Zw=",0)</f>
        <v>0</v>
      </c>
      <c r="FB61">
        <f>IF('Pick List'!3426:3426,"AAAAAE/f7Z0=",0)</f>
        <v>0</v>
      </c>
      <c r="FC61">
        <f>IF('Pick List'!3427:3427,"AAAAAE/f7Z4=",0)</f>
        <v>0</v>
      </c>
      <c r="FD61">
        <f>IF('Pick List'!3428:3428,"AAAAAE/f7Z8=",0)</f>
        <v>0</v>
      </c>
      <c r="FE61">
        <f>IF('Pick List'!3429:3429,"AAAAAE/f7aA=",0)</f>
        <v>0</v>
      </c>
      <c r="FF61">
        <f>IF('Pick List'!3430:3430,"AAAAAE/f7aE=",0)</f>
        <v>0</v>
      </c>
      <c r="FG61">
        <f>IF('Pick List'!3431:3431,"AAAAAE/f7aI=",0)</f>
        <v>0</v>
      </c>
      <c r="FH61">
        <f>IF('Pick List'!3432:3432,"AAAAAE/f7aM=",0)</f>
        <v>0</v>
      </c>
      <c r="FI61">
        <f>IF('Pick List'!3433:3433,"AAAAAE/f7aQ=",0)</f>
        <v>0</v>
      </c>
      <c r="FJ61">
        <f>IF('Pick List'!3434:3434,"AAAAAE/f7aU=",0)</f>
        <v>0</v>
      </c>
      <c r="FK61">
        <f>IF('Pick List'!3435:3435,"AAAAAE/f7aY=",0)</f>
        <v>0</v>
      </c>
      <c r="FL61">
        <f>IF('Pick List'!3436:3436,"AAAAAE/f7ac=",0)</f>
        <v>0</v>
      </c>
      <c r="FM61">
        <f>IF('Pick List'!3437:3437,"AAAAAE/f7ag=",0)</f>
        <v>0</v>
      </c>
      <c r="FN61">
        <f>IF('Pick List'!3438:3438,"AAAAAE/f7ak=",0)</f>
        <v>0</v>
      </c>
      <c r="FO61">
        <f>IF('Pick List'!3439:3439,"AAAAAE/f7ao=",0)</f>
        <v>0</v>
      </c>
      <c r="FP61">
        <f>IF('Pick List'!3440:3440,"AAAAAE/f7as=",0)</f>
        <v>0</v>
      </c>
      <c r="FQ61">
        <f>IF('Pick List'!3441:3441,"AAAAAE/f7aw=",0)</f>
        <v>0</v>
      </c>
      <c r="FR61">
        <f>IF('Pick List'!3442:3442,"AAAAAE/f7a0=",0)</f>
        <v>0</v>
      </c>
      <c r="FS61">
        <f>IF('Pick List'!3443:3443,"AAAAAE/f7a4=",0)</f>
        <v>0</v>
      </c>
      <c r="FT61">
        <f>IF('Pick List'!3444:3444,"AAAAAE/f7a8=",0)</f>
        <v>0</v>
      </c>
      <c r="FU61">
        <f>IF('Pick List'!3445:3445,"AAAAAE/f7bA=",0)</f>
        <v>0</v>
      </c>
      <c r="FV61">
        <f>IF('Pick List'!3446:3446,"AAAAAE/f7bE=",0)</f>
        <v>0</v>
      </c>
      <c r="FW61">
        <f>IF('Pick List'!3447:3447,"AAAAAE/f7bI=",0)</f>
        <v>0</v>
      </c>
      <c r="FX61">
        <f>IF('Pick List'!3448:3448,"AAAAAE/f7bM=",0)</f>
        <v>0</v>
      </c>
      <c r="FY61">
        <f>IF('Pick List'!3449:3449,"AAAAAE/f7bQ=",0)</f>
        <v>0</v>
      </c>
      <c r="FZ61">
        <f>IF('Pick List'!3450:3450,"AAAAAE/f7bU=",0)</f>
        <v>0</v>
      </c>
      <c r="GA61">
        <f>IF('Pick List'!3451:3451,"AAAAAE/f7bY=",0)</f>
        <v>0</v>
      </c>
      <c r="GB61">
        <f>IF('Pick List'!3452:3452,"AAAAAE/f7bc=",0)</f>
        <v>0</v>
      </c>
      <c r="GC61">
        <f>IF('Pick List'!3453:3453,"AAAAAE/f7bg=",0)</f>
        <v>0</v>
      </c>
      <c r="GD61">
        <f>IF('Pick List'!3454:3454,"AAAAAE/f7bk=",0)</f>
        <v>0</v>
      </c>
      <c r="GE61">
        <f>IF('Pick List'!3455:3455,"AAAAAE/f7bo=",0)</f>
        <v>0</v>
      </c>
      <c r="GF61">
        <f>IF('Pick List'!3456:3456,"AAAAAE/f7bs=",0)</f>
        <v>0</v>
      </c>
      <c r="GG61">
        <f>IF('Pick List'!3457:3457,"AAAAAE/f7bw=",0)</f>
        <v>0</v>
      </c>
      <c r="GH61">
        <f>IF('Pick List'!3458:3458,"AAAAAE/f7b0=",0)</f>
        <v>0</v>
      </c>
      <c r="GI61">
        <f>IF('Pick List'!3459:3459,"AAAAAE/f7b4=",0)</f>
        <v>0</v>
      </c>
      <c r="GJ61">
        <f>IF('Pick List'!3460:3460,"AAAAAE/f7b8=",0)</f>
        <v>0</v>
      </c>
      <c r="GK61">
        <f>IF('Pick List'!3461:3461,"AAAAAE/f7cA=",0)</f>
        <v>0</v>
      </c>
      <c r="GL61">
        <f>IF('Pick List'!3462:3462,"AAAAAE/f7cE=",0)</f>
        <v>0</v>
      </c>
      <c r="GM61">
        <f>IF('Pick List'!3463:3463,"AAAAAE/f7cI=",0)</f>
        <v>0</v>
      </c>
      <c r="GN61">
        <f>IF('Pick List'!3464:3464,"AAAAAE/f7cM=",0)</f>
        <v>0</v>
      </c>
      <c r="GO61">
        <f>IF('Pick List'!3465:3465,"AAAAAE/f7cQ=",0)</f>
        <v>0</v>
      </c>
      <c r="GP61">
        <f>IF('Pick List'!3466:3466,"AAAAAE/f7cU=",0)</f>
        <v>0</v>
      </c>
      <c r="GQ61">
        <f>IF('Pick List'!3467:3467,"AAAAAE/f7cY=",0)</f>
        <v>0</v>
      </c>
      <c r="GR61">
        <f>IF('Pick List'!3468:3468,"AAAAAE/f7cc=",0)</f>
        <v>0</v>
      </c>
      <c r="GS61">
        <f>IF('Pick List'!3469:3469,"AAAAAE/f7cg=",0)</f>
        <v>0</v>
      </c>
      <c r="GT61">
        <f>IF('Pick List'!3470:3470,"AAAAAE/f7ck=",0)</f>
        <v>0</v>
      </c>
      <c r="GU61">
        <f>IF('Pick List'!3471:3471,"AAAAAE/f7co=",0)</f>
        <v>0</v>
      </c>
      <c r="GV61">
        <f>IF('Pick List'!3472:3472,"AAAAAE/f7cs=",0)</f>
        <v>0</v>
      </c>
      <c r="GW61">
        <f>IF('Pick List'!3473:3473,"AAAAAE/f7cw=",0)</f>
        <v>0</v>
      </c>
      <c r="GX61">
        <f>IF('Pick List'!3474:3474,"AAAAAE/f7c0=",0)</f>
        <v>0</v>
      </c>
      <c r="GY61">
        <f>IF('Pick List'!3475:3475,"AAAAAE/f7c4=",0)</f>
        <v>0</v>
      </c>
      <c r="GZ61">
        <f>IF('Pick List'!3476:3476,"AAAAAE/f7c8=",0)</f>
        <v>0</v>
      </c>
      <c r="HA61">
        <f>IF('Pick List'!3477:3477,"AAAAAE/f7dA=",0)</f>
        <v>0</v>
      </c>
      <c r="HB61">
        <f>IF('Pick List'!3478:3478,"AAAAAE/f7dE=",0)</f>
        <v>0</v>
      </c>
      <c r="HC61">
        <f>IF('Pick List'!3479:3479,"AAAAAE/f7dI=",0)</f>
        <v>0</v>
      </c>
      <c r="HD61">
        <f>IF('Pick List'!3480:3480,"AAAAAE/f7dM=",0)</f>
        <v>0</v>
      </c>
      <c r="HE61">
        <f>IF('Pick List'!3481:3481,"AAAAAE/f7dQ=",0)</f>
        <v>0</v>
      </c>
      <c r="HF61">
        <f>IF('Pick List'!3482:3482,"AAAAAE/f7dU=",0)</f>
        <v>0</v>
      </c>
      <c r="HG61">
        <f>IF('Pick List'!3483:3483,"AAAAAE/f7dY=",0)</f>
        <v>0</v>
      </c>
      <c r="HH61">
        <f>IF('Pick List'!3484:3484,"AAAAAE/f7dc=",0)</f>
        <v>0</v>
      </c>
      <c r="HI61">
        <f>IF('Pick List'!3485:3485,"AAAAAE/f7dg=",0)</f>
        <v>0</v>
      </c>
      <c r="HJ61">
        <f>IF('Pick List'!3486:3486,"AAAAAE/f7dk=",0)</f>
        <v>0</v>
      </c>
      <c r="HK61">
        <f>IF('Pick List'!3487:3487,"AAAAAE/f7do=",0)</f>
        <v>0</v>
      </c>
      <c r="HL61">
        <f>IF('Pick List'!3488:3488,"AAAAAE/f7ds=",0)</f>
        <v>0</v>
      </c>
      <c r="HM61">
        <f>IF('Pick List'!3489:3489,"AAAAAE/f7dw=",0)</f>
        <v>0</v>
      </c>
      <c r="HN61">
        <f>IF('Pick List'!3490:3490,"AAAAAE/f7d0=",0)</f>
        <v>0</v>
      </c>
      <c r="HO61">
        <f>IF('Pick List'!3491:3491,"AAAAAE/f7d4=",0)</f>
        <v>0</v>
      </c>
      <c r="HP61">
        <f>IF('Pick List'!3492:3492,"AAAAAE/f7d8=",0)</f>
        <v>0</v>
      </c>
      <c r="HQ61">
        <f>IF('Pick List'!3493:3493,"AAAAAE/f7eA=",0)</f>
        <v>0</v>
      </c>
      <c r="HR61">
        <f>IF('Pick List'!3494:3494,"AAAAAE/f7eE=",0)</f>
        <v>0</v>
      </c>
      <c r="HS61">
        <f>IF('Pick List'!3495:3495,"AAAAAE/f7eI=",0)</f>
        <v>0</v>
      </c>
      <c r="HT61">
        <f>IF('Pick List'!3496:3496,"AAAAAE/f7eM=",0)</f>
        <v>0</v>
      </c>
      <c r="HU61">
        <f>IF('Pick List'!3497:3497,"AAAAAE/f7eQ=",0)</f>
        <v>0</v>
      </c>
      <c r="HV61">
        <f>IF('Pick List'!3498:3498,"AAAAAE/f7eU=",0)</f>
        <v>0</v>
      </c>
      <c r="HW61">
        <f>IF('Pick List'!3499:3499,"AAAAAE/f7eY=",0)</f>
        <v>0</v>
      </c>
      <c r="HX61">
        <f>IF('Pick List'!3500:3500,"AAAAAE/f7ec=",0)</f>
        <v>0</v>
      </c>
      <c r="HY61">
        <f>IF('Pick List'!3501:3501,"AAAAAE/f7eg=",0)</f>
        <v>0</v>
      </c>
      <c r="HZ61">
        <f>IF('Pick List'!3502:3502,"AAAAAE/f7ek=",0)</f>
        <v>0</v>
      </c>
      <c r="IA61">
        <f>IF('Pick List'!3503:3503,"AAAAAE/f7eo=",0)</f>
        <v>0</v>
      </c>
      <c r="IB61">
        <f>IF('Pick List'!3504:3504,"AAAAAE/f7es=",0)</f>
        <v>0</v>
      </c>
      <c r="IC61">
        <f>IF('Pick List'!3505:3505,"AAAAAE/f7ew=",0)</f>
        <v>0</v>
      </c>
      <c r="ID61">
        <f>IF('Pick List'!3506:3506,"AAAAAE/f7e0=",0)</f>
        <v>0</v>
      </c>
      <c r="IE61">
        <f>IF('Pick List'!3507:3507,"AAAAAE/f7e4=",0)</f>
        <v>0</v>
      </c>
      <c r="IF61">
        <f>IF('Pick List'!3508:3508,"AAAAAE/f7e8=",0)</f>
        <v>0</v>
      </c>
      <c r="IG61">
        <f>IF('Pick List'!3509:3509,"AAAAAE/f7fA=",0)</f>
        <v>0</v>
      </c>
      <c r="IH61">
        <f>IF('Pick List'!3510:3510,"AAAAAE/f7fE=",0)</f>
        <v>0</v>
      </c>
      <c r="II61">
        <f>IF('Pick List'!3511:3511,"AAAAAE/f7fI=",0)</f>
        <v>0</v>
      </c>
      <c r="IJ61">
        <f>IF('Pick List'!3512:3512,"AAAAAE/f7fM=",0)</f>
        <v>0</v>
      </c>
      <c r="IK61">
        <f>IF('Pick List'!3513:3513,"AAAAAE/f7fQ=",0)</f>
        <v>0</v>
      </c>
      <c r="IL61">
        <f>IF('Pick List'!3514:3514,"AAAAAE/f7fU=",0)</f>
        <v>0</v>
      </c>
      <c r="IM61">
        <f>IF('Pick List'!3515:3515,"AAAAAE/f7fY=",0)</f>
        <v>0</v>
      </c>
      <c r="IN61">
        <f>IF('Pick List'!3516:3516,"AAAAAE/f7fc=",0)</f>
        <v>0</v>
      </c>
      <c r="IO61">
        <f>IF('Pick List'!3517:3517,"AAAAAE/f7fg=",0)</f>
        <v>0</v>
      </c>
      <c r="IP61">
        <f>IF('Pick List'!3518:3518,"AAAAAE/f7fk=",0)</f>
        <v>0</v>
      </c>
      <c r="IQ61">
        <f>IF('Pick List'!3519:3519,"AAAAAE/f7fo=",0)</f>
        <v>0</v>
      </c>
      <c r="IR61">
        <f>IF('Pick List'!3520:3520,"AAAAAE/f7fs=",0)</f>
        <v>0</v>
      </c>
      <c r="IS61">
        <f>IF('Pick List'!3521:3521,"AAAAAE/f7fw=",0)</f>
        <v>0</v>
      </c>
      <c r="IT61">
        <f>IF('Pick List'!3522:3522,"AAAAAE/f7f0=",0)</f>
        <v>0</v>
      </c>
      <c r="IU61">
        <f>IF('Pick List'!3523:3523,"AAAAAE/f7f4=",0)</f>
        <v>0</v>
      </c>
      <c r="IV61">
        <f>IF('Pick List'!3524:3524,"AAAAAE/f7f8=",0)</f>
        <v>0</v>
      </c>
    </row>
    <row r="62" spans="1:256" x14ac:dyDescent="0.2">
      <c r="A62">
        <f>IF('Pick List'!3525:3525,"AAAAAGz17gA=",0)</f>
        <v>0</v>
      </c>
      <c r="B62">
        <f>IF('Pick List'!3526:3526,"AAAAAGz17gE=",0)</f>
        <v>0</v>
      </c>
      <c r="C62">
        <f>IF('Pick List'!3527:3527,"AAAAAGz17gI=",0)</f>
        <v>0</v>
      </c>
      <c r="D62">
        <f>IF('Pick List'!3528:3528,"AAAAAGz17gM=",0)</f>
        <v>0</v>
      </c>
      <c r="E62">
        <f>IF('Pick List'!3529:3529,"AAAAAGz17gQ=",0)</f>
        <v>0</v>
      </c>
      <c r="F62">
        <f>IF('Pick List'!3530:3530,"AAAAAGz17gU=",0)</f>
        <v>0</v>
      </c>
      <c r="G62">
        <f>IF('Pick List'!3531:3531,"AAAAAGz17gY=",0)</f>
        <v>0</v>
      </c>
      <c r="H62">
        <f>IF('Pick List'!3532:3532,"AAAAAGz17gc=",0)</f>
        <v>0</v>
      </c>
      <c r="I62">
        <f>IF('Pick List'!3533:3533,"AAAAAGz17gg=",0)</f>
        <v>0</v>
      </c>
      <c r="J62">
        <f>IF('Pick List'!3534:3534,"AAAAAGz17gk=",0)</f>
        <v>0</v>
      </c>
      <c r="K62">
        <f>IF('Pick List'!3535:3535,"AAAAAGz17go=",0)</f>
        <v>0</v>
      </c>
      <c r="L62">
        <f>IF('Pick List'!3536:3536,"AAAAAGz17gs=",0)</f>
        <v>0</v>
      </c>
      <c r="M62">
        <f>IF('Pick List'!3537:3537,"AAAAAGz17gw=",0)</f>
        <v>0</v>
      </c>
      <c r="N62">
        <f>IF('Pick List'!3538:3538,"AAAAAGz17g0=",0)</f>
        <v>0</v>
      </c>
      <c r="O62">
        <f>IF('Pick List'!3539:3539,"AAAAAGz17g4=",0)</f>
        <v>0</v>
      </c>
      <c r="P62">
        <f>IF('Pick List'!3540:3540,"AAAAAGz17g8=",0)</f>
        <v>0</v>
      </c>
      <c r="Q62">
        <f>IF('Pick List'!3541:3541,"AAAAAGz17hA=",0)</f>
        <v>0</v>
      </c>
      <c r="R62">
        <f>IF('Pick List'!3542:3542,"AAAAAGz17hE=",0)</f>
        <v>0</v>
      </c>
      <c r="S62">
        <f>IF('Pick List'!3543:3543,"AAAAAGz17hI=",0)</f>
        <v>0</v>
      </c>
      <c r="T62">
        <f>IF('Pick List'!3544:3544,"AAAAAGz17hM=",0)</f>
        <v>0</v>
      </c>
      <c r="U62">
        <f>IF('Pick List'!3545:3545,"AAAAAGz17hQ=",0)</f>
        <v>0</v>
      </c>
      <c r="V62">
        <f>IF('Pick List'!3546:3546,"AAAAAGz17hU=",0)</f>
        <v>0</v>
      </c>
      <c r="W62">
        <f>IF('Pick List'!3547:3547,"AAAAAGz17hY=",0)</f>
        <v>0</v>
      </c>
      <c r="X62">
        <f>IF('Pick List'!3548:3548,"AAAAAGz17hc=",0)</f>
        <v>0</v>
      </c>
      <c r="Y62">
        <f>IF('Pick List'!3549:3549,"AAAAAGz17hg=",0)</f>
        <v>0</v>
      </c>
      <c r="Z62">
        <f>IF('Pick List'!3550:3550,"AAAAAGz17hk=",0)</f>
        <v>0</v>
      </c>
      <c r="AA62">
        <f>IF('Pick List'!3551:3551,"AAAAAGz17ho=",0)</f>
        <v>0</v>
      </c>
      <c r="AB62">
        <f>IF('Pick List'!3552:3552,"AAAAAGz17hs=",0)</f>
        <v>0</v>
      </c>
      <c r="AC62">
        <f>IF('Pick List'!3553:3553,"AAAAAGz17hw=",0)</f>
        <v>0</v>
      </c>
      <c r="AD62">
        <f>IF('Pick List'!3554:3554,"AAAAAGz17h0=",0)</f>
        <v>0</v>
      </c>
      <c r="AE62">
        <f>IF('Pick List'!3555:3555,"AAAAAGz17h4=",0)</f>
        <v>0</v>
      </c>
      <c r="AF62">
        <f>IF('Pick List'!3556:3556,"AAAAAGz17h8=",0)</f>
        <v>0</v>
      </c>
      <c r="AG62">
        <f>IF('Pick List'!3557:3557,"AAAAAGz17iA=",0)</f>
        <v>0</v>
      </c>
      <c r="AH62">
        <f>IF('Pick List'!3558:3558,"AAAAAGz17iE=",0)</f>
        <v>0</v>
      </c>
      <c r="AI62">
        <f>IF('Pick List'!3559:3559,"AAAAAGz17iI=",0)</f>
        <v>0</v>
      </c>
      <c r="AJ62">
        <f>IF('Pick List'!3560:3560,"AAAAAGz17iM=",0)</f>
        <v>0</v>
      </c>
      <c r="AK62">
        <f>IF('Pick List'!3561:3561,"AAAAAGz17iQ=",0)</f>
        <v>0</v>
      </c>
      <c r="AL62">
        <f>IF('Pick List'!3562:3562,"AAAAAGz17iU=",0)</f>
        <v>0</v>
      </c>
      <c r="AM62">
        <f>IF('Pick List'!3563:3563,"AAAAAGz17iY=",0)</f>
        <v>0</v>
      </c>
      <c r="AN62">
        <f>IF('Pick List'!3564:3564,"AAAAAGz17ic=",0)</f>
        <v>0</v>
      </c>
      <c r="AO62">
        <f>IF('Pick List'!3565:3565,"AAAAAGz17ig=",0)</f>
        <v>0</v>
      </c>
      <c r="AP62">
        <f>IF('Pick List'!3566:3566,"AAAAAGz17ik=",0)</f>
        <v>0</v>
      </c>
      <c r="AQ62">
        <f>IF('Pick List'!3567:3567,"AAAAAGz17io=",0)</f>
        <v>0</v>
      </c>
      <c r="AR62">
        <f>IF('Pick List'!3568:3568,"AAAAAGz17is=",0)</f>
        <v>0</v>
      </c>
      <c r="AS62">
        <f>IF('Pick List'!3569:3569,"AAAAAGz17iw=",0)</f>
        <v>0</v>
      </c>
      <c r="AT62">
        <f>IF('Pick List'!3570:3570,"AAAAAGz17i0=",0)</f>
        <v>0</v>
      </c>
      <c r="AU62">
        <f>IF('Pick List'!3571:3571,"AAAAAGz17i4=",0)</f>
        <v>0</v>
      </c>
      <c r="AV62">
        <f>IF('Pick List'!3572:3572,"AAAAAGz17i8=",0)</f>
        <v>0</v>
      </c>
      <c r="AW62">
        <f>IF('Pick List'!3573:3573,"AAAAAGz17jA=",0)</f>
        <v>0</v>
      </c>
      <c r="AX62">
        <f>IF('Pick List'!3574:3574,"AAAAAGz17jE=",0)</f>
        <v>0</v>
      </c>
      <c r="AY62">
        <f>IF('Pick List'!3575:3575,"AAAAAGz17jI=",0)</f>
        <v>0</v>
      </c>
      <c r="AZ62">
        <f>IF('Pick List'!3576:3576,"AAAAAGz17jM=",0)</f>
        <v>0</v>
      </c>
      <c r="BA62">
        <f>IF('Pick List'!3577:3577,"AAAAAGz17jQ=",0)</f>
        <v>0</v>
      </c>
      <c r="BB62">
        <f>IF('Pick List'!3578:3578,"AAAAAGz17jU=",0)</f>
        <v>0</v>
      </c>
      <c r="BC62">
        <f>IF('Pick List'!3579:3579,"AAAAAGz17jY=",0)</f>
        <v>0</v>
      </c>
      <c r="BD62">
        <f>IF('Pick List'!3580:3580,"AAAAAGz17jc=",0)</f>
        <v>0</v>
      </c>
      <c r="BE62">
        <f>IF('Pick List'!3581:3581,"AAAAAGz17jg=",0)</f>
        <v>0</v>
      </c>
      <c r="BF62">
        <f>IF('Pick List'!3582:3582,"AAAAAGz17jk=",0)</f>
        <v>0</v>
      </c>
      <c r="BG62">
        <f>IF('Pick List'!3583:3583,"AAAAAGz17jo=",0)</f>
        <v>0</v>
      </c>
      <c r="BH62">
        <f>IF('Pick List'!3584:3584,"AAAAAGz17js=",0)</f>
        <v>0</v>
      </c>
      <c r="BI62">
        <f>IF('Pick List'!3585:3585,"AAAAAGz17jw=",0)</f>
        <v>0</v>
      </c>
      <c r="BJ62">
        <f>IF('Pick List'!3586:3586,"AAAAAGz17j0=",0)</f>
        <v>0</v>
      </c>
      <c r="BK62">
        <f>IF('Pick List'!3587:3587,"AAAAAGz17j4=",0)</f>
        <v>0</v>
      </c>
      <c r="BL62">
        <f>IF('Pick List'!3588:3588,"AAAAAGz17j8=",0)</f>
        <v>0</v>
      </c>
      <c r="BM62">
        <f>IF('Pick List'!3589:3589,"AAAAAGz17kA=",0)</f>
        <v>0</v>
      </c>
      <c r="BN62">
        <f>IF('Pick List'!3590:3590,"AAAAAGz17kE=",0)</f>
        <v>0</v>
      </c>
      <c r="BO62">
        <f>IF('Pick List'!3591:3591,"AAAAAGz17kI=",0)</f>
        <v>0</v>
      </c>
      <c r="BP62">
        <f>IF('Pick List'!3592:3592,"AAAAAGz17kM=",0)</f>
        <v>0</v>
      </c>
      <c r="BQ62">
        <f>IF('Pick List'!3593:3593,"AAAAAGz17kQ=",0)</f>
        <v>0</v>
      </c>
      <c r="BR62">
        <f>IF('Pick List'!3594:3594,"AAAAAGz17kU=",0)</f>
        <v>0</v>
      </c>
      <c r="BS62">
        <f>IF('Pick List'!3595:3595,"AAAAAGz17kY=",0)</f>
        <v>0</v>
      </c>
      <c r="BT62">
        <f>IF('Pick List'!3596:3596,"AAAAAGz17kc=",0)</f>
        <v>0</v>
      </c>
      <c r="BU62">
        <f>IF('Pick List'!3597:3597,"AAAAAGz17kg=",0)</f>
        <v>0</v>
      </c>
      <c r="BV62">
        <f>IF('Pick List'!3598:3598,"AAAAAGz17kk=",0)</f>
        <v>0</v>
      </c>
      <c r="BW62">
        <f>IF('Pick List'!3599:3599,"AAAAAGz17ko=",0)</f>
        <v>0</v>
      </c>
      <c r="BX62">
        <f>IF('Pick List'!3600:3600,"AAAAAGz17ks=",0)</f>
        <v>0</v>
      </c>
      <c r="BY62">
        <f>IF('Pick List'!3601:3601,"AAAAAGz17kw=",0)</f>
        <v>0</v>
      </c>
      <c r="BZ62">
        <f>IF('Pick List'!3602:3602,"AAAAAGz17k0=",0)</f>
        <v>0</v>
      </c>
      <c r="CA62">
        <f>IF('Pick List'!3603:3603,"AAAAAGz17k4=",0)</f>
        <v>0</v>
      </c>
      <c r="CB62">
        <f>IF('Pick List'!3604:3604,"AAAAAGz17k8=",0)</f>
        <v>0</v>
      </c>
      <c r="CC62">
        <f>IF('Pick List'!3605:3605,"AAAAAGz17lA=",0)</f>
        <v>0</v>
      </c>
      <c r="CD62">
        <f>IF('Pick List'!3606:3606,"AAAAAGz17lE=",0)</f>
        <v>0</v>
      </c>
      <c r="CE62">
        <f>IF('Pick List'!3607:3607,"AAAAAGz17lI=",0)</f>
        <v>0</v>
      </c>
      <c r="CF62">
        <f>IF('Pick List'!3608:3608,"AAAAAGz17lM=",0)</f>
        <v>0</v>
      </c>
      <c r="CG62">
        <f>IF('Pick List'!3609:3609,"AAAAAGz17lQ=",0)</f>
        <v>0</v>
      </c>
      <c r="CH62">
        <f>IF('Pick List'!3610:3610,"AAAAAGz17lU=",0)</f>
        <v>0</v>
      </c>
      <c r="CI62">
        <f>IF('Pick List'!3611:3611,"AAAAAGz17lY=",0)</f>
        <v>0</v>
      </c>
      <c r="CJ62">
        <f>IF('Pick List'!3612:3612,"AAAAAGz17lc=",0)</f>
        <v>0</v>
      </c>
      <c r="CK62">
        <f>IF('Pick List'!3613:3613,"AAAAAGz17lg=",0)</f>
        <v>0</v>
      </c>
      <c r="CL62">
        <f>IF('Pick List'!3614:3614,"AAAAAGz17lk=",0)</f>
        <v>0</v>
      </c>
      <c r="CM62">
        <f>IF('Pick List'!3615:3615,"AAAAAGz17lo=",0)</f>
        <v>0</v>
      </c>
      <c r="CN62">
        <f>IF('Pick List'!3616:3616,"AAAAAGz17ls=",0)</f>
        <v>0</v>
      </c>
      <c r="CO62">
        <f>IF('Pick List'!3617:3617,"AAAAAGz17lw=",0)</f>
        <v>0</v>
      </c>
      <c r="CP62">
        <f>IF('Pick List'!3618:3618,"AAAAAGz17l0=",0)</f>
        <v>0</v>
      </c>
      <c r="CQ62">
        <f>IF('Pick List'!3619:3619,"AAAAAGz17l4=",0)</f>
        <v>0</v>
      </c>
      <c r="CR62">
        <f>IF('Pick List'!3620:3620,"AAAAAGz17l8=",0)</f>
        <v>0</v>
      </c>
      <c r="CS62">
        <f>IF('Pick List'!3621:3621,"AAAAAGz17mA=",0)</f>
        <v>0</v>
      </c>
      <c r="CT62">
        <f>IF('Pick List'!3622:3622,"AAAAAGz17mE=",0)</f>
        <v>0</v>
      </c>
      <c r="CU62">
        <f>IF('Pick List'!3623:3623,"AAAAAGz17mI=",0)</f>
        <v>0</v>
      </c>
      <c r="CV62">
        <f>IF('Pick List'!3624:3624,"AAAAAGz17mM=",0)</f>
        <v>0</v>
      </c>
      <c r="CW62">
        <f>IF('Pick List'!3625:3625,"AAAAAGz17mQ=",0)</f>
        <v>0</v>
      </c>
      <c r="CX62">
        <f>IF('Pick List'!3626:3626,"AAAAAGz17mU=",0)</f>
        <v>0</v>
      </c>
      <c r="CY62">
        <f>IF('Pick List'!3627:3627,"AAAAAGz17mY=",0)</f>
        <v>0</v>
      </c>
      <c r="CZ62">
        <f>IF('Pick List'!3628:3628,"AAAAAGz17mc=",0)</f>
        <v>0</v>
      </c>
      <c r="DA62">
        <f>IF('Pick List'!3629:3629,"AAAAAGz17mg=",0)</f>
        <v>0</v>
      </c>
      <c r="DB62">
        <f>IF('Pick List'!3630:3630,"AAAAAGz17mk=",0)</f>
        <v>0</v>
      </c>
      <c r="DC62">
        <f>IF('Pick List'!3631:3631,"AAAAAGz17mo=",0)</f>
        <v>0</v>
      </c>
      <c r="DD62">
        <f>IF('Pick List'!3632:3632,"AAAAAGz17ms=",0)</f>
        <v>0</v>
      </c>
      <c r="DE62">
        <f>IF('Pick List'!3633:3633,"AAAAAGz17mw=",0)</f>
        <v>0</v>
      </c>
      <c r="DF62">
        <f>IF('Pick List'!3634:3634,"AAAAAGz17m0=",0)</f>
        <v>0</v>
      </c>
      <c r="DG62">
        <f>IF('Pick List'!3635:3635,"AAAAAGz17m4=",0)</f>
        <v>0</v>
      </c>
      <c r="DH62">
        <f>IF('Pick List'!3636:3636,"AAAAAGz17m8=",0)</f>
        <v>0</v>
      </c>
      <c r="DI62">
        <f>IF('Pick List'!3637:3637,"AAAAAGz17nA=",0)</f>
        <v>0</v>
      </c>
      <c r="DJ62">
        <f>IF('Pick List'!3638:3638,"AAAAAGz17nE=",0)</f>
        <v>0</v>
      </c>
      <c r="DK62">
        <f>IF('Pick List'!3639:3639,"AAAAAGz17nI=",0)</f>
        <v>0</v>
      </c>
      <c r="DL62">
        <f>IF('Pick List'!3640:3640,"AAAAAGz17nM=",0)</f>
        <v>0</v>
      </c>
      <c r="DM62">
        <f>IF('Pick List'!3641:3641,"AAAAAGz17nQ=",0)</f>
        <v>0</v>
      </c>
      <c r="DN62">
        <f>IF('Pick List'!3642:3642,"AAAAAGz17nU=",0)</f>
        <v>0</v>
      </c>
      <c r="DO62">
        <f>IF('Pick List'!3643:3643,"AAAAAGz17nY=",0)</f>
        <v>0</v>
      </c>
      <c r="DP62">
        <f>IF('Pick List'!3644:3644,"AAAAAGz17nc=",0)</f>
        <v>0</v>
      </c>
      <c r="DQ62">
        <f>IF('Pick List'!3645:3645,"AAAAAGz17ng=",0)</f>
        <v>0</v>
      </c>
      <c r="DR62">
        <f>IF('Pick List'!3646:3646,"AAAAAGz17nk=",0)</f>
        <v>0</v>
      </c>
      <c r="DS62">
        <f>IF('Pick List'!3647:3647,"AAAAAGz17no=",0)</f>
        <v>0</v>
      </c>
      <c r="DT62">
        <f>IF('Pick List'!3648:3648,"AAAAAGz17ns=",0)</f>
        <v>0</v>
      </c>
      <c r="DU62">
        <f>IF('Pick List'!3649:3649,"AAAAAGz17nw=",0)</f>
        <v>0</v>
      </c>
      <c r="DV62">
        <f>IF('Pick List'!3650:3650,"AAAAAGz17n0=",0)</f>
        <v>0</v>
      </c>
      <c r="DW62">
        <f>IF('Pick List'!3651:3651,"AAAAAGz17n4=",0)</f>
        <v>0</v>
      </c>
      <c r="DX62">
        <f>IF('Pick List'!3652:3652,"AAAAAGz17n8=",0)</f>
        <v>0</v>
      </c>
      <c r="DY62">
        <f>IF('Pick List'!3653:3653,"AAAAAGz17oA=",0)</f>
        <v>0</v>
      </c>
      <c r="DZ62">
        <f>IF('Pick List'!3654:3654,"AAAAAGz17oE=",0)</f>
        <v>0</v>
      </c>
      <c r="EA62">
        <f>IF('Pick List'!3655:3655,"AAAAAGz17oI=",0)</f>
        <v>0</v>
      </c>
      <c r="EB62">
        <f>IF('Pick List'!3656:3656,"AAAAAGz17oM=",0)</f>
        <v>0</v>
      </c>
      <c r="EC62">
        <f>IF('Pick List'!3657:3657,"AAAAAGz17oQ=",0)</f>
        <v>0</v>
      </c>
      <c r="ED62">
        <f>IF('Pick List'!3658:3658,"AAAAAGz17oU=",0)</f>
        <v>0</v>
      </c>
      <c r="EE62">
        <f>IF('Pick List'!3659:3659,"AAAAAGz17oY=",0)</f>
        <v>0</v>
      </c>
      <c r="EF62">
        <f>IF('Pick List'!3660:3660,"AAAAAGz17oc=",0)</f>
        <v>0</v>
      </c>
      <c r="EG62">
        <f>IF('Pick List'!3661:3661,"AAAAAGz17og=",0)</f>
        <v>0</v>
      </c>
      <c r="EH62">
        <f>IF('Pick List'!3662:3662,"AAAAAGz17ok=",0)</f>
        <v>0</v>
      </c>
      <c r="EI62">
        <f>IF('Pick List'!3663:3663,"AAAAAGz17oo=",0)</f>
        <v>0</v>
      </c>
      <c r="EJ62">
        <f>IF('Pick List'!3664:3664,"AAAAAGz17os=",0)</f>
        <v>0</v>
      </c>
      <c r="EK62">
        <f>IF('Pick List'!3665:3665,"AAAAAGz17ow=",0)</f>
        <v>0</v>
      </c>
      <c r="EL62">
        <f>IF('Pick List'!3666:3666,"AAAAAGz17o0=",0)</f>
        <v>0</v>
      </c>
      <c r="EM62">
        <f>IF('Pick List'!3667:3667,"AAAAAGz17o4=",0)</f>
        <v>0</v>
      </c>
      <c r="EN62">
        <f>IF('Pick List'!3668:3668,"AAAAAGz17o8=",0)</f>
        <v>0</v>
      </c>
      <c r="EO62">
        <f>IF('Pick List'!3669:3669,"AAAAAGz17pA=",0)</f>
        <v>0</v>
      </c>
      <c r="EP62">
        <f>IF('Pick List'!3670:3670,"AAAAAGz17pE=",0)</f>
        <v>0</v>
      </c>
      <c r="EQ62">
        <f>IF('Pick List'!3671:3671,"AAAAAGz17pI=",0)</f>
        <v>0</v>
      </c>
      <c r="ER62">
        <f>IF('Pick List'!3672:3672,"AAAAAGz17pM=",0)</f>
        <v>0</v>
      </c>
      <c r="ES62">
        <f>IF('Pick List'!3673:3673,"AAAAAGz17pQ=",0)</f>
        <v>0</v>
      </c>
      <c r="ET62">
        <f>IF('Pick List'!3674:3674,"AAAAAGz17pU=",0)</f>
        <v>0</v>
      </c>
      <c r="EU62">
        <f>IF('Pick List'!3675:3675,"AAAAAGz17pY=",0)</f>
        <v>0</v>
      </c>
      <c r="EV62">
        <f>IF('Pick List'!3676:3676,"AAAAAGz17pc=",0)</f>
        <v>0</v>
      </c>
      <c r="EW62">
        <f>IF('Pick List'!3677:3677,"AAAAAGz17pg=",0)</f>
        <v>0</v>
      </c>
      <c r="EX62">
        <f>IF('Pick List'!3678:3678,"AAAAAGz17pk=",0)</f>
        <v>0</v>
      </c>
      <c r="EY62">
        <f>IF('Pick List'!3679:3679,"AAAAAGz17po=",0)</f>
        <v>0</v>
      </c>
      <c r="EZ62">
        <f>IF('Pick List'!3680:3680,"AAAAAGz17ps=",0)</f>
        <v>0</v>
      </c>
      <c r="FA62">
        <f>IF('Pick List'!3681:3681,"AAAAAGz17pw=",0)</f>
        <v>0</v>
      </c>
      <c r="FB62">
        <f>IF('Pick List'!3682:3682,"AAAAAGz17p0=",0)</f>
        <v>0</v>
      </c>
      <c r="FC62">
        <f>IF('Pick List'!3683:3683,"AAAAAGz17p4=",0)</f>
        <v>0</v>
      </c>
      <c r="FD62">
        <f>IF('Pick List'!3684:3684,"AAAAAGz17p8=",0)</f>
        <v>0</v>
      </c>
      <c r="FE62">
        <f>IF('Pick List'!3685:3685,"AAAAAGz17qA=",0)</f>
        <v>0</v>
      </c>
      <c r="FF62">
        <f>IF('Pick List'!3686:3686,"AAAAAGz17qE=",0)</f>
        <v>0</v>
      </c>
      <c r="FG62">
        <f>IF('Pick List'!3687:3687,"AAAAAGz17qI=",0)</f>
        <v>0</v>
      </c>
      <c r="FH62">
        <f>IF('Pick List'!3688:3688,"AAAAAGz17qM=",0)</f>
        <v>0</v>
      </c>
      <c r="FI62">
        <f>IF('Pick List'!3689:3689,"AAAAAGz17qQ=",0)</f>
        <v>0</v>
      </c>
      <c r="FJ62">
        <f>IF('Pick List'!3690:3690,"AAAAAGz17qU=",0)</f>
        <v>0</v>
      </c>
      <c r="FK62">
        <f>IF('Pick List'!3691:3691,"AAAAAGz17qY=",0)</f>
        <v>0</v>
      </c>
      <c r="FL62">
        <f>IF('Pick List'!3692:3692,"AAAAAGz17qc=",0)</f>
        <v>0</v>
      </c>
      <c r="FM62">
        <f>IF('Pick List'!3693:3693,"AAAAAGz17qg=",0)</f>
        <v>0</v>
      </c>
      <c r="FN62">
        <f>IF('Pick List'!3694:3694,"AAAAAGz17qk=",0)</f>
        <v>0</v>
      </c>
      <c r="FO62">
        <f>IF('Pick List'!3695:3695,"AAAAAGz17qo=",0)</f>
        <v>0</v>
      </c>
      <c r="FP62">
        <f>IF('Pick List'!3696:3696,"AAAAAGz17qs=",0)</f>
        <v>0</v>
      </c>
      <c r="FQ62">
        <f>IF('Pick List'!3697:3697,"AAAAAGz17qw=",0)</f>
        <v>0</v>
      </c>
      <c r="FR62">
        <f>IF('Pick List'!3698:3698,"AAAAAGz17q0=",0)</f>
        <v>0</v>
      </c>
      <c r="FS62">
        <f>IF('Pick List'!3699:3699,"AAAAAGz17q4=",0)</f>
        <v>0</v>
      </c>
      <c r="FT62">
        <f>IF('Pick List'!3700:3700,"AAAAAGz17q8=",0)</f>
        <v>0</v>
      </c>
      <c r="FU62">
        <f>IF('Pick List'!3701:3701,"AAAAAGz17rA=",0)</f>
        <v>0</v>
      </c>
      <c r="FV62">
        <f>IF('Pick List'!3702:3702,"AAAAAGz17rE=",0)</f>
        <v>0</v>
      </c>
      <c r="FW62">
        <f>IF('Pick List'!3703:3703,"AAAAAGz17rI=",0)</f>
        <v>0</v>
      </c>
      <c r="FX62">
        <f>IF('Pick List'!3704:3704,"AAAAAGz17rM=",0)</f>
        <v>0</v>
      </c>
      <c r="FY62">
        <f>IF('Pick List'!3705:3705,"AAAAAGz17rQ=",0)</f>
        <v>0</v>
      </c>
      <c r="FZ62">
        <f>IF('Pick List'!3706:3706,"AAAAAGz17rU=",0)</f>
        <v>0</v>
      </c>
      <c r="GA62">
        <f>IF('Pick List'!3707:3707,"AAAAAGz17rY=",0)</f>
        <v>0</v>
      </c>
      <c r="GB62">
        <f>IF('Pick List'!3708:3708,"AAAAAGz17rc=",0)</f>
        <v>0</v>
      </c>
      <c r="GC62">
        <f>IF('Pick List'!3709:3709,"AAAAAGz17rg=",0)</f>
        <v>0</v>
      </c>
      <c r="GD62">
        <f>IF('Pick List'!3710:3710,"AAAAAGz17rk=",0)</f>
        <v>0</v>
      </c>
      <c r="GE62">
        <f>IF('Pick List'!3711:3711,"AAAAAGz17ro=",0)</f>
        <v>0</v>
      </c>
      <c r="GF62">
        <f>IF('Pick List'!3712:3712,"AAAAAGz17rs=",0)</f>
        <v>0</v>
      </c>
      <c r="GG62">
        <f>IF('Pick List'!3713:3713,"AAAAAGz17rw=",0)</f>
        <v>0</v>
      </c>
      <c r="GH62">
        <f>IF('Pick List'!3714:3714,"AAAAAGz17r0=",0)</f>
        <v>0</v>
      </c>
      <c r="GI62">
        <f>IF('Pick List'!3715:3715,"AAAAAGz17r4=",0)</f>
        <v>0</v>
      </c>
      <c r="GJ62">
        <f>IF('Pick List'!3716:3716,"AAAAAGz17r8=",0)</f>
        <v>0</v>
      </c>
      <c r="GK62">
        <f>IF('Pick List'!3717:3717,"AAAAAGz17sA=",0)</f>
        <v>0</v>
      </c>
      <c r="GL62">
        <f>IF('Pick List'!3718:3718,"AAAAAGz17sE=",0)</f>
        <v>0</v>
      </c>
      <c r="GM62">
        <f>IF('Pick List'!3719:3719,"AAAAAGz17sI=",0)</f>
        <v>0</v>
      </c>
      <c r="GN62">
        <f>IF('Pick List'!3720:3720,"AAAAAGz17sM=",0)</f>
        <v>0</v>
      </c>
      <c r="GO62">
        <f>IF('Pick List'!3721:3721,"AAAAAGz17sQ=",0)</f>
        <v>0</v>
      </c>
      <c r="GP62">
        <f>IF('Pick List'!3722:3722,"AAAAAGz17sU=",0)</f>
        <v>0</v>
      </c>
      <c r="GQ62">
        <f>IF('Pick List'!3723:3723,"AAAAAGz17sY=",0)</f>
        <v>0</v>
      </c>
      <c r="GR62">
        <f>IF('Pick List'!3724:3724,"AAAAAGz17sc=",0)</f>
        <v>0</v>
      </c>
      <c r="GS62">
        <f>IF('Pick List'!3725:3725,"AAAAAGz17sg=",0)</f>
        <v>0</v>
      </c>
      <c r="GT62">
        <f>IF('Pick List'!3726:3726,"AAAAAGz17sk=",0)</f>
        <v>0</v>
      </c>
      <c r="GU62">
        <f>IF('Pick List'!3727:3727,"AAAAAGz17so=",0)</f>
        <v>0</v>
      </c>
      <c r="GV62">
        <f>IF('Pick List'!3728:3728,"AAAAAGz17ss=",0)</f>
        <v>0</v>
      </c>
      <c r="GW62">
        <f>IF('Pick List'!3729:3729,"AAAAAGz17sw=",0)</f>
        <v>0</v>
      </c>
      <c r="GX62">
        <f>IF('Pick List'!3730:3730,"AAAAAGz17s0=",0)</f>
        <v>0</v>
      </c>
      <c r="GY62">
        <f>IF('Pick List'!3731:3731,"AAAAAGz17s4=",0)</f>
        <v>0</v>
      </c>
      <c r="GZ62">
        <f>IF('Pick List'!3732:3732,"AAAAAGz17s8=",0)</f>
        <v>0</v>
      </c>
      <c r="HA62">
        <f>IF('Pick List'!3733:3733,"AAAAAGz17tA=",0)</f>
        <v>0</v>
      </c>
      <c r="HB62">
        <f>IF('Pick List'!3734:3734,"AAAAAGz17tE=",0)</f>
        <v>0</v>
      </c>
      <c r="HC62">
        <f>IF('Pick List'!3735:3735,"AAAAAGz17tI=",0)</f>
        <v>0</v>
      </c>
      <c r="HD62">
        <f>IF('Pick List'!3736:3736,"AAAAAGz17tM=",0)</f>
        <v>0</v>
      </c>
      <c r="HE62">
        <f>IF('Pick List'!3737:3737,"AAAAAGz17tQ=",0)</f>
        <v>0</v>
      </c>
      <c r="HF62">
        <f>IF('Pick List'!3738:3738,"AAAAAGz17tU=",0)</f>
        <v>0</v>
      </c>
      <c r="HG62">
        <f>IF('Pick List'!3739:3739,"AAAAAGz17tY=",0)</f>
        <v>0</v>
      </c>
      <c r="HH62">
        <f>IF('Pick List'!3740:3740,"AAAAAGz17tc=",0)</f>
        <v>0</v>
      </c>
      <c r="HI62">
        <f>IF('Pick List'!3741:3741,"AAAAAGz17tg=",0)</f>
        <v>0</v>
      </c>
      <c r="HJ62">
        <f>IF('Pick List'!3742:3742,"AAAAAGz17tk=",0)</f>
        <v>0</v>
      </c>
      <c r="HK62">
        <f>IF('Pick List'!3743:3743,"AAAAAGz17to=",0)</f>
        <v>0</v>
      </c>
      <c r="HL62">
        <f>IF('Pick List'!3744:3744,"AAAAAGz17ts=",0)</f>
        <v>0</v>
      </c>
      <c r="HM62">
        <f>IF('Pick List'!3745:3745,"AAAAAGz17tw=",0)</f>
        <v>0</v>
      </c>
      <c r="HN62">
        <f>IF('Pick List'!3746:3746,"AAAAAGz17t0=",0)</f>
        <v>0</v>
      </c>
      <c r="HO62">
        <f>IF('Pick List'!3747:3747,"AAAAAGz17t4=",0)</f>
        <v>0</v>
      </c>
      <c r="HP62">
        <f>IF('Pick List'!3748:3748,"AAAAAGz17t8=",0)</f>
        <v>0</v>
      </c>
      <c r="HQ62">
        <f>IF('Pick List'!3749:3749,"AAAAAGz17uA=",0)</f>
        <v>0</v>
      </c>
      <c r="HR62">
        <f>IF('Pick List'!3750:3750,"AAAAAGz17uE=",0)</f>
        <v>0</v>
      </c>
      <c r="HS62">
        <f>IF('Pick List'!3751:3751,"AAAAAGz17uI=",0)</f>
        <v>0</v>
      </c>
      <c r="HT62">
        <f>IF('Pick List'!3752:3752,"AAAAAGz17uM=",0)</f>
        <v>0</v>
      </c>
      <c r="HU62">
        <f>IF('Pick List'!3753:3753,"AAAAAGz17uQ=",0)</f>
        <v>0</v>
      </c>
      <c r="HV62">
        <f>IF('Pick List'!3754:3754,"AAAAAGz17uU=",0)</f>
        <v>0</v>
      </c>
      <c r="HW62">
        <f>IF('Pick List'!3755:3755,"AAAAAGz17uY=",0)</f>
        <v>0</v>
      </c>
      <c r="HX62">
        <f>IF('Pick List'!3756:3756,"AAAAAGz17uc=",0)</f>
        <v>0</v>
      </c>
      <c r="HY62">
        <f>IF('Pick List'!3757:3757,"AAAAAGz17ug=",0)</f>
        <v>0</v>
      </c>
      <c r="HZ62">
        <f>IF('Pick List'!3758:3758,"AAAAAGz17uk=",0)</f>
        <v>0</v>
      </c>
      <c r="IA62">
        <f>IF('Pick List'!3759:3759,"AAAAAGz17uo=",0)</f>
        <v>0</v>
      </c>
      <c r="IB62">
        <f>IF('Pick List'!3760:3760,"AAAAAGz17us=",0)</f>
        <v>0</v>
      </c>
      <c r="IC62">
        <f>IF('Pick List'!3761:3761,"AAAAAGz17uw=",0)</f>
        <v>0</v>
      </c>
      <c r="ID62">
        <f>IF('Pick List'!3762:3762,"AAAAAGz17u0=",0)</f>
        <v>0</v>
      </c>
      <c r="IE62">
        <f>IF('Pick List'!3763:3763,"AAAAAGz17u4=",0)</f>
        <v>0</v>
      </c>
      <c r="IF62">
        <f>IF('Pick List'!3764:3764,"AAAAAGz17u8=",0)</f>
        <v>0</v>
      </c>
      <c r="IG62">
        <f>IF('Pick List'!3765:3765,"AAAAAGz17vA=",0)</f>
        <v>0</v>
      </c>
      <c r="IH62">
        <f>IF('Pick List'!3766:3766,"AAAAAGz17vE=",0)</f>
        <v>0</v>
      </c>
      <c r="II62">
        <f>IF('Pick List'!3767:3767,"AAAAAGz17vI=",0)</f>
        <v>0</v>
      </c>
      <c r="IJ62">
        <f>IF('Pick List'!3768:3768,"AAAAAGz17vM=",0)</f>
        <v>0</v>
      </c>
      <c r="IK62">
        <f>IF('Pick List'!3769:3769,"AAAAAGz17vQ=",0)</f>
        <v>0</v>
      </c>
      <c r="IL62">
        <f>IF('Pick List'!3770:3770,"AAAAAGz17vU=",0)</f>
        <v>0</v>
      </c>
      <c r="IM62">
        <f>IF('Pick List'!3771:3771,"AAAAAGz17vY=",0)</f>
        <v>0</v>
      </c>
      <c r="IN62">
        <f>IF('Pick List'!3772:3772,"AAAAAGz17vc=",0)</f>
        <v>0</v>
      </c>
      <c r="IO62">
        <f>IF('Pick List'!3773:3773,"AAAAAGz17vg=",0)</f>
        <v>0</v>
      </c>
      <c r="IP62">
        <f>IF('Pick List'!3774:3774,"AAAAAGz17vk=",0)</f>
        <v>0</v>
      </c>
      <c r="IQ62">
        <f>IF('Pick List'!3775:3775,"AAAAAGz17vo=",0)</f>
        <v>0</v>
      </c>
      <c r="IR62">
        <f>IF('Pick List'!3776:3776,"AAAAAGz17vs=",0)</f>
        <v>0</v>
      </c>
      <c r="IS62">
        <f>IF('Pick List'!3777:3777,"AAAAAGz17vw=",0)</f>
        <v>0</v>
      </c>
      <c r="IT62">
        <f>IF('Pick List'!3778:3778,"AAAAAGz17v0=",0)</f>
        <v>0</v>
      </c>
      <c r="IU62">
        <f>IF('Pick List'!3779:3779,"AAAAAGz17v4=",0)</f>
        <v>0</v>
      </c>
      <c r="IV62">
        <f>IF('Pick List'!3780:3780,"AAAAAGz17v8=",0)</f>
        <v>0</v>
      </c>
    </row>
    <row r="63" spans="1:256" x14ac:dyDescent="0.2">
      <c r="A63">
        <f>IF('Pick List'!3781:3781,"AAAAAG//fwA=",0)</f>
        <v>0</v>
      </c>
      <c r="B63">
        <f>IF('Pick List'!3782:3782,"AAAAAG//fwE=",0)</f>
        <v>0</v>
      </c>
      <c r="C63">
        <f>IF('Pick List'!3783:3783,"AAAAAG//fwI=",0)</f>
        <v>0</v>
      </c>
      <c r="D63">
        <f>IF('Pick List'!3784:3784,"AAAAAG//fwM=",0)</f>
        <v>0</v>
      </c>
      <c r="E63">
        <f>IF('Pick List'!3785:3785,"AAAAAG//fwQ=",0)</f>
        <v>0</v>
      </c>
      <c r="F63">
        <f>IF('Pick List'!3786:3786,"AAAAAG//fwU=",0)</f>
        <v>0</v>
      </c>
      <c r="G63">
        <f>IF('Pick List'!3787:3787,"AAAAAG//fwY=",0)</f>
        <v>0</v>
      </c>
      <c r="H63">
        <f>IF('Pick List'!3788:3788,"AAAAAG//fwc=",0)</f>
        <v>0</v>
      </c>
      <c r="I63">
        <f>IF('Pick List'!3789:3789,"AAAAAG//fwg=",0)</f>
        <v>0</v>
      </c>
      <c r="J63">
        <f>IF('Pick List'!3790:3790,"AAAAAG//fwk=",0)</f>
        <v>0</v>
      </c>
      <c r="K63">
        <f>IF('Pick List'!3791:3791,"AAAAAG//fwo=",0)</f>
        <v>0</v>
      </c>
      <c r="L63">
        <f>IF('Pick List'!3792:3792,"AAAAAG//fws=",0)</f>
        <v>0</v>
      </c>
      <c r="M63">
        <f>IF('Pick List'!3793:3793,"AAAAAG//fww=",0)</f>
        <v>0</v>
      </c>
      <c r="N63">
        <f>IF('Pick List'!3794:3794,"AAAAAG//fw0=",0)</f>
        <v>0</v>
      </c>
      <c r="O63">
        <f>IF('Pick List'!3795:3795,"AAAAAG//fw4=",0)</f>
        <v>0</v>
      </c>
      <c r="P63">
        <f>IF('Pick List'!3796:3796,"AAAAAG//fw8=",0)</f>
        <v>0</v>
      </c>
      <c r="Q63">
        <f>IF('Pick List'!3797:3797,"AAAAAG//fxA=",0)</f>
        <v>0</v>
      </c>
      <c r="R63">
        <f>IF('Pick List'!3798:3798,"AAAAAG//fxE=",0)</f>
        <v>0</v>
      </c>
      <c r="S63">
        <f>IF('Pick List'!3799:3799,"AAAAAG//fxI=",0)</f>
        <v>0</v>
      </c>
      <c r="T63">
        <f>IF('Pick List'!3800:3800,"AAAAAG//fxM=",0)</f>
        <v>0</v>
      </c>
      <c r="U63">
        <f>IF('Pick List'!3801:3801,"AAAAAG//fxQ=",0)</f>
        <v>0</v>
      </c>
      <c r="V63">
        <f>IF('Pick List'!3802:3802,"AAAAAG//fxU=",0)</f>
        <v>0</v>
      </c>
      <c r="W63">
        <f>IF('Pick List'!3803:3803,"AAAAAG//fxY=",0)</f>
        <v>0</v>
      </c>
      <c r="X63">
        <f>IF('Pick List'!3804:3804,"AAAAAG//fxc=",0)</f>
        <v>0</v>
      </c>
      <c r="Y63">
        <f>IF('Pick List'!3805:3805,"AAAAAG//fxg=",0)</f>
        <v>0</v>
      </c>
      <c r="Z63">
        <f>IF('Pick List'!3806:3806,"AAAAAG//fxk=",0)</f>
        <v>0</v>
      </c>
      <c r="AA63">
        <f>IF('Pick List'!3807:3807,"AAAAAG//fxo=",0)</f>
        <v>0</v>
      </c>
      <c r="AB63">
        <f>IF('Pick List'!3808:3808,"AAAAAG//fxs=",0)</f>
        <v>0</v>
      </c>
      <c r="AC63">
        <f>IF('Pick List'!3809:3809,"AAAAAG//fxw=",0)</f>
        <v>0</v>
      </c>
      <c r="AD63">
        <f>IF('Pick List'!3810:3810,"AAAAAG//fx0=",0)</f>
        <v>0</v>
      </c>
      <c r="AE63">
        <f>IF('Pick List'!3811:3811,"AAAAAG//fx4=",0)</f>
        <v>0</v>
      </c>
      <c r="AF63">
        <f>IF('Pick List'!3812:3812,"AAAAAG//fx8=",0)</f>
        <v>0</v>
      </c>
      <c r="AG63">
        <f>IF('Pick List'!3813:3813,"AAAAAG//fyA=",0)</f>
        <v>0</v>
      </c>
      <c r="AH63">
        <f>IF('Pick List'!3814:3814,"AAAAAG//fyE=",0)</f>
        <v>0</v>
      </c>
      <c r="AI63">
        <f>IF('Pick List'!3815:3815,"AAAAAG//fyI=",0)</f>
        <v>0</v>
      </c>
      <c r="AJ63">
        <f>IF('Pick List'!3816:3816,"AAAAAG//fyM=",0)</f>
        <v>0</v>
      </c>
      <c r="AK63">
        <f>IF('Pick List'!3817:3817,"AAAAAG//fyQ=",0)</f>
        <v>0</v>
      </c>
      <c r="AL63">
        <f>IF('Pick List'!3818:3818,"AAAAAG//fyU=",0)</f>
        <v>0</v>
      </c>
      <c r="AM63">
        <f>IF('Pick List'!3819:3819,"AAAAAG//fyY=",0)</f>
        <v>0</v>
      </c>
      <c r="AN63">
        <f>IF('Pick List'!3820:3820,"AAAAAG//fyc=",0)</f>
        <v>0</v>
      </c>
      <c r="AO63">
        <f>IF('Pick List'!3821:3821,"AAAAAG//fyg=",0)</f>
        <v>0</v>
      </c>
      <c r="AP63">
        <f>IF('Pick List'!3822:3822,"AAAAAG//fyk=",0)</f>
        <v>0</v>
      </c>
      <c r="AQ63">
        <f>IF('Pick List'!3823:3823,"AAAAAG//fyo=",0)</f>
        <v>0</v>
      </c>
      <c r="AR63">
        <f>IF('Pick List'!3824:3824,"AAAAAG//fys=",0)</f>
        <v>0</v>
      </c>
      <c r="AS63">
        <f>IF('Pick List'!3825:3825,"AAAAAG//fyw=",0)</f>
        <v>0</v>
      </c>
      <c r="AT63">
        <f>IF('Pick List'!3826:3826,"AAAAAG//fy0=",0)</f>
        <v>0</v>
      </c>
      <c r="AU63">
        <f>IF('Pick List'!3827:3827,"AAAAAG//fy4=",0)</f>
        <v>0</v>
      </c>
      <c r="AV63">
        <f>IF('Pick List'!3828:3828,"AAAAAG//fy8=",0)</f>
        <v>0</v>
      </c>
      <c r="AW63">
        <f>IF('Pick List'!3829:3829,"AAAAAG//fzA=",0)</f>
        <v>0</v>
      </c>
      <c r="AX63">
        <f>IF('Pick List'!3830:3830,"AAAAAG//fzE=",0)</f>
        <v>0</v>
      </c>
      <c r="AY63">
        <f>IF('Pick List'!3831:3831,"AAAAAG//fzI=",0)</f>
        <v>0</v>
      </c>
      <c r="AZ63">
        <f>IF('Pick List'!3832:3832,"AAAAAG//fzM=",0)</f>
        <v>0</v>
      </c>
      <c r="BA63">
        <f>IF('Pick List'!3833:3833,"AAAAAG//fzQ=",0)</f>
        <v>0</v>
      </c>
      <c r="BB63">
        <f>IF('Pick List'!3834:3834,"AAAAAG//fzU=",0)</f>
        <v>0</v>
      </c>
      <c r="BC63">
        <f>IF('Pick List'!3835:3835,"AAAAAG//fzY=",0)</f>
        <v>0</v>
      </c>
      <c r="BD63">
        <f>IF('Pick List'!3836:3836,"AAAAAG//fzc=",0)</f>
        <v>0</v>
      </c>
      <c r="BE63">
        <f>IF('Pick List'!3837:3837,"AAAAAG//fzg=",0)</f>
        <v>0</v>
      </c>
      <c r="BF63">
        <f>IF('Pick List'!3838:3838,"AAAAAG//fzk=",0)</f>
        <v>0</v>
      </c>
      <c r="BG63">
        <f>IF('Pick List'!3839:3839,"AAAAAG//fzo=",0)</f>
        <v>0</v>
      </c>
      <c r="BH63">
        <f>IF('Pick List'!3840:3840,"AAAAAG//fzs=",0)</f>
        <v>0</v>
      </c>
      <c r="BI63">
        <f>IF('Pick List'!3841:3841,"AAAAAG//fzw=",0)</f>
        <v>0</v>
      </c>
      <c r="BJ63">
        <f>IF('Pick List'!3842:3842,"AAAAAG//fz0=",0)</f>
        <v>0</v>
      </c>
      <c r="BK63">
        <f>IF('Pick List'!3843:3843,"AAAAAG//fz4=",0)</f>
        <v>0</v>
      </c>
      <c r="BL63">
        <f>IF('Pick List'!3844:3844,"AAAAAG//fz8=",0)</f>
        <v>0</v>
      </c>
      <c r="BM63">
        <f>IF('Pick List'!3845:3845,"AAAAAG//f0A=",0)</f>
        <v>0</v>
      </c>
      <c r="BN63">
        <f>IF('Pick List'!3846:3846,"AAAAAG//f0E=",0)</f>
        <v>0</v>
      </c>
      <c r="BO63">
        <f>IF('Pick List'!3847:3847,"AAAAAG//f0I=",0)</f>
        <v>0</v>
      </c>
      <c r="BP63">
        <f>IF('Pick List'!3848:3848,"AAAAAG//f0M=",0)</f>
        <v>0</v>
      </c>
      <c r="BQ63">
        <f>IF('Pick List'!3849:3849,"AAAAAG//f0Q=",0)</f>
        <v>0</v>
      </c>
      <c r="BR63">
        <f>IF('Pick List'!3850:3850,"AAAAAG//f0U=",0)</f>
        <v>0</v>
      </c>
      <c r="BS63">
        <f>IF('Pick List'!3851:3851,"AAAAAG//f0Y=",0)</f>
        <v>0</v>
      </c>
      <c r="BT63">
        <f>IF('Pick List'!3852:3852,"AAAAAG//f0c=",0)</f>
        <v>0</v>
      </c>
      <c r="BU63">
        <f>IF('Pick List'!3853:3853,"AAAAAG//f0g=",0)</f>
        <v>0</v>
      </c>
      <c r="BV63">
        <f>IF('Pick List'!3854:3854,"AAAAAG//f0k=",0)</f>
        <v>0</v>
      </c>
      <c r="BW63">
        <f>IF('Pick List'!3855:3855,"AAAAAG//f0o=",0)</f>
        <v>0</v>
      </c>
      <c r="BX63">
        <f>IF('Pick List'!3856:3856,"AAAAAG//f0s=",0)</f>
        <v>0</v>
      </c>
      <c r="BY63">
        <f>IF('Pick List'!3857:3857,"AAAAAG//f0w=",0)</f>
        <v>0</v>
      </c>
      <c r="BZ63">
        <f>IF('Pick List'!3858:3858,"AAAAAG//f00=",0)</f>
        <v>0</v>
      </c>
      <c r="CA63">
        <f>IF('Pick List'!3859:3859,"AAAAAG//f04=",0)</f>
        <v>0</v>
      </c>
      <c r="CB63">
        <f>IF('Pick List'!3860:3860,"AAAAAG//f08=",0)</f>
        <v>0</v>
      </c>
      <c r="CC63">
        <f>IF('Pick List'!3861:3861,"AAAAAG//f1A=",0)</f>
        <v>0</v>
      </c>
      <c r="CD63">
        <f>IF('Pick List'!3862:3862,"AAAAAG//f1E=",0)</f>
        <v>0</v>
      </c>
      <c r="CE63">
        <f>IF('Pick List'!3863:3863,"AAAAAG//f1I=",0)</f>
        <v>0</v>
      </c>
      <c r="CF63">
        <f>IF('Pick List'!3864:3864,"AAAAAG//f1M=",0)</f>
        <v>0</v>
      </c>
      <c r="CG63">
        <f>IF('Pick List'!3865:3865,"AAAAAG//f1Q=",0)</f>
        <v>0</v>
      </c>
      <c r="CH63">
        <f>IF('Pick List'!3866:3866,"AAAAAG//f1U=",0)</f>
        <v>0</v>
      </c>
      <c r="CI63">
        <f>IF('Pick List'!3867:3867,"AAAAAG//f1Y=",0)</f>
        <v>0</v>
      </c>
      <c r="CJ63">
        <f>IF('Pick List'!3868:3868,"AAAAAG//f1c=",0)</f>
        <v>0</v>
      </c>
      <c r="CK63">
        <f>IF('Pick List'!3869:3869,"AAAAAG//f1g=",0)</f>
        <v>0</v>
      </c>
      <c r="CL63">
        <f>IF('Pick List'!3870:3870,"AAAAAG//f1k=",0)</f>
        <v>0</v>
      </c>
      <c r="CM63">
        <f>IF('Pick List'!3871:3871,"AAAAAG//f1o=",0)</f>
        <v>0</v>
      </c>
      <c r="CN63">
        <f>IF('Pick List'!3872:3872,"AAAAAG//f1s=",0)</f>
        <v>0</v>
      </c>
      <c r="CO63">
        <f>IF('Pick List'!3873:3873,"AAAAAG//f1w=",0)</f>
        <v>0</v>
      </c>
      <c r="CP63">
        <f>IF('Pick List'!3874:3874,"AAAAAG//f10=",0)</f>
        <v>0</v>
      </c>
      <c r="CQ63">
        <f>IF('Pick List'!3875:3875,"AAAAAG//f14=",0)</f>
        <v>0</v>
      </c>
      <c r="CR63">
        <f>IF('Pick List'!3876:3876,"AAAAAG//f18=",0)</f>
        <v>0</v>
      </c>
      <c r="CS63">
        <f>IF('Pick List'!3877:3877,"AAAAAG//f2A=",0)</f>
        <v>0</v>
      </c>
      <c r="CT63">
        <f>IF('Pick List'!3878:3878,"AAAAAG//f2E=",0)</f>
        <v>0</v>
      </c>
      <c r="CU63">
        <f>IF('Pick List'!3879:3879,"AAAAAG//f2I=",0)</f>
        <v>0</v>
      </c>
      <c r="CV63">
        <f>IF('Pick List'!3880:3880,"AAAAAG//f2M=",0)</f>
        <v>0</v>
      </c>
      <c r="CW63">
        <f>IF('Pick List'!3881:3881,"AAAAAG//f2Q=",0)</f>
        <v>0</v>
      </c>
      <c r="CX63">
        <f>IF('Pick List'!3882:3882,"AAAAAG//f2U=",0)</f>
        <v>0</v>
      </c>
      <c r="CY63">
        <f>IF('Pick List'!3883:3883,"AAAAAG//f2Y=",0)</f>
        <v>0</v>
      </c>
      <c r="CZ63">
        <f>IF('Pick List'!3884:3884,"AAAAAG//f2c=",0)</f>
        <v>0</v>
      </c>
      <c r="DA63">
        <f>IF('Pick List'!3885:3885,"AAAAAG//f2g=",0)</f>
        <v>0</v>
      </c>
      <c r="DB63">
        <f>IF('Pick List'!3886:3886,"AAAAAG//f2k=",0)</f>
        <v>0</v>
      </c>
      <c r="DC63">
        <f>IF('Pick List'!3887:3887,"AAAAAG//f2o=",0)</f>
        <v>0</v>
      </c>
      <c r="DD63">
        <f>IF('Pick List'!3888:3888,"AAAAAG//f2s=",0)</f>
        <v>0</v>
      </c>
      <c r="DE63">
        <f>IF('Pick List'!3889:3889,"AAAAAG//f2w=",0)</f>
        <v>0</v>
      </c>
      <c r="DF63">
        <f>IF('Pick List'!3890:3890,"AAAAAG//f20=",0)</f>
        <v>0</v>
      </c>
      <c r="DG63">
        <f>IF('Pick List'!3891:3891,"AAAAAG//f24=",0)</f>
        <v>0</v>
      </c>
      <c r="DH63">
        <f>IF('Pick List'!3892:3892,"AAAAAG//f28=",0)</f>
        <v>0</v>
      </c>
      <c r="DI63">
        <f>IF('Pick List'!3893:3893,"AAAAAG//f3A=",0)</f>
        <v>0</v>
      </c>
      <c r="DJ63">
        <f>IF('Pick List'!3894:3894,"AAAAAG//f3E=",0)</f>
        <v>0</v>
      </c>
      <c r="DK63">
        <f>IF('Pick List'!3895:3895,"AAAAAG//f3I=",0)</f>
        <v>0</v>
      </c>
      <c r="DL63">
        <f>IF('Pick List'!3896:3896,"AAAAAG//f3M=",0)</f>
        <v>0</v>
      </c>
      <c r="DM63">
        <f>IF('Pick List'!3897:3897,"AAAAAG//f3Q=",0)</f>
        <v>0</v>
      </c>
      <c r="DN63">
        <f>IF('Pick List'!3898:3898,"AAAAAG//f3U=",0)</f>
        <v>0</v>
      </c>
      <c r="DO63">
        <f>IF('Pick List'!3899:3899,"AAAAAG//f3Y=",0)</f>
        <v>0</v>
      </c>
      <c r="DP63">
        <f>IF('Pick List'!3900:3900,"AAAAAG//f3c=",0)</f>
        <v>0</v>
      </c>
      <c r="DQ63">
        <f>IF('Pick List'!3901:3901,"AAAAAG//f3g=",0)</f>
        <v>0</v>
      </c>
      <c r="DR63">
        <f>IF('Pick List'!3902:3902,"AAAAAG//f3k=",0)</f>
        <v>0</v>
      </c>
      <c r="DS63">
        <f>IF('Pick List'!3903:3903,"AAAAAG//f3o=",0)</f>
        <v>0</v>
      </c>
      <c r="DT63">
        <f>IF('Pick List'!3904:3904,"AAAAAG//f3s=",0)</f>
        <v>0</v>
      </c>
      <c r="DU63">
        <f>IF('Pick List'!3905:3905,"AAAAAG//f3w=",0)</f>
        <v>0</v>
      </c>
      <c r="DV63">
        <f>IF('Pick List'!3906:3906,"AAAAAG//f30=",0)</f>
        <v>0</v>
      </c>
      <c r="DW63">
        <f>IF('Pick List'!3907:3907,"AAAAAG//f34=",0)</f>
        <v>0</v>
      </c>
      <c r="DX63">
        <f>IF('Pick List'!3908:3908,"AAAAAG//f38=",0)</f>
        <v>0</v>
      </c>
      <c r="DY63">
        <f>IF('Pick List'!3909:3909,"AAAAAG//f4A=",0)</f>
        <v>0</v>
      </c>
      <c r="DZ63">
        <f>IF('Pick List'!3910:3910,"AAAAAG//f4E=",0)</f>
        <v>0</v>
      </c>
      <c r="EA63">
        <f>IF('Pick List'!3911:3911,"AAAAAG//f4I=",0)</f>
        <v>0</v>
      </c>
      <c r="EB63">
        <f>IF('Pick List'!3912:3912,"AAAAAG//f4M=",0)</f>
        <v>0</v>
      </c>
      <c r="EC63">
        <f>IF('Pick List'!3913:3913,"AAAAAG//f4Q=",0)</f>
        <v>0</v>
      </c>
      <c r="ED63">
        <f>IF('Pick List'!3914:3914,"AAAAAG//f4U=",0)</f>
        <v>0</v>
      </c>
      <c r="EE63">
        <f>IF('Pick List'!3915:3915,"AAAAAG//f4Y=",0)</f>
        <v>0</v>
      </c>
      <c r="EF63">
        <f>IF('Pick List'!3916:3916,"AAAAAG//f4c=",0)</f>
        <v>0</v>
      </c>
      <c r="EG63">
        <f>IF('Pick List'!3917:3917,"AAAAAG//f4g=",0)</f>
        <v>0</v>
      </c>
      <c r="EH63">
        <f>IF('Pick List'!3918:3918,"AAAAAG//f4k=",0)</f>
        <v>0</v>
      </c>
      <c r="EI63">
        <f>IF('Pick List'!3919:3919,"AAAAAG//f4o=",0)</f>
        <v>0</v>
      </c>
      <c r="EJ63">
        <f>IF('Pick List'!3920:3920,"AAAAAG//f4s=",0)</f>
        <v>0</v>
      </c>
      <c r="EK63">
        <f>IF('Pick List'!3921:3921,"AAAAAG//f4w=",0)</f>
        <v>0</v>
      </c>
      <c r="EL63">
        <f>IF('Pick List'!3922:3922,"AAAAAG//f40=",0)</f>
        <v>0</v>
      </c>
      <c r="EM63">
        <f>IF('Pick List'!3923:3923,"AAAAAG//f44=",0)</f>
        <v>0</v>
      </c>
      <c r="EN63">
        <f>IF('Pick List'!3924:3924,"AAAAAG//f48=",0)</f>
        <v>0</v>
      </c>
      <c r="EO63">
        <f>IF('Pick List'!3925:3925,"AAAAAG//f5A=",0)</f>
        <v>0</v>
      </c>
      <c r="EP63">
        <f>IF('Pick List'!3926:3926,"AAAAAG//f5E=",0)</f>
        <v>0</v>
      </c>
      <c r="EQ63">
        <f>IF('Pick List'!3927:3927,"AAAAAG//f5I=",0)</f>
        <v>0</v>
      </c>
      <c r="ER63">
        <f>IF('Pick List'!3928:3928,"AAAAAG//f5M=",0)</f>
        <v>0</v>
      </c>
      <c r="ES63">
        <f>IF('Pick List'!3929:3929,"AAAAAG//f5Q=",0)</f>
        <v>0</v>
      </c>
      <c r="ET63">
        <f>IF('Pick List'!3930:3930,"AAAAAG//f5U=",0)</f>
        <v>0</v>
      </c>
      <c r="EU63">
        <f>IF('Pick List'!3931:3931,"AAAAAG//f5Y=",0)</f>
        <v>0</v>
      </c>
      <c r="EV63">
        <f>IF('Pick List'!3932:3932,"AAAAAG//f5c=",0)</f>
        <v>0</v>
      </c>
      <c r="EW63">
        <f>IF('Pick List'!3933:3933,"AAAAAG//f5g=",0)</f>
        <v>0</v>
      </c>
      <c r="EX63">
        <f>IF('Pick List'!3934:3934,"AAAAAG//f5k=",0)</f>
        <v>0</v>
      </c>
      <c r="EY63">
        <f>IF('Pick List'!3935:3935,"AAAAAG//f5o=",0)</f>
        <v>0</v>
      </c>
      <c r="EZ63">
        <f>IF('Pick List'!3936:3936,"AAAAAG//f5s=",0)</f>
        <v>0</v>
      </c>
      <c r="FA63">
        <f>IF('Pick List'!3937:3937,"AAAAAG//f5w=",0)</f>
        <v>0</v>
      </c>
      <c r="FB63">
        <f>IF('Pick List'!3938:3938,"AAAAAG//f50=",0)</f>
        <v>0</v>
      </c>
      <c r="FC63">
        <f>IF('Pick List'!3939:3939,"AAAAAG//f54=",0)</f>
        <v>0</v>
      </c>
      <c r="FD63">
        <f>IF('Pick List'!3940:3940,"AAAAAG//f58=",0)</f>
        <v>0</v>
      </c>
      <c r="FE63">
        <f>IF('Pick List'!3941:3941,"AAAAAG//f6A=",0)</f>
        <v>0</v>
      </c>
      <c r="FF63">
        <f>IF('Pick List'!3942:3942,"AAAAAG//f6E=",0)</f>
        <v>0</v>
      </c>
      <c r="FG63">
        <f>IF('Pick List'!3943:3943,"AAAAAG//f6I=",0)</f>
        <v>0</v>
      </c>
      <c r="FH63">
        <f>IF('Pick List'!3944:3944,"AAAAAG//f6M=",0)</f>
        <v>0</v>
      </c>
      <c r="FI63">
        <f>IF('Pick List'!3945:3945,"AAAAAG//f6Q=",0)</f>
        <v>0</v>
      </c>
      <c r="FJ63">
        <f>IF('Pick List'!3946:3946,"AAAAAG//f6U=",0)</f>
        <v>0</v>
      </c>
      <c r="FK63">
        <f>IF('Pick List'!3947:3947,"AAAAAG//f6Y=",0)</f>
        <v>0</v>
      </c>
      <c r="FL63">
        <f>IF('Pick List'!3948:3948,"AAAAAG//f6c=",0)</f>
        <v>0</v>
      </c>
      <c r="FM63">
        <f>IF('Pick List'!3949:3949,"AAAAAG//f6g=",0)</f>
        <v>0</v>
      </c>
      <c r="FN63">
        <f>IF('Pick List'!3950:3950,"AAAAAG//f6k=",0)</f>
        <v>0</v>
      </c>
      <c r="FO63">
        <f>IF('Pick List'!3951:3951,"AAAAAG//f6o=",0)</f>
        <v>0</v>
      </c>
      <c r="FP63">
        <f>IF('Pick List'!3952:3952,"AAAAAG//f6s=",0)</f>
        <v>0</v>
      </c>
      <c r="FQ63">
        <f>IF('Pick List'!3953:3953,"AAAAAG//f6w=",0)</f>
        <v>0</v>
      </c>
      <c r="FR63">
        <f>IF('Pick List'!3954:3954,"AAAAAG//f60=",0)</f>
        <v>0</v>
      </c>
      <c r="FS63">
        <f>IF('Pick List'!3955:3955,"AAAAAG//f64=",0)</f>
        <v>0</v>
      </c>
      <c r="FT63">
        <f>IF('Pick List'!3956:3956,"AAAAAG//f68=",0)</f>
        <v>0</v>
      </c>
      <c r="FU63">
        <f>IF('Pick List'!3957:3957,"AAAAAG//f7A=",0)</f>
        <v>0</v>
      </c>
      <c r="FV63">
        <f>IF('Pick List'!3958:3958,"AAAAAG//f7E=",0)</f>
        <v>0</v>
      </c>
      <c r="FW63">
        <f>IF('Pick List'!3959:3959,"AAAAAG//f7I=",0)</f>
        <v>0</v>
      </c>
      <c r="FX63">
        <f>IF('Pick List'!3960:3960,"AAAAAG//f7M=",0)</f>
        <v>0</v>
      </c>
      <c r="FY63">
        <f>IF('Pick List'!3961:3961,"AAAAAG//f7Q=",0)</f>
        <v>0</v>
      </c>
      <c r="FZ63">
        <f>IF('Pick List'!3962:3962,"AAAAAG//f7U=",0)</f>
        <v>0</v>
      </c>
      <c r="GA63">
        <f>IF('Pick List'!3963:3963,"AAAAAG//f7Y=",0)</f>
        <v>0</v>
      </c>
      <c r="GB63">
        <f>IF('Pick List'!3964:3964,"AAAAAG//f7c=",0)</f>
        <v>0</v>
      </c>
      <c r="GC63">
        <f>IF('Pick List'!3965:3965,"AAAAAG//f7g=",0)</f>
        <v>0</v>
      </c>
      <c r="GD63">
        <f>IF('Pick List'!3966:3966,"AAAAAG//f7k=",0)</f>
        <v>0</v>
      </c>
      <c r="GE63">
        <f>IF('Pick List'!3967:3967,"AAAAAG//f7o=",0)</f>
        <v>0</v>
      </c>
      <c r="GF63">
        <f>IF('Pick List'!3968:3968,"AAAAAG//f7s=",0)</f>
        <v>0</v>
      </c>
      <c r="GG63">
        <f>IF('Pick List'!3969:3969,"AAAAAG//f7w=",0)</f>
        <v>0</v>
      </c>
      <c r="GH63">
        <f>IF('Pick List'!3970:3970,"AAAAAG//f70=",0)</f>
        <v>0</v>
      </c>
      <c r="GI63">
        <f>IF('Pick List'!3971:3971,"AAAAAG//f74=",0)</f>
        <v>0</v>
      </c>
      <c r="GJ63">
        <f>IF('Pick List'!3972:3972,"AAAAAG//f78=",0)</f>
        <v>0</v>
      </c>
      <c r="GK63">
        <f>IF('Pick List'!3973:3973,"AAAAAG//f8A=",0)</f>
        <v>0</v>
      </c>
      <c r="GL63">
        <f>IF('Pick List'!3974:3974,"AAAAAG//f8E=",0)</f>
        <v>0</v>
      </c>
      <c r="GM63">
        <f>IF('Pick List'!3975:3975,"AAAAAG//f8I=",0)</f>
        <v>0</v>
      </c>
      <c r="GN63">
        <f>IF('Pick List'!3976:3976,"AAAAAG//f8M=",0)</f>
        <v>0</v>
      </c>
      <c r="GO63">
        <f>IF('Pick List'!3977:3977,"AAAAAG//f8Q=",0)</f>
        <v>0</v>
      </c>
      <c r="GP63">
        <f>IF('Pick List'!3978:3978,"AAAAAG//f8U=",0)</f>
        <v>0</v>
      </c>
      <c r="GQ63">
        <f>IF('Pick List'!3979:3979,"AAAAAG//f8Y=",0)</f>
        <v>0</v>
      </c>
      <c r="GR63">
        <f>IF('Pick List'!3980:3980,"AAAAAG//f8c=",0)</f>
        <v>0</v>
      </c>
      <c r="GS63">
        <f>IF('Pick List'!3981:3981,"AAAAAG//f8g=",0)</f>
        <v>0</v>
      </c>
      <c r="GT63">
        <f>IF('Pick List'!3982:3982,"AAAAAG//f8k=",0)</f>
        <v>0</v>
      </c>
      <c r="GU63">
        <f>IF('Pick List'!3983:3983,"AAAAAG//f8o=",0)</f>
        <v>0</v>
      </c>
      <c r="GV63">
        <f>IF('Pick List'!3984:3984,"AAAAAG//f8s=",0)</f>
        <v>0</v>
      </c>
      <c r="GW63">
        <f>IF('Pick List'!3985:3985,"AAAAAG//f8w=",0)</f>
        <v>0</v>
      </c>
      <c r="GX63">
        <f>IF('Pick List'!3986:3986,"AAAAAG//f80=",0)</f>
        <v>0</v>
      </c>
      <c r="GY63">
        <f>IF('Pick List'!3987:3987,"AAAAAG//f84=",0)</f>
        <v>0</v>
      </c>
      <c r="GZ63">
        <f>IF('Pick List'!3988:3988,"AAAAAG//f88=",0)</f>
        <v>0</v>
      </c>
      <c r="HA63">
        <f>IF('Pick List'!3989:3989,"AAAAAG//f9A=",0)</f>
        <v>0</v>
      </c>
      <c r="HB63">
        <f>IF('Pick List'!3990:3990,"AAAAAG//f9E=",0)</f>
        <v>0</v>
      </c>
      <c r="HC63">
        <f>IF('Pick List'!3991:3991,"AAAAAG//f9I=",0)</f>
        <v>0</v>
      </c>
      <c r="HD63">
        <f>IF('Pick List'!3992:3992,"AAAAAG//f9M=",0)</f>
        <v>0</v>
      </c>
      <c r="HE63">
        <f>IF('Pick List'!3993:3993,"AAAAAG//f9Q=",0)</f>
        <v>0</v>
      </c>
      <c r="HF63">
        <f>IF('Pick List'!3994:3994,"AAAAAG//f9U=",0)</f>
        <v>0</v>
      </c>
      <c r="HG63">
        <f>IF('Pick List'!3995:3995,"AAAAAG//f9Y=",0)</f>
        <v>0</v>
      </c>
      <c r="HH63">
        <f>IF('Pick List'!3996:3996,"AAAAAG//f9c=",0)</f>
        <v>0</v>
      </c>
      <c r="HI63">
        <f>IF('Pick List'!3997:3997,"AAAAAG//f9g=",0)</f>
        <v>0</v>
      </c>
      <c r="HJ63">
        <f>IF('Pick List'!3998:3998,"AAAAAG//f9k=",0)</f>
        <v>0</v>
      </c>
      <c r="HK63">
        <f>IF('Pick List'!3999:3999,"AAAAAG//f9o=",0)</f>
        <v>0</v>
      </c>
      <c r="HL63">
        <f>IF('Pick List'!4000:4000,"AAAAAG//f9s=",0)</f>
        <v>0</v>
      </c>
      <c r="HM63">
        <f>IF('Pick List'!4001:4001,"AAAAAG//f9w=",0)</f>
        <v>0</v>
      </c>
      <c r="HN63">
        <f>IF('Pick List'!4002:4002,"AAAAAG//f90=",0)</f>
        <v>0</v>
      </c>
      <c r="HO63">
        <f>IF('Pick List'!4003:4003,"AAAAAG//f94=",0)</f>
        <v>0</v>
      </c>
      <c r="HP63">
        <f>IF('Pick List'!4004:4004,"AAAAAG//f98=",0)</f>
        <v>0</v>
      </c>
      <c r="HQ63">
        <f>IF('Pick List'!4005:4005,"AAAAAG//f+A=",0)</f>
        <v>0</v>
      </c>
      <c r="HR63">
        <f>IF('Pick List'!4006:4006,"AAAAAG//f+E=",0)</f>
        <v>0</v>
      </c>
      <c r="HS63">
        <f>IF('Pick List'!4007:4007,"AAAAAG//f+I=",0)</f>
        <v>0</v>
      </c>
      <c r="HT63">
        <f>IF('Pick List'!4008:4008,"AAAAAG//f+M=",0)</f>
        <v>0</v>
      </c>
      <c r="HU63">
        <f>IF('Pick List'!4009:4009,"AAAAAG//f+Q=",0)</f>
        <v>0</v>
      </c>
      <c r="HV63">
        <f>IF('Pick List'!4010:4010,"AAAAAG//f+U=",0)</f>
        <v>0</v>
      </c>
      <c r="HW63">
        <f>IF('Pick List'!4011:4011,"AAAAAG//f+Y=",0)</f>
        <v>0</v>
      </c>
      <c r="HX63">
        <f>IF('Pick List'!4012:4012,"AAAAAG//f+c=",0)</f>
        <v>0</v>
      </c>
      <c r="HY63">
        <f>IF('Pick List'!4013:4013,"AAAAAG//f+g=",0)</f>
        <v>0</v>
      </c>
      <c r="HZ63">
        <f>IF('Pick List'!4014:4014,"AAAAAG//f+k=",0)</f>
        <v>0</v>
      </c>
      <c r="IA63">
        <f>IF('Pick List'!4015:4015,"AAAAAG//f+o=",0)</f>
        <v>0</v>
      </c>
      <c r="IB63">
        <f>IF('Pick List'!4016:4016,"AAAAAG//f+s=",0)</f>
        <v>0</v>
      </c>
      <c r="IC63">
        <f>IF('Pick List'!4017:4017,"AAAAAG//f+w=",0)</f>
        <v>0</v>
      </c>
      <c r="ID63">
        <f>IF('Pick List'!4018:4018,"AAAAAG//f+0=",0)</f>
        <v>0</v>
      </c>
      <c r="IE63">
        <f>IF('Pick List'!4019:4019,"AAAAAG//f+4=",0)</f>
        <v>0</v>
      </c>
      <c r="IF63">
        <f>IF('Pick List'!4020:4020,"AAAAAG//f+8=",0)</f>
        <v>0</v>
      </c>
      <c r="IG63">
        <f>IF('Pick List'!4021:4021,"AAAAAG//f/A=",0)</f>
        <v>0</v>
      </c>
      <c r="IH63">
        <f>IF('Pick List'!4022:4022,"AAAAAG//f/E=",0)</f>
        <v>0</v>
      </c>
      <c r="II63">
        <f>IF('Pick List'!4023:4023,"AAAAAG//f/I=",0)</f>
        <v>0</v>
      </c>
      <c r="IJ63">
        <f>IF('Pick List'!4024:4024,"AAAAAG//f/M=",0)</f>
        <v>0</v>
      </c>
      <c r="IK63">
        <f>IF('Pick List'!4025:4025,"AAAAAG//f/Q=",0)</f>
        <v>0</v>
      </c>
      <c r="IL63">
        <f>IF('Pick List'!4026:4026,"AAAAAG//f/U=",0)</f>
        <v>0</v>
      </c>
      <c r="IM63">
        <f>IF('Pick List'!4027:4027,"AAAAAG//f/Y=",0)</f>
        <v>0</v>
      </c>
      <c r="IN63">
        <f>IF('Pick List'!4028:4028,"AAAAAG//f/c=",0)</f>
        <v>0</v>
      </c>
      <c r="IO63">
        <f>IF('Pick List'!4029:4029,"AAAAAG//f/g=",0)</f>
        <v>0</v>
      </c>
      <c r="IP63">
        <f>IF('Pick List'!4030:4030,"AAAAAG//f/k=",0)</f>
        <v>0</v>
      </c>
      <c r="IQ63">
        <f>IF('Pick List'!4031:4031,"AAAAAG//f/o=",0)</f>
        <v>0</v>
      </c>
      <c r="IR63">
        <f>IF('Pick List'!4032:4032,"AAAAAG//f/s=",0)</f>
        <v>0</v>
      </c>
      <c r="IS63">
        <f>IF('Pick List'!4033:4033,"AAAAAG//f/w=",0)</f>
        <v>0</v>
      </c>
      <c r="IT63">
        <f>IF('Pick List'!4034:4034,"AAAAAG//f/0=",0)</f>
        <v>0</v>
      </c>
      <c r="IU63">
        <f>IF('Pick List'!4035:4035,"AAAAAG//f/4=",0)</f>
        <v>0</v>
      </c>
      <c r="IV63">
        <f>IF('Pick List'!4036:4036,"AAAAAG//f/8=",0)</f>
        <v>0</v>
      </c>
    </row>
    <row r="64" spans="1:256" x14ac:dyDescent="0.2">
      <c r="A64">
        <f>IF('Pick List'!4037:4037,"AAAAAHy+xQA=",0)</f>
        <v>0</v>
      </c>
      <c r="B64">
        <f>IF('Pick List'!4038:4038,"AAAAAHy+xQE=",0)</f>
        <v>0</v>
      </c>
      <c r="C64">
        <f>IF('Pick List'!4039:4039,"AAAAAHy+xQI=",0)</f>
        <v>0</v>
      </c>
      <c r="D64">
        <f>IF('Pick List'!4040:4040,"AAAAAHy+xQM=",0)</f>
        <v>0</v>
      </c>
      <c r="E64">
        <f>IF('Pick List'!4041:4041,"AAAAAHy+xQQ=",0)</f>
        <v>0</v>
      </c>
      <c r="F64">
        <f>IF('Pick List'!4042:4042,"AAAAAHy+xQU=",0)</f>
        <v>0</v>
      </c>
      <c r="G64">
        <f>IF('Pick List'!4043:4043,"AAAAAHy+xQY=",0)</f>
        <v>0</v>
      </c>
      <c r="H64">
        <f>IF('Pick List'!4044:4044,"AAAAAHy+xQc=",0)</f>
        <v>0</v>
      </c>
      <c r="I64">
        <f>IF('Pick List'!4045:4045,"AAAAAHy+xQg=",0)</f>
        <v>0</v>
      </c>
      <c r="J64">
        <f>IF('Pick List'!4046:4046,"AAAAAHy+xQk=",0)</f>
        <v>0</v>
      </c>
      <c r="K64">
        <f>IF('Pick List'!4047:4047,"AAAAAHy+xQo=",0)</f>
        <v>0</v>
      </c>
      <c r="L64">
        <f>IF('Pick List'!4048:4048,"AAAAAHy+xQs=",0)</f>
        <v>0</v>
      </c>
      <c r="M64">
        <f>IF('Pick List'!4049:4049,"AAAAAHy+xQw=",0)</f>
        <v>0</v>
      </c>
      <c r="N64">
        <f>IF('Pick List'!4050:4050,"AAAAAHy+xQ0=",0)</f>
        <v>0</v>
      </c>
      <c r="O64">
        <f>IF('Pick List'!4051:4051,"AAAAAHy+xQ4=",0)</f>
        <v>0</v>
      </c>
      <c r="P64">
        <f>IF('Pick List'!4052:4052,"AAAAAHy+xQ8=",0)</f>
        <v>0</v>
      </c>
      <c r="Q64">
        <f>IF('Pick List'!4053:4053,"AAAAAHy+xRA=",0)</f>
        <v>0</v>
      </c>
      <c r="R64">
        <f>IF('Pick List'!4054:4054,"AAAAAHy+xRE=",0)</f>
        <v>0</v>
      </c>
      <c r="S64">
        <f>IF('Pick List'!4055:4055,"AAAAAHy+xRI=",0)</f>
        <v>0</v>
      </c>
      <c r="T64">
        <f>IF('Pick List'!4056:4056,"AAAAAHy+xRM=",0)</f>
        <v>0</v>
      </c>
      <c r="U64">
        <f>IF('Pick List'!4057:4057,"AAAAAHy+xRQ=",0)</f>
        <v>0</v>
      </c>
      <c r="V64">
        <f>IF('Pick List'!4058:4058,"AAAAAHy+xRU=",0)</f>
        <v>0</v>
      </c>
      <c r="W64">
        <f>IF('Pick List'!4059:4059,"AAAAAHy+xRY=",0)</f>
        <v>0</v>
      </c>
      <c r="X64">
        <f>IF('Pick List'!4060:4060,"AAAAAHy+xRc=",0)</f>
        <v>0</v>
      </c>
      <c r="Y64">
        <f>IF('Pick List'!4061:4061,"AAAAAHy+xRg=",0)</f>
        <v>0</v>
      </c>
      <c r="Z64">
        <f>IF('Pick List'!4062:4062,"AAAAAHy+xRk=",0)</f>
        <v>0</v>
      </c>
      <c r="AA64">
        <f>IF('Pick List'!4063:4063,"AAAAAHy+xRo=",0)</f>
        <v>0</v>
      </c>
      <c r="AB64">
        <f>IF('Pick List'!4064:4064,"AAAAAHy+xRs=",0)</f>
        <v>0</v>
      </c>
      <c r="AC64">
        <f>IF('Pick List'!4065:4065,"AAAAAHy+xRw=",0)</f>
        <v>0</v>
      </c>
      <c r="AD64">
        <f>IF('Pick List'!4066:4066,"AAAAAHy+xR0=",0)</f>
        <v>0</v>
      </c>
      <c r="AE64">
        <f>IF('Pick List'!4067:4067,"AAAAAHy+xR4=",0)</f>
        <v>0</v>
      </c>
      <c r="AF64">
        <f>IF('Pick List'!4068:4068,"AAAAAHy+xR8=",0)</f>
        <v>0</v>
      </c>
      <c r="AG64">
        <f>IF('Pick List'!4069:4069,"AAAAAHy+xSA=",0)</f>
        <v>0</v>
      </c>
      <c r="AH64">
        <f>IF('Pick List'!4070:4070,"AAAAAHy+xSE=",0)</f>
        <v>0</v>
      </c>
      <c r="AI64">
        <f>IF('Pick List'!4071:4071,"AAAAAHy+xSI=",0)</f>
        <v>0</v>
      </c>
      <c r="AJ64">
        <f>IF('Pick List'!4072:4072,"AAAAAHy+xSM=",0)</f>
        <v>0</v>
      </c>
      <c r="AK64">
        <f>IF('Pick List'!4073:4073,"AAAAAHy+xSQ=",0)</f>
        <v>0</v>
      </c>
      <c r="AL64">
        <f>IF('Pick List'!4074:4074,"AAAAAHy+xSU=",0)</f>
        <v>0</v>
      </c>
      <c r="AM64">
        <f>IF('Pick List'!4075:4075,"AAAAAHy+xSY=",0)</f>
        <v>0</v>
      </c>
      <c r="AN64">
        <f>IF('Pick List'!4076:4076,"AAAAAHy+xSc=",0)</f>
        <v>0</v>
      </c>
      <c r="AO64">
        <f>IF('Pick List'!4077:4077,"AAAAAHy+xSg=",0)</f>
        <v>0</v>
      </c>
      <c r="AP64">
        <f>IF('Pick List'!4078:4078,"AAAAAHy+xSk=",0)</f>
        <v>0</v>
      </c>
      <c r="AQ64">
        <f>IF('Pick List'!4079:4079,"AAAAAHy+xSo=",0)</f>
        <v>0</v>
      </c>
      <c r="AR64">
        <f>IF('Pick List'!4080:4080,"AAAAAHy+xSs=",0)</f>
        <v>0</v>
      </c>
      <c r="AS64">
        <f>IF('Pick List'!4081:4081,"AAAAAHy+xSw=",0)</f>
        <v>0</v>
      </c>
      <c r="AT64">
        <f>IF('Pick List'!4082:4082,"AAAAAHy+xS0=",0)</f>
        <v>0</v>
      </c>
      <c r="AU64">
        <f>IF('Pick List'!4083:4083,"AAAAAHy+xS4=",0)</f>
        <v>0</v>
      </c>
      <c r="AV64">
        <f>IF('Pick List'!4084:4084,"AAAAAHy+xS8=",0)</f>
        <v>0</v>
      </c>
      <c r="AW64">
        <f>IF('Pick List'!4085:4085,"AAAAAHy+xTA=",0)</f>
        <v>0</v>
      </c>
      <c r="AX64">
        <f>IF('Pick List'!4086:4086,"AAAAAHy+xTE=",0)</f>
        <v>0</v>
      </c>
      <c r="AY64">
        <f>IF('Pick List'!4087:4087,"AAAAAHy+xTI=",0)</f>
        <v>0</v>
      </c>
      <c r="AZ64">
        <f>IF('Pick List'!4088:4088,"AAAAAHy+xTM=",0)</f>
        <v>0</v>
      </c>
      <c r="BA64">
        <f>IF('Pick List'!4089:4089,"AAAAAHy+xTQ=",0)</f>
        <v>0</v>
      </c>
      <c r="BB64">
        <f>IF('Pick List'!4090:4090,"AAAAAHy+xTU=",0)</f>
        <v>0</v>
      </c>
      <c r="BC64">
        <f>IF('Pick List'!4091:4091,"AAAAAHy+xTY=",0)</f>
        <v>0</v>
      </c>
      <c r="BD64">
        <f>IF('Pick List'!4092:4092,"AAAAAHy+xTc=",0)</f>
        <v>0</v>
      </c>
      <c r="BE64">
        <f>IF('Pick List'!4093:4093,"AAAAAHy+xTg=",0)</f>
        <v>0</v>
      </c>
      <c r="BF64">
        <f>IF('Pick List'!4094:4094,"AAAAAHy+xTk=",0)</f>
        <v>0</v>
      </c>
      <c r="BG64">
        <f>IF('Pick List'!4095:4095,"AAAAAHy+xTo=",0)</f>
        <v>0</v>
      </c>
      <c r="BH64">
        <f>IF('Pick List'!4096:4096,"AAAAAHy+xTs=",0)</f>
        <v>0</v>
      </c>
      <c r="BI64">
        <f>IF('Pick List'!4097:4097,"AAAAAHy+xTw=",0)</f>
        <v>0</v>
      </c>
      <c r="BJ64">
        <f>IF('Pick List'!4098:4098,"AAAAAHy+xT0=",0)</f>
        <v>0</v>
      </c>
      <c r="BK64">
        <f>IF('Pick List'!4099:4099,"AAAAAHy+xT4=",0)</f>
        <v>0</v>
      </c>
      <c r="BL64">
        <f>IF('Pick List'!4100:4100,"AAAAAHy+xT8=",0)</f>
        <v>0</v>
      </c>
      <c r="BM64">
        <f>IF('Pick List'!4101:4101,"AAAAAHy+xUA=",0)</f>
        <v>0</v>
      </c>
      <c r="BN64">
        <f>IF('Pick List'!4102:4102,"AAAAAHy+xUE=",0)</f>
        <v>0</v>
      </c>
      <c r="BO64">
        <f>IF('Pick List'!4103:4103,"AAAAAHy+xUI=",0)</f>
        <v>0</v>
      </c>
      <c r="BP64">
        <f>IF('Pick List'!4104:4104,"AAAAAHy+xUM=",0)</f>
        <v>0</v>
      </c>
      <c r="BQ64">
        <f>IF('Pick List'!4105:4105,"AAAAAHy+xUQ=",0)</f>
        <v>0</v>
      </c>
      <c r="BR64">
        <f>IF('Pick List'!4106:4106,"AAAAAHy+xUU=",0)</f>
        <v>0</v>
      </c>
      <c r="BS64">
        <f>IF('Pick List'!4107:4107,"AAAAAHy+xUY=",0)</f>
        <v>0</v>
      </c>
      <c r="BT64">
        <f>IF('Pick List'!4108:4108,"AAAAAHy+xUc=",0)</f>
        <v>0</v>
      </c>
      <c r="BU64">
        <f>IF('Pick List'!4109:4109,"AAAAAHy+xUg=",0)</f>
        <v>0</v>
      </c>
      <c r="BV64">
        <f>IF('Pick List'!4110:4110,"AAAAAHy+xUk=",0)</f>
        <v>0</v>
      </c>
      <c r="BW64">
        <f>IF('Pick List'!4111:4111,"AAAAAHy+xUo=",0)</f>
        <v>0</v>
      </c>
      <c r="BX64">
        <f>IF('Pick List'!4112:4112,"AAAAAHy+xUs=",0)</f>
        <v>0</v>
      </c>
      <c r="BY64">
        <f>IF('Pick List'!4113:4113,"AAAAAHy+xUw=",0)</f>
        <v>0</v>
      </c>
      <c r="BZ64">
        <f>IF('Pick List'!4114:4114,"AAAAAHy+xU0=",0)</f>
        <v>0</v>
      </c>
      <c r="CA64">
        <f>IF('Pick List'!4115:4115,"AAAAAHy+xU4=",0)</f>
        <v>0</v>
      </c>
      <c r="CB64">
        <f>IF('Pick List'!4116:4116,"AAAAAHy+xU8=",0)</f>
        <v>0</v>
      </c>
      <c r="CC64">
        <f>IF('Pick List'!4117:4117,"AAAAAHy+xVA=",0)</f>
        <v>0</v>
      </c>
      <c r="CD64">
        <f>IF('Pick List'!4118:4118,"AAAAAHy+xVE=",0)</f>
        <v>0</v>
      </c>
      <c r="CE64">
        <f>IF('Pick List'!4119:4119,"AAAAAHy+xVI=",0)</f>
        <v>0</v>
      </c>
      <c r="CF64">
        <f>IF('Pick List'!4120:4120,"AAAAAHy+xVM=",0)</f>
        <v>0</v>
      </c>
      <c r="CG64">
        <f>IF('Pick List'!4121:4121,"AAAAAHy+xVQ=",0)</f>
        <v>0</v>
      </c>
      <c r="CH64">
        <f>IF('Pick List'!4122:4122,"AAAAAHy+xVU=",0)</f>
        <v>0</v>
      </c>
      <c r="CI64">
        <f>IF('Pick List'!4123:4123,"AAAAAHy+xVY=",0)</f>
        <v>0</v>
      </c>
      <c r="CJ64">
        <f>IF('Pick List'!4124:4124,"AAAAAHy+xVc=",0)</f>
        <v>0</v>
      </c>
      <c r="CK64">
        <f>IF('Pick List'!4125:4125,"AAAAAHy+xVg=",0)</f>
        <v>0</v>
      </c>
      <c r="CL64">
        <f>IF('Pick List'!4126:4126,"AAAAAHy+xVk=",0)</f>
        <v>0</v>
      </c>
      <c r="CM64">
        <f>IF('Pick List'!4127:4127,"AAAAAHy+xVo=",0)</f>
        <v>0</v>
      </c>
      <c r="CN64">
        <f>IF('Pick List'!4128:4128,"AAAAAHy+xVs=",0)</f>
        <v>0</v>
      </c>
      <c r="CO64">
        <f>IF('Pick List'!4129:4129,"AAAAAHy+xVw=",0)</f>
        <v>0</v>
      </c>
      <c r="CP64">
        <f>IF('Pick List'!4130:4130,"AAAAAHy+xV0=",0)</f>
        <v>0</v>
      </c>
      <c r="CQ64">
        <f>IF('Pick List'!4131:4131,"AAAAAHy+xV4=",0)</f>
        <v>0</v>
      </c>
      <c r="CR64">
        <f>IF('Pick List'!4132:4132,"AAAAAHy+xV8=",0)</f>
        <v>0</v>
      </c>
      <c r="CS64">
        <f>IF('Pick List'!4133:4133,"AAAAAHy+xWA=",0)</f>
        <v>0</v>
      </c>
      <c r="CT64">
        <f>IF('Pick List'!4134:4134,"AAAAAHy+xWE=",0)</f>
        <v>0</v>
      </c>
      <c r="CU64">
        <f>IF('Pick List'!4135:4135,"AAAAAHy+xWI=",0)</f>
        <v>0</v>
      </c>
      <c r="CV64">
        <f>IF('Pick List'!4136:4136,"AAAAAHy+xWM=",0)</f>
        <v>0</v>
      </c>
      <c r="CW64">
        <f>IF('Pick List'!4137:4137,"AAAAAHy+xWQ=",0)</f>
        <v>0</v>
      </c>
      <c r="CX64">
        <f>IF('Pick List'!4138:4138,"AAAAAHy+xWU=",0)</f>
        <v>0</v>
      </c>
      <c r="CY64">
        <f>IF('Pick List'!4139:4139,"AAAAAHy+xWY=",0)</f>
        <v>0</v>
      </c>
      <c r="CZ64">
        <f>IF('Pick List'!4140:4140,"AAAAAHy+xWc=",0)</f>
        <v>0</v>
      </c>
      <c r="DA64">
        <f>IF('Pick List'!4141:4141,"AAAAAHy+xWg=",0)</f>
        <v>0</v>
      </c>
      <c r="DB64">
        <f>IF('Pick List'!4142:4142,"AAAAAHy+xWk=",0)</f>
        <v>0</v>
      </c>
      <c r="DC64">
        <f>IF('Pick List'!4143:4143,"AAAAAHy+xWo=",0)</f>
        <v>0</v>
      </c>
      <c r="DD64">
        <f>IF('Pick List'!4144:4144,"AAAAAHy+xWs=",0)</f>
        <v>0</v>
      </c>
      <c r="DE64">
        <f>IF('Pick List'!4145:4145,"AAAAAHy+xWw=",0)</f>
        <v>0</v>
      </c>
      <c r="DF64">
        <f>IF('Pick List'!4146:4146,"AAAAAHy+xW0=",0)</f>
        <v>0</v>
      </c>
      <c r="DG64">
        <f>IF('Pick List'!4147:4147,"AAAAAHy+xW4=",0)</f>
        <v>0</v>
      </c>
      <c r="DH64">
        <f>IF('Pick List'!4148:4148,"AAAAAHy+xW8=",0)</f>
        <v>0</v>
      </c>
      <c r="DI64">
        <f>IF('Pick List'!4149:4149,"AAAAAHy+xXA=",0)</f>
        <v>0</v>
      </c>
      <c r="DJ64">
        <f>IF('Pick List'!4150:4150,"AAAAAHy+xXE=",0)</f>
        <v>0</v>
      </c>
      <c r="DK64">
        <f>IF('Pick List'!4151:4151,"AAAAAHy+xXI=",0)</f>
        <v>0</v>
      </c>
      <c r="DL64">
        <f>IF('Pick List'!4152:4152,"AAAAAHy+xXM=",0)</f>
        <v>0</v>
      </c>
      <c r="DM64">
        <f>IF('Pick List'!4153:4153,"AAAAAHy+xXQ=",0)</f>
        <v>0</v>
      </c>
      <c r="DN64">
        <f>IF('Pick List'!4154:4154,"AAAAAHy+xXU=",0)</f>
        <v>0</v>
      </c>
      <c r="DO64">
        <f>IF('Pick List'!4155:4155,"AAAAAHy+xXY=",0)</f>
        <v>0</v>
      </c>
      <c r="DP64">
        <f>IF('Pick List'!4156:4156,"AAAAAHy+xXc=",0)</f>
        <v>0</v>
      </c>
      <c r="DQ64">
        <f>IF('Pick List'!4157:4157,"AAAAAHy+xXg=",0)</f>
        <v>0</v>
      </c>
      <c r="DR64">
        <f>IF('Pick List'!4158:4158,"AAAAAHy+xXk=",0)</f>
        <v>0</v>
      </c>
      <c r="DS64">
        <f>IF('Pick List'!4159:4159,"AAAAAHy+xXo=",0)</f>
        <v>0</v>
      </c>
      <c r="DT64">
        <f>IF('Pick List'!4160:4160,"AAAAAHy+xXs=",0)</f>
        <v>0</v>
      </c>
      <c r="DU64">
        <f>IF('Pick List'!4161:4161,"AAAAAHy+xXw=",0)</f>
        <v>0</v>
      </c>
      <c r="DV64">
        <f>IF('Pick List'!4162:4162,"AAAAAHy+xX0=",0)</f>
        <v>0</v>
      </c>
      <c r="DW64">
        <f>IF('Pick List'!4163:4163,"AAAAAHy+xX4=",0)</f>
        <v>0</v>
      </c>
      <c r="DX64">
        <f>IF('Pick List'!4164:4164,"AAAAAHy+xX8=",0)</f>
        <v>0</v>
      </c>
      <c r="DY64">
        <f>IF('Pick List'!4165:4165,"AAAAAHy+xYA=",0)</f>
        <v>0</v>
      </c>
      <c r="DZ64">
        <f>IF('Pick List'!4166:4166,"AAAAAHy+xYE=",0)</f>
        <v>0</v>
      </c>
      <c r="EA64">
        <f>IF('Pick List'!4167:4167,"AAAAAHy+xYI=",0)</f>
        <v>0</v>
      </c>
      <c r="EB64">
        <f>IF('Pick List'!4168:4168,"AAAAAHy+xYM=",0)</f>
        <v>0</v>
      </c>
      <c r="EC64">
        <f>IF('Pick List'!4169:4169,"AAAAAHy+xYQ=",0)</f>
        <v>0</v>
      </c>
      <c r="ED64">
        <f>IF('Pick List'!4170:4170,"AAAAAHy+xYU=",0)</f>
        <v>0</v>
      </c>
      <c r="EE64">
        <f>IF('Pick List'!4171:4171,"AAAAAHy+xYY=",0)</f>
        <v>0</v>
      </c>
      <c r="EF64">
        <f>IF('Pick List'!4172:4172,"AAAAAHy+xYc=",0)</f>
        <v>0</v>
      </c>
      <c r="EG64">
        <f>IF('Pick List'!4173:4173,"AAAAAHy+xYg=",0)</f>
        <v>0</v>
      </c>
      <c r="EH64">
        <f>IF('Pick List'!4174:4174,"AAAAAHy+xYk=",0)</f>
        <v>0</v>
      </c>
      <c r="EI64">
        <f>IF('Pick List'!4175:4175,"AAAAAHy+xYo=",0)</f>
        <v>0</v>
      </c>
      <c r="EJ64">
        <f>IF('Pick List'!4176:4176,"AAAAAHy+xYs=",0)</f>
        <v>0</v>
      </c>
      <c r="EK64">
        <f>IF('Pick List'!4177:4177,"AAAAAHy+xYw=",0)</f>
        <v>0</v>
      </c>
      <c r="EL64">
        <f>IF('Pick List'!4178:4178,"AAAAAHy+xY0=",0)</f>
        <v>0</v>
      </c>
      <c r="EM64">
        <f>IF('Pick List'!4179:4179,"AAAAAHy+xY4=",0)</f>
        <v>0</v>
      </c>
      <c r="EN64">
        <f>IF('Pick List'!4180:4180,"AAAAAHy+xY8=",0)</f>
        <v>0</v>
      </c>
      <c r="EO64">
        <f>IF('Pick List'!4181:4181,"AAAAAHy+xZA=",0)</f>
        <v>0</v>
      </c>
      <c r="EP64">
        <f>IF('Pick List'!4182:4182,"AAAAAHy+xZE=",0)</f>
        <v>0</v>
      </c>
      <c r="EQ64">
        <f>IF('Pick List'!4183:4183,"AAAAAHy+xZI=",0)</f>
        <v>0</v>
      </c>
      <c r="ER64">
        <f>IF('Pick List'!4184:4184,"AAAAAHy+xZM=",0)</f>
        <v>0</v>
      </c>
      <c r="ES64">
        <f>IF('Pick List'!4185:4185,"AAAAAHy+xZQ=",0)</f>
        <v>0</v>
      </c>
      <c r="ET64">
        <f>IF('Pick List'!4186:4186,"AAAAAHy+xZU=",0)</f>
        <v>0</v>
      </c>
      <c r="EU64">
        <f>IF('Pick List'!4187:4187,"AAAAAHy+xZY=",0)</f>
        <v>0</v>
      </c>
      <c r="EV64">
        <f>IF('Pick List'!4188:4188,"AAAAAHy+xZc=",0)</f>
        <v>0</v>
      </c>
      <c r="EW64">
        <f>IF('Pick List'!4189:4189,"AAAAAHy+xZg=",0)</f>
        <v>0</v>
      </c>
      <c r="EX64">
        <f>IF('Pick List'!4190:4190,"AAAAAHy+xZk=",0)</f>
        <v>0</v>
      </c>
      <c r="EY64">
        <f>IF('Pick List'!4191:4191,"AAAAAHy+xZo=",0)</f>
        <v>0</v>
      </c>
      <c r="EZ64">
        <f>IF('Pick List'!4192:4192,"AAAAAHy+xZs=",0)</f>
        <v>0</v>
      </c>
      <c r="FA64">
        <f>IF('Pick List'!4193:4193,"AAAAAHy+xZw=",0)</f>
        <v>0</v>
      </c>
      <c r="FB64">
        <f>IF('Pick List'!4194:4194,"AAAAAHy+xZ0=",0)</f>
        <v>0</v>
      </c>
      <c r="FC64">
        <f>IF('Pick List'!4195:4195,"AAAAAHy+xZ4=",0)</f>
        <v>0</v>
      </c>
      <c r="FD64">
        <f>IF('Pick List'!4196:4196,"AAAAAHy+xZ8=",0)</f>
        <v>0</v>
      </c>
      <c r="FE64">
        <f>IF('Pick List'!4197:4197,"AAAAAHy+xaA=",0)</f>
        <v>0</v>
      </c>
      <c r="FF64">
        <f>IF('Pick List'!4198:4198,"AAAAAHy+xaE=",0)</f>
        <v>0</v>
      </c>
      <c r="FG64">
        <f>IF('Pick List'!4199:4199,"AAAAAHy+xaI=",0)</f>
        <v>0</v>
      </c>
      <c r="FH64">
        <f>IF('Pick List'!4200:4200,"AAAAAHy+xaM=",0)</f>
        <v>0</v>
      </c>
      <c r="FI64">
        <f>IF('Pick List'!4201:4201,"AAAAAHy+xaQ=",0)</f>
        <v>0</v>
      </c>
      <c r="FJ64">
        <f>IF('Pick List'!4202:4202,"AAAAAHy+xaU=",0)</f>
        <v>0</v>
      </c>
      <c r="FK64">
        <f>IF('Pick List'!4203:4203,"AAAAAHy+xaY=",0)</f>
        <v>0</v>
      </c>
      <c r="FL64">
        <f>IF('Pick List'!4204:4204,"AAAAAHy+xac=",0)</f>
        <v>0</v>
      </c>
      <c r="FM64">
        <f>IF('Pick List'!4205:4205,"AAAAAHy+xag=",0)</f>
        <v>0</v>
      </c>
      <c r="FN64">
        <f>IF('Pick List'!4206:4206,"AAAAAHy+xak=",0)</f>
        <v>0</v>
      </c>
      <c r="FO64">
        <f>IF('Pick List'!4207:4207,"AAAAAHy+xao=",0)</f>
        <v>0</v>
      </c>
      <c r="FP64">
        <f>IF('Pick List'!4208:4208,"AAAAAHy+xas=",0)</f>
        <v>0</v>
      </c>
      <c r="FQ64">
        <f>IF('Pick List'!4209:4209,"AAAAAHy+xaw=",0)</f>
        <v>0</v>
      </c>
      <c r="FR64">
        <f>IF('Pick List'!4210:4210,"AAAAAHy+xa0=",0)</f>
        <v>0</v>
      </c>
      <c r="FS64">
        <f>IF('Pick List'!4211:4211,"AAAAAHy+xa4=",0)</f>
        <v>0</v>
      </c>
      <c r="FT64">
        <f>IF('Pick List'!4212:4212,"AAAAAHy+xa8=",0)</f>
        <v>0</v>
      </c>
      <c r="FU64">
        <f>IF('Pick List'!4213:4213,"AAAAAHy+xbA=",0)</f>
        <v>0</v>
      </c>
      <c r="FV64">
        <f>IF('Pick List'!4214:4214,"AAAAAHy+xbE=",0)</f>
        <v>0</v>
      </c>
      <c r="FW64">
        <f>IF('Pick List'!4215:4215,"AAAAAHy+xbI=",0)</f>
        <v>0</v>
      </c>
      <c r="FX64">
        <f>IF('Pick List'!4216:4216,"AAAAAHy+xbM=",0)</f>
        <v>0</v>
      </c>
      <c r="FY64">
        <f>IF('Pick List'!4217:4217,"AAAAAHy+xbQ=",0)</f>
        <v>0</v>
      </c>
      <c r="FZ64">
        <f>IF('Pick List'!4218:4218,"AAAAAHy+xbU=",0)</f>
        <v>0</v>
      </c>
      <c r="GA64">
        <f>IF('Pick List'!4219:4219,"AAAAAHy+xbY=",0)</f>
        <v>0</v>
      </c>
      <c r="GB64">
        <f>IF('Pick List'!4220:4220,"AAAAAHy+xbc=",0)</f>
        <v>0</v>
      </c>
      <c r="GC64">
        <f>IF('Pick List'!4221:4221,"AAAAAHy+xbg=",0)</f>
        <v>0</v>
      </c>
      <c r="GD64">
        <f>IF('Pick List'!4222:4222,"AAAAAHy+xbk=",0)</f>
        <v>0</v>
      </c>
      <c r="GE64">
        <f>IF('Pick List'!4223:4223,"AAAAAHy+xbo=",0)</f>
        <v>0</v>
      </c>
      <c r="GF64">
        <f>IF('Pick List'!4224:4224,"AAAAAHy+xbs=",0)</f>
        <v>0</v>
      </c>
      <c r="GG64">
        <f>IF('Pick List'!4225:4225,"AAAAAHy+xbw=",0)</f>
        <v>0</v>
      </c>
      <c r="GH64">
        <f>IF('Pick List'!4226:4226,"AAAAAHy+xb0=",0)</f>
        <v>0</v>
      </c>
      <c r="GI64">
        <f>IF('Pick List'!4227:4227,"AAAAAHy+xb4=",0)</f>
        <v>0</v>
      </c>
      <c r="GJ64">
        <f>IF('Pick List'!4228:4228,"AAAAAHy+xb8=",0)</f>
        <v>0</v>
      </c>
      <c r="GK64">
        <f>IF('Pick List'!4229:4229,"AAAAAHy+xcA=",0)</f>
        <v>0</v>
      </c>
      <c r="GL64">
        <f>IF('Pick List'!4230:4230,"AAAAAHy+xcE=",0)</f>
        <v>0</v>
      </c>
      <c r="GM64">
        <f>IF('Pick List'!4231:4231,"AAAAAHy+xcI=",0)</f>
        <v>0</v>
      </c>
      <c r="GN64">
        <f>IF('Pick List'!4232:4232,"AAAAAHy+xcM=",0)</f>
        <v>0</v>
      </c>
      <c r="GO64">
        <f>IF('Pick List'!4233:4233,"AAAAAHy+xcQ=",0)</f>
        <v>0</v>
      </c>
      <c r="GP64">
        <f>IF('Pick List'!4234:4234,"AAAAAHy+xcU=",0)</f>
        <v>0</v>
      </c>
      <c r="GQ64">
        <f>IF('Pick List'!4235:4235,"AAAAAHy+xcY=",0)</f>
        <v>0</v>
      </c>
      <c r="GR64">
        <f>IF('Pick List'!4236:4236,"AAAAAHy+xcc=",0)</f>
        <v>0</v>
      </c>
      <c r="GS64">
        <f>IF('Pick List'!4237:4237,"AAAAAHy+xcg=",0)</f>
        <v>0</v>
      </c>
      <c r="GT64">
        <f>IF('Pick List'!4238:4238,"AAAAAHy+xck=",0)</f>
        <v>0</v>
      </c>
      <c r="GU64">
        <f>IF('Pick List'!4239:4239,"AAAAAHy+xco=",0)</f>
        <v>0</v>
      </c>
      <c r="GV64">
        <f>IF('Pick List'!4240:4240,"AAAAAHy+xcs=",0)</f>
        <v>0</v>
      </c>
      <c r="GW64">
        <f>IF('Pick List'!4241:4241,"AAAAAHy+xcw=",0)</f>
        <v>0</v>
      </c>
      <c r="GX64">
        <f>IF('Pick List'!4242:4242,"AAAAAHy+xc0=",0)</f>
        <v>0</v>
      </c>
      <c r="GY64">
        <f>IF('Pick List'!4243:4243,"AAAAAHy+xc4=",0)</f>
        <v>0</v>
      </c>
      <c r="GZ64">
        <f>IF('Pick List'!4244:4244,"AAAAAHy+xc8=",0)</f>
        <v>0</v>
      </c>
      <c r="HA64">
        <f>IF('Pick List'!4245:4245,"AAAAAHy+xdA=",0)</f>
        <v>0</v>
      </c>
      <c r="HB64">
        <f>IF('Pick List'!4246:4246,"AAAAAHy+xdE=",0)</f>
        <v>0</v>
      </c>
      <c r="HC64">
        <f>IF('Pick List'!4247:4247,"AAAAAHy+xdI=",0)</f>
        <v>0</v>
      </c>
      <c r="HD64">
        <f>IF('Pick List'!4248:4248,"AAAAAHy+xdM=",0)</f>
        <v>0</v>
      </c>
      <c r="HE64">
        <f>IF('Pick List'!4249:4249,"AAAAAHy+xdQ=",0)</f>
        <v>0</v>
      </c>
      <c r="HF64">
        <f>IF('Pick List'!4250:4250,"AAAAAHy+xdU=",0)</f>
        <v>0</v>
      </c>
      <c r="HG64">
        <f>IF('Pick List'!4251:4251,"AAAAAHy+xdY=",0)</f>
        <v>0</v>
      </c>
      <c r="HH64">
        <f>IF('Pick List'!4252:4252,"AAAAAHy+xdc=",0)</f>
        <v>0</v>
      </c>
      <c r="HI64">
        <f>IF('Pick List'!4253:4253,"AAAAAHy+xdg=",0)</f>
        <v>0</v>
      </c>
      <c r="HJ64">
        <f>IF('Pick List'!4254:4254,"AAAAAHy+xdk=",0)</f>
        <v>0</v>
      </c>
      <c r="HK64">
        <f>IF('Pick List'!4255:4255,"AAAAAHy+xdo=",0)</f>
        <v>0</v>
      </c>
      <c r="HL64">
        <f>IF('Pick List'!4256:4256,"AAAAAHy+xds=",0)</f>
        <v>0</v>
      </c>
      <c r="HM64">
        <f>IF('Pick List'!4257:4257,"AAAAAHy+xdw=",0)</f>
        <v>0</v>
      </c>
      <c r="HN64">
        <f>IF('Pick List'!4258:4258,"AAAAAHy+xd0=",0)</f>
        <v>0</v>
      </c>
      <c r="HO64">
        <f>IF('Pick List'!4259:4259,"AAAAAHy+xd4=",0)</f>
        <v>0</v>
      </c>
      <c r="HP64">
        <f>IF('Pick List'!4260:4260,"AAAAAHy+xd8=",0)</f>
        <v>0</v>
      </c>
      <c r="HQ64">
        <f>IF('Pick List'!4261:4261,"AAAAAHy+xeA=",0)</f>
        <v>0</v>
      </c>
      <c r="HR64">
        <f>IF('Pick List'!4262:4262,"AAAAAHy+xeE=",0)</f>
        <v>0</v>
      </c>
      <c r="HS64">
        <f>IF('Pick List'!4263:4263,"AAAAAHy+xeI=",0)</f>
        <v>0</v>
      </c>
      <c r="HT64">
        <f>IF('Pick List'!4264:4264,"AAAAAHy+xeM=",0)</f>
        <v>0</v>
      </c>
      <c r="HU64">
        <f>IF('Pick List'!4265:4265,"AAAAAHy+xeQ=",0)</f>
        <v>0</v>
      </c>
      <c r="HV64">
        <f>IF('Pick List'!4266:4266,"AAAAAHy+xeU=",0)</f>
        <v>0</v>
      </c>
      <c r="HW64">
        <f>IF('Pick List'!4267:4267,"AAAAAHy+xeY=",0)</f>
        <v>0</v>
      </c>
      <c r="HX64">
        <f>IF('Pick List'!4268:4268,"AAAAAHy+xec=",0)</f>
        <v>0</v>
      </c>
      <c r="HY64">
        <f>IF('Pick List'!4269:4269,"AAAAAHy+xeg=",0)</f>
        <v>0</v>
      </c>
      <c r="HZ64">
        <f>IF('Pick List'!4270:4270,"AAAAAHy+xek=",0)</f>
        <v>0</v>
      </c>
      <c r="IA64">
        <f>IF('Pick List'!4271:4271,"AAAAAHy+xeo=",0)</f>
        <v>0</v>
      </c>
      <c r="IB64">
        <f>IF('Pick List'!4272:4272,"AAAAAHy+xes=",0)</f>
        <v>0</v>
      </c>
      <c r="IC64">
        <f>IF('Pick List'!4273:4273,"AAAAAHy+xew=",0)</f>
        <v>0</v>
      </c>
      <c r="ID64">
        <f>IF('Pick List'!4274:4274,"AAAAAHy+xe0=",0)</f>
        <v>0</v>
      </c>
      <c r="IE64">
        <f>IF('Pick List'!4275:4275,"AAAAAHy+xe4=",0)</f>
        <v>0</v>
      </c>
      <c r="IF64">
        <f>IF('Pick List'!4276:4276,"AAAAAHy+xe8=",0)</f>
        <v>0</v>
      </c>
      <c r="IG64">
        <f>IF('Pick List'!4277:4277,"AAAAAHy+xfA=",0)</f>
        <v>0</v>
      </c>
      <c r="IH64">
        <f>IF('Pick List'!4278:4278,"AAAAAHy+xfE=",0)</f>
        <v>0</v>
      </c>
      <c r="II64">
        <f>IF('Pick List'!4279:4279,"AAAAAHy+xfI=",0)</f>
        <v>0</v>
      </c>
      <c r="IJ64">
        <f>IF('Pick List'!4280:4280,"AAAAAHy+xfM=",0)</f>
        <v>0</v>
      </c>
      <c r="IK64">
        <f>IF('Pick List'!4281:4281,"AAAAAHy+xfQ=",0)</f>
        <v>0</v>
      </c>
      <c r="IL64">
        <f>IF('Pick List'!4282:4282,"AAAAAHy+xfU=",0)</f>
        <v>0</v>
      </c>
      <c r="IM64">
        <f>IF('Pick List'!4283:4283,"AAAAAHy+xfY=",0)</f>
        <v>0</v>
      </c>
      <c r="IN64">
        <f>IF('Pick List'!4284:4284,"AAAAAHy+xfc=",0)</f>
        <v>0</v>
      </c>
      <c r="IO64">
        <f>IF('Pick List'!4285:4285,"AAAAAHy+xfg=",0)</f>
        <v>0</v>
      </c>
      <c r="IP64">
        <f>IF('Pick List'!4286:4286,"AAAAAHy+xfk=",0)</f>
        <v>0</v>
      </c>
      <c r="IQ64">
        <f>IF('Pick List'!4287:4287,"AAAAAHy+xfo=",0)</f>
        <v>0</v>
      </c>
      <c r="IR64">
        <f>IF('Pick List'!4288:4288,"AAAAAHy+xfs=",0)</f>
        <v>0</v>
      </c>
      <c r="IS64">
        <f>IF('Pick List'!4289:4289,"AAAAAHy+xfw=",0)</f>
        <v>0</v>
      </c>
      <c r="IT64">
        <f>IF('Pick List'!4290:4290,"AAAAAHy+xf0=",0)</f>
        <v>0</v>
      </c>
      <c r="IU64">
        <f>IF('Pick List'!4291:4291,"AAAAAHy+xf4=",0)</f>
        <v>0</v>
      </c>
      <c r="IV64">
        <f>IF('Pick List'!4292:4292,"AAAAAHy+xf8=",0)</f>
        <v>0</v>
      </c>
    </row>
    <row r="65" spans="1:256" x14ac:dyDescent="0.2">
      <c r="A65">
        <f>IF('Pick List'!4293:4293,"AAAAAF/P9wA=",0)</f>
        <v>0</v>
      </c>
      <c r="B65">
        <f>IF('Pick List'!4294:4294,"AAAAAF/P9wE=",0)</f>
        <v>0</v>
      </c>
      <c r="C65">
        <f>IF('Pick List'!4295:4295,"AAAAAF/P9wI=",0)</f>
        <v>0</v>
      </c>
      <c r="D65">
        <f>IF('Pick List'!4296:4296,"AAAAAF/P9wM=",0)</f>
        <v>0</v>
      </c>
      <c r="E65">
        <f>IF('Pick List'!4297:4297,"AAAAAF/P9wQ=",0)</f>
        <v>0</v>
      </c>
      <c r="F65">
        <f>IF('Pick List'!4298:4298,"AAAAAF/P9wU=",0)</f>
        <v>0</v>
      </c>
      <c r="G65">
        <f>IF('Pick List'!4299:4299,"AAAAAF/P9wY=",0)</f>
        <v>0</v>
      </c>
      <c r="H65">
        <f>IF('Pick List'!4300:4300,"AAAAAF/P9wc=",0)</f>
        <v>0</v>
      </c>
      <c r="I65">
        <f>IF('Pick List'!4301:4301,"AAAAAF/P9wg=",0)</f>
        <v>0</v>
      </c>
      <c r="J65">
        <f>IF('Pick List'!4302:4302,"AAAAAF/P9wk=",0)</f>
        <v>0</v>
      </c>
      <c r="K65">
        <f>IF('Pick List'!4303:4303,"AAAAAF/P9wo=",0)</f>
        <v>0</v>
      </c>
      <c r="L65">
        <f>IF('Pick List'!4304:4304,"AAAAAF/P9ws=",0)</f>
        <v>0</v>
      </c>
      <c r="M65">
        <f>IF('Pick List'!4305:4305,"AAAAAF/P9ww=",0)</f>
        <v>0</v>
      </c>
      <c r="N65">
        <f>IF('Pick List'!4306:4306,"AAAAAF/P9w0=",0)</f>
        <v>0</v>
      </c>
      <c r="O65">
        <f>IF('Pick List'!4307:4307,"AAAAAF/P9w4=",0)</f>
        <v>0</v>
      </c>
      <c r="P65">
        <f>IF('Pick List'!4308:4308,"AAAAAF/P9w8=",0)</f>
        <v>0</v>
      </c>
      <c r="Q65">
        <f>IF('Pick List'!4309:4309,"AAAAAF/P9xA=",0)</f>
        <v>0</v>
      </c>
      <c r="R65">
        <f>IF('Pick List'!4310:4310,"AAAAAF/P9xE=",0)</f>
        <v>0</v>
      </c>
      <c r="S65">
        <f>IF('Pick List'!4311:4311,"AAAAAF/P9xI=",0)</f>
        <v>0</v>
      </c>
      <c r="T65">
        <f>IF('Pick List'!4312:4312,"AAAAAF/P9xM=",0)</f>
        <v>0</v>
      </c>
      <c r="U65">
        <f>IF('Pick List'!4313:4313,"AAAAAF/P9xQ=",0)</f>
        <v>0</v>
      </c>
      <c r="V65">
        <f>IF('Pick List'!4314:4314,"AAAAAF/P9xU=",0)</f>
        <v>0</v>
      </c>
      <c r="W65">
        <f>IF('Pick List'!4315:4315,"AAAAAF/P9xY=",0)</f>
        <v>0</v>
      </c>
      <c r="X65">
        <f>IF('Pick List'!4316:4316,"AAAAAF/P9xc=",0)</f>
        <v>0</v>
      </c>
      <c r="Y65">
        <f>IF('Pick List'!4317:4317,"AAAAAF/P9xg=",0)</f>
        <v>0</v>
      </c>
      <c r="Z65">
        <f>IF('Pick List'!4318:4318,"AAAAAF/P9xk=",0)</f>
        <v>0</v>
      </c>
      <c r="AA65">
        <f>IF('Pick List'!4319:4319,"AAAAAF/P9xo=",0)</f>
        <v>0</v>
      </c>
      <c r="AB65">
        <f>IF('Pick List'!4320:4320,"AAAAAF/P9xs=",0)</f>
        <v>0</v>
      </c>
      <c r="AC65">
        <f>IF('Pick List'!4321:4321,"AAAAAF/P9xw=",0)</f>
        <v>0</v>
      </c>
      <c r="AD65">
        <f>IF('Pick List'!4322:4322,"AAAAAF/P9x0=",0)</f>
        <v>0</v>
      </c>
      <c r="AE65">
        <f>IF('Pick List'!4323:4323,"AAAAAF/P9x4=",0)</f>
        <v>0</v>
      </c>
      <c r="AF65">
        <f>IF('Pick List'!4324:4324,"AAAAAF/P9x8=",0)</f>
        <v>0</v>
      </c>
      <c r="AG65">
        <f>IF('Pick List'!4325:4325,"AAAAAF/P9yA=",0)</f>
        <v>0</v>
      </c>
      <c r="AH65">
        <f>IF('Pick List'!4326:4326,"AAAAAF/P9yE=",0)</f>
        <v>0</v>
      </c>
      <c r="AI65">
        <f>IF('Pick List'!4327:4327,"AAAAAF/P9yI=",0)</f>
        <v>0</v>
      </c>
      <c r="AJ65">
        <f>IF('Pick List'!4328:4328,"AAAAAF/P9yM=",0)</f>
        <v>0</v>
      </c>
      <c r="AK65">
        <f>IF('Pick List'!4329:4329,"AAAAAF/P9yQ=",0)</f>
        <v>0</v>
      </c>
      <c r="AL65">
        <f>IF('Pick List'!4330:4330,"AAAAAF/P9yU=",0)</f>
        <v>0</v>
      </c>
      <c r="AM65">
        <f>IF('Pick List'!4331:4331,"AAAAAF/P9yY=",0)</f>
        <v>0</v>
      </c>
      <c r="AN65">
        <f>IF('Pick List'!4332:4332,"AAAAAF/P9yc=",0)</f>
        <v>0</v>
      </c>
      <c r="AO65">
        <f>IF('Pick List'!4333:4333,"AAAAAF/P9yg=",0)</f>
        <v>0</v>
      </c>
      <c r="AP65">
        <f>IF('Pick List'!4334:4334,"AAAAAF/P9yk=",0)</f>
        <v>0</v>
      </c>
      <c r="AQ65">
        <f>IF('Pick List'!4335:4335,"AAAAAF/P9yo=",0)</f>
        <v>0</v>
      </c>
      <c r="AR65">
        <f>IF('Pick List'!4336:4336,"AAAAAF/P9ys=",0)</f>
        <v>0</v>
      </c>
      <c r="AS65">
        <f>IF('Pick List'!4337:4337,"AAAAAF/P9yw=",0)</f>
        <v>0</v>
      </c>
      <c r="AT65">
        <f>IF('Pick List'!4338:4338,"AAAAAF/P9y0=",0)</f>
        <v>0</v>
      </c>
      <c r="AU65">
        <f>IF('Pick List'!4339:4339,"AAAAAF/P9y4=",0)</f>
        <v>0</v>
      </c>
      <c r="AV65">
        <f>IF('Pick List'!4340:4340,"AAAAAF/P9y8=",0)</f>
        <v>0</v>
      </c>
      <c r="AW65">
        <f>IF('Pick List'!4341:4341,"AAAAAF/P9zA=",0)</f>
        <v>0</v>
      </c>
      <c r="AX65">
        <f>IF('Pick List'!4342:4342,"AAAAAF/P9zE=",0)</f>
        <v>0</v>
      </c>
      <c r="AY65">
        <f>IF('Pick List'!4343:4343,"AAAAAF/P9zI=",0)</f>
        <v>0</v>
      </c>
      <c r="AZ65">
        <f>IF('Pick List'!4344:4344,"AAAAAF/P9zM=",0)</f>
        <v>0</v>
      </c>
      <c r="BA65">
        <f>IF('Pick List'!4345:4345,"AAAAAF/P9zQ=",0)</f>
        <v>0</v>
      </c>
      <c r="BB65">
        <f>IF('Pick List'!4346:4346,"AAAAAF/P9zU=",0)</f>
        <v>0</v>
      </c>
      <c r="BC65">
        <f>IF('Pick List'!4347:4347,"AAAAAF/P9zY=",0)</f>
        <v>0</v>
      </c>
      <c r="BD65">
        <f>IF('Pick List'!4348:4348,"AAAAAF/P9zc=",0)</f>
        <v>0</v>
      </c>
      <c r="BE65">
        <f>IF('Pick List'!4349:4349,"AAAAAF/P9zg=",0)</f>
        <v>0</v>
      </c>
      <c r="BF65">
        <f>IF('Pick List'!4350:4350,"AAAAAF/P9zk=",0)</f>
        <v>0</v>
      </c>
      <c r="BG65">
        <f>IF('Pick List'!4351:4351,"AAAAAF/P9zo=",0)</f>
        <v>0</v>
      </c>
      <c r="BH65">
        <f>IF('Pick List'!4352:4352,"AAAAAF/P9zs=",0)</f>
        <v>0</v>
      </c>
      <c r="BI65">
        <f>IF('Pick List'!4353:4353,"AAAAAF/P9zw=",0)</f>
        <v>0</v>
      </c>
      <c r="BJ65">
        <f>IF('Pick List'!4354:4354,"AAAAAF/P9z0=",0)</f>
        <v>0</v>
      </c>
      <c r="BK65">
        <f>IF('Pick List'!4355:4355,"AAAAAF/P9z4=",0)</f>
        <v>0</v>
      </c>
      <c r="BL65">
        <f>IF('Pick List'!4356:4356,"AAAAAF/P9z8=",0)</f>
        <v>0</v>
      </c>
      <c r="BM65">
        <f>IF('Pick List'!4357:4357,"AAAAAF/P90A=",0)</f>
        <v>0</v>
      </c>
      <c r="BN65">
        <f>IF('Pick List'!4358:4358,"AAAAAF/P90E=",0)</f>
        <v>0</v>
      </c>
      <c r="BO65">
        <f>IF('Pick List'!4359:4359,"AAAAAF/P90I=",0)</f>
        <v>0</v>
      </c>
      <c r="BP65">
        <f>IF('Pick List'!4360:4360,"AAAAAF/P90M=",0)</f>
        <v>0</v>
      </c>
      <c r="BQ65">
        <f>IF('Pick List'!4361:4361,"AAAAAF/P90Q=",0)</f>
        <v>0</v>
      </c>
      <c r="BR65">
        <f>IF('Pick List'!4362:4362,"AAAAAF/P90U=",0)</f>
        <v>0</v>
      </c>
      <c r="BS65">
        <f>IF('Pick List'!4363:4363,"AAAAAF/P90Y=",0)</f>
        <v>0</v>
      </c>
      <c r="BT65">
        <f>IF('Pick List'!4364:4364,"AAAAAF/P90c=",0)</f>
        <v>0</v>
      </c>
      <c r="BU65">
        <f>IF('Pick List'!4365:4365,"AAAAAF/P90g=",0)</f>
        <v>0</v>
      </c>
      <c r="BV65">
        <f>IF('Pick List'!4366:4366,"AAAAAF/P90k=",0)</f>
        <v>0</v>
      </c>
      <c r="BW65">
        <f>IF('Pick List'!4367:4367,"AAAAAF/P90o=",0)</f>
        <v>0</v>
      </c>
      <c r="BX65">
        <f>IF('Pick List'!4368:4368,"AAAAAF/P90s=",0)</f>
        <v>0</v>
      </c>
      <c r="BY65">
        <f>IF('Pick List'!4369:4369,"AAAAAF/P90w=",0)</f>
        <v>0</v>
      </c>
      <c r="BZ65">
        <f>IF('Pick List'!4370:4370,"AAAAAF/P900=",0)</f>
        <v>0</v>
      </c>
      <c r="CA65">
        <f>IF('Pick List'!4371:4371,"AAAAAF/P904=",0)</f>
        <v>0</v>
      </c>
      <c r="CB65">
        <f>IF('Pick List'!4372:4372,"AAAAAF/P908=",0)</f>
        <v>0</v>
      </c>
      <c r="CC65">
        <f>IF('Pick List'!4373:4373,"AAAAAF/P91A=",0)</f>
        <v>0</v>
      </c>
      <c r="CD65">
        <f>IF('Pick List'!4374:4374,"AAAAAF/P91E=",0)</f>
        <v>0</v>
      </c>
      <c r="CE65">
        <f>IF('Pick List'!4375:4375,"AAAAAF/P91I=",0)</f>
        <v>0</v>
      </c>
      <c r="CF65">
        <f>IF('Pick List'!4376:4376,"AAAAAF/P91M=",0)</f>
        <v>0</v>
      </c>
      <c r="CG65">
        <f>IF('Pick List'!4377:4377,"AAAAAF/P91Q=",0)</f>
        <v>0</v>
      </c>
      <c r="CH65">
        <f>IF('Pick List'!4378:4378,"AAAAAF/P91U=",0)</f>
        <v>0</v>
      </c>
      <c r="CI65">
        <f>IF('Pick List'!4379:4379,"AAAAAF/P91Y=",0)</f>
        <v>0</v>
      </c>
      <c r="CJ65">
        <f>IF('Pick List'!4380:4380,"AAAAAF/P91c=",0)</f>
        <v>0</v>
      </c>
      <c r="CK65">
        <f>IF('Pick List'!4381:4381,"AAAAAF/P91g=",0)</f>
        <v>0</v>
      </c>
      <c r="CL65">
        <f>IF('Pick List'!4382:4382,"AAAAAF/P91k=",0)</f>
        <v>0</v>
      </c>
      <c r="CM65">
        <f>IF('Pick List'!4383:4383,"AAAAAF/P91o=",0)</f>
        <v>0</v>
      </c>
      <c r="CN65">
        <f>IF('Pick List'!4384:4384,"AAAAAF/P91s=",0)</f>
        <v>0</v>
      </c>
      <c r="CO65">
        <f>IF('Pick List'!4385:4385,"AAAAAF/P91w=",0)</f>
        <v>0</v>
      </c>
      <c r="CP65">
        <f>IF('Pick List'!4386:4386,"AAAAAF/P910=",0)</f>
        <v>0</v>
      </c>
      <c r="CQ65">
        <f>IF('Pick List'!4387:4387,"AAAAAF/P914=",0)</f>
        <v>0</v>
      </c>
      <c r="CR65">
        <f>IF('Pick List'!4388:4388,"AAAAAF/P918=",0)</f>
        <v>0</v>
      </c>
      <c r="CS65">
        <f>IF('Pick List'!4389:4389,"AAAAAF/P92A=",0)</f>
        <v>0</v>
      </c>
      <c r="CT65">
        <f>IF('Pick List'!4390:4390,"AAAAAF/P92E=",0)</f>
        <v>0</v>
      </c>
      <c r="CU65">
        <f>IF('Pick List'!4391:4391,"AAAAAF/P92I=",0)</f>
        <v>0</v>
      </c>
      <c r="CV65">
        <f>IF('Pick List'!4392:4392,"AAAAAF/P92M=",0)</f>
        <v>0</v>
      </c>
      <c r="CW65">
        <f>IF('Pick List'!4393:4393,"AAAAAF/P92Q=",0)</f>
        <v>0</v>
      </c>
      <c r="CX65">
        <f>IF('Pick List'!4394:4394,"AAAAAF/P92U=",0)</f>
        <v>0</v>
      </c>
      <c r="CY65">
        <f>IF('Pick List'!4395:4395,"AAAAAF/P92Y=",0)</f>
        <v>0</v>
      </c>
      <c r="CZ65">
        <f>IF('Pick List'!4396:4396,"AAAAAF/P92c=",0)</f>
        <v>0</v>
      </c>
      <c r="DA65">
        <f>IF('Pick List'!4397:4397,"AAAAAF/P92g=",0)</f>
        <v>0</v>
      </c>
      <c r="DB65">
        <f>IF('Pick List'!4398:4398,"AAAAAF/P92k=",0)</f>
        <v>0</v>
      </c>
      <c r="DC65">
        <f>IF('Pick List'!4399:4399,"AAAAAF/P92o=",0)</f>
        <v>0</v>
      </c>
      <c r="DD65">
        <f>IF('Pick List'!4400:4400,"AAAAAF/P92s=",0)</f>
        <v>0</v>
      </c>
      <c r="DE65">
        <f>IF('Pick List'!4401:4401,"AAAAAF/P92w=",0)</f>
        <v>0</v>
      </c>
      <c r="DF65">
        <f>IF('Pick List'!4402:4402,"AAAAAF/P920=",0)</f>
        <v>0</v>
      </c>
      <c r="DG65">
        <f>IF('Pick List'!4403:4403,"AAAAAF/P924=",0)</f>
        <v>0</v>
      </c>
      <c r="DH65">
        <f>IF('Pick List'!4404:4404,"AAAAAF/P928=",0)</f>
        <v>0</v>
      </c>
      <c r="DI65">
        <f>IF('Pick List'!4405:4405,"AAAAAF/P93A=",0)</f>
        <v>0</v>
      </c>
      <c r="DJ65">
        <f>IF('Pick List'!4406:4406,"AAAAAF/P93E=",0)</f>
        <v>0</v>
      </c>
      <c r="DK65">
        <f>IF('Pick List'!4407:4407,"AAAAAF/P93I=",0)</f>
        <v>0</v>
      </c>
      <c r="DL65">
        <f>IF('Pick List'!4408:4408,"AAAAAF/P93M=",0)</f>
        <v>0</v>
      </c>
      <c r="DM65">
        <f>IF('Pick List'!4409:4409,"AAAAAF/P93Q=",0)</f>
        <v>0</v>
      </c>
      <c r="DN65">
        <f>IF('Pick List'!4410:4410,"AAAAAF/P93U=",0)</f>
        <v>0</v>
      </c>
      <c r="DO65">
        <f>IF('Pick List'!4411:4411,"AAAAAF/P93Y=",0)</f>
        <v>0</v>
      </c>
      <c r="DP65">
        <f>IF('Pick List'!4412:4412,"AAAAAF/P93c=",0)</f>
        <v>0</v>
      </c>
      <c r="DQ65">
        <f>IF('Pick List'!4413:4413,"AAAAAF/P93g=",0)</f>
        <v>0</v>
      </c>
      <c r="DR65">
        <f>IF('Pick List'!4414:4414,"AAAAAF/P93k=",0)</f>
        <v>0</v>
      </c>
      <c r="DS65">
        <f>IF('Pick List'!4415:4415,"AAAAAF/P93o=",0)</f>
        <v>0</v>
      </c>
      <c r="DT65">
        <f>IF('Pick List'!4416:4416,"AAAAAF/P93s=",0)</f>
        <v>0</v>
      </c>
      <c r="DU65">
        <f>IF('Pick List'!4417:4417,"AAAAAF/P93w=",0)</f>
        <v>0</v>
      </c>
      <c r="DV65">
        <f>IF('Pick List'!4418:4418,"AAAAAF/P930=",0)</f>
        <v>0</v>
      </c>
      <c r="DW65">
        <f>IF('Pick List'!4419:4419,"AAAAAF/P934=",0)</f>
        <v>0</v>
      </c>
      <c r="DX65">
        <f>IF('Pick List'!4420:4420,"AAAAAF/P938=",0)</f>
        <v>0</v>
      </c>
      <c r="DY65">
        <f>IF('Pick List'!4421:4421,"AAAAAF/P94A=",0)</f>
        <v>0</v>
      </c>
      <c r="DZ65">
        <f>IF('Pick List'!4422:4422,"AAAAAF/P94E=",0)</f>
        <v>0</v>
      </c>
      <c r="EA65">
        <f>IF('Pick List'!4423:4423,"AAAAAF/P94I=",0)</f>
        <v>0</v>
      </c>
      <c r="EB65">
        <f>IF('Pick List'!4424:4424,"AAAAAF/P94M=",0)</f>
        <v>0</v>
      </c>
      <c r="EC65">
        <f>IF('Pick List'!4425:4425,"AAAAAF/P94Q=",0)</f>
        <v>0</v>
      </c>
      <c r="ED65">
        <f>IF('Pick List'!4426:4426,"AAAAAF/P94U=",0)</f>
        <v>0</v>
      </c>
      <c r="EE65">
        <f>IF('Pick List'!4427:4427,"AAAAAF/P94Y=",0)</f>
        <v>0</v>
      </c>
      <c r="EF65">
        <f>IF('Pick List'!4428:4428,"AAAAAF/P94c=",0)</f>
        <v>0</v>
      </c>
      <c r="EG65">
        <f>IF('Pick List'!4429:4429,"AAAAAF/P94g=",0)</f>
        <v>0</v>
      </c>
      <c r="EH65">
        <f>IF('Pick List'!4430:4430,"AAAAAF/P94k=",0)</f>
        <v>0</v>
      </c>
      <c r="EI65">
        <f>IF('Pick List'!4431:4431,"AAAAAF/P94o=",0)</f>
        <v>0</v>
      </c>
      <c r="EJ65">
        <f>IF('Pick List'!4432:4432,"AAAAAF/P94s=",0)</f>
        <v>0</v>
      </c>
      <c r="EK65">
        <f>IF('Pick List'!4433:4433,"AAAAAF/P94w=",0)</f>
        <v>0</v>
      </c>
      <c r="EL65">
        <f>IF('Pick List'!4434:4434,"AAAAAF/P940=",0)</f>
        <v>0</v>
      </c>
      <c r="EM65">
        <f>IF('Pick List'!4435:4435,"AAAAAF/P944=",0)</f>
        <v>0</v>
      </c>
      <c r="EN65">
        <f>IF('Pick List'!4436:4436,"AAAAAF/P948=",0)</f>
        <v>0</v>
      </c>
      <c r="EO65">
        <f>IF('Pick List'!4437:4437,"AAAAAF/P95A=",0)</f>
        <v>0</v>
      </c>
      <c r="EP65">
        <f>IF('Pick List'!4438:4438,"AAAAAF/P95E=",0)</f>
        <v>0</v>
      </c>
      <c r="EQ65">
        <f>IF('Pick List'!4439:4439,"AAAAAF/P95I=",0)</f>
        <v>0</v>
      </c>
      <c r="ER65">
        <f>IF('Pick List'!4440:4440,"AAAAAF/P95M=",0)</f>
        <v>0</v>
      </c>
      <c r="ES65">
        <f>IF('Pick List'!4441:4441,"AAAAAF/P95Q=",0)</f>
        <v>0</v>
      </c>
      <c r="ET65">
        <f>IF('Pick List'!4442:4442,"AAAAAF/P95U=",0)</f>
        <v>0</v>
      </c>
      <c r="EU65">
        <f>IF('Pick List'!4443:4443,"AAAAAF/P95Y=",0)</f>
        <v>0</v>
      </c>
      <c r="EV65">
        <f>IF('Pick List'!4444:4444,"AAAAAF/P95c=",0)</f>
        <v>0</v>
      </c>
      <c r="EW65">
        <f>IF('Pick List'!4445:4445,"AAAAAF/P95g=",0)</f>
        <v>0</v>
      </c>
      <c r="EX65">
        <f>IF('Pick List'!4446:4446,"AAAAAF/P95k=",0)</f>
        <v>0</v>
      </c>
      <c r="EY65">
        <f>IF('Pick List'!4447:4447,"AAAAAF/P95o=",0)</f>
        <v>0</v>
      </c>
      <c r="EZ65">
        <f>IF('Pick List'!4448:4448,"AAAAAF/P95s=",0)</f>
        <v>0</v>
      </c>
      <c r="FA65">
        <f>IF('Pick List'!4449:4449,"AAAAAF/P95w=",0)</f>
        <v>0</v>
      </c>
      <c r="FB65">
        <f>IF('Pick List'!4450:4450,"AAAAAF/P950=",0)</f>
        <v>0</v>
      </c>
      <c r="FC65">
        <f>IF('Pick List'!4451:4451,"AAAAAF/P954=",0)</f>
        <v>0</v>
      </c>
      <c r="FD65">
        <f>IF('Pick List'!4452:4452,"AAAAAF/P958=",0)</f>
        <v>0</v>
      </c>
      <c r="FE65">
        <f>IF('Pick List'!4453:4453,"AAAAAF/P96A=",0)</f>
        <v>0</v>
      </c>
      <c r="FF65">
        <f>IF('Pick List'!4454:4454,"AAAAAF/P96E=",0)</f>
        <v>0</v>
      </c>
      <c r="FG65">
        <f>IF('Pick List'!4455:4455,"AAAAAF/P96I=",0)</f>
        <v>0</v>
      </c>
      <c r="FH65">
        <f>IF('Pick List'!4456:4456,"AAAAAF/P96M=",0)</f>
        <v>0</v>
      </c>
      <c r="FI65">
        <f>IF('Pick List'!4457:4457,"AAAAAF/P96Q=",0)</f>
        <v>0</v>
      </c>
      <c r="FJ65">
        <f>IF('Pick List'!4458:4458,"AAAAAF/P96U=",0)</f>
        <v>0</v>
      </c>
      <c r="FK65">
        <f>IF('Pick List'!4459:4459,"AAAAAF/P96Y=",0)</f>
        <v>0</v>
      </c>
      <c r="FL65">
        <f>IF('Pick List'!4460:4460,"AAAAAF/P96c=",0)</f>
        <v>0</v>
      </c>
      <c r="FM65">
        <f>IF('Pick List'!4461:4461,"AAAAAF/P96g=",0)</f>
        <v>0</v>
      </c>
      <c r="FN65">
        <f>IF('Pick List'!4462:4462,"AAAAAF/P96k=",0)</f>
        <v>0</v>
      </c>
      <c r="FO65">
        <f>IF('Pick List'!4463:4463,"AAAAAF/P96o=",0)</f>
        <v>0</v>
      </c>
      <c r="FP65">
        <f>IF('Pick List'!4464:4464,"AAAAAF/P96s=",0)</f>
        <v>0</v>
      </c>
      <c r="FQ65">
        <f>IF('Pick List'!4465:4465,"AAAAAF/P96w=",0)</f>
        <v>0</v>
      </c>
      <c r="FR65">
        <f>IF('Pick List'!4466:4466,"AAAAAF/P960=",0)</f>
        <v>0</v>
      </c>
      <c r="FS65">
        <f>IF('Pick List'!4467:4467,"AAAAAF/P964=",0)</f>
        <v>0</v>
      </c>
      <c r="FT65">
        <f>IF('Pick List'!4468:4468,"AAAAAF/P968=",0)</f>
        <v>0</v>
      </c>
      <c r="FU65">
        <f>IF('Pick List'!4469:4469,"AAAAAF/P97A=",0)</f>
        <v>0</v>
      </c>
      <c r="FV65">
        <f>IF('Pick List'!4470:4470,"AAAAAF/P97E=",0)</f>
        <v>0</v>
      </c>
      <c r="FW65">
        <f>IF('Pick List'!4471:4471,"AAAAAF/P97I=",0)</f>
        <v>0</v>
      </c>
      <c r="FX65">
        <f>IF('Pick List'!4472:4472,"AAAAAF/P97M=",0)</f>
        <v>0</v>
      </c>
      <c r="FY65">
        <f>IF('Pick List'!4473:4473,"AAAAAF/P97Q=",0)</f>
        <v>0</v>
      </c>
      <c r="FZ65">
        <f>IF('Pick List'!4474:4474,"AAAAAF/P97U=",0)</f>
        <v>0</v>
      </c>
      <c r="GA65">
        <f>IF('Pick List'!4475:4475,"AAAAAF/P97Y=",0)</f>
        <v>0</v>
      </c>
      <c r="GB65">
        <f>IF('Pick List'!4476:4476,"AAAAAF/P97c=",0)</f>
        <v>0</v>
      </c>
      <c r="GC65">
        <f>IF('Pick List'!4477:4477,"AAAAAF/P97g=",0)</f>
        <v>0</v>
      </c>
      <c r="GD65">
        <f>IF('Pick List'!4478:4478,"AAAAAF/P97k=",0)</f>
        <v>0</v>
      </c>
      <c r="GE65">
        <f>IF('Pick List'!4479:4479,"AAAAAF/P97o=",0)</f>
        <v>0</v>
      </c>
      <c r="GF65">
        <f>IF('Pick List'!4480:4480,"AAAAAF/P97s=",0)</f>
        <v>0</v>
      </c>
      <c r="GG65">
        <f>IF('Pick List'!4481:4481,"AAAAAF/P97w=",0)</f>
        <v>0</v>
      </c>
      <c r="GH65">
        <f>IF('Pick List'!4482:4482,"AAAAAF/P970=",0)</f>
        <v>0</v>
      </c>
      <c r="GI65">
        <f>IF('Pick List'!4483:4483,"AAAAAF/P974=",0)</f>
        <v>0</v>
      </c>
      <c r="GJ65">
        <f>IF('Pick List'!4484:4484,"AAAAAF/P978=",0)</f>
        <v>0</v>
      </c>
      <c r="GK65">
        <f>IF('Pick List'!4485:4485,"AAAAAF/P98A=",0)</f>
        <v>0</v>
      </c>
      <c r="GL65">
        <f>IF('Pick List'!4486:4486,"AAAAAF/P98E=",0)</f>
        <v>0</v>
      </c>
      <c r="GM65">
        <f>IF('Pick List'!4487:4487,"AAAAAF/P98I=",0)</f>
        <v>0</v>
      </c>
      <c r="GN65">
        <f>IF('Pick List'!4488:4488,"AAAAAF/P98M=",0)</f>
        <v>0</v>
      </c>
      <c r="GO65">
        <f>IF('Pick List'!4489:4489,"AAAAAF/P98Q=",0)</f>
        <v>0</v>
      </c>
      <c r="GP65">
        <f>IF('Pick List'!4490:4490,"AAAAAF/P98U=",0)</f>
        <v>0</v>
      </c>
      <c r="GQ65">
        <f>IF('Pick List'!4491:4491,"AAAAAF/P98Y=",0)</f>
        <v>0</v>
      </c>
      <c r="GR65">
        <f>IF('Pick List'!4492:4492,"AAAAAF/P98c=",0)</f>
        <v>0</v>
      </c>
      <c r="GS65">
        <f>IF('Pick List'!4493:4493,"AAAAAF/P98g=",0)</f>
        <v>0</v>
      </c>
      <c r="GT65">
        <f>IF('Pick List'!4494:4494,"AAAAAF/P98k=",0)</f>
        <v>0</v>
      </c>
      <c r="GU65">
        <f>IF('Pick List'!4495:4495,"AAAAAF/P98o=",0)</f>
        <v>0</v>
      </c>
      <c r="GV65">
        <f>IF('Pick List'!4496:4496,"AAAAAF/P98s=",0)</f>
        <v>0</v>
      </c>
      <c r="GW65">
        <f>IF('Pick List'!4497:4497,"AAAAAF/P98w=",0)</f>
        <v>0</v>
      </c>
      <c r="GX65">
        <f>IF('Pick List'!4498:4498,"AAAAAF/P980=",0)</f>
        <v>0</v>
      </c>
      <c r="GY65">
        <f>IF('Pick List'!4499:4499,"AAAAAF/P984=",0)</f>
        <v>0</v>
      </c>
      <c r="GZ65">
        <f>IF('Pick List'!4500:4500,"AAAAAF/P988=",0)</f>
        <v>0</v>
      </c>
      <c r="HA65">
        <f>IF('Pick List'!4501:4501,"AAAAAF/P99A=",0)</f>
        <v>0</v>
      </c>
      <c r="HB65">
        <f>IF('Pick List'!4502:4502,"AAAAAF/P99E=",0)</f>
        <v>0</v>
      </c>
      <c r="HC65">
        <f>IF('Pick List'!4503:4503,"AAAAAF/P99I=",0)</f>
        <v>0</v>
      </c>
      <c r="HD65">
        <f>IF('Pick List'!4504:4504,"AAAAAF/P99M=",0)</f>
        <v>0</v>
      </c>
      <c r="HE65">
        <f>IF('Pick List'!4505:4505,"AAAAAF/P99Q=",0)</f>
        <v>0</v>
      </c>
      <c r="HF65">
        <f>IF('Pick List'!4506:4506,"AAAAAF/P99U=",0)</f>
        <v>0</v>
      </c>
      <c r="HG65">
        <f>IF('Pick List'!4507:4507,"AAAAAF/P99Y=",0)</f>
        <v>0</v>
      </c>
      <c r="HH65">
        <f>IF('Pick List'!4508:4508,"AAAAAF/P99c=",0)</f>
        <v>0</v>
      </c>
      <c r="HI65">
        <f>IF('Pick List'!4509:4509,"AAAAAF/P99g=",0)</f>
        <v>0</v>
      </c>
      <c r="HJ65">
        <f>IF('Pick List'!4510:4510,"AAAAAF/P99k=",0)</f>
        <v>0</v>
      </c>
      <c r="HK65">
        <f>IF('Pick List'!4511:4511,"AAAAAF/P99o=",0)</f>
        <v>0</v>
      </c>
      <c r="HL65">
        <f>IF('Pick List'!4512:4512,"AAAAAF/P99s=",0)</f>
        <v>0</v>
      </c>
      <c r="HM65">
        <f>IF('Pick List'!4513:4513,"AAAAAF/P99w=",0)</f>
        <v>0</v>
      </c>
      <c r="HN65">
        <f>IF('Pick List'!4514:4514,"AAAAAF/P990=",0)</f>
        <v>0</v>
      </c>
      <c r="HO65">
        <f>IF('Pick List'!4515:4515,"AAAAAF/P994=",0)</f>
        <v>0</v>
      </c>
      <c r="HP65">
        <f>IF('Pick List'!4516:4516,"AAAAAF/P998=",0)</f>
        <v>0</v>
      </c>
      <c r="HQ65">
        <f>IF('Pick List'!4517:4517,"AAAAAF/P9+A=",0)</f>
        <v>0</v>
      </c>
      <c r="HR65">
        <f>IF('Pick List'!4518:4518,"AAAAAF/P9+E=",0)</f>
        <v>0</v>
      </c>
      <c r="HS65">
        <f>IF('Pick List'!4519:4519,"AAAAAF/P9+I=",0)</f>
        <v>0</v>
      </c>
      <c r="HT65">
        <f>IF('Pick List'!4520:4520,"AAAAAF/P9+M=",0)</f>
        <v>0</v>
      </c>
      <c r="HU65">
        <f>IF('Pick List'!4521:4521,"AAAAAF/P9+Q=",0)</f>
        <v>0</v>
      </c>
      <c r="HV65">
        <f>IF('Pick List'!4522:4522,"AAAAAF/P9+U=",0)</f>
        <v>0</v>
      </c>
      <c r="HW65">
        <f>IF('Pick List'!4523:4523,"AAAAAF/P9+Y=",0)</f>
        <v>0</v>
      </c>
      <c r="HX65">
        <f>IF('Pick List'!4524:4524,"AAAAAF/P9+c=",0)</f>
        <v>0</v>
      </c>
      <c r="HY65">
        <f>IF('Pick List'!4525:4525,"AAAAAF/P9+g=",0)</f>
        <v>0</v>
      </c>
      <c r="HZ65">
        <f>IF('Pick List'!4526:4526,"AAAAAF/P9+k=",0)</f>
        <v>0</v>
      </c>
      <c r="IA65">
        <f>IF('Pick List'!4527:4527,"AAAAAF/P9+o=",0)</f>
        <v>0</v>
      </c>
      <c r="IB65">
        <f>IF('Pick List'!4528:4528,"AAAAAF/P9+s=",0)</f>
        <v>0</v>
      </c>
      <c r="IC65">
        <f>IF('Pick List'!4529:4529,"AAAAAF/P9+w=",0)</f>
        <v>0</v>
      </c>
      <c r="ID65">
        <f>IF('Pick List'!4530:4530,"AAAAAF/P9+0=",0)</f>
        <v>0</v>
      </c>
      <c r="IE65">
        <f>IF('Pick List'!4531:4531,"AAAAAF/P9+4=",0)</f>
        <v>0</v>
      </c>
      <c r="IF65">
        <f>IF('Pick List'!4532:4532,"AAAAAF/P9+8=",0)</f>
        <v>0</v>
      </c>
      <c r="IG65">
        <f>IF('Pick List'!4533:4533,"AAAAAF/P9/A=",0)</f>
        <v>0</v>
      </c>
      <c r="IH65">
        <f>IF('Pick List'!4534:4534,"AAAAAF/P9/E=",0)</f>
        <v>0</v>
      </c>
      <c r="II65">
        <f>IF('Pick List'!4535:4535,"AAAAAF/P9/I=",0)</f>
        <v>0</v>
      </c>
      <c r="IJ65">
        <f>IF('Pick List'!4536:4536,"AAAAAF/P9/M=",0)</f>
        <v>0</v>
      </c>
      <c r="IK65">
        <f>IF('Pick List'!4537:4537,"AAAAAF/P9/Q=",0)</f>
        <v>0</v>
      </c>
      <c r="IL65">
        <f>IF('Pick List'!4538:4538,"AAAAAF/P9/U=",0)</f>
        <v>0</v>
      </c>
      <c r="IM65">
        <f>IF('Pick List'!4539:4539,"AAAAAF/P9/Y=",0)</f>
        <v>0</v>
      </c>
      <c r="IN65">
        <f>IF('Pick List'!4540:4540,"AAAAAF/P9/c=",0)</f>
        <v>0</v>
      </c>
      <c r="IO65">
        <f>IF('Pick List'!4541:4541,"AAAAAF/P9/g=",0)</f>
        <v>0</v>
      </c>
      <c r="IP65">
        <f>IF('Pick List'!4542:4542,"AAAAAF/P9/k=",0)</f>
        <v>0</v>
      </c>
      <c r="IQ65">
        <f>IF('Pick List'!4543:4543,"AAAAAF/P9/o=",0)</f>
        <v>0</v>
      </c>
      <c r="IR65">
        <f>IF('Pick List'!4544:4544,"AAAAAF/P9/s=",0)</f>
        <v>0</v>
      </c>
      <c r="IS65">
        <f>IF('Pick List'!4545:4545,"AAAAAF/P9/w=",0)</f>
        <v>0</v>
      </c>
      <c r="IT65">
        <f>IF('Pick List'!4546:4546,"AAAAAF/P9/0=",0)</f>
        <v>0</v>
      </c>
      <c r="IU65">
        <f>IF('Pick List'!4547:4547,"AAAAAF/P9/4=",0)</f>
        <v>0</v>
      </c>
      <c r="IV65">
        <f>IF('Pick List'!4548:4548,"AAAAAF/P9/8=",0)</f>
        <v>0</v>
      </c>
    </row>
    <row r="66" spans="1:256" x14ac:dyDescent="0.2">
      <c r="A66">
        <f>IF('Pick List'!4549:4549,"AAAAABtf9wA=",0)</f>
        <v>0</v>
      </c>
      <c r="B66">
        <f>IF('Pick List'!4550:4550,"AAAAABtf9wE=",0)</f>
        <v>0</v>
      </c>
      <c r="C66">
        <f>IF('Pick List'!4551:4551,"AAAAABtf9wI=",0)</f>
        <v>0</v>
      </c>
      <c r="D66">
        <f>IF('Pick List'!4552:4552,"AAAAABtf9wM=",0)</f>
        <v>0</v>
      </c>
      <c r="E66">
        <f>IF('Pick List'!4553:4553,"AAAAABtf9wQ=",0)</f>
        <v>0</v>
      </c>
      <c r="F66">
        <f>IF('Pick List'!4554:4554,"AAAAABtf9wU=",0)</f>
        <v>0</v>
      </c>
      <c r="G66">
        <f>IF('Pick List'!4555:4555,"AAAAABtf9wY=",0)</f>
        <v>0</v>
      </c>
      <c r="H66">
        <f>IF('Pick List'!4556:4556,"AAAAABtf9wc=",0)</f>
        <v>0</v>
      </c>
      <c r="I66">
        <f>IF('Pick List'!4557:4557,"AAAAABtf9wg=",0)</f>
        <v>0</v>
      </c>
      <c r="J66">
        <f>IF('Pick List'!4558:4558,"AAAAABtf9wk=",0)</f>
        <v>0</v>
      </c>
      <c r="K66">
        <f>IF('Pick List'!4559:4559,"AAAAABtf9wo=",0)</f>
        <v>0</v>
      </c>
      <c r="L66">
        <f>IF('Pick List'!4560:4560,"AAAAABtf9ws=",0)</f>
        <v>0</v>
      </c>
      <c r="M66">
        <f>IF('Pick List'!4561:4561,"AAAAABtf9ww=",0)</f>
        <v>0</v>
      </c>
      <c r="N66">
        <f>IF('Pick List'!4562:4562,"AAAAABtf9w0=",0)</f>
        <v>0</v>
      </c>
      <c r="O66">
        <f>IF('Pick List'!4563:4563,"AAAAABtf9w4=",0)</f>
        <v>0</v>
      </c>
      <c r="P66">
        <f>IF('Pick List'!4564:4564,"AAAAABtf9w8=",0)</f>
        <v>0</v>
      </c>
      <c r="Q66">
        <f>IF('Pick List'!4565:4565,"AAAAABtf9xA=",0)</f>
        <v>0</v>
      </c>
      <c r="R66">
        <f>IF('Pick List'!4566:4566,"AAAAABtf9xE=",0)</f>
        <v>0</v>
      </c>
      <c r="S66">
        <f>IF('Pick List'!4567:4567,"AAAAABtf9xI=",0)</f>
        <v>0</v>
      </c>
      <c r="T66">
        <f>IF('Pick List'!4568:4568,"AAAAABtf9xM=",0)</f>
        <v>0</v>
      </c>
      <c r="U66">
        <f>IF('Pick List'!4569:4569,"AAAAABtf9xQ=",0)</f>
        <v>0</v>
      </c>
      <c r="V66">
        <f>IF('Pick List'!4570:4570,"AAAAABtf9xU=",0)</f>
        <v>0</v>
      </c>
      <c r="W66">
        <f>IF('Pick List'!4571:4571,"AAAAABtf9xY=",0)</f>
        <v>0</v>
      </c>
      <c r="X66">
        <f>IF('Pick List'!4572:4572,"AAAAABtf9xc=",0)</f>
        <v>0</v>
      </c>
      <c r="Y66">
        <f>IF('Pick List'!4573:4573,"AAAAABtf9xg=",0)</f>
        <v>0</v>
      </c>
      <c r="Z66">
        <f>IF('Pick List'!4574:4574,"AAAAABtf9xk=",0)</f>
        <v>0</v>
      </c>
      <c r="AA66">
        <f>IF('Pick List'!4575:4575,"AAAAABtf9xo=",0)</f>
        <v>0</v>
      </c>
      <c r="AB66">
        <f>IF('Pick List'!4576:4576,"AAAAABtf9xs=",0)</f>
        <v>0</v>
      </c>
      <c r="AC66">
        <f>IF('Pick List'!4577:4577,"AAAAABtf9xw=",0)</f>
        <v>0</v>
      </c>
      <c r="AD66">
        <f>IF('Pick List'!4578:4578,"AAAAABtf9x0=",0)</f>
        <v>0</v>
      </c>
      <c r="AE66">
        <f>IF('Pick List'!4579:4579,"AAAAABtf9x4=",0)</f>
        <v>0</v>
      </c>
      <c r="AF66">
        <f>IF('Pick List'!4580:4580,"AAAAABtf9x8=",0)</f>
        <v>0</v>
      </c>
      <c r="AG66">
        <f>IF('Pick List'!4581:4581,"AAAAABtf9yA=",0)</f>
        <v>0</v>
      </c>
      <c r="AH66">
        <f>IF('Pick List'!4582:4582,"AAAAABtf9yE=",0)</f>
        <v>0</v>
      </c>
      <c r="AI66">
        <f>IF('Pick List'!4583:4583,"AAAAABtf9yI=",0)</f>
        <v>0</v>
      </c>
      <c r="AJ66">
        <f>IF('Pick List'!4584:4584,"AAAAABtf9yM=",0)</f>
        <v>0</v>
      </c>
      <c r="AK66">
        <f>IF('Pick List'!4585:4585,"AAAAABtf9yQ=",0)</f>
        <v>0</v>
      </c>
      <c r="AL66">
        <f>IF('Pick List'!4586:4586,"AAAAABtf9yU=",0)</f>
        <v>0</v>
      </c>
      <c r="AM66">
        <f>IF('Pick List'!4587:4587,"AAAAABtf9yY=",0)</f>
        <v>0</v>
      </c>
      <c r="AN66">
        <f>IF('Pick List'!4588:4588,"AAAAABtf9yc=",0)</f>
        <v>0</v>
      </c>
      <c r="AO66">
        <f>IF('Pick List'!4589:4589,"AAAAABtf9yg=",0)</f>
        <v>0</v>
      </c>
      <c r="AP66">
        <f>IF('Pick List'!4590:4590,"AAAAABtf9yk=",0)</f>
        <v>0</v>
      </c>
      <c r="AQ66">
        <f>IF('Pick List'!4591:4591,"AAAAABtf9yo=",0)</f>
        <v>0</v>
      </c>
      <c r="AR66">
        <f>IF('Pick List'!4592:4592,"AAAAABtf9ys=",0)</f>
        <v>0</v>
      </c>
      <c r="AS66">
        <f>IF('Pick List'!4593:4593,"AAAAABtf9yw=",0)</f>
        <v>0</v>
      </c>
      <c r="AT66">
        <f>IF('Pick List'!4594:4594,"AAAAABtf9y0=",0)</f>
        <v>0</v>
      </c>
      <c r="AU66">
        <f>IF('Pick List'!4595:4595,"AAAAABtf9y4=",0)</f>
        <v>0</v>
      </c>
      <c r="AV66">
        <f>IF('Pick List'!4596:4596,"AAAAABtf9y8=",0)</f>
        <v>0</v>
      </c>
      <c r="AW66">
        <f>IF('Pick List'!4597:4597,"AAAAABtf9zA=",0)</f>
        <v>0</v>
      </c>
      <c r="AX66">
        <f>IF('Pick List'!4598:4598,"AAAAABtf9zE=",0)</f>
        <v>0</v>
      </c>
      <c r="AY66">
        <f>IF('Pick List'!4599:4599,"AAAAABtf9zI=",0)</f>
        <v>0</v>
      </c>
      <c r="AZ66">
        <f>IF('Pick List'!4600:4600,"AAAAABtf9zM=",0)</f>
        <v>0</v>
      </c>
      <c r="BA66">
        <f>IF('Pick List'!4601:4601,"AAAAABtf9zQ=",0)</f>
        <v>0</v>
      </c>
      <c r="BB66">
        <f>IF('Pick List'!4602:4602,"AAAAABtf9zU=",0)</f>
        <v>0</v>
      </c>
      <c r="BC66">
        <f>IF('Pick List'!4603:4603,"AAAAABtf9zY=",0)</f>
        <v>0</v>
      </c>
      <c r="BD66">
        <f>IF('Pick List'!4604:4604,"AAAAABtf9zc=",0)</f>
        <v>0</v>
      </c>
      <c r="BE66">
        <f>IF('Pick List'!4605:4605,"AAAAABtf9zg=",0)</f>
        <v>0</v>
      </c>
      <c r="BF66">
        <f>IF('Pick List'!4606:4606,"AAAAABtf9zk=",0)</f>
        <v>0</v>
      </c>
      <c r="BG66">
        <f>IF('Pick List'!4607:4607,"AAAAABtf9zo=",0)</f>
        <v>0</v>
      </c>
      <c r="BH66">
        <f>IF('Pick List'!4608:4608,"AAAAABtf9zs=",0)</f>
        <v>0</v>
      </c>
      <c r="BI66">
        <f>IF('Pick List'!4609:4609,"AAAAABtf9zw=",0)</f>
        <v>0</v>
      </c>
      <c r="BJ66">
        <f>IF('Pick List'!4610:4610,"AAAAABtf9z0=",0)</f>
        <v>0</v>
      </c>
      <c r="BK66">
        <f>IF('Pick List'!4611:4611,"AAAAABtf9z4=",0)</f>
        <v>0</v>
      </c>
      <c r="BL66">
        <f>IF('Pick List'!4612:4612,"AAAAABtf9z8=",0)</f>
        <v>0</v>
      </c>
      <c r="BM66">
        <f>IF('Pick List'!4613:4613,"AAAAABtf90A=",0)</f>
        <v>0</v>
      </c>
      <c r="BN66">
        <f>IF('Pick List'!4614:4614,"AAAAABtf90E=",0)</f>
        <v>0</v>
      </c>
      <c r="BO66">
        <f>IF('Pick List'!4615:4615,"AAAAABtf90I=",0)</f>
        <v>0</v>
      </c>
      <c r="BP66">
        <f>IF('Pick List'!4616:4616,"AAAAABtf90M=",0)</f>
        <v>0</v>
      </c>
      <c r="BQ66">
        <f>IF('Pick List'!4617:4617,"AAAAABtf90Q=",0)</f>
        <v>0</v>
      </c>
      <c r="BR66">
        <f>IF('Pick List'!4618:4618,"AAAAABtf90U=",0)</f>
        <v>0</v>
      </c>
      <c r="BS66">
        <f>IF('Pick List'!4619:4619,"AAAAABtf90Y=",0)</f>
        <v>0</v>
      </c>
      <c r="BT66">
        <f>IF('Pick List'!4620:4620,"AAAAABtf90c=",0)</f>
        <v>0</v>
      </c>
      <c r="BU66">
        <f>IF('Pick List'!4621:4621,"AAAAABtf90g=",0)</f>
        <v>0</v>
      </c>
      <c r="BV66">
        <f>IF('Pick List'!4622:4622,"AAAAABtf90k=",0)</f>
        <v>0</v>
      </c>
      <c r="BW66">
        <f>IF('Pick List'!4623:4623,"AAAAABtf90o=",0)</f>
        <v>0</v>
      </c>
      <c r="BX66">
        <f>IF('Pick List'!4624:4624,"AAAAABtf90s=",0)</f>
        <v>0</v>
      </c>
      <c r="BY66">
        <f>IF('Pick List'!4625:4625,"AAAAABtf90w=",0)</f>
        <v>0</v>
      </c>
      <c r="BZ66">
        <f>IF('Pick List'!4626:4626,"AAAAABtf900=",0)</f>
        <v>0</v>
      </c>
      <c r="CA66">
        <f>IF('Pick List'!4627:4627,"AAAAABtf904=",0)</f>
        <v>0</v>
      </c>
      <c r="CB66">
        <f>IF('Pick List'!4628:4628,"AAAAABtf908=",0)</f>
        <v>0</v>
      </c>
      <c r="CC66">
        <f>IF('Pick List'!4629:4629,"AAAAABtf91A=",0)</f>
        <v>0</v>
      </c>
      <c r="CD66">
        <f>IF('Pick List'!4630:4630,"AAAAABtf91E=",0)</f>
        <v>0</v>
      </c>
      <c r="CE66">
        <f>IF('Pick List'!4631:4631,"AAAAABtf91I=",0)</f>
        <v>0</v>
      </c>
      <c r="CF66">
        <f>IF('Pick List'!4632:4632,"AAAAABtf91M=",0)</f>
        <v>0</v>
      </c>
      <c r="CG66">
        <f>IF('Pick List'!4633:4633,"AAAAABtf91Q=",0)</f>
        <v>0</v>
      </c>
      <c r="CH66">
        <f>IF('Pick List'!4634:4634,"AAAAABtf91U=",0)</f>
        <v>0</v>
      </c>
      <c r="CI66">
        <f>IF('Pick List'!4635:4635,"AAAAABtf91Y=",0)</f>
        <v>0</v>
      </c>
      <c r="CJ66">
        <f>IF('Pick List'!4636:4636,"AAAAABtf91c=",0)</f>
        <v>0</v>
      </c>
      <c r="CK66">
        <f>IF('Pick List'!4637:4637,"AAAAABtf91g=",0)</f>
        <v>0</v>
      </c>
      <c r="CL66">
        <f>IF('Pick List'!4638:4638,"AAAAABtf91k=",0)</f>
        <v>0</v>
      </c>
      <c r="CM66">
        <f>IF('Pick List'!4639:4639,"AAAAABtf91o=",0)</f>
        <v>0</v>
      </c>
      <c r="CN66">
        <f>IF('Pick List'!4640:4640,"AAAAABtf91s=",0)</f>
        <v>0</v>
      </c>
      <c r="CO66">
        <f>IF('Pick List'!4641:4641,"AAAAABtf91w=",0)</f>
        <v>0</v>
      </c>
      <c r="CP66">
        <f>IF('Pick List'!4642:4642,"AAAAABtf910=",0)</f>
        <v>0</v>
      </c>
      <c r="CQ66">
        <f>IF('Pick List'!4643:4643,"AAAAABtf914=",0)</f>
        <v>0</v>
      </c>
      <c r="CR66">
        <f>IF('Pick List'!4644:4644,"AAAAABtf918=",0)</f>
        <v>0</v>
      </c>
      <c r="CS66">
        <f>IF('Pick List'!4645:4645,"AAAAABtf92A=",0)</f>
        <v>0</v>
      </c>
      <c r="CT66">
        <f>IF('Pick List'!4646:4646,"AAAAABtf92E=",0)</f>
        <v>0</v>
      </c>
      <c r="CU66">
        <f>IF('Pick List'!4647:4647,"AAAAABtf92I=",0)</f>
        <v>0</v>
      </c>
      <c r="CV66">
        <f>IF('Pick List'!4648:4648,"AAAAABtf92M=",0)</f>
        <v>0</v>
      </c>
      <c r="CW66">
        <f>IF('Pick List'!4649:4649,"AAAAABtf92Q=",0)</f>
        <v>0</v>
      </c>
      <c r="CX66">
        <f>IF('Pick List'!4650:4650,"AAAAABtf92U=",0)</f>
        <v>0</v>
      </c>
      <c r="CY66">
        <f>IF('Pick List'!4651:4651,"AAAAABtf92Y=",0)</f>
        <v>0</v>
      </c>
      <c r="CZ66">
        <f>IF('Pick List'!4652:4652,"AAAAABtf92c=",0)</f>
        <v>0</v>
      </c>
      <c r="DA66">
        <f>IF('Pick List'!4653:4653,"AAAAABtf92g=",0)</f>
        <v>0</v>
      </c>
      <c r="DB66">
        <f>IF('Pick List'!4654:4654,"AAAAABtf92k=",0)</f>
        <v>0</v>
      </c>
      <c r="DC66">
        <f>IF('Pick List'!4655:4655,"AAAAABtf92o=",0)</f>
        <v>0</v>
      </c>
      <c r="DD66">
        <f>IF('Pick List'!4656:4656,"AAAAABtf92s=",0)</f>
        <v>0</v>
      </c>
      <c r="DE66">
        <f>IF('Pick List'!4657:4657,"AAAAABtf92w=",0)</f>
        <v>0</v>
      </c>
      <c r="DF66">
        <f>IF('Pick List'!4658:4658,"AAAAABtf920=",0)</f>
        <v>0</v>
      </c>
      <c r="DG66">
        <f>IF('Pick List'!4659:4659,"AAAAABtf924=",0)</f>
        <v>0</v>
      </c>
      <c r="DH66">
        <f>IF('Pick List'!4660:4660,"AAAAABtf928=",0)</f>
        <v>0</v>
      </c>
      <c r="DI66">
        <f>IF('Pick List'!4661:4661,"AAAAABtf93A=",0)</f>
        <v>0</v>
      </c>
      <c r="DJ66">
        <f>IF('Pick List'!4662:4662,"AAAAABtf93E=",0)</f>
        <v>0</v>
      </c>
      <c r="DK66">
        <f>IF('Pick List'!4663:4663,"AAAAABtf93I=",0)</f>
        <v>0</v>
      </c>
      <c r="DL66">
        <f>IF('Pick List'!4664:4664,"AAAAABtf93M=",0)</f>
        <v>0</v>
      </c>
      <c r="DM66">
        <f>IF('Pick List'!4665:4665,"AAAAABtf93Q=",0)</f>
        <v>0</v>
      </c>
      <c r="DN66">
        <f>IF('Pick List'!4666:4666,"AAAAABtf93U=",0)</f>
        <v>0</v>
      </c>
      <c r="DO66">
        <f>IF('Pick List'!4667:4667,"AAAAABtf93Y=",0)</f>
        <v>0</v>
      </c>
      <c r="DP66">
        <f>IF('Pick List'!4668:4668,"AAAAABtf93c=",0)</f>
        <v>0</v>
      </c>
      <c r="DQ66">
        <f>IF('Pick List'!4669:4669,"AAAAABtf93g=",0)</f>
        <v>0</v>
      </c>
      <c r="DR66">
        <f>IF('Pick List'!4670:4670,"AAAAABtf93k=",0)</f>
        <v>0</v>
      </c>
      <c r="DS66">
        <f>IF('Pick List'!4671:4671,"AAAAABtf93o=",0)</f>
        <v>0</v>
      </c>
      <c r="DT66">
        <f>IF('Pick List'!4672:4672,"AAAAABtf93s=",0)</f>
        <v>0</v>
      </c>
      <c r="DU66">
        <f>IF('Pick List'!4673:4673,"AAAAABtf93w=",0)</f>
        <v>0</v>
      </c>
      <c r="DV66">
        <f>IF('Pick List'!4674:4674,"AAAAABtf930=",0)</f>
        <v>0</v>
      </c>
      <c r="DW66">
        <f>IF('Pick List'!4675:4675,"AAAAABtf934=",0)</f>
        <v>0</v>
      </c>
      <c r="DX66">
        <f>IF('Pick List'!4676:4676,"AAAAABtf938=",0)</f>
        <v>0</v>
      </c>
      <c r="DY66">
        <f>IF('Pick List'!4677:4677,"AAAAABtf94A=",0)</f>
        <v>0</v>
      </c>
      <c r="DZ66">
        <f>IF('Pick List'!4678:4678,"AAAAABtf94E=",0)</f>
        <v>0</v>
      </c>
      <c r="EA66">
        <f>IF('Pick List'!4679:4679,"AAAAABtf94I=",0)</f>
        <v>0</v>
      </c>
      <c r="EB66">
        <f>IF('Pick List'!4680:4680,"AAAAABtf94M=",0)</f>
        <v>0</v>
      </c>
      <c r="EC66">
        <f>IF('Pick List'!4681:4681,"AAAAABtf94Q=",0)</f>
        <v>0</v>
      </c>
      <c r="ED66">
        <f>IF('Pick List'!4682:4682,"AAAAABtf94U=",0)</f>
        <v>0</v>
      </c>
      <c r="EE66">
        <f>IF('Pick List'!4683:4683,"AAAAABtf94Y=",0)</f>
        <v>0</v>
      </c>
      <c r="EF66">
        <f>IF('Pick List'!4684:4684,"AAAAABtf94c=",0)</f>
        <v>0</v>
      </c>
      <c r="EG66">
        <f>IF('Pick List'!4685:4685,"AAAAABtf94g=",0)</f>
        <v>0</v>
      </c>
      <c r="EH66">
        <f>IF('Pick List'!4686:4686,"AAAAABtf94k=",0)</f>
        <v>0</v>
      </c>
      <c r="EI66">
        <f>IF('Pick List'!4687:4687,"AAAAABtf94o=",0)</f>
        <v>0</v>
      </c>
      <c r="EJ66">
        <f>IF('Pick List'!4688:4688,"AAAAABtf94s=",0)</f>
        <v>0</v>
      </c>
      <c r="EK66">
        <f>IF('Pick List'!4689:4689,"AAAAABtf94w=",0)</f>
        <v>0</v>
      </c>
      <c r="EL66">
        <f>IF('Pick List'!4690:4690,"AAAAABtf940=",0)</f>
        <v>0</v>
      </c>
      <c r="EM66">
        <f>IF('Pick List'!4691:4691,"AAAAABtf944=",0)</f>
        <v>0</v>
      </c>
      <c r="EN66">
        <f>IF('Pick List'!4692:4692,"AAAAABtf948=",0)</f>
        <v>0</v>
      </c>
      <c r="EO66">
        <f>IF('Pick List'!4693:4693,"AAAAABtf95A=",0)</f>
        <v>0</v>
      </c>
      <c r="EP66">
        <f>IF('Pick List'!4694:4694,"AAAAABtf95E=",0)</f>
        <v>0</v>
      </c>
      <c r="EQ66">
        <f>IF('Pick List'!4695:4695,"AAAAABtf95I=",0)</f>
        <v>0</v>
      </c>
      <c r="ER66">
        <f>IF('Pick List'!4696:4696,"AAAAABtf95M=",0)</f>
        <v>0</v>
      </c>
      <c r="ES66">
        <f>IF('Pick List'!4697:4697,"AAAAABtf95Q=",0)</f>
        <v>0</v>
      </c>
      <c r="ET66">
        <f>IF('Pick List'!4698:4698,"AAAAABtf95U=",0)</f>
        <v>0</v>
      </c>
      <c r="EU66">
        <f>IF('Pick List'!4699:4699,"AAAAABtf95Y=",0)</f>
        <v>0</v>
      </c>
      <c r="EV66">
        <f>IF('Pick List'!4700:4700,"AAAAABtf95c=",0)</f>
        <v>0</v>
      </c>
      <c r="EW66">
        <f>IF('Pick List'!4701:4701,"AAAAABtf95g=",0)</f>
        <v>0</v>
      </c>
      <c r="EX66">
        <f>IF('Pick List'!4702:4702,"AAAAABtf95k=",0)</f>
        <v>0</v>
      </c>
      <c r="EY66">
        <f>IF('Pick List'!4703:4703,"AAAAABtf95o=",0)</f>
        <v>0</v>
      </c>
      <c r="EZ66">
        <f>IF('Pick List'!4704:4704,"AAAAABtf95s=",0)</f>
        <v>0</v>
      </c>
      <c r="FA66">
        <f>IF('Pick List'!4705:4705,"AAAAABtf95w=",0)</f>
        <v>0</v>
      </c>
      <c r="FB66">
        <f>IF('Pick List'!4706:4706,"AAAAABtf950=",0)</f>
        <v>0</v>
      </c>
      <c r="FC66">
        <f>IF('Pick List'!4707:4707,"AAAAABtf954=",0)</f>
        <v>0</v>
      </c>
      <c r="FD66">
        <f>IF('Pick List'!4708:4708,"AAAAABtf958=",0)</f>
        <v>0</v>
      </c>
      <c r="FE66">
        <f>IF('Pick List'!4709:4709,"AAAAABtf96A=",0)</f>
        <v>0</v>
      </c>
      <c r="FF66">
        <f>IF('Pick List'!4710:4710,"AAAAABtf96E=",0)</f>
        <v>0</v>
      </c>
      <c r="FG66">
        <f>IF('Pick List'!4711:4711,"AAAAABtf96I=",0)</f>
        <v>0</v>
      </c>
      <c r="FH66">
        <f>IF('Pick List'!4712:4712,"AAAAABtf96M=",0)</f>
        <v>0</v>
      </c>
      <c r="FI66">
        <f>IF('Pick List'!4713:4713,"AAAAABtf96Q=",0)</f>
        <v>0</v>
      </c>
      <c r="FJ66">
        <f>IF('Pick List'!4714:4714,"AAAAABtf96U=",0)</f>
        <v>0</v>
      </c>
      <c r="FK66">
        <f>IF('Pick List'!4715:4715,"AAAAABtf96Y=",0)</f>
        <v>0</v>
      </c>
      <c r="FL66">
        <f>IF('Pick List'!4716:4716,"AAAAABtf96c=",0)</f>
        <v>0</v>
      </c>
      <c r="FM66">
        <f>IF('Pick List'!4717:4717,"AAAAABtf96g=",0)</f>
        <v>0</v>
      </c>
      <c r="FN66">
        <f>IF('Pick List'!4718:4718,"AAAAABtf96k=",0)</f>
        <v>0</v>
      </c>
      <c r="FO66">
        <f>IF('Pick List'!4719:4719,"AAAAABtf96o=",0)</f>
        <v>0</v>
      </c>
      <c r="FP66">
        <f>IF('Pick List'!4720:4720,"AAAAABtf96s=",0)</f>
        <v>0</v>
      </c>
      <c r="FQ66">
        <f>IF('Pick List'!4721:4721,"AAAAABtf96w=",0)</f>
        <v>0</v>
      </c>
      <c r="FR66">
        <f>IF('Pick List'!4722:4722,"AAAAABtf960=",0)</f>
        <v>0</v>
      </c>
      <c r="FS66">
        <f>IF('Pick List'!4723:4723,"AAAAABtf964=",0)</f>
        <v>0</v>
      </c>
      <c r="FT66">
        <f>IF('Pick List'!4724:4724,"AAAAABtf968=",0)</f>
        <v>0</v>
      </c>
      <c r="FU66">
        <f>IF('Pick List'!4725:4725,"AAAAABtf97A=",0)</f>
        <v>0</v>
      </c>
      <c r="FV66">
        <f>IF('Pick List'!4726:4726,"AAAAABtf97E=",0)</f>
        <v>0</v>
      </c>
      <c r="FW66">
        <f>IF('Pick List'!4727:4727,"AAAAABtf97I=",0)</f>
        <v>0</v>
      </c>
      <c r="FX66">
        <f>IF('Pick List'!4728:4728,"AAAAABtf97M=",0)</f>
        <v>0</v>
      </c>
      <c r="FY66">
        <f>IF('Pick List'!4729:4729,"AAAAABtf97Q=",0)</f>
        <v>0</v>
      </c>
      <c r="FZ66">
        <f>IF('Pick List'!4730:4730,"AAAAABtf97U=",0)</f>
        <v>0</v>
      </c>
      <c r="GA66">
        <f>IF('Pick List'!4731:4731,"AAAAABtf97Y=",0)</f>
        <v>0</v>
      </c>
      <c r="GB66">
        <f>IF('Pick List'!4732:4732,"AAAAABtf97c=",0)</f>
        <v>0</v>
      </c>
      <c r="GC66">
        <f>IF('Pick List'!4733:4733,"AAAAABtf97g=",0)</f>
        <v>0</v>
      </c>
      <c r="GD66">
        <f>IF('Pick List'!4734:4734,"AAAAABtf97k=",0)</f>
        <v>0</v>
      </c>
      <c r="GE66">
        <f>IF('Pick List'!4735:4735,"AAAAABtf97o=",0)</f>
        <v>0</v>
      </c>
      <c r="GF66">
        <f>IF('Pick List'!4736:4736,"AAAAABtf97s=",0)</f>
        <v>0</v>
      </c>
      <c r="GG66">
        <f>IF('Pick List'!4737:4737,"AAAAABtf97w=",0)</f>
        <v>0</v>
      </c>
      <c r="GH66">
        <f>IF('Pick List'!4738:4738,"AAAAABtf970=",0)</f>
        <v>0</v>
      </c>
      <c r="GI66">
        <f>IF('Pick List'!4739:4739,"AAAAABtf974=",0)</f>
        <v>0</v>
      </c>
      <c r="GJ66">
        <f>IF('Pick List'!4740:4740,"AAAAABtf978=",0)</f>
        <v>0</v>
      </c>
      <c r="GK66">
        <f>IF('Pick List'!4741:4741,"AAAAABtf98A=",0)</f>
        <v>0</v>
      </c>
      <c r="GL66">
        <f>IF('Pick List'!4742:4742,"AAAAABtf98E=",0)</f>
        <v>0</v>
      </c>
      <c r="GM66">
        <f>IF('Pick List'!4743:4743,"AAAAABtf98I=",0)</f>
        <v>0</v>
      </c>
      <c r="GN66">
        <f>IF('Pick List'!4744:4744,"AAAAABtf98M=",0)</f>
        <v>0</v>
      </c>
      <c r="GO66">
        <f>IF('Pick List'!4745:4745,"AAAAABtf98Q=",0)</f>
        <v>0</v>
      </c>
      <c r="GP66">
        <f>IF('Pick List'!4746:4746,"AAAAABtf98U=",0)</f>
        <v>0</v>
      </c>
      <c r="GQ66">
        <f>IF('Pick List'!4747:4747,"AAAAABtf98Y=",0)</f>
        <v>0</v>
      </c>
      <c r="GR66">
        <f>IF('Pick List'!4748:4748,"AAAAABtf98c=",0)</f>
        <v>0</v>
      </c>
      <c r="GS66">
        <f>IF('Pick List'!4749:4749,"AAAAABtf98g=",0)</f>
        <v>0</v>
      </c>
      <c r="GT66">
        <f>IF('Pick List'!4750:4750,"AAAAABtf98k=",0)</f>
        <v>0</v>
      </c>
      <c r="GU66">
        <f>IF('Pick List'!4751:4751,"AAAAABtf98o=",0)</f>
        <v>0</v>
      </c>
      <c r="GV66">
        <f>IF('Pick List'!4752:4752,"AAAAABtf98s=",0)</f>
        <v>0</v>
      </c>
      <c r="GW66">
        <f>IF('Pick List'!4753:4753,"AAAAABtf98w=",0)</f>
        <v>0</v>
      </c>
      <c r="GX66">
        <f>IF('Pick List'!4754:4754,"AAAAABtf980=",0)</f>
        <v>0</v>
      </c>
      <c r="GY66">
        <f>IF('Pick List'!4755:4755,"AAAAABtf984=",0)</f>
        <v>0</v>
      </c>
      <c r="GZ66">
        <f>IF('Pick List'!4756:4756,"AAAAABtf988=",0)</f>
        <v>0</v>
      </c>
      <c r="HA66">
        <f>IF('Pick List'!4757:4757,"AAAAABtf99A=",0)</f>
        <v>0</v>
      </c>
      <c r="HB66">
        <f>IF('Pick List'!4758:4758,"AAAAABtf99E=",0)</f>
        <v>0</v>
      </c>
      <c r="HC66">
        <f>IF('Pick List'!4759:4759,"AAAAABtf99I=",0)</f>
        <v>0</v>
      </c>
      <c r="HD66">
        <f>IF('Pick List'!4760:4760,"AAAAABtf99M=",0)</f>
        <v>0</v>
      </c>
      <c r="HE66">
        <f>IF('Pick List'!4761:4761,"AAAAABtf99Q=",0)</f>
        <v>0</v>
      </c>
      <c r="HF66">
        <f>IF('Pick List'!4762:4762,"AAAAABtf99U=",0)</f>
        <v>0</v>
      </c>
      <c r="HG66">
        <f>IF('Pick List'!4763:4763,"AAAAABtf99Y=",0)</f>
        <v>0</v>
      </c>
      <c r="HH66">
        <f>IF('Pick List'!4764:4764,"AAAAABtf99c=",0)</f>
        <v>0</v>
      </c>
      <c r="HI66">
        <f>IF('Pick List'!4765:4765,"AAAAABtf99g=",0)</f>
        <v>0</v>
      </c>
      <c r="HJ66">
        <f>IF('Pick List'!4766:4766,"AAAAABtf99k=",0)</f>
        <v>0</v>
      </c>
      <c r="HK66">
        <f>IF('Pick List'!4767:4767,"AAAAABtf99o=",0)</f>
        <v>0</v>
      </c>
      <c r="HL66">
        <f>IF('Pick List'!4768:4768,"AAAAABtf99s=",0)</f>
        <v>0</v>
      </c>
      <c r="HM66">
        <f>IF('Pick List'!4769:4769,"AAAAABtf99w=",0)</f>
        <v>0</v>
      </c>
      <c r="HN66">
        <f>IF('Pick List'!4770:4770,"AAAAABtf990=",0)</f>
        <v>0</v>
      </c>
      <c r="HO66">
        <f>IF('Pick List'!4771:4771,"AAAAABtf994=",0)</f>
        <v>0</v>
      </c>
      <c r="HP66">
        <f>IF('Pick List'!4772:4772,"AAAAABtf998=",0)</f>
        <v>0</v>
      </c>
      <c r="HQ66">
        <f>IF('Pick List'!4773:4773,"AAAAABtf9+A=",0)</f>
        <v>0</v>
      </c>
      <c r="HR66">
        <f>IF('Pick List'!4774:4774,"AAAAABtf9+E=",0)</f>
        <v>0</v>
      </c>
      <c r="HS66">
        <f>IF('Pick List'!4775:4775,"AAAAABtf9+I=",0)</f>
        <v>0</v>
      </c>
      <c r="HT66">
        <f>IF('Pick List'!4776:4776,"AAAAABtf9+M=",0)</f>
        <v>0</v>
      </c>
      <c r="HU66">
        <f>IF('Pick List'!4777:4777,"AAAAABtf9+Q=",0)</f>
        <v>0</v>
      </c>
      <c r="HV66">
        <f>IF('Pick List'!4778:4778,"AAAAABtf9+U=",0)</f>
        <v>0</v>
      </c>
      <c r="HW66">
        <f>IF('Pick List'!4779:4779,"AAAAABtf9+Y=",0)</f>
        <v>0</v>
      </c>
      <c r="HX66">
        <f>IF('Pick List'!4780:4780,"AAAAABtf9+c=",0)</f>
        <v>0</v>
      </c>
      <c r="HY66">
        <f>IF('Pick List'!4781:4781,"AAAAABtf9+g=",0)</f>
        <v>0</v>
      </c>
      <c r="HZ66">
        <f>IF('Pick List'!4782:4782,"AAAAABtf9+k=",0)</f>
        <v>0</v>
      </c>
      <c r="IA66">
        <f>IF('Pick List'!4783:4783,"AAAAABtf9+o=",0)</f>
        <v>0</v>
      </c>
      <c r="IB66">
        <f>IF('Pick List'!4784:4784,"AAAAABtf9+s=",0)</f>
        <v>0</v>
      </c>
      <c r="IC66">
        <f>IF('Pick List'!4785:4785,"AAAAABtf9+w=",0)</f>
        <v>0</v>
      </c>
      <c r="ID66">
        <f>IF('Pick List'!4786:4786,"AAAAABtf9+0=",0)</f>
        <v>0</v>
      </c>
      <c r="IE66">
        <f>IF('Pick List'!4787:4787,"AAAAABtf9+4=",0)</f>
        <v>0</v>
      </c>
      <c r="IF66">
        <f>IF('Pick List'!4788:4788,"AAAAABtf9+8=",0)</f>
        <v>0</v>
      </c>
      <c r="IG66">
        <f>IF('Pick List'!4789:4789,"AAAAABtf9/A=",0)</f>
        <v>0</v>
      </c>
      <c r="IH66">
        <f>IF('Pick List'!4790:4790,"AAAAABtf9/E=",0)</f>
        <v>0</v>
      </c>
      <c r="II66">
        <f>IF('Pick List'!4791:4791,"AAAAABtf9/I=",0)</f>
        <v>0</v>
      </c>
      <c r="IJ66">
        <f>IF('Pick List'!4792:4792,"AAAAABtf9/M=",0)</f>
        <v>0</v>
      </c>
      <c r="IK66">
        <f>IF('Pick List'!4793:4793,"AAAAABtf9/Q=",0)</f>
        <v>0</v>
      </c>
      <c r="IL66">
        <f>IF('Pick List'!4794:4794,"AAAAABtf9/U=",0)</f>
        <v>0</v>
      </c>
      <c r="IM66">
        <f>IF('Pick List'!4795:4795,"AAAAABtf9/Y=",0)</f>
        <v>0</v>
      </c>
      <c r="IN66">
        <f>IF('Pick List'!4796:4796,"AAAAABtf9/c=",0)</f>
        <v>0</v>
      </c>
      <c r="IO66">
        <f>IF('Pick List'!4797:4797,"AAAAABtf9/g=",0)</f>
        <v>0</v>
      </c>
      <c r="IP66">
        <f>IF('Pick List'!4798:4798,"AAAAABtf9/k=",0)</f>
        <v>0</v>
      </c>
      <c r="IQ66">
        <f>IF('Pick List'!4799:4799,"AAAAABtf9/o=",0)</f>
        <v>0</v>
      </c>
      <c r="IR66">
        <f>IF('Pick List'!4800:4800,"AAAAABtf9/s=",0)</f>
        <v>0</v>
      </c>
      <c r="IS66">
        <f>IF('Pick List'!4801:4801,"AAAAABtf9/w=",0)</f>
        <v>0</v>
      </c>
      <c r="IT66">
        <f>IF('Pick List'!4802:4802,"AAAAABtf9/0=",0)</f>
        <v>0</v>
      </c>
      <c r="IU66">
        <f>IF('Pick List'!4803:4803,"AAAAABtf9/4=",0)</f>
        <v>0</v>
      </c>
      <c r="IV66">
        <f>IF('Pick List'!4804:4804,"AAAAABtf9/8=",0)</f>
        <v>0</v>
      </c>
    </row>
    <row r="67" spans="1:256" x14ac:dyDescent="0.2">
      <c r="A67">
        <f>IF('Pick List'!4805:4805,"AAAAAH/6JQA=",0)</f>
        <v>0</v>
      </c>
      <c r="B67">
        <f>IF('Pick List'!4806:4806,"AAAAAH/6JQE=",0)</f>
        <v>0</v>
      </c>
      <c r="C67">
        <f>IF('Pick List'!4807:4807,"AAAAAH/6JQI=",0)</f>
        <v>0</v>
      </c>
      <c r="D67">
        <f>IF('Pick List'!4808:4808,"AAAAAH/6JQM=",0)</f>
        <v>0</v>
      </c>
      <c r="E67">
        <f>IF('Pick List'!4809:4809,"AAAAAH/6JQQ=",0)</f>
        <v>0</v>
      </c>
      <c r="F67">
        <f>IF('Pick List'!4810:4810,"AAAAAH/6JQU=",0)</f>
        <v>0</v>
      </c>
      <c r="G67">
        <f>IF('Pick List'!4811:4811,"AAAAAH/6JQY=",0)</f>
        <v>0</v>
      </c>
      <c r="H67">
        <f>IF('Pick List'!4812:4812,"AAAAAH/6JQc=",0)</f>
        <v>0</v>
      </c>
      <c r="I67">
        <f>IF('Pick List'!4813:4813,"AAAAAH/6JQg=",0)</f>
        <v>0</v>
      </c>
      <c r="J67">
        <f>IF('Pick List'!4814:4814,"AAAAAH/6JQk=",0)</f>
        <v>0</v>
      </c>
      <c r="K67">
        <f>IF('Pick List'!4815:4815,"AAAAAH/6JQo=",0)</f>
        <v>0</v>
      </c>
      <c r="L67">
        <f>IF('Pick List'!4816:4816,"AAAAAH/6JQs=",0)</f>
        <v>0</v>
      </c>
      <c r="M67">
        <f>IF('Pick List'!4817:4817,"AAAAAH/6JQw=",0)</f>
        <v>0</v>
      </c>
      <c r="N67">
        <f>IF('Pick List'!4818:4818,"AAAAAH/6JQ0=",0)</f>
        <v>0</v>
      </c>
      <c r="O67">
        <f>IF('Pick List'!4819:4819,"AAAAAH/6JQ4=",0)</f>
        <v>0</v>
      </c>
      <c r="P67">
        <f>IF('Pick List'!4820:4820,"AAAAAH/6JQ8=",0)</f>
        <v>0</v>
      </c>
      <c r="Q67">
        <f>IF('Pick List'!4821:4821,"AAAAAH/6JRA=",0)</f>
        <v>0</v>
      </c>
      <c r="R67">
        <f>IF('Pick List'!4822:4822,"AAAAAH/6JRE=",0)</f>
        <v>0</v>
      </c>
      <c r="S67">
        <f>IF('Pick List'!4823:4823,"AAAAAH/6JRI=",0)</f>
        <v>0</v>
      </c>
      <c r="T67">
        <f>IF('Pick List'!4824:4824,"AAAAAH/6JRM=",0)</f>
        <v>0</v>
      </c>
      <c r="U67">
        <f>IF('Pick List'!4825:4825,"AAAAAH/6JRQ=",0)</f>
        <v>0</v>
      </c>
      <c r="V67">
        <f>IF('Pick List'!4826:4826,"AAAAAH/6JRU=",0)</f>
        <v>0</v>
      </c>
      <c r="W67">
        <f>IF('Pick List'!4827:4827,"AAAAAH/6JRY=",0)</f>
        <v>0</v>
      </c>
      <c r="X67">
        <f>IF('Pick List'!4828:4828,"AAAAAH/6JRc=",0)</f>
        <v>0</v>
      </c>
      <c r="Y67">
        <f>IF('Pick List'!4829:4829,"AAAAAH/6JRg=",0)</f>
        <v>0</v>
      </c>
      <c r="Z67">
        <f>IF('Pick List'!4830:4830,"AAAAAH/6JRk=",0)</f>
        <v>0</v>
      </c>
      <c r="AA67">
        <f>IF('Pick List'!4831:4831,"AAAAAH/6JRo=",0)</f>
        <v>0</v>
      </c>
      <c r="AB67">
        <f>IF('Pick List'!4832:4832,"AAAAAH/6JRs=",0)</f>
        <v>0</v>
      </c>
      <c r="AC67">
        <f>IF('Pick List'!4833:4833,"AAAAAH/6JRw=",0)</f>
        <v>0</v>
      </c>
      <c r="AD67">
        <f>IF('Pick List'!4834:4834,"AAAAAH/6JR0=",0)</f>
        <v>0</v>
      </c>
      <c r="AE67">
        <f>IF('Pick List'!4835:4835,"AAAAAH/6JR4=",0)</f>
        <v>0</v>
      </c>
      <c r="AF67">
        <f>IF('Pick List'!4836:4836,"AAAAAH/6JR8=",0)</f>
        <v>0</v>
      </c>
      <c r="AG67">
        <f>IF('Pick List'!4837:4837,"AAAAAH/6JSA=",0)</f>
        <v>0</v>
      </c>
      <c r="AH67">
        <f>IF('Pick List'!4838:4838,"AAAAAH/6JSE=",0)</f>
        <v>0</v>
      </c>
      <c r="AI67">
        <f>IF('Pick List'!4839:4839,"AAAAAH/6JSI=",0)</f>
        <v>0</v>
      </c>
      <c r="AJ67">
        <f>IF('Pick List'!4840:4840,"AAAAAH/6JSM=",0)</f>
        <v>0</v>
      </c>
      <c r="AK67">
        <f>IF('Pick List'!4841:4841,"AAAAAH/6JSQ=",0)</f>
        <v>0</v>
      </c>
      <c r="AL67">
        <f>IF('Pick List'!4842:4842,"AAAAAH/6JSU=",0)</f>
        <v>0</v>
      </c>
      <c r="AM67">
        <f>IF('Pick List'!4843:4843,"AAAAAH/6JSY=",0)</f>
        <v>0</v>
      </c>
      <c r="AN67">
        <f>IF('Pick List'!4844:4844,"AAAAAH/6JSc=",0)</f>
        <v>0</v>
      </c>
      <c r="AO67">
        <f>IF('Pick List'!4845:4845,"AAAAAH/6JSg=",0)</f>
        <v>0</v>
      </c>
      <c r="AP67">
        <f>IF('Pick List'!4846:4846,"AAAAAH/6JSk=",0)</f>
        <v>0</v>
      </c>
      <c r="AQ67">
        <f>IF('Pick List'!4847:4847,"AAAAAH/6JSo=",0)</f>
        <v>0</v>
      </c>
      <c r="AR67">
        <f>IF('Pick List'!4848:4848,"AAAAAH/6JSs=",0)</f>
        <v>0</v>
      </c>
      <c r="AS67">
        <f>IF('Pick List'!4849:4849,"AAAAAH/6JSw=",0)</f>
        <v>0</v>
      </c>
      <c r="AT67">
        <f>IF('Pick List'!4850:4850,"AAAAAH/6JS0=",0)</f>
        <v>0</v>
      </c>
      <c r="AU67">
        <f>IF('Pick List'!4851:4851,"AAAAAH/6JS4=",0)</f>
        <v>0</v>
      </c>
      <c r="AV67">
        <f>IF('Pick List'!4852:4852,"AAAAAH/6JS8=",0)</f>
        <v>0</v>
      </c>
      <c r="AW67">
        <f>IF('Pick List'!4853:4853,"AAAAAH/6JTA=",0)</f>
        <v>0</v>
      </c>
      <c r="AX67">
        <f>IF('Pick List'!4854:4854,"AAAAAH/6JTE=",0)</f>
        <v>0</v>
      </c>
      <c r="AY67">
        <f>IF('Pick List'!4855:4855,"AAAAAH/6JTI=",0)</f>
        <v>0</v>
      </c>
      <c r="AZ67">
        <f>IF('Pick List'!4856:4856,"AAAAAH/6JTM=",0)</f>
        <v>0</v>
      </c>
      <c r="BA67">
        <f>IF('Pick List'!4857:4857,"AAAAAH/6JTQ=",0)</f>
        <v>0</v>
      </c>
      <c r="BB67">
        <f>IF('Pick List'!4858:4858,"AAAAAH/6JTU=",0)</f>
        <v>0</v>
      </c>
      <c r="BC67">
        <f>IF('Pick List'!4859:4859,"AAAAAH/6JTY=",0)</f>
        <v>0</v>
      </c>
      <c r="BD67">
        <f>IF('Pick List'!4860:4860,"AAAAAH/6JTc=",0)</f>
        <v>0</v>
      </c>
      <c r="BE67">
        <f>IF('Pick List'!4861:4861,"AAAAAH/6JTg=",0)</f>
        <v>0</v>
      </c>
      <c r="BF67">
        <f>IF('Pick List'!4862:4862,"AAAAAH/6JTk=",0)</f>
        <v>0</v>
      </c>
      <c r="BG67">
        <f>IF('Pick List'!4863:4863,"AAAAAH/6JTo=",0)</f>
        <v>0</v>
      </c>
      <c r="BH67">
        <f>IF('Pick List'!4864:4864,"AAAAAH/6JTs=",0)</f>
        <v>0</v>
      </c>
      <c r="BI67">
        <f>IF('Pick List'!4865:4865,"AAAAAH/6JTw=",0)</f>
        <v>0</v>
      </c>
      <c r="BJ67">
        <f>IF('Pick List'!4866:4866,"AAAAAH/6JT0=",0)</f>
        <v>0</v>
      </c>
      <c r="BK67">
        <f>IF('Pick List'!4867:4867,"AAAAAH/6JT4=",0)</f>
        <v>0</v>
      </c>
      <c r="BL67">
        <f>IF('Pick List'!4868:4868,"AAAAAH/6JT8=",0)</f>
        <v>0</v>
      </c>
      <c r="BM67">
        <f>IF('Pick List'!4869:4869,"AAAAAH/6JUA=",0)</f>
        <v>0</v>
      </c>
      <c r="BN67">
        <f>IF('Pick List'!4870:4870,"AAAAAH/6JUE=",0)</f>
        <v>0</v>
      </c>
      <c r="BO67">
        <f>IF('Pick List'!4871:4871,"AAAAAH/6JUI=",0)</f>
        <v>0</v>
      </c>
      <c r="BP67">
        <f>IF('Pick List'!4872:4872,"AAAAAH/6JUM=",0)</f>
        <v>0</v>
      </c>
      <c r="BQ67">
        <f>IF('Pick List'!4873:4873,"AAAAAH/6JUQ=",0)</f>
        <v>0</v>
      </c>
      <c r="BR67">
        <f>IF('Pick List'!4874:4874,"AAAAAH/6JUU=",0)</f>
        <v>0</v>
      </c>
      <c r="BS67">
        <f>IF('Pick List'!4875:4875,"AAAAAH/6JUY=",0)</f>
        <v>0</v>
      </c>
      <c r="BT67">
        <f>IF('Pick List'!4876:4876,"AAAAAH/6JUc=",0)</f>
        <v>0</v>
      </c>
      <c r="BU67">
        <f>IF('Pick List'!4877:4877,"AAAAAH/6JUg=",0)</f>
        <v>0</v>
      </c>
      <c r="BV67">
        <f>IF('Pick List'!4878:4878,"AAAAAH/6JUk=",0)</f>
        <v>0</v>
      </c>
      <c r="BW67">
        <f>IF('Pick List'!4879:4879,"AAAAAH/6JUo=",0)</f>
        <v>0</v>
      </c>
      <c r="BX67">
        <f>IF('Pick List'!4880:4880,"AAAAAH/6JUs=",0)</f>
        <v>0</v>
      </c>
      <c r="BY67">
        <f>IF('Pick List'!4881:4881,"AAAAAH/6JUw=",0)</f>
        <v>0</v>
      </c>
      <c r="BZ67">
        <f>IF('Pick List'!4882:4882,"AAAAAH/6JU0=",0)</f>
        <v>0</v>
      </c>
      <c r="CA67">
        <f>IF('Pick List'!4883:4883,"AAAAAH/6JU4=",0)</f>
        <v>0</v>
      </c>
      <c r="CB67">
        <f>IF('Pick List'!4884:4884,"AAAAAH/6JU8=",0)</f>
        <v>0</v>
      </c>
      <c r="CC67">
        <f>IF('Pick List'!4885:4885,"AAAAAH/6JVA=",0)</f>
        <v>0</v>
      </c>
      <c r="CD67">
        <f>IF('Pick List'!4886:4886,"AAAAAH/6JVE=",0)</f>
        <v>0</v>
      </c>
      <c r="CE67">
        <f>IF('Pick List'!4887:4887,"AAAAAH/6JVI=",0)</f>
        <v>0</v>
      </c>
      <c r="CF67">
        <f>IF('Pick List'!4888:4888,"AAAAAH/6JVM=",0)</f>
        <v>0</v>
      </c>
      <c r="CG67">
        <f>IF('Pick List'!4889:4889,"AAAAAH/6JVQ=",0)</f>
        <v>0</v>
      </c>
      <c r="CH67">
        <f>IF('Pick List'!4890:4890,"AAAAAH/6JVU=",0)</f>
        <v>0</v>
      </c>
      <c r="CI67">
        <f>IF('Pick List'!4891:4891,"AAAAAH/6JVY=",0)</f>
        <v>0</v>
      </c>
      <c r="CJ67">
        <f>IF('Pick List'!4892:4892,"AAAAAH/6JVc=",0)</f>
        <v>0</v>
      </c>
      <c r="CK67">
        <f>IF('Pick List'!4893:4893,"AAAAAH/6JVg=",0)</f>
        <v>0</v>
      </c>
      <c r="CL67">
        <f>IF('Pick List'!4894:4894,"AAAAAH/6JVk=",0)</f>
        <v>0</v>
      </c>
      <c r="CM67">
        <f>IF('Pick List'!4895:4895,"AAAAAH/6JVo=",0)</f>
        <v>0</v>
      </c>
      <c r="CN67">
        <f>IF('Pick List'!4896:4896,"AAAAAH/6JVs=",0)</f>
        <v>0</v>
      </c>
      <c r="CO67">
        <f>IF('Pick List'!4897:4897,"AAAAAH/6JVw=",0)</f>
        <v>0</v>
      </c>
      <c r="CP67">
        <f>IF('Pick List'!4898:4898,"AAAAAH/6JV0=",0)</f>
        <v>0</v>
      </c>
      <c r="CQ67">
        <f>IF('Pick List'!4899:4899,"AAAAAH/6JV4=",0)</f>
        <v>0</v>
      </c>
      <c r="CR67">
        <f>IF('Pick List'!4900:4900,"AAAAAH/6JV8=",0)</f>
        <v>0</v>
      </c>
      <c r="CS67">
        <f>IF('Pick List'!4901:4901,"AAAAAH/6JWA=",0)</f>
        <v>0</v>
      </c>
      <c r="CT67">
        <f>IF('Pick List'!4902:4902,"AAAAAH/6JWE=",0)</f>
        <v>0</v>
      </c>
      <c r="CU67">
        <f>IF('Pick List'!4903:4903,"AAAAAH/6JWI=",0)</f>
        <v>0</v>
      </c>
      <c r="CV67">
        <f>IF('Pick List'!4904:4904,"AAAAAH/6JWM=",0)</f>
        <v>0</v>
      </c>
      <c r="CW67">
        <f>IF('Pick List'!4905:4905,"AAAAAH/6JWQ=",0)</f>
        <v>0</v>
      </c>
      <c r="CX67">
        <f>IF('Pick List'!4906:4906,"AAAAAH/6JWU=",0)</f>
        <v>0</v>
      </c>
      <c r="CY67">
        <f>IF('Pick List'!4907:4907,"AAAAAH/6JWY=",0)</f>
        <v>0</v>
      </c>
      <c r="CZ67">
        <f>IF('Pick List'!4908:4908,"AAAAAH/6JWc=",0)</f>
        <v>0</v>
      </c>
      <c r="DA67">
        <f>IF('Pick List'!4909:4909,"AAAAAH/6JWg=",0)</f>
        <v>0</v>
      </c>
      <c r="DB67">
        <f>IF('Pick List'!4910:4910,"AAAAAH/6JWk=",0)</f>
        <v>0</v>
      </c>
      <c r="DC67">
        <f>IF('Pick List'!4911:4911,"AAAAAH/6JWo=",0)</f>
        <v>0</v>
      </c>
      <c r="DD67">
        <f>IF('Pick List'!4912:4912,"AAAAAH/6JWs=",0)</f>
        <v>0</v>
      </c>
      <c r="DE67">
        <f>IF('Pick List'!4913:4913,"AAAAAH/6JWw=",0)</f>
        <v>0</v>
      </c>
      <c r="DF67">
        <f>IF('Pick List'!4914:4914,"AAAAAH/6JW0=",0)</f>
        <v>0</v>
      </c>
      <c r="DG67">
        <f>IF('Pick List'!4915:4915,"AAAAAH/6JW4=",0)</f>
        <v>0</v>
      </c>
      <c r="DH67">
        <f>IF('Pick List'!4916:4916,"AAAAAH/6JW8=",0)</f>
        <v>0</v>
      </c>
      <c r="DI67">
        <f>IF('Pick List'!4917:4917,"AAAAAH/6JXA=",0)</f>
        <v>0</v>
      </c>
      <c r="DJ67">
        <f>IF('Pick List'!4918:4918,"AAAAAH/6JXE=",0)</f>
        <v>0</v>
      </c>
      <c r="DK67">
        <f>IF('Pick List'!4919:4919,"AAAAAH/6JXI=",0)</f>
        <v>0</v>
      </c>
      <c r="DL67">
        <f>IF('Pick List'!4920:4920,"AAAAAH/6JXM=",0)</f>
        <v>0</v>
      </c>
      <c r="DM67">
        <f>IF('Pick List'!4921:4921,"AAAAAH/6JXQ=",0)</f>
        <v>0</v>
      </c>
      <c r="DN67">
        <f>IF('Pick List'!4922:4922,"AAAAAH/6JXU=",0)</f>
        <v>0</v>
      </c>
      <c r="DO67">
        <f>IF('Pick List'!4923:4923,"AAAAAH/6JXY=",0)</f>
        <v>0</v>
      </c>
      <c r="DP67">
        <f>IF('Pick List'!4924:4924,"AAAAAH/6JXc=",0)</f>
        <v>0</v>
      </c>
      <c r="DQ67">
        <f>IF('Pick List'!4925:4925,"AAAAAH/6JXg=",0)</f>
        <v>0</v>
      </c>
      <c r="DR67">
        <f>IF('Pick List'!4926:4926,"AAAAAH/6JXk=",0)</f>
        <v>0</v>
      </c>
      <c r="DS67">
        <f>IF('Pick List'!4927:4927,"AAAAAH/6JXo=",0)</f>
        <v>0</v>
      </c>
      <c r="DT67">
        <f>IF('Pick List'!4928:4928,"AAAAAH/6JXs=",0)</f>
        <v>0</v>
      </c>
      <c r="DU67">
        <f>IF('Pick List'!4929:4929,"AAAAAH/6JXw=",0)</f>
        <v>0</v>
      </c>
      <c r="DV67">
        <f>IF('Pick List'!4930:4930,"AAAAAH/6JX0=",0)</f>
        <v>0</v>
      </c>
      <c r="DW67">
        <f>IF('Pick List'!4931:4931,"AAAAAH/6JX4=",0)</f>
        <v>0</v>
      </c>
      <c r="DX67">
        <f>IF('Pick List'!4932:4932,"AAAAAH/6JX8=",0)</f>
        <v>0</v>
      </c>
      <c r="DY67">
        <f>IF('Pick List'!4933:4933,"AAAAAH/6JYA=",0)</f>
        <v>0</v>
      </c>
      <c r="DZ67">
        <f>IF('Pick List'!4934:4934,"AAAAAH/6JYE=",0)</f>
        <v>0</v>
      </c>
      <c r="EA67">
        <f>IF('Pick List'!4935:4935,"AAAAAH/6JYI=",0)</f>
        <v>0</v>
      </c>
      <c r="EB67">
        <f>IF('Pick List'!4936:4936,"AAAAAH/6JYM=",0)</f>
        <v>0</v>
      </c>
      <c r="EC67">
        <f>IF('Pick List'!4937:4937,"AAAAAH/6JYQ=",0)</f>
        <v>0</v>
      </c>
      <c r="ED67">
        <f>IF('Pick List'!4938:4938,"AAAAAH/6JYU=",0)</f>
        <v>0</v>
      </c>
      <c r="EE67">
        <f>IF('Pick List'!4939:4939,"AAAAAH/6JYY=",0)</f>
        <v>0</v>
      </c>
      <c r="EF67">
        <f>IF('Pick List'!4940:4940,"AAAAAH/6JYc=",0)</f>
        <v>0</v>
      </c>
      <c r="EG67">
        <f>IF('Pick List'!4941:4941,"AAAAAH/6JYg=",0)</f>
        <v>0</v>
      </c>
      <c r="EH67">
        <f>IF('Pick List'!4942:4942,"AAAAAH/6JYk=",0)</f>
        <v>0</v>
      </c>
      <c r="EI67">
        <f>IF('Pick List'!4943:4943,"AAAAAH/6JYo=",0)</f>
        <v>0</v>
      </c>
      <c r="EJ67">
        <f>IF('Pick List'!4944:4944,"AAAAAH/6JYs=",0)</f>
        <v>0</v>
      </c>
      <c r="EK67">
        <f>IF('Pick List'!4945:4945,"AAAAAH/6JYw=",0)</f>
        <v>0</v>
      </c>
      <c r="EL67">
        <f>IF('Pick List'!4946:4946,"AAAAAH/6JY0=",0)</f>
        <v>0</v>
      </c>
      <c r="EM67">
        <f>IF('Pick List'!4947:4947,"AAAAAH/6JY4=",0)</f>
        <v>0</v>
      </c>
      <c r="EN67">
        <f>IF('Pick List'!4948:4948,"AAAAAH/6JY8=",0)</f>
        <v>0</v>
      </c>
      <c r="EO67">
        <f>IF('Pick List'!4949:4949,"AAAAAH/6JZA=",0)</f>
        <v>0</v>
      </c>
      <c r="EP67">
        <f>IF('Pick List'!4950:4950,"AAAAAH/6JZE=",0)</f>
        <v>0</v>
      </c>
      <c r="EQ67">
        <f>IF('Pick List'!4951:4951,"AAAAAH/6JZI=",0)</f>
        <v>0</v>
      </c>
      <c r="ER67">
        <f>IF('Pick List'!4952:4952,"AAAAAH/6JZM=",0)</f>
        <v>0</v>
      </c>
      <c r="ES67">
        <f>IF('Pick List'!4953:4953,"AAAAAH/6JZQ=",0)</f>
        <v>0</v>
      </c>
      <c r="ET67">
        <f>IF('Pick List'!4954:4954,"AAAAAH/6JZU=",0)</f>
        <v>0</v>
      </c>
      <c r="EU67">
        <f>IF('Pick List'!4955:4955,"AAAAAH/6JZY=",0)</f>
        <v>0</v>
      </c>
      <c r="EV67">
        <f>IF('Pick List'!4956:4956,"AAAAAH/6JZc=",0)</f>
        <v>0</v>
      </c>
      <c r="EW67">
        <f>IF('Pick List'!4957:4957,"AAAAAH/6JZg=",0)</f>
        <v>0</v>
      </c>
      <c r="EX67">
        <f>IF('Pick List'!4958:4958,"AAAAAH/6JZk=",0)</f>
        <v>0</v>
      </c>
      <c r="EY67">
        <f>IF('Pick List'!4959:4959,"AAAAAH/6JZo=",0)</f>
        <v>0</v>
      </c>
      <c r="EZ67">
        <f>IF('Pick List'!4960:4960,"AAAAAH/6JZs=",0)</f>
        <v>0</v>
      </c>
      <c r="FA67">
        <f>IF('Pick List'!4961:4961,"AAAAAH/6JZw=",0)</f>
        <v>0</v>
      </c>
      <c r="FB67">
        <f>IF('Pick List'!4962:4962,"AAAAAH/6JZ0=",0)</f>
        <v>0</v>
      </c>
      <c r="FC67">
        <f>IF('Pick List'!4963:4963,"AAAAAH/6JZ4=",0)</f>
        <v>0</v>
      </c>
      <c r="FD67">
        <f>IF('Pick List'!4964:4964,"AAAAAH/6JZ8=",0)</f>
        <v>0</v>
      </c>
      <c r="FE67">
        <f>IF('Pick List'!4965:4965,"AAAAAH/6JaA=",0)</f>
        <v>0</v>
      </c>
      <c r="FF67">
        <f>IF('Pick List'!4966:4966,"AAAAAH/6JaE=",0)</f>
        <v>0</v>
      </c>
      <c r="FG67">
        <f>IF('Pick List'!4967:4967,"AAAAAH/6JaI=",0)</f>
        <v>0</v>
      </c>
      <c r="FH67">
        <f>IF('Pick List'!4968:4968,"AAAAAH/6JaM=",0)</f>
        <v>0</v>
      </c>
      <c r="FI67">
        <f>IF('Pick List'!4969:4969,"AAAAAH/6JaQ=",0)</f>
        <v>0</v>
      </c>
      <c r="FJ67">
        <f>IF('Pick List'!4970:4970,"AAAAAH/6JaU=",0)</f>
        <v>0</v>
      </c>
      <c r="FK67">
        <f>IF('Pick List'!4971:4971,"AAAAAH/6JaY=",0)</f>
        <v>0</v>
      </c>
      <c r="FL67">
        <f>IF('Pick List'!4972:4972,"AAAAAH/6Jac=",0)</f>
        <v>0</v>
      </c>
      <c r="FM67">
        <f>IF('Pick List'!4973:4973,"AAAAAH/6Jag=",0)</f>
        <v>0</v>
      </c>
      <c r="FN67">
        <f>IF('Pick List'!4974:4974,"AAAAAH/6Jak=",0)</f>
        <v>0</v>
      </c>
      <c r="FO67">
        <f>IF('Pick List'!4975:4975,"AAAAAH/6Jao=",0)</f>
        <v>0</v>
      </c>
      <c r="FP67">
        <f>IF('Pick List'!4976:4976,"AAAAAH/6Jas=",0)</f>
        <v>0</v>
      </c>
      <c r="FQ67">
        <f>IF('Pick List'!4977:4977,"AAAAAH/6Jaw=",0)</f>
        <v>0</v>
      </c>
      <c r="FR67">
        <f>IF('Pick List'!4978:4978,"AAAAAH/6Ja0=",0)</f>
        <v>0</v>
      </c>
      <c r="FS67">
        <f>IF('Pick List'!4979:4979,"AAAAAH/6Ja4=",0)</f>
        <v>0</v>
      </c>
      <c r="FT67">
        <f>IF('Pick List'!4980:4980,"AAAAAH/6Ja8=",0)</f>
        <v>0</v>
      </c>
      <c r="FU67">
        <f>IF('Pick List'!4981:4981,"AAAAAH/6JbA=",0)</f>
        <v>0</v>
      </c>
      <c r="FV67">
        <f>IF('Pick List'!4982:4982,"AAAAAH/6JbE=",0)</f>
        <v>0</v>
      </c>
      <c r="FW67">
        <f>IF('Pick List'!4983:4983,"AAAAAH/6JbI=",0)</f>
        <v>0</v>
      </c>
      <c r="FX67">
        <f>IF('Pick List'!4984:4984,"AAAAAH/6JbM=",0)</f>
        <v>0</v>
      </c>
      <c r="FY67">
        <f>IF('Pick List'!4985:4985,"AAAAAH/6JbQ=",0)</f>
        <v>0</v>
      </c>
      <c r="FZ67">
        <f>IF('Pick List'!4986:4986,"AAAAAH/6JbU=",0)</f>
        <v>0</v>
      </c>
      <c r="GA67">
        <f>IF('Pick List'!4987:4987,"AAAAAH/6JbY=",0)</f>
        <v>0</v>
      </c>
      <c r="GB67">
        <f>IF('Pick List'!4988:4988,"AAAAAH/6Jbc=",0)</f>
        <v>0</v>
      </c>
      <c r="GC67">
        <f>IF('Pick List'!4989:4989,"AAAAAH/6Jbg=",0)</f>
        <v>0</v>
      </c>
      <c r="GD67">
        <f>IF('Pick List'!4990:4990,"AAAAAH/6Jbk=",0)</f>
        <v>0</v>
      </c>
      <c r="GE67">
        <f>IF('Pick List'!4991:4991,"AAAAAH/6Jbo=",0)</f>
        <v>0</v>
      </c>
      <c r="GF67">
        <f>IF('Pick List'!4992:4992,"AAAAAH/6Jbs=",0)</f>
        <v>0</v>
      </c>
      <c r="GG67">
        <f>IF('Pick List'!4993:4993,"AAAAAH/6Jbw=",0)</f>
        <v>0</v>
      </c>
      <c r="GH67">
        <f>IF('Pick List'!4994:4994,"AAAAAH/6Jb0=",0)</f>
        <v>0</v>
      </c>
      <c r="GI67">
        <f>IF('Pick List'!4995:4995,"AAAAAH/6Jb4=",0)</f>
        <v>0</v>
      </c>
      <c r="GJ67">
        <f>IF('Pick List'!4996:4996,"AAAAAH/6Jb8=",0)</f>
        <v>0</v>
      </c>
      <c r="GK67">
        <f>IF('Pick List'!4997:4997,"AAAAAH/6JcA=",0)</f>
        <v>0</v>
      </c>
      <c r="GL67">
        <f>IF('Pick List'!4998:4998,"AAAAAH/6JcE=",0)</f>
        <v>0</v>
      </c>
      <c r="GM67">
        <f>IF('Pick List'!4999:4999,"AAAAAH/6JcI=",0)</f>
        <v>0</v>
      </c>
      <c r="GN67">
        <f>IF('Pick List'!5000:5000,"AAAAAH/6JcM=",0)</f>
        <v>0</v>
      </c>
      <c r="GO67">
        <f>IF('Pick List'!A:A,"AAAAAH/6JcQ=",0)</f>
        <v>0</v>
      </c>
      <c r="GP67">
        <f>IF('Pick List'!B:B,"AAAAAH/6JcU=",0)</f>
        <v>0</v>
      </c>
      <c r="GQ67">
        <f>IF('Pick List'!C:C,"AAAAAH/6JcY=",0)</f>
        <v>0</v>
      </c>
      <c r="GR67">
        <f>IF('Pick List'!D:D,"AAAAAH/6Jcc=",0)</f>
        <v>0</v>
      </c>
      <c r="GS67">
        <f>IF('Pick List'!E:E,"AAAAAH/6Jcg=",0)</f>
        <v>0</v>
      </c>
      <c r="GT67">
        <f>IF('Pick List'!F:F,"AAAAAH/6Jck=",0)</f>
        <v>0</v>
      </c>
      <c r="GU67">
        <f>IF('Pick List'!G:G,"AAAAAH/6Jco=",0)</f>
        <v>0</v>
      </c>
      <c r="GV67">
        <f>IF('Pick List'!H:H,"AAAAAH/6Jcs=",0)</f>
        <v>0</v>
      </c>
      <c r="GW67" t="str">
        <f>IF('Pick List'!I:I,"AAAAAH/6Jcw=",0)</f>
        <v>AAAAAH/6Jcw=</v>
      </c>
      <c r="GX67">
        <f>IF('Pick List'!J:J,"AAAAAH/6Jc0=",0)</f>
        <v>0</v>
      </c>
      <c r="GY67">
        <f>IF('Pick List'!K:K,"AAAAAH/6Jc4=",0)</f>
        <v>0</v>
      </c>
      <c r="GZ67">
        <f>IF(Data!1:1,"AAAAAH/6Jc8=",0)</f>
        <v>0</v>
      </c>
      <c r="HA67" t="e">
        <f>AND(Data!A1,"AAAAAH/6JdA=")</f>
        <v>#VALUE!</v>
      </c>
      <c r="HB67" t="e">
        <f>AND(Data!B1,"AAAAAH/6JdE=")</f>
        <v>#VALUE!</v>
      </c>
      <c r="HC67" t="e">
        <f>AND(Data!C1,"AAAAAH/6JdI=")</f>
        <v>#VALUE!</v>
      </c>
      <c r="HD67" t="e">
        <f>AND(Data!D1,"AAAAAH/6JdM=")</f>
        <v>#VALUE!</v>
      </c>
      <c r="HE67" t="e">
        <f>AND(Data!E1,"AAAAAH/6JdQ=")</f>
        <v>#VALUE!</v>
      </c>
      <c r="HF67" t="e">
        <f>AND(Data!F1,"AAAAAH/6JdU=")</f>
        <v>#VALUE!</v>
      </c>
      <c r="HG67" t="e">
        <f>AND(Data!G1,"AAAAAH/6JdY=")</f>
        <v>#VALUE!</v>
      </c>
      <c r="HH67" t="e">
        <f>AND(Data!H1,"AAAAAH/6Jdc=")</f>
        <v>#VALUE!</v>
      </c>
      <c r="HI67" t="e">
        <f>AND(Data!I1,"AAAAAH/6Jdg=")</f>
        <v>#VALUE!</v>
      </c>
      <c r="HJ67" t="e">
        <f>AND(Data!J1,"AAAAAH/6Jdk=")</f>
        <v>#VALUE!</v>
      </c>
      <c r="HK67" t="e">
        <f>AND(Data!K1,"AAAAAH/6Jdo=")</f>
        <v>#VALUE!</v>
      </c>
      <c r="HL67" t="e">
        <f>AND(Data!L1,"AAAAAH/6Jds=")</f>
        <v>#VALUE!</v>
      </c>
      <c r="HM67" t="e">
        <f>AND(Data!M1,"AAAAAH/6Jdw=")</f>
        <v>#VALUE!</v>
      </c>
      <c r="HN67" t="e">
        <f>AND(Data!N1,"AAAAAH/6Jd0=")</f>
        <v>#VALUE!</v>
      </c>
      <c r="HO67" t="e">
        <f>AND(Data!O1,"AAAAAH/6Jd4=")</f>
        <v>#VALUE!</v>
      </c>
      <c r="HP67" t="e">
        <f>AND(Data!P1,"AAAAAH/6Jd8=")</f>
        <v>#VALUE!</v>
      </c>
      <c r="HQ67" t="e">
        <f>AND(Data!Q1,"AAAAAH/6JeA=")</f>
        <v>#VALUE!</v>
      </c>
      <c r="HR67" t="e">
        <f>AND(Data!R1,"AAAAAH/6JeE=")</f>
        <v>#VALUE!</v>
      </c>
      <c r="HS67" t="e">
        <f>AND(Data!S1,"AAAAAH/6JeI=")</f>
        <v>#VALUE!</v>
      </c>
      <c r="HT67" t="e">
        <f>AND(Data!T1,"AAAAAH/6JeM=")</f>
        <v>#VALUE!</v>
      </c>
      <c r="HU67" t="e">
        <f>AND(Data!U1,"AAAAAH/6JeQ=")</f>
        <v>#VALUE!</v>
      </c>
      <c r="HV67" t="e">
        <f>AND(Data!V1,"AAAAAH/6JeU=")</f>
        <v>#VALUE!</v>
      </c>
      <c r="HW67" t="e">
        <f>AND(Data!W1,"AAAAAH/6JeY=")</f>
        <v>#VALUE!</v>
      </c>
      <c r="HX67" t="e">
        <f>AND(Data!X1,"AAAAAH/6Jec=")</f>
        <v>#VALUE!</v>
      </c>
      <c r="HY67">
        <f>IF(Data!2:2,"AAAAAH/6Jeg=",0)</f>
        <v>0</v>
      </c>
      <c r="HZ67" t="e">
        <f>AND(Data!A2,"AAAAAH/6Jek=")</f>
        <v>#VALUE!</v>
      </c>
      <c r="IA67" t="e">
        <f>AND(Data!B2,"AAAAAH/6Jeo=")</f>
        <v>#VALUE!</v>
      </c>
      <c r="IB67" t="e">
        <f>AND(Data!C2,"AAAAAH/6Jes=")</f>
        <v>#VALUE!</v>
      </c>
      <c r="IC67" t="e">
        <f>AND(Data!D2,"AAAAAH/6Jew=")</f>
        <v>#VALUE!</v>
      </c>
      <c r="ID67" t="e">
        <f>AND(Data!E2,"AAAAAH/6Je0=")</f>
        <v>#VALUE!</v>
      </c>
      <c r="IE67" t="e">
        <f>AND(Data!F2,"AAAAAH/6Je4=")</f>
        <v>#VALUE!</v>
      </c>
      <c r="IF67" t="e">
        <f>AND(Data!G2,"AAAAAH/6Je8=")</f>
        <v>#VALUE!</v>
      </c>
      <c r="IG67" t="e">
        <f>AND(Data!H2,"AAAAAH/6JfA=")</f>
        <v>#VALUE!</v>
      </c>
      <c r="IH67" t="e">
        <f>AND(Data!I2,"AAAAAH/6JfE=")</f>
        <v>#VALUE!</v>
      </c>
      <c r="II67" t="e">
        <f>AND(Data!J2,"AAAAAH/6JfI=")</f>
        <v>#VALUE!</v>
      </c>
      <c r="IJ67" t="e">
        <f>AND(Data!K2,"AAAAAH/6JfM=")</f>
        <v>#VALUE!</v>
      </c>
      <c r="IK67" t="e">
        <f>AND(Data!L2,"AAAAAH/6JfQ=")</f>
        <v>#VALUE!</v>
      </c>
      <c r="IL67" t="e">
        <f>AND(Data!M2,"AAAAAH/6JfU=")</f>
        <v>#VALUE!</v>
      </c>
      <c r="IM67" t="e">
        <f>AND(Data!N2,"AAAAAH/6JfY=")</f>
        <v>#VALUE!</v>
      </c>
      <c r="IN67" t="e">
        <f>AND(Data!O2,"AAAAAH/6Jfc=")</f>
        <v>#VALUE!</v>
      </c>
      <c r="IO67" t="e">
        <f>AND(Data!P2,"AAAAAH/6Jfg=")</f>
        <v>#VALUE!</v>
      </c>
      <c r="IP67" t="e">
        <f>AND(Data!Q2,"AAAAAH/6Jfk=")</f>
        <v>#VALUE!</v>
      </c>
      <c r="IQ67" t="e">
        <f>AND(Data!R2,"AAAAAH/6Jfo=")</f>
        <v>#VALUE!</v>
      </c>
      <c r="IR67" t="e">
        <f>AND(Data!S2,"AAAAAH/6Jfs=")</f>
        <v>#VALUE!</v>
      </c>
      <c r="IS67" t="e">
        <f>AND(Data!T2,"AAAAAH/6Jfw=")</f>
        <v>#VALUE!</v>
      </c>
      <c r="IT67" t="e">
        <f>AND(Data!U2,"AAAAAH/6Jf0=")</f>
        <v>#VALUE!</v>
      </c>
      <c r="IU67" t="e">
        <f>AND(Data!V2,"AAAAAH/6Jf4=")</f>
        <v>#VALUE!</v>
      </c>
      <c r="IV67" t="e">
        <f>AND(Data!W2,"AAAAAH/6Jf8=")</f>
        <v>#VALUE!</v>
      </c>
    </row>
    <row r="68" spans="1:256" x14ac:dyDescent="0.2">
      <c r="A68" t="e">
        <f>AND(Data!X2,"AAAAAF/r/wA=")</f>
        <v>#VALUE!</v>
      </c>
      <c r="B68">
        <f>IF(Data!3:3,"AAAAAF/r/wE=",0)</f>
        <v>0</v>
      </c>
      <c r="C68" t="e">
        <f>AND(Data!A3,"AAAAAF/r/wI=")</f>
        <v>#VALUE!</v>
      </c>
      <c r="D68" t="e">
        <f>AND(Data!B3,"AAAAAF/r/wM=")</f>
        <v>#VALUE!</v>
      </c>
      <c r="E68" t="e">
        <f>AND(Data!C3,"AAAAAF/r/wQ=")</f>
        <v>#VALUE!</v>
      </c>
      <c r="F68" t="e">
        <f>AND(Data!D3,"AAAAAF/r/wU=")</f>
        <v>#VALUE!</v>
      </c>
      <c r="G68" t="e">
        <f>AND(Data!E3,"AAAAAF/r/wY=")</f>
        <v>#VALUE!</v>
      </c>
      <c r="H68" t="e">
        <f>AND(Data!F3,"AAAAAF/r/wc=")</f>
        <v>#VALUE!</v>
      </c>
      <c r="I68" t="e">
        <f>AND(Data!G3,"AAAAAF/r/wg=")</f>
        <v>#VALUE!</v>
      </c>
      <c r="J68" t="e">
        <f>AND(Data!H3,"AAAAAF/r/wk=")</f>
        <v>#VALUE!</v>
      </c>
      <c r="K68" t="e">
        <f>AND(Data!I3,"AAAAAF/r/wo=")</f>
        <v>#VALUE!</v>
      </c>
      <c r="L68" t="e">
        <f>AND(Data!J3,"AAAAAF/r/ws=")</f>
        <v>#VALUE!</v>
      </c>
      <c r="M68" t="e">
        <f>AND(Data!K3,"AAAAAF/r/ww=")</f>
        <v>#VALUE!</v>
      </c>
      <c r="N68" t="e">
        <f>AND(Data!L3,"AAAAAF/r/w0=")</f>
        <v>#VALUE!</v>
      </c>
      <c r="O68" t="e">
        <f>AND(Data!M3,"AAAAAF/r/w4=")</f>
        <v>#VALUE!</v>
      </c>
      <c r="P68" t="e">
        <f>AND(Data!N3,"AAAAAF/r/w8=")</f>
        <v>#VALUE!</v>
      </c>
      <c r="Q68" t="e">
        <f>AND(Data!O3,"AAAAAF/r/xA=")</f>
        <v>#VALUE!</v>
      </c>
      <c r="R68" t="e">
        <f>AND(Data!P3,"AAAAAF/r/xE=")</f>
        <v>#VALUE!</v>
      </c>
      <c r="S68" t="e">
        <f>AND(Data!Q3,"AAAAAF/r/xI=")</f>
        <v>#VALUE!</v>
      </c>
      <c r="T68" t="e">
        <f>AND(Data!R3,"AAAAAF/r/xM=")</f>
        <v>#VALUE!</v>
      </c>
      <c r="U68" t="e">
        <f>AND(Data!S3,"AAAAAF/r/xQ=")</f>
        <v>#VALUE!</v>
      </c>
      <c r="V68" t="e">
        <f>AND(Data!T3,"AAAAAF/r/xU=")</f>
        <v>#VALUE!</v>
      </c>
      <c r="W68" t="e">
        <f>AND(Data!U3,"AAAAAF/r/xY=")</f>
        <v>#VALUE!</v>
      </c>
      <c r="X68" t="e">
        <f>AND(Data!V3,"AAAAAF/r/xc=")</f>
        <v>#VALUE!</v>
      </c>
      <c r="Y68" t="e">
        <f>AND(Data!W3,"AAAAAF/r/xg=")</f>
        <v>#VALUE!</v>
      </c>
      <c r="Z68" t="e">
        <f>AND(Data!X3,"AAAAAF/r/xk=")</f>
        <v>#VALUE!</v>
      </c>
      <c r="AA68">
        <f>IF(Data!4:4,"AAAAAF/r/xo=",0)</f>
        <v>0</v>
      </c>
      <c r="AB68" t="e">
        <f>AND(Data!A4,"AAAAAF/r/xs=")</f>
        <v>#VALUE!</v>
      </c>
      <c r="AC68" t="e">
        <f>AND(Data!B4,"AAAAAF/r/xw=")</f>
        <v>#VALUE!</v>
      </c>
      <c r="AD68" t="e">
        <f>AND(Data!C4,"AAAAAF/r/x0=")</f>
        <v>#VALUE!</v>
      </c>
      <c r="AE68" t="e">
        <f>AND(Data!D4,"AAAAAF/r/x4=")</f>
        <v>#VALUE!</v>
      </c>
      <c r="AF68" t="e">
        <f>AND(Data!E4,"AAAAAF/r/x8=")</f>
        <v>#VALUE!</v>
      </c>
      <c r="AG68" t="e">
        <f>AND(Data!F4,"AAAAAF/r/yA=")</f>
        <v>#VALUE!</v>
      </c>
      <c r="AH68" t="e">
        <f>AND(Data!G4,"AAAAAF/r/yE=")</f>
        <v>#VALUE!</v>
      </c>
      <c r="AI68" t="e">
        <f>AND(Data!H4,"AAAAAF/r/yI=")</f>
        <v>#VALUE!</v>
      </c>
      <c r="AJ68" t="e">
        <f>AND(Data!I4,"AAAAAF/r/yM=")</f>
        <v>#VALUE!</v>
      </c>
      <c r="AK68" t="e">
        <f>AND(Data!J4,"AAAAAF/r/yQ=")</f>
        <v>#VALUE!</v>
      </c>
      <c r="AL68" t="e">
        <f>AND(Data!K4,"AAAAAF/r/yU=")</f>
        <v>#VALUE!</v>
      </c>
      <c r="AM68" t="e">
        <f>AND(Data!L4,"AAAAAF/r/yY=")</f>
        <v>#VALUE!</v>
      </c>
      <c r="AN68" t="e">
        <f>AND(Data!M4,"AAAAAF/r/yc=")</f>
        <v>#VALUE!</v>
      </c>
      <c r="AO68" t="e">
        <f>AND(Data!N4,"AAAAAF/r/yg=")</f>
        <v>#VALUE!</v>
      </c>
      <c r="AP68" t="e">
        <f>AND(Data!O4,"AAAAAF/r/yk=")</f>
        <v>#VALUE!</v>
      </c>
      <c r="AQ68" t="e">
        <f>AND(Data!P4,"AAAAAF/r/yo=")</f>
        <v>#VALUE!</v>
      </c>
      <c r="AR68" t="e">
        <f>AND(Data!Q4,"AAAAAF/r/ys=")</f>
        <v>#VALUE!</v>
      </c>
      <c r="AS68" t="e">
        <f>AND(Data!R4,"AAAAAF/r/yw=")</f>
        <v>#VALUE!</v>
      </c>
      <c r="AT68" t="e">
        <f>AND(Data!S4,"AAAAAF/r/y0=")</f>
        <v>#VALUE!</v>
      </c>
      <c r="AU68" t="e">
        <f>AND(Data!T4,"AAAAAF/r/y4=")</f>
        <v>#VALUE!</v>
      </c>
      <c r="AV68" t="e">
        <f>AND(Data!U4,"AAAAAF/r/y8=")</f>
        <v>#VALUE!</v>
      </c>
      <c r="AW68" t="e">
        <f>AND(Data!V4,"AAAAAF/r/zA=")</f>
        <v>#VALUE!</v>
      </c>
      <c r="AX68" t="e">
        <f>AND(Data!W4,"AAAAAF/r/zE=")</f>
        <v>#VALUE!</v>
      </c>
      <c r="AY68" t="e">
        <f>AND(Data!X4,"AAAAAF/r/zI=")</f>
        <v>#VALUE!</v>
      </c>
      <c r="AZ68">
        <f>IF(Data!5:5,"AAAAAF/r/zM=",0)</f>
        <v>0</v>
      </c>
      <c r="BA68" t="e">
        <f>AND(Data!A5,"AAAAAF/r/zQ=")</f>
        <v>#VALUE!</v>
      </c>
      <c r="BB68" t="e">
        <f>AND(Data!B5,"AAAAAF/r/zU=")</f>
        <v>#VALUE!</v>
      </c>
      <c r="BC68" t="e">
        <f>AND(Data!C5,"AAAAAF/r/zY=")</f>
        <v>#VALUE!</v>
      </c>
      <c r="BD68" t="e">
        <f>AND(Data!D5,"AAAAAF/r/zc=")</f>
        <v>#VALUE!</v>
      </c>
      <c r="BE68" t="e">
        <f>AND(Data!E5,"AAAAAF/r/zg=")</f>
        <v>#VALUE!</v>
      </c>
      <c r="BF68" t="e">
        <f>AND(Data!F5,"AAAAAF/r/zk=")</f>
        <v>#VALUE!</v>
      </c>
      <c r="BG68" t="e">
        <f>AND(Data!G5,"AAAAAF/r/zo=")</f>
        <v>#VALUE!</v>
      </c>
      <c r="BH68" t="e">
        <f>AND(Data!H5,"AAAAAF/r/zs=")</f>
        <v>#VALUE!</v>
      </c>
      <c r="BI68" t="e">
        <f>AND(Data!I5,"AAAAAF/r/zw=")</f>
        <v>#VALUE!</v>
      </c>
      <c r="BJ68" t="e">
        <f>AND(Data!J5,"AAAAAF/r/z0=")</f>
        <v>#VALUE!</v>
      </c>
      <c r="BK68" t="e">
        <f>AND(Data!K5,"AAAAAF/r/z4=")</f>
        <v>#VALUE!</v>
      </c>
      <c r="BL68" t="e">
        <f>AND(Data!L5,"AAAAAF/r/z8=")</f>
        <v>#VALUE!</v>
      </c>
      <c r="BM68" t="e">
        <f>AND(Data!M5,"AAAAAF/r/0A=")</f>
        <v>#VALUE!</v>
      </c>
      <c r="BN68" t="e">
        <f>AND(Data!N5,"AAAAAF/r/0E=")</f>
        <v>#VALUE!</v>
      </c>
      <c r="BO68" t="e">
        <f>AND(Data!O5,"AAAAAF/r/0I=")</f>
        <v>#VALUE!</v>
      </c>
      <c r="BP68" t="e">
        <f>AND(Data!P5,"AAAAAF/r/0M=")</f>
        <v>#VALUE!</v>
      </c>
      <c r="BQ68" t="e">
        <f>AND(Data!Q5,"AAAAAF/r/0Q=")</f>
        <v>#VALUE!</v>
      </c>
      <c r="BR68" t="e">
        <f>AND(Data!R5,"AAAAAF/r/0U=")</f>
        <v>#VALUE!</v>
      </c>
      <c r="BS68" t="e">
        <f>AND(Data!S5,"AAAAAF/r/0Y=")</f>
        <v>#VALUE!</v>
      </c>
      <c r="BT68" t="e">
        <f>AND(Data!T5,"AAAAAF/r/0c=")</f>
        <v>#VALUE!</v>
      </c>
      <c r="BU68" t="e">
        <f>AND(Data!U5,"AAAAAF/r/0g=")</f>
        <v>#VALUE!</v>
      </c>
      <c r="BV68" t="e">
        <f>AND(Data!V5,"AAAAAF/r/0k=")</f>
        <v>#VALUE!</v>
      </c>
      <c r="BW68" t="e">
        <f>AND(Data!W5,"AAAAAF/r/0o=")</f>
        <v>#VALUE!</v>
      </c>
      <c r="BX68" t="e">
        <f>AND(Data!X5,"AAAAAF/r/0s=")</f>
        <v>#VALUE!</v>
      </c>
      <c r="BY68">
        <f>IF(Data!6:6,"AAAAAF/r/0w=",0)</f>
        <v>0</v>
      </c>
      <c r="BZ68" t="e">
        <f>AND(Data!A6,"AAAAAF/r/00=")</f>
        <v>#VALUE!</v>
      </c>
      <c r="CA68" t="e">
        <f>AND(Data!B6,"AAAAAF/r/04=")</f>
        <v>#VALUE!</v>
      </c>
      <c r="CB68" t="e">
        <f>AND(Data!C6,"AAAAAF/r/08=")</f>
        <v>#VALUE!</v>
      </c>
      <c r="CC68" t="e">
        <f>AND(Data!D6,"AAAAAF/r/1A=")</f>
        <v>#VALUE!</v>
      </c>
      <c r="CD68" t="e">
        <f>AND(Data!E6,"AAAAAF/r/1E=")</f>
        <v>#VALUE!</v>
      </c>
      <c r="CE68" t="e">
        <f>AND(Data!F6,"AAAAAF/r/1I=")</f>
        <v>#VALUE!</v>
      </c>
      <c r="CF68" t="e">
        <f>AND(Data!G6,"AAAAAF/r/1M=")</f>
        <v>#VALUE!</v>
      </c>
      <c r="CG68" t="e">
        <f>AND(Data!H6,"AAAAAF/r/1Q=")</f>
        <v>#VALUE!</v>
      </c>
      <c r="CH68" t="e">
        <f>AND(Data!I6,"AAAAAF/r/1U=")</f>
        <v>#VALUE!</v>
      </c>
      <c r="CI68" t="e">
        <f>AND(Data!J6,"AAAAAF/r/1Y=")</f>
        <v>#VALUE!</v>
      </c>
      <c r="CJ68" t="e">
        <f>AND(Data!K6,"AAAAAF/r/1c=")</f>
        <v>#VALUE!</v>
      </c>
      <c r="CK68" t="e">
        <f>AND(Data!L6,"AAAAAF/r/1g=")</f>
        <v>#VALUE!</v>
      </c>
      <c r="CL68" t="e">
        <f>AND(Data!M6,"AAAAAF/r/1k=")</f>
        <v>#VALUE!</v>
      </c>
      <c r="CM68" t="e">
        <f>AND(Data!N6,"AAAAAF/r/1o=")</f>
        <v>#VALUE!</v>
      </c>
      <c r="CN68" t="e">
        <f>AND(Data!O6,"AAAAAF/r/1s=")</f>
        <v>#VALUE!</v>
      </c>
      <c r="CO68" t="e">
        <f>AND(Data!P6,"AAAAAF/r/1w=")</f>
        <v>#VALUE!</v>
      </c>
      <c r="CP68" t="e">
        <f>AND(Data!Q6,"AAAAAF/r/10=")</f>
        <v>#VALUE!</v>
      </c>
      <c r="CQ68" t="e">
        <f>AND(Data!R6,"AAAAAF/r/14=")</f>
        <v>#VALUE!</v>
      </c>
      <c r="CR68" t="e">
        <f>AND(Data!S6,"AAAAAF/r/18=")</f>
        <v>#VALUE!</v>
      </c>
      <c r="CS68" t="e">
        <f>AND(Data!T6,"AAAAAF/r/2A=")</f>
        <v>#VALUE!</v>
      </c>
      <c r="CT68" t="e">
        <f>AND(Data!U6,"AAAAAF/r/2E=")</f>
        <v>#VALUE!</v>
      </c>
      <c r="CU68" t="e">
        <f>AND(Data!V6,"AAAAAF/r/2I=")</f>
        <v>#VALUE!</v>
      </c>
      <c r="CV68" t="e">
        <f>AND(Data!W6,"AAAAAF/r/2M=")</f>
        <v>#VALUE!</v>
      </c>
      <c r="CW68" t="e">
        <f>AND(Data!X6,"AAAAAF/r/2Q=")</f>
        <v>#VALUE!</v>
      </c>
      <c r="CX68">
        <f>IF(Data!7:7,"AAAAAF/r/2U=",0)</f>
        <v>0</v>
      </c>
      <c r="CY68" t="e">
        <f>AND(Data!A7,"AAAAAF/r/2Y=")</f>
        <v>#VALUE!</v>
      </c>
      <c r="CZ68" t="e">
        <f>AND(Data!B7,"AAAAAF/r/2c=")</f>
        <v>#VALUE!</v>
      </c>
      <c r="DA68" t="e">
        <f>AND(Data!C7,"AAAAAF/r/2g=")</f>
        <v>#VALUE!</v>
      </c>
      <c r="DB68" t="e">
        <f>AND(Data!D7,"AAAAAF/r/2k=")</f>
        <v>#VALUE!</v>
      </c>
      <c r="DC68" t="e">
        <f>AND(Data!E7,"AAAAAF/r/2o=")</f>
        <v>#VALUE!</v>
      </c>
      <c r="DD68" t="e">
        <f>AND(Data!F7,"AAAAAF/r/2s=")</f>
        <v>#VALUE!</v>
      </c>
      <c r="DE68" t="e">
        <f>AND(Data!G7,"AAAAAF/r/2w=")</f>
        <v>#VALUE!</v>
      </c>
      <c r="DF68" t="e">
        <f>AND(Data!H7,"AAAAAF/r/20=")</f>
        <v>#VALUE!</v>
      </c>
      <c r="DG68" t="e">
        <f>AND(Data!I7,"AAAAAF/r/24=")</f>
        <v>#VALUE!</v>
      </c>
      <c r="DH68" t="e">
        <f>AND(Data!J7,"AAAAAF/r/28=")</f>
        <v>#VALUE!</v>
      </c>
      <c r="DI68" t="e">
        <f>AND(Data!K7,"AAAAAF/r/3A=")</f>
        <v>#VALUE!</v>
      </c>
      <c r="DJ68" t="e">
        <f>AND(Data!L7,"AAAAAF/r/3E=")</f>
        <v>#VALUE!</v>
      </c>
      <c r="DK68" t="e">
        <f>AND(Data!M7,"AAAAAF/r/3I=")</f>
        <v>#VALUE!</v>
      </c>
      <c r="DL68" t="e">
        <f>AND(Data!N7,"AAAAAF/r/3M=")</f>
        <v>#VALUE!</v>
      </c>
      <c r="DM68" t="e">
        <f>AND(Data!O7,"AAAAAF/r/3Q=")</f>
        <v>#VALUE!</v>
      </c>
      <c r="DN68" t="e">
        <f>AND(Data!P7,"AAAAAF/r/3U=")</f>
        <v>#VALUE!</v>
      </c>
      <c r="DO68" t="e">
        <f>AND(Data!Q7,"AAAAAF/r/3Y=")</f>
        <v>#VALUE!</v>
      </c>
      <c r="DP68" t="e">
        <f>AND(Data!R7,"AAAAAF/r/3c=")</f>
        <v>#VALUE!</v>
      </c>
      <c r="DQ68" t="e">
        <f>AND(Data!S7,"AAAAAF/r/3g=")</f>
        <v>#VALUE!</v>
      </c>
      <c r="DR68" t="e">
        <f>AND(Data!T7,"AAAAAF/r/3k=")</f>
        <v>#VALUE!</v>
      </c>
      <c r="DS68" t="e">
        <f>AND(Data!U7,"AAAAAF/r/3o=")</f>
        <v>#VALUE!</v>
      </c>
      <c r="DT68" t="e">
        <f>AND(Data!V7,"AAAAAF/r/3s=")</f>
        <v>#VALUE!</v>
      </c>
      <c r="DU68" t="e">
        <f>AND(Data!W7,"AAAAAF/r/3w=")</f>
        <v>#VALUE!</v>
      </c>
      <c r="DV68" t="e">
        <f>AND(Data!X7,"AAAAAF/r/30=")</f>
        <v>#VALUE!</v>
      </c>
      <c r="DW68">
        <f>IF(Data!8:8,"AAAAAF/r/34=",0)</f>
        <v>0</v>
      </c>
      <c r="DX68" t="e">
        <f>AND(Data!A8,"AAAAAF/r/38=")</f>
        <v>#VALUE!</v>
      </c>
      <c r="DY68" t="e">
        <f>AND(Data!B8,"AAAAAF/r/4A=")</f>
        <v>#VALUE!</v>
      </c>
      <c r="DZ68" t="e">
        <f>AND(Data!C8,"AAAAAF/r/4E=")</f>
        <v>#VALUE!</v>
      </c>
      <c r="EA68" t="e">
        <f>AND(Data!D8,"AAAAAF/r/4I=")</f>
        <v>#VALUE!</v>
      </c>
      <c r="EB68" t="e">
        <f>AND(Data!E8,"AAAAAF/r/4M=")</f>
        <v>#VALUE!</v>
      </c>
      <c r="EC68" t="e">
        <f>AND(Data!F8,"AAAAAF/r/4Q=")</f>
        <v>#VALUE!</v>
      </c>
      <c r="ED68" t="e">
        <f>AND(Data!G8,"AAAAAF/r/4U=")</f>
        <v>#VALUE!</v>
      </c>
      <c r="EE68" t="e">
        <f>AND(Data!H8,"AAAAAF/r/4Y=")</f>
        <v>#VALUE!</v>
      </c>
      <c r="EF68" t="e">
        <f>AND(Data!I8,"AAAAAF/r/4c=")</f>
        <v>#VALUE!</v>
      </c>
      <c r="EG68" t="e">
        <f>AND(Data!J8,"AAAAAF/r/4g=")</f>
        <v>#VALUE!</v>
      </c>
      <c r="EH68" t="e">
        <f>AND(Data!K8,"AAAAAF/r/4k=")</f>
        <v>#VALUE!</v>
      </c>
      <c r="EI68" t="e">
        <f>AND(Data!L8,"AAAAAF/r/4o=")</f>
        <v>#VALUE!</v>
      </c>
      <c r="EJ68" t="e">
        <f>AND(Data!M8,"AAAAAF/r/4s=")</f>
        <v>#VALUE!</v>
      </c>
      <c r="EK68" t="e">
        <f>AND(Data!N8,"AAAAAF/r/4w=")</f>
        <v>#VALUE!</v>
      </c>
      <c r="EL68" t="e">
        <f>AND(Data!O8,"AAAAAF/r/40=")</f>
        <v>#VALUE!</v>
      </c>
      <c r="EM68" t="e">
        <f>AND(Data!P8,"AAAAAF/r/44=")</f>
        <v>#VALUE!</v>
      </c>
      <c r="EN68" t="e">
        <f>AND(Data!Q8,"AAAAAF/r/48=")</f>
        <v>#VALUE!</v>
      </c>
      <c r="EO68" t="e">
        <f>AND(Data!R8,"AAAAAF/r/5A=")</f>
        <v>#VALUE!</v>
      </c>
      <c r="EP68" t="e">
        <f>AND(Data!S8,"AAAAAF/r/5E=")</f>
        <v>#VALUE!</v>
      </c>
      <c r="EQ68" t="e">
        <f>AND(Data!T8,"AAAAAF/r/5I=")</f>
        <v>#VALUE!</v>
      </c>
      <c r="ER68" t="e">
        <f>AND(Data!U8,"AAAAAF/r/5M=")</f>
        <v>#VALUE!</v>
      </c>
      <c r="ES68" t="e">
        <f>AND(Data!V8,"AAAAAF/r/5Q=")</f>
        <v>#VALUE!</v>
      </c>
      <c r="ET68" t="e">
        <f>AND(Data!W8,"AAAAAF/r/5U=")</f>
        <v>#VALUE!</v>
      </c>
      <c r="EU68" t="e">
        <f>AND(Data!X8,"AAAAAF/r/5Y=")</f>
        <v>#VALUE!</v>
      </c>
      <c r="EV68">
        <f>IF(Data!9:9,"AAAAAF/r/5c=",0)</f>
        <v>0</v>
      </c>
      <c r="EW68" t="e">
        <f>AND(Data!A9,"AAAAAF/r/5g=")</f>
        <v>#VALUE!</v>
      </c>
      <c r="EX68" t="e">
        <f>AND(Data!B9,"AAAAAF/r/5k=")</f>
        <v>#VALUE!</v>
      </c>
      <c r="EY68" t="e">
        <f>AND(Data!C9,"AAAAAF/r/5o=")</f>
        <v>#VALUE!</v>
      </c>
      <c r="EZ68" t="e">
        <f>AND(Data!D9,"AAAAAF/r/5s=")</f>
        <v>#VALUE!</v>
      </c>
      <c r="FA68" t="e">
        <f>AND(Data!E9,"AAAAAF/r/5w=")</f>
        <v>#VALUE!</v>
      </c>
      <c r="FB68" t="e">
        <f>AND(Data!F9,"AAAAAF/r/50=")</f>
        <v>#VALUE!</v>
      </c>
      <c r="FC68" t="e">
        <f>AND(Data!G9,"AAAAAF/r/54=")</f>
        <v>#VALUE!</v>
      </c>
      <c r="FD68" t="e">
        <f>AND(Data!H9,"AAAAAF/r/58=")</f>
        <v>#VALUE!</v>
      </c>
      <c r="FE68" t="e">
        <f>AND(Data!I9,"AAAAAF/r/6A=")</f>
        <v>#VALUE!</v>
      </c>
      <c r="FF68" t="e">
        <f>AND(Data!J9,"AAAAAF/r/6E=")</f>
        <v>#VALUE!</v>
      </c>
      <c r="FG68" t="e">
        <f>AND(Data!K9,"AAAAAF/r/6I=")</f>
        <v>#VALUE!</v>
      </c>
      <c r="FH68" t="e">
        <f>AND(Data!L9,"AAAAAF/r/6M=")</f>
        <v>#VALUE!</v>
      </c>
      <c r="FI68" t="e">
        <f>AND(Data!M9,"AAAAAF/r/6Q=")</f>
        <v>#VALUE!</v>
      </c>
      <c r="FJ68" t="e">
        <f>AND(Data!N9,"AAAAAF/r/6U=")</f>
        <v>#VALUE!</v>
      </c>
      <c r="FK68" t="e">
        <f>AND(Data!O9,"AAAAAF/r/6Y=")</f>
        <v>#VALUE!</v>
      </c>
      <c r="FL68" t="e">
        <f>AND(Data!P9,"AAAAAF/r/6c=")</f>
        <v>#VALUE!</v>
      </c>
      <c r="FM68" t="e">
        <f>AND(Data!Q9,"AAAAAF/r/6g=")</f>
        <v>#VALUE!</v>
      </c>
      <c r="FN68" t="e">
        <f>AND(Data!R9,"AAAAAF/r/6k=")</f>
        <v>#VALUE!</v>
      </c>
      <c r="FO68" t="e">
        <f>AND(Data!S9,"AAAAAF/r/6o=")</f>
        <v>#VALUE!</v>
      </c>
      <c r="FP68" t="e">
        <f>AND(Data!T9,"AAAAAF/r/6s=")</f>
        <v>#VALUE!</v>
      </c>
      <c r="FQ68" t="e">
        <f>AND(Data!U9,"AAAAAF/r/6w=")</f>
        <v>#VALUE!</v>
      </c>
      <c r="FR68" t="e">
        <f>AND(Data!V9,"AAAAAF/r/60=")</f>
        <v>#VALUE!</v>
      </c>
      <c r="FS68" t="e">
        <f>AND(Data!W9,"AAAAAF/r/64=")</f>
        <v>#VALUE!</v>
      </c>
      <c r="FT68" t="e">
        <f>AND(Data!X9,"AAAAAF/r/68=")</f>
        <v>#VALUE!</v>
      </c>
      <c r="FU68">
        <f>IF(Data!10:10,"AAAAAF/r/7A=",0)</f>
        <v>0</v>
      </c>
      <c r="FV68" t="e">
        <f>AND(Data!A10,"AAAAAF/r/7E=")</f>
        <v>#VALUE!</v>
      </c>
      <c r="FW68" t="e">
        <f>AND(Data!B10,"AAAAAF/r/7I=")</f>
        <v>#VALUE!</v>
      </c>
      <c r="FX68" t="e">
        <f>AND(Data!C10,"AAAAAF/r/7M=")</f>
        <v>#VALUE!</v>
      </c>
      <c r="FY68" t="e">
        <f>AND(Data!D10,"AAAAAF/r/7Q=")</f>
        <v>#VALUE!</v>
      </c>
      <c r="FZ68" t="e">
        <f>AND(Data!E10,"AAAAAF/r/7U=")</f>
        <v>#VALUE!</v>
      </c>
      <c r="GA68" t="e">
        <f>AND(Data!F10,"AAAAAF/r/7Y=")</f>
        <v>#VALUE!</v>
      </c>
      <c r="GB68" t="e">
        <f>AND(Data!G10,"AAAAAF/r/7c=")</f>
        <v>#VALUE!</v>
      </c>
      <c r="GC68" t="e">
        <f>AND(Data!H10,"AAAAAF/r/7g=")</f>
        <v>#VALUE!</v>
      </c>
      <c r="GD68" t="e">
        <f>AND(Data!I10,"AAAAAF/r/7k=")</f>
        <v>#VALUE!</v>
      </c>
      <c r="GE68" t="e">
        <f>AND(Data!J10,"AAAAAF/r/7o=")</f>
        <v>#VALUE!</v>
      </c>
      <c r="GF68" t="e">
        <f>AND(Data!K10,"AAAAAF/r/7s=")</f>
        <v>#VALUE!</v>
      </c>
      <c r="GG68" t="e">
        <f>AND(Data!L10,"AAAAAF/r/7w=")</f>
        <v>#VALUE!</v>
      </c>
      <c r="GH68" t="e">
        <f>AND(Data!M10,"AAAAAF/r/70=")</f>
        <v>#VALUE!</v>
      </c>
      <c r="GI68" t="e">
        <f>AND(Data!N10,"AAAAAF/r/74=")</f>
        <v>#VALUE!</v>
      </c>
      <c r="GJ68" t="e">
        <f>AND(Data!O10,"AAAAAF/r/78=")</f>
        <v>#VALUE!</v>
      </c>
      <c r="GK68" t="e">
        <f>AND(Data!P10,"AAAAAF/r/8A=")</f>
        <v>#VALUE!</v>
      </c>
      <c r="GL68" t="e">
        <f>AND(Data!Q10,"AAAAAF/r/8E=")</f>
        <v>#VALUE!</v>
      </c>
      <c r="GM68" t="e">
        <f>AND(Data!R10,"AAAAAF/r/8I=")</f>
        <v>#VALUE!</v>
      </c>
      <c r="GN68" t="e">
        <f>AND(Data!S10,"AAAAAF/r/8M=")</f>
        <v>#VALUE!</v>
      </c>
      <c r="GO68" t="e">
        <f>AND(Data!T10,"AAAAAF/r/8Q=")</f>
        <v>#VALUE!</v>
      </c>
      <c r="GP68" t="e">
        <f>AND(Data!U10,"AAAAAF/r/8U=")</f>
        <v>#VALUE!</v>
      </c>
      <c r="GQ68" t="e">
        <f>AND(Data!V10,"AAAAAF/r/8Y=")</f>
        <v>#VALUE!</v>
      </c>
      <c r="GR68" t="e">
        <f>AND(Data!W10,"AAAAAF/r/8c=")</f>
        <v>#VALUE!</v>
      </c>
      <c r="GS68" t="e">
        <f>AND(Data!X10,"AAAAAF/r/8g=")</f>
        <v>#VALUE!</v>
      </c>
      <c r="GT68">
        <f>IF(Data!11:11,"AAAAAF/r/8k=",0)</f>
        <v>0</v>
      </c>
      <c r="GU68" t="e">
        <f>AND(Data!A11,"AAAAAF/r/8o=")</f>
        <v>#VALUE!</v>
      </c>
      <c r="GV68" t="e">
        <f>AND(Data!B11,"AAAAAF/r/8s=")</f>
        <v>#VALUE!</v>
      </c>
      <c r="GW68" t="e">
        <f>AND(Data!C11,"AAAAAF/r/8w=")</f>
        <v>#VALUE!</v>
      </c>
      <c r="GX68" t="e">
        <f>AND(Data!D11,"AAAAAF/r/80=")</f>
        <v>#VALUE!</v>
      </c>
      <c r="GY68" t="e">
        <f>AND(Data!E11,"AAAAAF/r/84=")</f>
        <v>#VALUE!</v>
      </c>
      <c r="GZ68" t="e">
        <f>AND(Data!F11,"AAAAAF/r/88=")</f>
        <v>#VALUE!</v>
      </c>
      <c r="HA68" t="e">
        <f>AND(Data!G11,"AAAAAF/r/9A=")</f>
        <v>#VALUE!</v>
      </c>
      <c r="HB68" t="e">
        <f>AND(Data!H11,"AAAAAF/r/9E=")</f>
        <v>#VALUE!</v>
      </c>
      <c r="HC68" t="e">
        <f>AND(Data!I11,"AAAAAF/r/9I=")</f>
        <v>#VALUE!</v>
      </c>
      <c r="HD68" t="e">
        <f>AND(Data!J11,"AAAAAF/r/9M=")</f>
        <v>#VALUE!</v>
      </c>
      <c r="HE68" t="e">
        <f>AND(Data!K11,"AAAAAF/r/9Q=")</f>
        <v>#VALUE!</v>
      </c>
      <c r="HF68" t="e">
        <f>AND(Data!L11,"AAAAAF/r/9U=")</f>
        <v>#VALUE!</v>
      </c>
      <c r="HG68" t="e">
        <f>AND(Data!M11,"AAAAAF/r/9Y=")</f>
        <v>#VALUE!</v>
      </c>
      <c r="HH68" t="e">
        <f>AND(Data!N11,"AAAAAF/r/9c=")</f>
        <v>#VALUE!</v>
      </c>
      <c r="HI68" t="e">
        <f>AND(Data!O11,"AAAAAF/r/9g=")</f>
        <v>#VALUE!</v>
      </c>
      <c r="HJ68" t="e">
        <f>AND(Data!P11,"AAAAAF/r/9k=")</f>
        <v>#VALUE!</v>
      </c>
      <c r="HK68" t="e">
        <f>AND(Data!Q11,"AAAAAF/r/9o=")</f>
        <v>#VALUE!</v>
      </c>
      <c r="HL68" t="e">
        <f>AND(Data!R11,"AAAAAF/r/9s=")</f>
        <v>#VALUE!</v>
      </c>
      <c r="HM68" t="e">
        <f>AND(Data!S11,"AAAAAF/r/9w=")</f>
        <v>#VALUE!</v>
      </c>
      <c r="HN68" t="e">
        <f>AND(Data!T11,"AAAAAF/r/90=")</f>
        <v>#VALUE!</v>
      </c>
      <c r="HO68" t="e">
        <f>AND(Data!U11,"AAAAAF/r/94=")</f>
        <v>#VALUE!</v>
      </c>
      <c r="HP68" t="e">
        <f>AND(Data!V11,"AAAAAF/r/98=")</f>
        <v>#VALUE!</v>
      </c>
      <c r="HQ68" t="e">
        <f>AND(Data!W11,"AAAAAF/r/+A=")</f>
        <v>#VALUE!</v>
      </c>
      <c r="HR68" t="e">
        <f>AND(Data!X11,"AAAAAF/r/+E=")</f>
        <v>#VALUE!</v>
      </c>
      <c r="HS68">
        <f>IF(Data!12:12,"AAAAAF/r/+I=",0)</f>
        <v>0</v>
      </c>
      <c r="HT68" t="e">
        <f>AND(Data!A12,"AAAAAF/r/+M=")</f>
        <v>#VALUE!</v>
      </c>
      <c r="HU68" t="e">
        <f>AND(Data!B12,"AAAAAF/r/+Q=")</f>
        <v>#VALUE!</v>
      </c>
      <c r="HV68" t="e">
        <f>AND(Data!C12,"AAAAAF/r/+U=")</f>
        <v>#VALUE!</v>
      </c>
      <c r="HW68" t="e">
        <f>AND(Data!D12,"AAAAAF/r/+Y=")</f>
        <v>#VALUE!</v>
      </c>
      <c r="HX68" t="e">
        <f>AND(Data!E12,"AAAAAF/r/+c=")</f>
        <v>#VALUE!</v>
      </c>
      <c r="HY68" t="e">
        <f>AND(Data!F12,"AAAAAF/r/+g=")</f>
        <v>#VALUE!</v>
      </c>
      <c r="HZ68" t="e">
        <f>AND(Data!G12,"AAAAAF/r/+k=")</f>
        <v>#VALUE!</v>
      </c>
      <c r="IA68" t="e">
        <f>AND(Data!H12,"AAAAAF/r/+o=")</f>
        <v>#VALUE!</v>
      </c>
      <c r="IB68" t="e">
        <f>AND(Data!I12,"AAAAAF/r/+s=")</f>
        <v>#VALUE!</v>
      </c>
      <c r="IC68" t="e">
        <f>AND(Data!J12,"AAAAAF/r/+w=")</f>
        <v>#VALUE!</v>
      </c>
      <c r="ID68" t="e">
        <f>AND(Data!K12,"AAAAAF/r/+0=")</f>
        <v>#VALUE!</v>
      </c>
      <c r="IE68" t="e">
        <f>AND(Data!L12,"AAAAAF/r/+4=")</f>
        <v>#VALUE!</v>
      </c>
      <c r="IF68" t="e">
        <f>AND(Data!M12,"AAAAAF/r/+8=")</f>
        <v>#VALUE!</v>
      </c>
      <c r="IG68" t="e">
        <f>AND(Data!N12,"AAAAAF/r//A=")</f>
        <v>#VALUE!</v>
      </c>
      <c r="IH68" t="e">
        <f>AND(Data!O12,"AAAAAF/r//E=")</f>
        <v>#VALUE!</v>
      </c>
      <c r="II68" t="e">
        <f>AND(Data!P12,"AAAAAF/r//I=")</f>
        <v>#VALUE!</v>
      </c>
      <c r="IJ68" t="e">
        <f>AND(Data!Q12,"AAAAAF/r//M=")</f>
        <v>#VALUE!</v>
      </c>
      <c r="IK68" t="e">
        <f>AND(Data!R12,"AAAAAF/r//Q=")</f>
        <v>#VALUE!</v>
      </c>
      <c r="IL68" t="e">
        <f>AND(Data!S12,"AAAAAF/r//U=")</f>
        <v>#VALUE!</v>
      </c>
      <c r="IM68" t="e">
        <f>AND(Data!T12,"AAAAAF/r//Y=")</f>
        <v>#VALUE!</v>
      </c>
      <c r="IN68" t="e">
        <f>AND(Data!U12,"AAAAAF/r//c=")</f>
        <v>#VALUE!</v>
      </c>
      <c r="IO68" t="e">
        <f>AND(Data!V12,"AAAAAF/r//g=")</f>
        <v>#VALUE!</v>
      </c>
      <c r="IP68" t="e">
        <f>AND(Data!W12,"AAAAAF/r//k=")</f>
        <v>#VALUE!</v>
      </c>
      <c r="IQ68" t="e">
        <f>AND(Data!X12,"AAAAAF/r//o=")</f>
        <v>#VALUE!</v>
      </c>
      <c r="IR68">
        <f>IF(Data!13:13,"AAAAAF/r//s=",0)</f>
        <v>0</v>
      </c>
      <c r="IS68" t="e">
        <f>AND(Data!A13,"AAAAAF/r//w=")</f>
        <v>#VALUE!</v>
      </c>
      <c r="IT68" t="e">
        <f>AND(Data!B13,"AAAAAF/r//0=")</f>
        <v>#VALUE!</v>
      </c>
      <c r="IU68" t="e">
        <f>AND(Data!C13,"AAAAAF/r//4=")</f>
        <v>#VALUE!</v>
      </c>
      <c r="IV68" t="e">
        <f>AND(Data!D13,"AAAAAF/r//8=")</f>
        <v>#VALUE!</v>
      </c>
    </row>
    <row r="69" spans="1:256" x14ac:dyDescent="0.2">
      <c r="A69" t="e">
        <f>AND(Data!E13,"AAAAAG/7/wA=")</f>
        <v>#VALUE!</v>
      </c>
      <c r="B69" t="e">
        <f>AND(Data!F13,"AAAAAG/7/wE=")</f>
        <v>#VALUE!</v>
      </c>
      <c r="C69" t="e">
        <f>AND(Data!G13,"AAAAAG/7/wI=")</f>
        <v>#VALUE!</v>
      </c>
      <c r="D69" t="e">
        <f>AND(Data!H13,"AAAAAG/7/wM=")</f>
        <v>#VALUE!</v>
      </c>
      <c r="E69" t="e">
        <f>AND(Data!I13,"AAAAAG/7/wQ=")</f>
        <v>#VALUE!</v>
      </c>
      <c r="F69" t="e">
        <f>AND(Data!J13,"AAAAAG/7/wU=")</f>
        <v>#VALUE!</v>
      </c>
      <c r="G69" t="e">
        <f>AND(Data!K13,"AAAAAG/7/wY=")</f>
        <v>#VALUE!</v>
      </c>
      <c r="H69" t="e">
        <f>AND(Data!L13,"AAAAAG/7/wc=")</f>
        <v>#VALUE!</v>
      </c>
      <c r="I69" t="e">
        <f>AND(Data!M13,"AAAAAG/7/wg=")</f>
        <v>#VALUE!</v>
      </c>
      <c r="J69" t="e">
        <f>AND(Data!N13,"AAAAAG/7/wk=")</f>
        <v>#VALUE!</v>
      </c>
      <c r="K69" t="e">
        <f>AND(Data!O13,"AAAAAG/7/wo=")</f>
        <v>#VALUE!</v>
      </c>
      <c r="L69" t="e">
        <f>AND(Data!P13,"AAAAAG/7/ws=")</f>
        <v>#VALUE!</v>
      </c>
      <c r="M69" t="e">
        <f>AND(Data!Q13,"AAAAAG/7/ww=")</f>
        <v>#VALUE!</v>
      </c>
      <c r="N69" t="e">
        <f>AND(Data!R13,"AAAAAG/7/w0=")</f>
        <v>#VALUE!</v>
      </c>
      <c r="O69" t="e">
        <f>AND(Data!S13,"AAAAAG/7/w4=")</f>
        <v>#VALUE!</v>
      </c>
      <c r="P69" t="e">
        <f>AND(Data!T13,"AAAAAG/7/w8=")</f>
        <v>#VALUE!</v>
      </c>
      <c r="Q69" t="e">
        <f>AND(Data!U13,"AAAAAG/7/xA=")</f>
        <v>#VALUE!</v>
      </c>
      <c r="R69" t="e">
        <f>AND(Data!V13,"AAAAAG/7/xE=")</f>
        <v>#VALUE!</v>
      </c>
      <c r="S69" t="e">
        <f>AND(Data!W13,"AAAAAG/7/xI=")</f>
        <v>#VALUE!</v>
      </c>
      <c r="T69" t="e">
        <f>AND(Data!X13,"AAAAAG/7/xM=")</f>
        <v>#VALUE!</v>
      </c>
      <c r="U69">
        <f>IF(Data!14:14,"AAAAAG/7/xQ=",0)</f>
        <v>0</v>
      </c>
      <c r="V69" t="e">
        <f>AND(Data!A14,"AAAAAG/7/xU=")</f>
        <v>#VALUE!</v>
      </c>
      <c r="W69" t="e">
        <f>AND(Data!B14,"AAAAAG/7/xY=")</f>
        <v>#VALUE!</v>
      </c>
      <c r="X69" t="e">
        <f>AND(Data!C14,"AAAAAG/7/xc=")</f>
        <v>#VALUE!</v>
      </c>
      <c r="Y69" t="e">
        <f>AND(Data!D14,"AAAAAG/7/xg=")</f>
        <v>#VALUE!</v>
      </c>
      <c r="Z69" t="e">
        <f>AND(Data!E14,"AAAAAG/7/xk=")</f>
        <v>#VALUE!</v>
      </c>
      <c r="AA69" t="e">
        <f>AND(Data!F14,"AAAAAG/7/xo=")</f>
        <v>#VALUE!</v>
      </c>
      <c r="AB69" t="e">
        <f>AND(Data!G14,"AAAAAG/7/xs=")</f>
        <v>#VALUE!</v>
      </c>
      <c r="AC69" t="e">
        <f>AND(Data!H14,"AAAAAG/7/xw=")</f>
        <v>#VALUE!</v>
      </c>
      <c r="AD69" t="e">
        <f>AND(Data!I14,"AAAAAG/7/x0=")</f>
        <v>#VALUE!</v>
      </c>
      <c r="AE69" t="e">
        <f>AND(Data!J14,"AAAAAG/7/x4=")</f>
        <v>#VALUE!</v>
      </c>
      <c r="AF69" t="e">
        <f>AND(Data!K14,"AAAAAG/7/x8=")</f>
        <v>#VALUE!</v>
      </c>
      <c r="AG69" t="e">
        <f>AND(Data!L14,"AAAAAG/7/yA=")</f>
        <v>#VALUE!</v>
      </c>
      <c r="AH69" t="e">
        <f>AND(Data!M14,"AAAAAG/7/yE=")</f>
        <v>#VALUE!</v>
      </c>
      <c r="AI69" t="e">
        <f>AND(Data!N14,"AAAAAG/7/yI=")</f>
        <v>#VALUE!</v>
      </c>
      <c r="AJ69" t="e">
        <f>AND(Data!O14,"AAAAAG/7/yM=")</f>
        <v>#VALUE!</v>
      </c>
      <c r="AK69" t="e">
        <f>AND(Data!P14,"AAAAAG/7/yQ=")</f>
        <v>#VALUE!</v>
      </c>
      <c r="AL69" t="e">
        <f>AND(Data!Q14,"AAAAAG/7/yU=")</f>
        <v>#VALUE!</v>
      </c>
      <c r="AM69" t="e">
        <f>AND(Data!R14,"AAAAAG/7/yY=")</f>
        <v>#VALUE!</v>
      </c>
      <c r="AN69" t="e">
        <f>AND(Data!S14,"AAAAAG/7/yc=")</f>
        <v>#VALUE!</v>
      </c>
      <c r="AO69" t="e">
        <f>AND(Data!T14,"AAAAAG/7/yg=")</f>
        <v>#VALUE!</v>
      </c>
      <c r="AP69" t="e">
        <f>AND(Data!U14,"AAAAAG/7/yk=")</f>
        <v>#VALUE!</v>
      </c>
      <c r="AQ69" t="e">
        <f>AND(Data!V14,"AAAAAG/7/yo=")</f>
        <v>#VALUE!</v>
      </c>
      <c r="AR69" t="e">
        <f>AND(Data!W14,"AAAAAG/7/ys=")</f>
        <v>#VALUE!</v>
      </c>
      <c r="AS69" t="e">
        <f>AND(Data!X14,"AAAAAG/7/yw=")</f>
        <v>#VALUE!</v>
      </c>
      <c r="AT69">
        <f>IF(Data!15:15,"AAAAAG/7/y0=",0)</f>
        <v>0</v>
      </c>
      <c r="AU69" t="e">
        <f>AND(Data!A15,"AAAAAG/7/y4=")</f>
        <v>#VALUE!</v>
      </c>
      <c r="AV69" t="e">
        <f>AND(Data!B15,"AAAAAG/7/y8=")</f>
        <v>#VALUE!</v>
      </c>
      <c r="AW69" t="e">
        <f>AND(Data!C15,"AAAAAG/7/zA=")</f>
        <v>#VALUE!</v>
      </c>
      <c r="AX69" t="e">
        <f>AND(Data!D15,"AAAAAG/7/zE=")</f>
        <v>#VALUE!</v>
      </c>
      <c r="AY69" t="e">
        <f>AND(Data!E15,"AAAAAG/7/zI=")</f>
        <v>#VALUE!</v>
      </c>
      <c r="AZ69" t="e">
        <f>AND(Data!F15,"AAAAAG/7/zM=")</f>
        <v>#VALUE!</v>
      </c>
      <c r="BA69" t="e">
        <f>AND(Data!G15,"AAAAAG/7/zQ=")</f>
        <v>#VALUE!</v>
      </c>
      <c r="BB69" t="e">
        <f>AND(Data!H15,"AAAAAG/7/zU=")</f>
        <v>#VALUE!</v>
      </c>
      <c r="BC69" t="e">
        <f>AND(Data!I15,"AAAAAG/7/zY=")</f>
        <v>#VALUE!</v>
      </c>
      <c r="BD69" t="e">
        <f>AND(Data!J15,"AAAAAG/7/zc=")</f>
        <v>#VALUE!</v>
      </c>
      <c r="BE69" t="e">
        <f>AND(Data!K15,"AAAAAG/7/zg=")</f>
        <v>#VALUE!</v>
      </c>
      <c r="BF69" t="e">
        <f>AND(Data!L15,"AAAAAG/7/zk=")</f>
        <v>#VALUE!</v>
      </c>
      <c r="BG69" t="e">
        <f>AND(Data!M15,"AAAAAG/7/zo=")</f>
        <v>#VALUE!</v>
      </c>
      <c r="BH69" t="e">
        <f>AND(Data!N15,"AAAAAG/7/zs=")</f>
        <v>#VALUE!</v>
      </c>
      <c r="BI69" t="e">
        <f>AND(Data!O15,"AAAAAG/7/zw=")</f>
        <v>#VALUE!</v>
      </c>
      <c r="BJ69" t="e">
        <f>AND(Data!P15,"AAAAAG/7/z0=")</f>
        <v>#VALUE!</v>
      </c>
      <c r="BK69" t="e">
        <f>AND(Data!Q15,"AAAAAG/7/z4=")</f>
        <v>#VALUE!</v>
      </c>
      <c r="BL69" t="e">
        <f>AND(Data!R15,"AAAAAG/7/z8=")</f>
        <v>#VALUE!</v>
      </c>
      <c r="BM69" t="e">
        <f>AND(Data!S15,"AAAAAG/7/0A=")</f>
        <v>#VALUE!</v>
      </c>
      <c r="BN69" t="e">
        <f>AND(Data!T15,"AAAAAG/7/0E=")</f>
        <v>#VALUE!</v>
      </c>
      <c r="BO69" t="e">
        <f>AND(Data!U15,"AAAAAG/7/0I=")</f>
        <v>#VALUE!</v>
      </c>
      <c r="BP69" t="e">
        <f>AND(Data!V15,"AAAAAG/7/0M=")</f>
        <v>#VALUE!</v>
      </c>
      <c r="BQ69" t="e">
        <f>AND(Data!W15,"AAAAAG/7/0Q=")</f>
        <v>#VALUE!</v>
      </c>
      <c r="BR69" t="e">
        <f>AND(Data!X15,"AAAAAG/7/0U=")</f>
        <v>#VALUE!</v>
      </c>
      <c r="BS69">
        <f>IF(Data!16:16,"AAAAAG/7/0Y=",0)</f>
        <v>0</v>
      </c>
      <c r="BT69" t="e">
        <f>AND(Data!A16,"AAAAAG/7/0c=")</f>
        <v>#VALUE!</v>
      </c>
      <c r="BU69" t="e">
        <f>AND(Data!B16,"AAAAAG/7/0g=")</f>
        <v>#VALUE!</v>
      </c>
      <c r="BV69" t="e">
        <f>AND(Data!C16,"AAAAAG/7/0k=")</f>
        <v>#VALUE!</v>
      </c>
      <c r="BW69" t="e">
        <f>AND(Data!D16,"AAAAAG/7/0o=")</f>
        <v>#VALUE!</v>
      </c>
      <c r="BX69" t="e">
        <f>AND(Data!E16,"AAAAAG/7/0s=")</f>
        <v>#VALUE!</v>
      </c>
      <c r="BY69" t="e">
        <f>AND(Data!F16,"AAAAAG/7/0w=")</f>
        <v>#VALUE!</v>
      </c>
      <c r="BZ69" t="e">
        <f>AND(Data!G16,"AAAAAG/7/00=")</f>
        <v>#VALUE!</v>
      </c>
      <c r="CA69" t="e">
        <f>AND(Data!H16,"AAAAAG/7/04=")</f>
        <v>#VALUE!</v>
      </c>
      <c r="CB69" t="e">
        <f>AND(Data!I16,"AAAAAG/7/08=")</f>
        <v>#VALUE!</v>
      </c>
      <c r="CC69" t="e">
        <f>AND(Data!J16,"AAAAAG/7/1A=")</f>
        <v>#VALUE!</v>
      </c>
      <c r="CD69" t="e">
        <f>AND(Data!K16,"AAAAAG/7/1E=")</f>
        <v>#VALUE!</v>
      </c>
      <c r="CE69" t="e">
        <f>AND(Data!L16,"AAAAAG/7/1I=")</f>
        <v>#VALUE!</v>
      </c>
      <c r="CF69" t="e">
        <f>AND(Data!M16,"AAAAAG/7/1M=")</f>
        <v>#VALUE!</v>
      </c>
      <c r="CG69" t="e">
        <f>AND(Data!N16,"AAAAAG/7/1Q=")</f>
        <v>#VALUE!</v>
      </c>
      <c r="CH69" t="e">
        <f>AND(Data!O16,"AAAAAG/7/1U=")</f>
        <v>#VALUE!</v>
      </c>
      <c r="CI69" t="e">
        <f>AND(Data!P16,"AAAAAG/7/1Y=")</f>
        <v>#VALUE!</v>
      </c>
      <c r="CJ69" t="e">
        <f>AND(Data!Q16,"AAAAAG/7/1c=")</f>
        <v>#VALUE!</v>
      </c>
      <c r="CK69" t="e">
        <f>AND(Data!R16,"AAAAAG/7/1g=")</f>
        <v>#VALUE!</v>
      </c>
      <c r="CL69" t="e">
        <f>AND(Data!S16,"AAAAAG/7/1k=")</f>
        <v>#VALUE!</v>
      </c>
      <c r="CM69" t="e">
        <f>AND(Data!T16,"AAAAAG/7/1o=")</f>
        <v>#VALUE!</v>
      </c>
      <c r="CN69" t="e">
        <f>AND(Data!U16,"AAAAAG/7/1s=")</f>
        <v>#VALUE!</v>
      </c>
      <c r="CO69" t="e">
        <f>AND(Data!V16,"AAAAAG/7/1w=")</f>
        <v>#VALUE!</v>
      </c>
      <c r="CP69" t="e">
        <f>AND(Data!W16,"AAAAAG/7/10=")</f>
        <v>#VALUE!</v>
      </c>
      <c r="CQ69" t="e">
        <f>AND(Data!X16,"AAAAAG/7/14=")</f>
        <v>#VALUE!</v>
      </c>
      <c r="CR69">
        <f>IF(Data!17:17,"AAAAAG/7/18=",0)</f>
        <v>0</v>
      </c>
      <c r="CS69" t="e">
        <f>AND(Data!A17,"AAAAAG/7/2A=")</f>
        <v>#VALUE!</v>
      </c>
      <c r="CT69" t="e">
        <f>AND(Data!B17,"AAAAAG/7/2E=")</f>
        <v>#VALUE!</v>
      </c>
      <c r="CU69" t="e">
        <f>AND(Data!C17,"AAAAAG/7/2I=")</f>
        <v>#VALUE!</v>
      </c>
      <c r="CV69" t="e">
        <f>AND(Data!D17,"AAAAAG/7/2M=")</f>
        <v>#VALUE!</v>
      </c>
      <c r="CW69" t="e">
        <f>AND(Data!E17,"AAAAAG/7/2Q=")</f>
        <v>#VALUE!</v>
      </c>
      <c r="CX69" t="e">
        <f>AND(Data!F17,"AAAAAG/7/2U=")</f>
        <v>#VALUE!</v>
      </c>
      <c r="CY69" t="e">
        <f>AND(Data!G17,"AAAAAG/7/2Y=")</f>
        <v>#VALUE!</v>
      </c>
      <c r="CZ69" t="e">
        <f>AND(Data!H17,"AAAAAG/7/2c=")</f>
        <v>#VALUE!</v>
      </c>
      <c r="DA69" t="e">
        <f>AND(Data!I17,"AAAAAG/7/2g=")</f>
        <v>#VALUE!</v>
      </c>
      <c r="DB69" t="e">
        <f>AND(Data!J17,"AAAAAG/7/2k=")</f>
        <v>#VALUE!</v>
      </c>
      <c r="DC69" t="e">
        <f>AND(Data!K17,"AAAAAG/7/2o=")</f>
        <v>#VALUE!</v>
      </c>
      <c r="DD69" t="e">
        <f>AND(Data!L17,"AAAAAG/7/2s=")</f>
        <v>#VALUE!</v>
      </c>
      <c r="DE69" t="e">
        <f>AND(Data!M17,"AAAAAG/7/2w=")</f>
        <v>#VALUE!</v>
      </c>
      <c r="DF69" t="e">
        <f>AND(Data!N17,"AAAAAG/7/20=")</f>
        <v>#VALUE!</v>
      </c>
      <c r="DG69" t="e">
        <f>AND(Data!O17,"AAAAAG/7/24=")</f>
        <v>#VALUE!</v>
      </c>
      <c r="DH69" t="e">
        <f>AND(Data!P17,"AAAAAG/7/28=")</f>
        <v>#VALUE!</v>
      </c>
      <c r="DI69" t="e">
        <f>AND(Data!Q17,"AAAAAG/7/3A=")</f>
        <v>#VALUE!</v>
      </c>
      <c r="DJ69" t="e">
        <f>AND(Data!R17,"AAAAAG/7/3E=")</f>
        <v>#VALUE!</v>
      </c>
      <c r="DK69" t="e">
        <f>AND(Data!S17,"AAAAAG/7/3I=")</f>
        <v>#VALUE!</v>
      </c>
      <c r="DL69" t="e">
        <f>AND(Data!T17,"AAAAAG/7/3M=")</f>
        <v>#VALUE!</v>
      </c>
      <c r="DM69" t="e">
        <f>AND(Data!U17,"AAAAAG/7/3Q=")</f>
        <v>#VALUE!</v>
      </c>
      <c r="DN69" t="e">
        <f>AND(Data!V17,"AAAAAG/7/3U=")</f>
        <v>#VALUE!</v>
      </c>
      <c r="DO69" t="e">
        <f>AND(Data!W17,"AAAAAG/7/3Y=")</f>
        <v>#VALUE!</v>
      </c>
      <c r="DP69" t="e">
        <f>AND(Data!X17,"AAAAAG/7/3c=")</f>
        <v>#VALUE!</v>
      </c>
      <c r="DQ69">
        <f>IF(Data!18:18,"AAAAAG/7/3g=",0)</f>
        <v>0</v>
      </c>
      <c r="DR69" t="e">
        <f>AND(Data!A18,"AAAAAG/7/3k=")</f>
        <v>#VALUE!</v>
      </c>
      <c r="DS69" t="e">
        <f>AND(Data!B18,"AAAAAG/7/3o=")</f>
        <v>#VALUE!</v>
      </c>
      <c r="DT69" t="e">
        <f>AND(Data!C18,"AAAAAG/7/3s=")</f>
        <v>#VALUE!</v>
      </c>
      <c r="DU69" t="e">
        <f>AND(Data!D18,"AAAAAG/7/3w=")</f>
        <v>#VALUE!</v>
      </c>
      <c r="DV69" t="e">
        <f>AND(Data!E18,"AAAAAG/7/30=")</f>
        <v>#VALUE!</v>
      </c>
      <c r="DW69" t="e">
        <f>AND(Data!F18,"AAAAAG/7/34=")</f>
        <v>#VALUE!</v>
      </c>
      <c r="DX69" t="e">
        <f>AND(Data!G18,"AAAAAG/7/38=")</f>
        <v>#VALUE!</v>
      </c>
      <c r="DY69" t="e">
        <f>AND(Data!H18,"AAAAAG/7/4A=")</f>
        <v>#VALUE!</v>
      </c>
      <c r="DZ69" t="e">
        <f>AND(Data!I18,"AAAAAG/7/4E=")</f>
        <v>#VALUE!</v>
      </c>
      <c r="EA69" t="e">
        <f>AND(Data!J18,"AAAAAG/7/4I=")</f>
        <v>#VALUE!</v>
      </c>
      <c r="EB69" t="e">
        <f>AND(Data!K18,"AAAAAG/7/4M=")</f>
        <v>#VALUE!</v>
      </c>
      <c r="EC69" t="e">
        <f>AND(Data!L18,"AAAAAG/7/4Q=")</f>
        <v>#VALUE!</v>
      </c>
      <c r="ED69" t="e">
        <f>AND(Data!M18,"AAAAAG/7/4U=")</f>
        <v>#VALUE!</v>
      </c>
      <c r="EE69" t="e">
        <f>AND(Data!N18,"AAAAAG/7/4Y=")</f>
        <v>#VALUE!</v>
      </c>
      <c r="EF69" t="e">
        <f>AND(Data!O18,"AAAAAG/7/4c=")</f>
        <v>#VALUE!</v>
      </c>
      <c r="EG69" t="e">
        <f>AND(Data!P18,"AAAAAG/7/4g=")</f>
        <v>#VALUE!</v>
      </c>
      <c r="EH69" t="e">
        <f>AND(Data!Q18,"AAAAAG/7/4k=")</f>
        <v>#VALUE!</v>
      </c>
      <c r="EI69" t="e">
        <f>AND(Data!R18,"AAAAAG/7/4o=")</f>
        <v>#VALUE!</v>
      </c>
      <c r="EJ69" t="e">
        <f>AND(Data!S18,"AAAAAG/7/4s=")</f>
        <v>#VALUE!</v>
      </c>
      <c r="EK69" t="e">
        <f>AND(Data!T18,"AAAAAG/7/4w=")</f>
        <v>#VALUE!</v>
      </c>
      <c r="EL69" t="e">
        <f>AND(Data!U18,"AAAAAG/7/40=")</f>
        <v>#VALUE!</v>
      </c>
      <c r="EM69" t="e">
        <f>AND(Data!V18,"AAAAAG/7/44=")</f>
        <v>#VALUE!</v>
      </c>
      <c r="EN69" t="e">
        <f>AND(Data!W18,"AAAAAG/7/48=")</f>
        <v>#VALUE!</v>
      </c>
      <c r="EO69" t="e">
        <f>AND(Data!X18,"AAAAAG/7/5A=")</f>
        <v>#VALUE!</v>
      </c>
      <c r="EP69">
        <f>IF(Data!19:19,"AAAAAG/7/5E=",0)</f>
        <v>0</v>
      </c>
      <c r="EQ69" t="e">
        <f>AND(Data!A19,"AAAAAG/7/5I=")</f>
        <v>#VALUE!</v>
      </c>
      <c r="ER69" t="e">
        <f>AND(Data!B19,"AAAAAG/7/5M=")</f>
        <v>#VALUE!</v>
      </c>
      <c r="ES69" t="e">
        <f>AND(Data!C19,"AAAAAG/7/5Q=")</f>
        <v>#VALUE!</v>
      </c>
      <c r="ET69" t="e">
        <f>AND(Data!D19,"AAAAAG/7/5U=")</f>
        <v>#VALUE!</v>
      </c>
      <c r="EU69" t="e">
        <f>AND(Data!E19,"AAAAAG/7/5Y=")</f>
        <v>#VALUE!</v>
      </c>
      <c r="EV69" t="e">
        <f>AND(Data!F19,"AAAAAG/7/5c=")</f>
        <v>#VALUE!</v>
      </c>
      <c r="EW69" t="e">
        <f>AND(Data!G19,"AAAAAG/7/5g=")</f>
        <v>#VALUE!</v>
      </c>
      <c r="EX69" t="e">
        <f>AND(Data!H19,"AAAAAG/7/5k=")</f>
        <v>#VALUE!</v>
      </c>
      <c r="EY69" t="e">
        <f>AND(Data!I19,"AAAAAG/7/5o=")</f>
        <v>#VALUE!</v>
      </c>
      <c r="EZ69" t="e">
        <f>AND(Data!J19,"AAAAAG/7/5s=")</f>
        <v>#VALUE!</v>
      </c>
      <c r="FA69" t="e">
        <f>AND(Data!K19,"AAAAAG/7/5w=")</f>
        <v>#VALUE!</v>
      </c>
      <c r="FB69" t="e">
        <f>AND(Data!L19,"AAAAAG/7/50=")</f>
        <v>#VALUE!</v>
      </c>
      <c r="FC69" t="e">
        <f>AND(Data!M19,"AAAAAG/7/54=")</f>
        <v>#VALUE!</v>
      </c>
      <c r="FD69" t="e">
        <f>AND(Data!N19,"AAAAAG/7/58=")</f>
        <v>#VALUE!</v>
      </c>
      <c r="FE69" t="e">
        <f>AND(Data!O19,"AAAAAG/7/6A=")</f>
        <v>#VALUE!</v>
      </c>
      <c r="FF69" t="e">
        <f>AND(Data!P19,"AAAAAG/7/6E=")</f>
        <v>#VALUE!</v>
      </c>
      <c r="FG69" t="e">
        <f>AND(Data!Q19,"AAAAAG/7/6I=")</f>
        <v>#VALUE!</v>
      </c>
      <c r="FH69" t="e">
        <f>AND(Data!R19,"AAAAAG/7/6M=")</f>
        <v>#VALUE!</v>
      </c>
      <c r="FI69" t="e">
        <f>AND(Data!S19,"AAAAAG/7/6Q=")</f>
        <v>#VALUE!</v>
      </c>
      <c r="FJ69" t="e">
        <f>AND(Data!T19,"AAAAAG/7/6U=")</f>
        <v>#VALUE!</v>
      </c>
      <c r="FK69" t="e">
        <f>AND(Data!U19,"AAAAAG/7/6Y=")</f>
        <v>#VALUE!</v>
      </c>
      <c r="FL69" t="e">
        <f>AND(Data!V19,"AAAAAG/7/6c=")</f>
        <v>#VALUE!</v>
      </c>
      <c r="FM69" t="e">
        <f>AND(Data!W19,"AAAAAG/7/6g=")</f>
        <v>#VALUE!</v>
      </c>
      <c r="FN69" t="e">
        <f>AND(Data!X19,"AAAAAG/7/6k=")</f>
        <v>#VALUE!</v>
      </c>
      <c r="FO69">
        <f>IF(Data!20:20,"AAAAAG/7/6o=",0)</f>
        <v>0</v>
      </c>
      <c r="FP69" t="e">
        <f>AND(Data!A20,"AAAAAG/7/6s=")</f>
        <v>#VALUE!</v>
      </c>
      <c r="FQ69" t="e">
        <f>AND(Data!B20,"AAAAAG/7/6w=")</f>
        <v>#VALUE!</v>
      </c>
      <c r="FR69" t="e">
        <f>AND(Data!C20,"AAAAAG/7/60=")</f>
        <v>#VALUE!</v>
      </c>
      <c r="FS69" t="e">
        <f>AND(Data!D20,"AAAAAG/7/64=")</f>
        <v>#VALUE!</v>
      </c>
      <c r="FT69" t="e">
        <f>AND(Data!E20,"AAAAAG/7/68=")</f>
        <v>#VALUE!</v>
      </c>
      <c r="FU69" t="e">
        <f>AND(Data!F20,"AAAAAG/7/7A=")</f>
        <v>#VALUE!</v>
      </c>
      <c r="FV69" t="e">
        <f>AND(Data!G20,"AAAAAG/7/7E=")</f>
        <v>#VALUE!</v>
      </c>
      <c r="FW69" t="e">
        <f>AND(Data!H20,"AAAAAG/7/7I=")</f>
        <v>#VALUE!</v>
      </c>
      <c r="FX69" t="e">
        <f>AND(Data!I20,"AAAAAG/7/7M=")</f>
        <v>#VALUE!</v>
      </c>
      <c r="FY69" t="e">
        <f>AND(Data!J20,"AAAAAG/7/7Q=")</f>
        <v>#VALUE!</v>
      </c>
      <c r="FZ69" t="e">
        <f>AND(Data!K20,"AAAAAG/7/7U=")</f>
        <v>#VALUE!</v>
      </c>
      <c r="GA69" t="e">
        <f>AND(Data!L20,"AAAAAG/7/7Y=")</f>
        <v>#VALUE!</v>
      </c>
      <c r="GB69" t="e">
        <f>AND(Data!M20,"AAAAAG/7/7c=")</f>
        <v>#VALUE!</v>
      </c>
      <c r="GC69" t="e">
        <f>AND(Data!N20,"AAAAAG/7/7g=")</f>
        <v>#VALUE!</v>
      </c>
      <c r="GD69" t="e">
        <f>AND(Data!O20,"AAAAAG/7/7k=")</f>
        <v>#VALUE!</v>
      </c>
      <c r="GE69" t="e">
        <f>AND(Data!P20,"AAAAAG/7/7o=")</f>
        <v>#VALUE!</v>
      </c>
      <c r="GF69" t="e">
        <f>AND(Data!Q20,"AAAAAG/7/7s=")</f>
        <v>#VALUE!</v>
      </c>
      <c r="GG69" t="e">
        <f>AND(Data!R20,"AAAAAG/7/7w=")</f>
        <v>#VALUE!</v>
      </c>
      <c r="GH69" t="e">
        <f>AND(Data!S20,"AAAAAG/7/70=")</f>
        <v>#VALUE!</v>
      </c>
      <c r="GI69" t="e">
        <f>AND(Data!T20,"AAAAAG/7/74=")</f>
        <v>#VALUE!</v>
      </c>
      <c r="GJ69" t="e">
        <f>AND(Data!U20,"AAAAAG/7/78=")</f>
        <v>#VALUE!</v>
      </c>
      <c r="GK69" t="e">
        <f>AND(Data!V20,"AAAAAG/7/8A=")</f>
        <v>#VALUE!</v>
      </c>
      <c r="GL69" t="e">
        <f>AND(Data!W20,"AAAAAG/7/8E=")</f>
        <v>#VALUE!</v>
      </c>
      <c r="GM69" t="e">
        <f>AND(Data!X20,"AAAAAG/7/8I=")</f>
        <v>#VALUE!</v>
      </c>
      <c r="GN69">
        <f>IF(Data!21:21,"AAAAAG/7/8M=",0)</f>
        <v>0</v>
      </c>
      <c r="GO69" t="e">
        <f>AND(Data!A21,"AAAAAG/7/8Q=")</f>
        <v>#VALUE!</v>
      </c>
      <c r="GP69" t="e">
        <f>AND(Data!B21,"AAAAAG/7/8U=")</f>
        <v>#VALUE!</v>
      </c>
      <c r="GQ69" t="e">
        <f>AND(Data!C21,"AAAAAG/7/8Y=")</f>
        <v>#VALUE!</v>
      </c>
      <c r="GR69" t="e">
        <f>AND(Data!D21,"AAAAAG/7/8c=")</f>
        <v>#VALUE!</v>
      </c>
      <c r="GS69" t="e">
        <f>AND(Data!E21,"AAAAAG/7/8g=")</f>
        <v>#VALUE!</v>
      </c>
      <c r="GT69" t="e">
        <f>AND(Data!F21,"AAAAAG/7/8k=")</f>
        <v>#VALUE!</v>
      </c>
      <c r="GU69" t="e">
        <f>AND(Data!G21,"AAAAAG/7/8o=")</f>
        <v>#VALUE!</v>
      </c>
      <c r="GV69" t="e">
        <f>AND(Data!H21,"AAAAAG/7/8s=")</f>
        <v>#VALUE!</v>
      </c>
      <c r="GW69" t="e">
        <f>AND(Data!I21,"AAAAAG/7/8w=")</f>
        <v>#VALUE!</v>
      </c>
      <c r="GX69" t="e">
        <f>AND(Data!J21,"AAAAAG/7/80=")</f>
        <v>#VALUE!</v>
      </c>
      <c r="GY69" t="e">
        <f>AND(Data!K21,"AAAAAG/7/84=")</f>
        <v>#VALUE!</v>
      </c>
      <c r="GZ69" t="e">
        <f>AND(Data!L21,"AAAAAG/7/88=")</f>
        <v>#VALUE!</v>
      </c>
      <c r="HA69" t="e">
        <f>AND(Data!M21,"AAAAAG/7/9A=")</f>
        <v>#VALUE!</v>
      </c>
      <c r="HB69" t="e">
        <f>AND(Data!N21,"AAAAAG/7/9E=")</f>
        <v>#VALUE!</v>
      </c>
      <c r="HC69" t="e">
        <f>AND(Data!O21,"AAAAAG/7/9I=")</f>
        <v>#VALUE!</v>
      </c>
      <c r="HD69" t="e">
        <f>AND(Data!P21,"AAAAAG/7/9M=")</f>
        <v>#VALUE!</v>
      </c>
      <c r="HE69" t="e">
        <f>AND(Data!Q21,"AAAAAG/7/9Q=")</f>
        <v>#VALUE!</v>
      </c>
      <c r="HF69" t="e">
        <f>AND(Data!R21,"AAAAAG/7/9U=")</f>
        <v>#VALUE!</v>
      </c>
      <c r="HG69" t="e">
        <f>AND(Data!S21,"AAAAAG/7/9Y=")</f>
        <v>#VALUE!</v>
      </c>
      <c r="HH69" t="e">
        <f>AND(Data!T21,"AAAAAG/7/9c=")</f>
        <v>#VALUE!</v>
      </c>
      <c r="HI69" t="e">
        <f>AND(Data!U21,"AAAAAG/7/9g=")</f>
        <v>#VALUE!</v>
      </c>
      <c r="HJ69" t="e">
        <f>AND(Data!V21,"AAAAAG/7/9k=")</f>
        <v>#VALUE!</v>
      </c>
      <c r="HK69" t="e">
        <f>AND(Data!W21,"AAAAAG/7/9o=")</f>
        <v>#VALUE!</v>
      </c>
      <c r="HL69" t="e">
        <f>AND(Data!X21,"AAAAAG/7/9s=")</f>
        <v>#VALUE!</v>
      </c>
      <c r="HM69">
        <f>IF(Data!22:22,"AAAAAG/7/9w=",0)</f>
        <v>0</v>
      </c>
      <c r="HN69" t="e">
        <f>AND(Data!A22,"AAAAAG/7/90=")</f>
        <v>#VALUE!</v>
      </c>
      <c r="HO69" t="e">
        <f>AND(Data!B22,"AAAAAG/7/94=")</f>
        <v>#VALUE!</v>
      </c>
      <c r="HP69" t="e">
        <f>AND(Data!C22,"AAAAAG/7/98=")</f>
        <v>#VALUE!</v>
      </c>
      <c r="HQ69" t="e">
        <f>AND(Data!D22,"AAAAAG/7/+A=")</f>
        <v>#VALUE!</v>
      </c>
      <c r="HR69" t="e">
        <f>AND(Data!E22,"AAAAAG/7/+E=")</f>
        <v>#VALUE!</v>
      </c>
      <c r="HS69" t="e">
        <f>AND(Data!F22,"AAAAAG/7/+I=")</f>
        <v>#VALUE!</v>
      </c>
      <c r="HT69" t="e">
        <f>AND(Data!G22,"AAAAAG/7/+M=")</f>
        <v>#VALUE!</v>
      </c>
      <c r="HU69" t="e">
        <f>AND(Data!H22,"AAAAAG/7/+Q=")</f>
        <v>#VALUE!</v>
      </c>
      <c r="HV69" t="e">
        <f>AND(Data!I22,"AAAAAG/7/+U=")</f>
        <v>#VALUE!</v>
      </c>
      <c r="HW69" t="e">
        <f>AND(Data!J22,"AAAAAG/7/+Y=")</f>
        <v>#VALUE!</v>
      </c>
      <c r="HX69" t="e">
        <f>AND(Data!K22,"AAAAAG/7/+c=")</f>
        <v>#VALUE!</v>
      </c>
      <c r="HY69" t="e">
        <f>AND(Data!L22,"AAAAAG/7/+g=")</f>
        <v>#VALUE!</v>
      </c>
      <c r="HZ69" t="e">
        <f>AND(Data!M22,"AAAAAG/7/+k=")</f>
        <v>#VALUE!</v>
      </c>
      <c r="IA69" t="e">
        <f>AND(Data!N22,"AAAAAG/7/+o=")</f>
        <v>#VALUE!</v>
      </c>
      <c r="IB69" t="e">
        <f>AND(Data!O22,"AAAAAG/7/+s=")</f>
        <v>#VALUE!</v>
      </c>
      <c r="IC69" t="e">
        <f>AND(Data!P22,"AAAAAG/7/+w=")</f>
        <v>#VALUE!</v>
      </c>
      <c r="ID69" t="e">
        <f>AND(Data!Q22,"AAAAAG/7/+0=")</f>
        <v>#VALUE!</v>
      </c>
      <c r="IE69" t="e">
        <f>AND(Data!R22,"AAAAAG/7/+4=")</f>
        <v>#VALUE!</v>
      </c>
      <c r="IF69" t="e">
        <f>AND(Data!S22,"AAAAAG/7/+8=")</f>
        <v>#VALUE!</v>
      </c>
      <c r="IG69" t="e">
        <f>AND(Data!T22,"AAAAAG/7//A=")</f>
        <v>#VALUE!</v>
      </c>
      <c r="IH69" t="e">
        <f>AND(Data!U22,"AAAAAG/7//E=")</f>
        <v>#VALUE!</v>
      </c>
      <c r="II69" t="e">
        <f>AND(Data!V22,"AAAAAG/7//I=")</f>
        <v>#VALUE!</v>
      </c>
      <c r="IJ69" t="e">
        <f>AND(Data!W22,"AAAAAG/7//M=")</f>
        <v>#VALUE!</v>
      </c>
      <c r="IK69" t="e">
        <f>AND(Data!X22,"AAAAAG/7//Q=")</f>
        <v>#VALUE!</v>
      </c>
      <c r="IL69">
        <f>IF(Data!23:23,"AAAAAG/7//U=",0)</f>
        <v>0</v>
      </c>
      <c r="IM69" t="e">
        <f>AND(Data!A23,"AAAAAG/7//Y=")</f>
        <v>#VALUE!</v>
      </c>
      <c r="IN69" t="e">
        <f>AND(Data!B23,"AAAAAG/7//c=")</f>
        <v>#VALUE!</v>
      </c>
      <c r="IO69" t="e">
        <f>AND(Data!C23,"AAAAAG/7//g=")</f>
        <v>#VALUE!</v>
      </c>
      <c r="IP69" t="e">
        <f>AND(Data!D23,"AAAAAG/7//k=")</f>
        <v>#VALUE!</v>
      </c>
      <c r="IQ69" t="e">
        <f>AND(Data!E23,"AAAAAG/7//o=")</f>
        <v>#VALUE!</v>
      </c>
      <c r="IR69" t="e">
        <f>AND(Data!F23,"AAAAAG/7//s=")</f>
        <v>#VALUE!</v>
      </c>
      <c r="IS69" t="e">
        <f>AND(Data!G23,"AAAAAG/7//w=")</f>
        <v>#VALUE!</v>
      </c>
      <c r="IT69" t="e">
        <f>AND(Data!H23,"AAAAAG/7//0=")</f>
        <v>#VALUE!</v>
      </c>
      <c r="IU69" t="e">
        <f>AND(Data!I23,"AAAAAG/7//4=")</f>
        <v>#VALUE!</v>
      </c>
      <c r="IV69" t="e">
        <f>AND(Data!J23,"AAAAAG/7//8=")</f>
        <v>#VALUE!</v>
      </c>
    </row>
    <row r="70" spans="1:256" x14ac:dyDescent="0.2">
      <c r="A70" t="e">
        <f>AND(Data!K23,"AAAAAC+rfAA=")</f>
        <v>#VALUE!</v>
      </c>
      <c r="B70" t="e">
        <f>AND(Data!L23,"AAAAAC+rfAE=")</f>
        <v>#VALUE!</v>
      </c>
      <c r="C70" t="e">
        <f>AND(Data!M23,"AAAAAC+rfAI=")</f>
        <v>#VALUE!</v>
      </c>
      <c r="D70" t="e">
        <f>AND(Data!N23,"AAAAAC+rfAM=")</f>
        <v>#VALUE!</v>
      </c>
      <c r="E70" t="e">
        <f>AND(Data!O23,"AAAAAC+rfAQ=")</f>
        <v>#VALUE!</v>
      </c>
      <c r="F70" t="e">
        <f>AND(Data!P23,"AAAAAC+rfAU=")</f>
        <v>#VALUE!</v>
      </c>
      <c r="G70" t="e">
        <f>AND(Data!Q23,"AAAAAC+rfAY=")</f>
        <v>#VALUE!</v>
      </c>
      <c r="H70" t="e">
        <f>AND(Data!R23,"AAAAAC+rfAc=")</f>
        <v>#VALUE!</v>
      </c>
      <c r="I70" t="e">
        <f>AND(Data!S23,"AAAAAC+rfAg=")</f>
        <v>#VALUE!</v>
      </c>
      <c r="J70" t="e">
        <f>AND(Data!T23,"AAAAAC+rfAk=")</f>
        <v>#VALUE!</v>
      </c>
      <c r="K70" t="e">
        <f>AND(Data!U23,"AAAAAC+rfAo=")</f>
        <v>#VALUE!</v>
      </c>
      <c r="L70" t="e">
        <f>AND(Data!V23,"AAAAAC+rfAs=")</f>
        <v>#VALUE!</v>
      </c>
      <c r="M70" t="e">
        <f>AND(Data!W23,"AAAAAC+rfAw=")</f>
        <v>#VALUE!</v>
      </c>
      <c r="N70" t="e">
        <f>AND(Data!X23,"AAAAAC+rfA0=")</f>
        <v>#VALUE!</v>
      </c>
      <c r="O70" t="e">
        <f>IF(Data!24:24,"AAAAAC+rfA4=",0)</f>
        <v>#VALUE!</v>
      </c>
      <c r="P70" t="e">
        <f>AND(Data!A24,"AAAAAC+rfA8=")</f>
        <v>#VALUE!</v>
      </c>
      <c r="Q70" t="e">
        <f>AND(Data!B24,"AAAAAC+rfBA=")</f>
        <v>#VALUE!</v>
      </c>
      <c r="R70" t="e">
        <f>AND(Data!C24,"AAAAAC+rfBE=")</f>
        <v>#VALUE!</v>
      </c>
      <c r="S70" t="e">
        <f>AND(Data!D24,"AAAAAC+rfBI=")</f>
        <v>#VALUE!</v>
      </c>
      <c r="T70" t="e">
        <f>AND(Data!E24,"AAAAAC+rfBM=")</f>
        <v>#VALUE!</v>
      </c>
      <c r="U70" t="e">
        <f>AND(Data!F24,"AAAAAC+rfBQ=")</f>
        <v>#VALUE!</v>
      </c>
      <c r="V70" t="e">
        <f>AND(Data!G24,"AAAAAC+rfBU=")</f>
        <v>#VALUE!</v>
      </c>
      <c r="W70" t="e">
        <f>AND(Data!H24,"AAAAAC+rfBY=")</f>
        <v>#VALUE!</v>
      </c>
      <c r="X70" t="e">
        <f>AND(Data!I24,"AAAAAC+rfBc=")</f>
        <v>#VALUE!</v>
      </c>
      <c r="Y70" t="e">
        <f>AND(Data!J24,"AAAAAC+rfBg=")</f>
        <v>#VALUE!</v>
      </c>
      <c r="Z70" t="e">
        <f>AND(Data!K24,"AAAAAC+rfBk=")</f>
        <v>#VALUE!</v>
      </c>
      <c r="AA70" t="e">
        <f>AND(Data!L24,"AAAAAC+rfBo=")</f>
        <v>#VALUE!</v>
      </c>
      <c r="AB70" t="e">
        <f>AND(Data!M24,"AAAAAC+rfBs=")</f>
        <v>#VALUE!</v>
      </c>
      <c r="AC70" t="e">
        <f>AND(Data!N24,"AAAAAC+rfBw=")</f>
        <v>#VALUE!</v>
      </c>
      <c r="AD70" t="e">
        <f>AND(Data!O24,"AAAAAC+rfB0=")</f>
        <v>#VALUE!</v>
      </c>
      <c r="AE70" t="e">
        <f>AND(Data!P24,"AAAAAC+rfB4=")</f>
        <v>#VALUE!</v>
      </c>
      <c r="AF70" t="e">
        <f>AND(Data!Q24,"AAAAAC+rfB8=")</f>
        <v>#VALUE!</v>
      </c>
      <c r="AG70" t="e">
        <f>AND(Data!R24,"AAAAAC+rfCA=")</f>
        <v>#VALUE!</v>
      </c>
      <c r="AH70" t="e">
        <f>AND(Data!S24,"AAAAAC+rfCE=")</f>
        <v>#VALUE!</v>
      </c>
      <c r="AI70" t="e">
        <f>AND(Data!T24,"AAAAAC+rfCI=")</f>
        <v>#VALUE!</v>
      </c>
      <c r="AJ70" t="e">
        <f>AND(Data!U24,"AAAAAC+rfCM=")</f>
        <v>#VALUE!</v>
      </c>
      <c r="AK70" t="e">
        <f>AND(Data!V24,"AAAAAC+rfCQ=")</f>
        <v>#VALUE!</v>
      </c>
      <c r="AL70" t="e">
        <f>AND(Data!W24,"AAAAAC+rfCU=")</f>
        <v>#VALUE!</v>
      </c>
      <c r="AM70" t="e">
        <f>AND(Data!X24,"AAAAAC+rfCY=")</f>
        <v>#VALUE!</v>
      </c>
      <c r="AN70">
        <f>IF(Data!25:25,"AAAAAC+rfCc=",0)</f>
        <v>0</v>
      </c>
      <c r="AO70" t="e">
        <f>AND(Data!A25,"AAAAAC+rfCg=")</f>
        <v>#VALUE!</v>
      </c>
      <c r="AP70" t="e">
        <f>AND(Data!B25,"AAAAAC+rfCk=")</f>
        <v>#VALUE!</v>
      </c>
      <c r="AQ70" t="e">
        <f>AND(Data!C25,"AAAAAC+rfCo=")</f>
        <v>#VALUE!</v>
      </c>
      <c r="AR70" t="e">
        <f>AND(Data!D25,"AAAAAC+rfCs=")</f>
        <v>#VALUE!</v>
      </c>
      <c r="AS70" t="e">
        <f>AND(Data!E25,"AAAAAC+rfCw=")</f>
        <v>#VALUE!</v>
      </c>
      <c r="AT70" t="e">
        <f>AND(Data!F25,"AAAAAC+rfC0=")</f>
        <v>#VALUE!</v>
      </c>
      <c r="AU70" t="e">
        <f>AND(Data!G25,"AAAAAC+rfC4=")</f>
        <v>#VALUE!</v>
      </c>
      <c r="AV70" t="e">
        <f>AND(Data!H25,"AAAAAC+rfC8=")</f>
        <v>#VALUE!</v>
      </c>
      <c r="AW70" t="e">
        <f>AND(Data!I25,"AAAAAC+rfDA=")</f>
        <v>#VALUE!</v>
      </c>
      <c r="AX70" t="e">
        <f>AND(Data!J25,"AAAAAC+rfDE=")</f>
        <v>#VALUE!</v>
      </c>
      <c r="AY70" t="e">
        <f>AND(Data!K25,"AAAAAC+rfDI=")</f>
        <v>#VALUE!</v>
      </c>
      <c r="AZ70" t="e">
        <f>AND(Data!L25,"AAAAAC+rfDM=")</f>
        <v>#VALUE!</v>
      </c>
      <c r="BA70" t="e">
        <f>AND(Data!M25,"AAAAAC+rfDQ=")</f>
        <v>#VALUE!</v>
      </c>
      <c r="BB70" t="e">
        <f>AND(Data!N25,"AAAAAC+rfDU=")</f>
        <v>#VALUE!</v>
      </c>
      <c r="BC70" t="e">
        <f>AND(Data!O25,"AAAAAC+rfDY=")</f>
        <v>#VALUE!</v>
      </c>
      <c r="BD70" t="e">
        <f>AND(Data!P25,"AAAAAC+rfDc=")</f>
        <v>#VALUE!</v>
      </c>
      <c r="BE70" t="e">
        <f>AND(Data!Q25,"AAAAAC+rfDg=")</f>
        <v>#VALUE!</v>
      </c>
      <c r="BF70" t="e">
        <f>AND(Data!R25,"AAAAAC+rfDk=")</f>
        <v>#VALUE!</v>
      </c>
      <c r="BG70" t="e">
        <f>AND(Data!S25,"AAAAAC+rfDo=")</f>
        <v>#VALUE!</v>
      </c>
      <c r="BH70" t="e">
        <f>AND(Data!T25,"AAAAAC+rfDs=")</f>
        <v>#VALUE!</v>
      </c>
      <c r="BI70" t="e">
        <f>AND(Data!U25,"AAAAAC+rfDw=")</f>
        <v>#VALUE!</v>
      </c>
      <c r="BJ70" t="e">
        <f>AND(Data!V25,"AAAAAC+rfD0=")</f>
        <v>#VALUE!</v>
      </c>
      <c r="BK70" t="e">
        <f>AND(Data!W25,"AAAAAC+rfD4=")</f>
        <v>#VALUE!</v>
      </c>
      <c r="BL70" t="e">
        <f>AND(Data!X25,"AAAAAC+rfD8=")</f>
        <v>#VALUE!</v>
      </c>
      <c r="BM70">
        <f>IF(Data!26:26,"AAAAAC+rfEA=",0)</f>
        <v>0</v>
      </c>
      <c r="BN70" t="e">
        <f>AND(Data!A26,"AAAAAC+rfEE=")</f>
        <v>#VALUE!</v>
      </c>
      <c r="BO70" t="e">
        <f>AND(Data!B26,"AAAAAC+rfEI=")</f>
        <v>#VALUE!</v>
      </c>
      <c r="BP70" t="e">
        <f>AND(Data!C26,"AAAAAC+rfEM=")</f>
        <v>#VALUE!</v>
      </c>
      <c r="BQ70" t="e">
        <f>AND(Data!D26,"AAAAAC+rfEQ=")</f>
        <v>#VALUE!</v>
      </c>
      <c r="BR70" t="e">
        <f>AND(Data!E26,"AAAAAC+rfEU=")</f>
        <v>#VALUE!</v>
      </c>
      <c r="BS70" t="e">
        <f>AND(Data!F26,"AAAAAC+rfEY=")</f>
        <v>#VALUE!</v>
      </c>
      <c r="BT70" t="e">
        <f>AND(Data!G26,"AAAAAC+rfEc=")</f>
        <v>#VALUE!</v>
      </c>
      <c r="BU70" t="e">
        <f>AND(Data!H26,"AAAAAC+rfEg=")</f>
        <v>#VALUE!</v>
      </c>
      <c r="BV70" t="e">
        <f>AND(Data!I26,"AAAAAC+rfEk=")</f>
        <v>#VALUE!</v>
      </c>
      <c r="BW70" t="e">
        <f>AND(Data!J26,"AAAAAC+rfEo=")</f>
        <v>#VALUE!</v>
      </c>
      <c r="BX70" t="e">
        <f>AND(Data!K26,"AAAAAC+rfEs=")</f>
        <v>#VALUE!</v>
      </c>
      <c r="BY70" t="e">
        <f>AND(Data!L26,"AAAAAC+rfEw=")</f>
        <v>#VALUE!</v>
      </c>
      <c r="BZ70" t="e">
        <f>AND(Data!M26,"AAAAAC+rfE0=")</f>
        <v>#VALUE!</v>
      </c>
      <c r="CA70" t="e">
        <f>AND(Data!N26,"AAAAAC+rfE4=")</f>
        <v>#VALUE!</v>
      </c>
      <c r="CB70" t="e">
        <f>AND(Data!O26,"AAAAAC+rfE8=")</f>
        <v>#VALUE!</v>
      </c>
      <c r="CC70" t="e">
        <f>AND(Data!P26,"AAAAAC+rfFA=")</f>
        <v>#VALUE!</v>
      </c>
      <c r="CD70" t="e">
        <f>AND(Data!Q26,"AAAAAC+rfFE=")</f>
        <v>#VALUE!</v>
      </c>
      <c r="CE70" t="e">
        <f>AND(Data!R26,"AAAAAC+rfFI=")</f>
        <v>#VALUE!</v>
      </c>
      <c r="CF70" t="e">
        <f>AND(Data!S26,"AAAAAC+rfFM=")</f>
        <v>#VALUE!</v>
      </c>
      <c r="CG70" t="e">
        <f>AND(Data!T26,"AAAAAC+rfFQ=")</f>
        <v>#VALUE!</v>
      </c>
      <c r="CH70" t="e">
        <f>AND(Data!U26,"AAAAAC+rfFU=")</f>
        <v>#VALUE!</v>
      </c>
      <c r="CI70" t="e">
        <f>AND(Data!V26,"AAAAAC+rfFY=")</f>
        <v>#VALUE!</v>
      </c>
      <c r="CJ70" t="e">
        <f>AND(Data!W26,"AAAAAC+rfFc=")</f>
        <v>#VALUE!</v>
      </c>
      <c r="CK70" t="e">
        <f>AND(Data!X26,"AAAAAC+rfFg=")</f>
        <v>#VALUE!</v>
      </c>
      <c r="CL70">
        <f>IF(Data!27:27,"AAAAAC+rfFk=",0)</f>
        <v>0</v>
      </c>
      <c r="CM70" t="e">
        <f>AND(Data!A27,"AAAAAC+rfFo=")</f>
        <v>#VALUE!</v>
      </c>
      <c r="CN70" t="e">
        <f>AND(Data!B27,"AAAAAC+rfFs=")</f>
        <v>#VALUE!</v>
      </c>
      <c r="CO70" t="e">
        <f>AND(Data!C27,"AAAAAC+rfFw=")</f>
        <v>#VALUE!</v>
      </c>
      <c r="CP70" t="e">
        <f>AND(Data!D27,"AAAAAC+rfF0=")</f>
        <v>#VALUE!</v>
      </c>
      <c r="CQ70" t="e">
        <f>AND(Data!E27,"AAAAAC+rfF4=")</f>
        <v>#VALUE!</v>
      </c>
      <c r="CR70" t="e">
        <f>AND(Data!F27,"AAAAAC+rfF8=")</f>
        <v>#VALUE!</v>
      </c>
      <c r="CS70" t="e">
        <f>AND(Data!G27,"AAAAAC+rfGA=")</f>
        <v>#VALUE!</v>
      </c>
      <c r="CT70" t="e">
        <f>AND(Data!H27,"AAAAAC+rfGE=")</f>
        <v>#VALUE!</v>
      </c>
      <c r="CU70" t="e">
        <f>AND(Data!I27,"AAAAAC+rfGI=")</f>
        <v>#VALUE!</v>
      </c>
      <c r="CV70" t="e">
        <f>AND(Data!J27,"AAAAAC+rfGM=")</f>
        <v>#VALUE!</v>
      </c>
      <c r="CW70" t="e">
        <f>AND(Data!K27,"AAAAAC+rfGQ=")</f>
        <v>#VALUE!</v>
      </c>
      <c r="CX70" t="e">
        <f>AND(Data!L27,"AAAAAC+rfGU=")</f>
        <v>#VALUE!</v>
      </c>
      <c r="CY70" t="e">
        <f>AND(Data!M27,"AAAAAC+rfGY=")</f>
        <v>#VALUE!</v>
      </c>
      <c r="CZ70" t="e">
        <f>AND(Data!N27,"AAAAAC+rfGc=")</f>
        <v>#VALUE!</v>
      </c>
      <c r="DA70" t="e">
        <f>AND(Data!O27,"AAAAAC+rfGg=")</f>
        <v>#VALUE!</v>
      </c>
      <c r="DB70" t="e">
        <f>AND(Data!P27,"AAAAAC+rfGk=")</f>
        <v>#VALUE!</v>
      </c>
      <c r="DC70" t="e">
        <f>AND(Data!Q27,"AAAAAC+rfGo=")</f>
        <v>#VALUE!</v>
      </c>
      <c r="DD70" t="e">
        <f>AND(Data!R27,"AAAAAC+rfGs=")</f>
        <v>#VALUE!</v>
      </c>
      <c r="DE70" t="e">
        <f>AND(Data!S27,"AAAAAC+rfGw=")</f>
        <v>#VALUE!</v>
      </c>
      <c r="DF70" t="e">
        <f>AND(Data!T27,"AAAAAC+rfG0=")</f>
        <v>#VALUE!</v>
      </c>
      <c r="DG70" t="e">
        <f>AND(Data!U27,"AAAAAC+rfG4=")</f>
        <v>#VALUE!</v>
      </c>
      <c r="DH70" t="e">
        <f>AND(Data!V27,"AAAAAC+rfG8=")</f>
        <v>#VALUE!</v>
      </c>
      <c r="DI70" t="e">
        <f>AND(Data!W27,"AAAAAC+rfHA=")</f>
        <v>#VALUE!</v>
      </c>
      <c r="DJ70" t="e">
        <f>AND(Data!X27,"AAAAAC+rfHE=")</f>
        <v>#VALUE!</v>
      </c>
      <c r="DK70">
        <f>IF(Data!28:28,"AAAAAC+rfHI=",0)</f>
        <v>0</v>
      </c>
      <c r="DL70" t="e">
        <f>AND(Data!A28,"AAAAAC+rfHM=")</f>
        <v>#VALUE!</v>
      </c>
      <c r="DM70" t="e">
        <f>AND(Data!B28,"AAAAAC+rfHQ=")</f>
        <v>#VALUE!</v>
      </c>
      <c r="DN70" t="e">
        <f>AND(Data!C28,"AAAAAC+rfHU=")</f>
        <v>#VALUE!</v>
      </c>
      <c r="DO70" t="e">
        <f>AND(Data!D28,"AAAAAC+rfHY=")</f>
        <v>#VALUE!</v>
      </c>
      <c r="DP70" t="e">
        <f>AND(Data!E28,"AAAAAC+rfHc=")</f>
        <v>#VALUE!</v>
      </c>
      <c r="DQ70" t="e">
        <f>AND(Data!F28,"AAAAAC+rfHg=")</f>
        <v>#VALUE!</v>
      </c>
      <c r="DR70" t="e">
        <f>AND(Data!G28,"AAAAAC+rfHk=")</f>
        <v>#VALUE!</v>
      </c>
      <c r="DS70" t="e">
        <f>AND(Data!H28,"AAAAAC+rfHo=")</f>
        <v>#VALUE!</v>
      </c>
      <c r="DT70" t="e">
        <f>AND(Data!I28,"AAAAAC+rfHs=")</f>
        <v>#VALUE!</v>
      </c>
      <c r="DU70" t="e">
        <f>AND(Data!J28,"AAAAAC+rfHw=")</f>
        <v>#VALUE!</v>
      </c>
      <c r="DV70" t="e">
        <f>AND(Data!K28,"AAAAAC+rfH0=")</f>
        <v>#VALUE!</v>
      </c>
      <c r="DW70" t="e">
        <f>AND(Data!L28,"AAAAAC+rfH4=")</f>
        <v>#VALUE!</v>
      </c>
      <c r="DX70" t="e">
        <f>AND(Data!M28,"AAAAAC+rfH8=")</f>
        <v>#VALUE!</v>
      </c>
      <c r="DY70" t="e">
        <f>AND(Data!N28,"AAAAAC+rfIA=")</f>
        <v>#VALUE!</v>
      </c>
      <c r="DZ70" t="e">
        <f>AND(Data!O28,"AAAAAC+rfIE=")</f>
        <v>#VALUE!</v>
      </c>
      <c r="EA70" t="e">
        <f>AND(Data!P28,"AAAAAC+rfII=")</f>
        <v>#VALUE!</v>
      </c>
      <c r="EB70" t="e">
        <f>AND(Data!Q28,"AAAAAC+rfIM=")</f>
        <v>#VALUE!</v>
      </c>
      <c r="EC70" t="e">
        <f>AND(Data!R28,"AAAAAC+rfIQ=")</f>
        <v>#VALUE!</v>
      </c>
      <c r="ED70" t="e">
        <f>AND(Data!S28,"AAAAAC+rfIU=")</f>
        <v>#VALUE!</v>
      </c>
      <c r="EE70" t="e">
        <f>AND(Data!T28,"AAAAAC+rfIY=")</f>
        <v>#VALUE!</v>
      </c>
      <c r="EF70" t="e">
        <f>AND(Data!U28,"AAAAAC+rfIc=")</f>
        <v>#VALUE!</v>
      </c>
      <c r="EG70" t="e">
        <f>AND(Data!V28,"AAAAAC+rfIg=")</f>
        <v>#VALUE!</v>
      </c>
      <c r="EH70" t="e">
        <f>AND(Data!W28,"AAAAAC+rfIk=")</f>
        <v>#VALUE!</v>
      </c>
      <c r="EI70" t="e">
        <f>AND(Data!X28,"AAAAAC+rfIo=")</f>
        <v>#VALUE!</v>
      </c>
      <c r="EJ70">
        <f>IF(Data!29:29,"AAAAAC+rfIs=",0)</f>
        <v>0</v>
      </c>
      <c r="EK70" t="e">
        <f>AND(Data!A29,"AAAAAC+rfIw=")</f>
        <v>#VALUE!</v>
      </c>
      <c r="EL70" t="e">
        <f>AND(Data!B29,"AAAAAC+rfI0=")</f>
        <v>#VALUE!</v>
      </c>
      <c r="EM70" t="e">
        <f>AND(Data!C29,"AAAAAC+rfI4=")</f>
        <v>#VALUE!</v>
      </c>
      <c r="EN70" t="e">
        <f>AND(Data!D29,"AAAAAC+rfI8=")</f>
        <v>#VALUE!</v>
      </c>
      <c r="EO70" t="e">
        <f>AND(Data!E29,"AAAAAC+rfJA=")</f>
        <v>#VALUE!</v>
      </c>
      <c r="EP70" t="e">
        <f>AND(Data!F29,"AAAAAC+rfJE=")</f>
        <v>#VALUE!</v>
      </c>
      <c r="EQ70" t="e">
        <f>AND(Data!G29,"AAAAAC+rfJI=")</f>
        <v>#VALUE!</v>
      </c>
      <c r="ER70" t="e">
        <f>AND(Data!H29,"AAAAAC+rfJM=")</f>
        <v>#VALUE!</v>
      </c>
      <c r="ES70" t="e">
        <f>AND(Data!I29,"AAAAAC+rfJQ=")</f>
        <v>#VALUE!</v>
      </c>
      <c r="ET70" t="e">
        <f>AND(Data!J29,"AAAAAC+rfJU=")</f>
        <v>#VALUE!</v>
      </c>
      <c r="EU70" t="e">
        <f>AND(Data!K29,"AAAAAC+rfJY=")</f>
        <v>#VALUE!</v>
      </c>
      <c r="EV70" t="e">
        <f>AND(Data!L29,"AAAAAC+rfJc=")</f>
        <v>#VALUE!</v>
      </c>
      <c r="EW70" t="e">
        <f>AND(Data!M29,"AAAAAC+rfJg=")</f>
        <v>#VALUE!</v>
      </c>
      <c r="EX70" t="e">
        <f>AND(Data!N29,"AAAAAC+rfJk=")</f>
        <v>#VALUE!</v>
      </c>
      <c r="EY70" t="e">
        <f>AND(Data!O29,"AAAAAC+rfJo=")</f>
        <v>#VALUE!</v>
      </c>
      <c r="EZ70" t="e">
        <f>AND(Data!P29,"AAAAAC+rfJs=")</f>
        <v>#VALUE!</v>
      </c>
      <c r="FA70" t="e">
        <f>AND(Data!Q29,"AAAAAC+rfJw=")</f>
        <v>#VALUE!</v>
      </c>
      <c r="FB70" t="e">
        <f>AND(Data!R29,"AAAAAC+rfJ0=")</f>
        <v>#VALUE!</v>
      </c>
      <c r="FC70" t="e">
        <f>AND(Data!S29,"AAAAAC+rfJ4=")</f>
        <v>#VALUE!</v>
      </c>
      <c r="FD70" t="e">
        <f>AND(Data!T29,"AAAAAC+rfJ8=")</f>
        <v>#VALUE!</v>
      </c>
      <c r="FE70" t="e">
        <f>AND(Data!U29,"AAAAAC+rfKA=")</f>
        <v>#VALUE!</v>
      </c>
      <c r="FF70" t="e">
        <f>AND(Data!V29,"AAAAAC+rfKE=")</f>
        <v>#VALUE!</v>
      </c>
      <c r="FG70" t="e">
        <f>AND(Data!W29,"AAAAAC+rfKI=")</f>
        <v>#VALUE!</v>
      </c>
      <c r="FH70" t="e">
        <f>AND(Data!X29,"AAAAAC+rfKM=")</f>
        <v>#VALUE!</v>
      </c>
      <c r="FI70">
        <f>IF(Data!30:30,"AAAAAC+rfKQ=",0)</f>
        <v>0</v>
      </c>
      <c r="FJ70" t="e">
        <f>AND(Data!A30,"AAAAAC+rfKU=")</f>
        <v>#VALUE!</v>
      </c>
      <c r="FK70" t="e">
        <f>AND(Data!B30,"AAAAAC+rfKY=")</f>
        <v>#VALUE!</v>
      </c>
      <c r="FL70" t="e">
        <f>AND(Data!C30,"AAAAAC+rfKc=")</f>
        <v>#VALUE!</v>
      </c>
      <c r="FM70" t="e">
        <f>AND(Data!D30,"AAAAAC+rfKg=")</f>
        <v>#VALUE!</v>
      </c>
      <c r="FN70" t="e">
        <f>AND(Data!E30,"AAAAAC+rfKk=")</f>
        <v>#VALUE!</v>
      </c>
      <c r="FO70" t="e">
        <f>AND(Data!F30,"AAAAAC+rfKo=")</f>
        <v>#VALUE!</v>
      </c>
      <c r="FP70" t="e">
        <f>AND(Data!G30,"AAAAAC+rfKs=")</f>
        <v>#VALUE!</v>
      </c>
      <c r="FQ70" t="e">
        <f>AND(Data!H30,"AAAAAC+rfKw=")</f>
        <v>#VALUE!</v>
      </c>
      <c r="FR70" t="e">
        <f>AND(Data!I30,"AAAAAC+rfK0=")</f>
        <v>#VALUE!</v>
      </c>
      <c r="FS70" t="e">
        <f>AND(Data!J30,"AAAAAC+rfK4=")</f>
        <v>#VALUE!</v>
      </c>
      <c r="FT70" t="e">
        <f>AND(Data!K30,"AAAAAC+rfK8=")</f>
        <v>#VALUE!</v>
      </c>
      <c r="FU70" t="e">
        <f>AND(Data!L30,"AAAAAC+rfLA=")</f>
        <v>#VALUE!</v>
      </c>
      <c r="FV70" t="e">
        <f>AND(Data!M30,"AAAAAC+rfLE=")</f>
        <v>#VALUE!</v>
      </c>
      <c r="FW70" t="e">
        <f>AND(Data!N30,"AAAAAC+rfLI=")</f>
        <v>#VALUE!</v>
      </c>
      <c r="FX70" t="e">
        <f>AND(Data!O30,"AAAAAC+rfLM=")</f>
        <v>#VALUE!</v>
      </c>
      <c r="FY70" t="e">
        <f>AND(Data!P30,"AAAAAC+rfLQ=")</f>
        <v>#VALUE!</v>
      </c>
      <c r="FZ70" t="e">
        <f>AND(Data!Q30,"AAAAAC+rfLU=")</f>
        <v>#VALUE!</v>
      </c>
      <c r="GA70" t="e">
        <f>AND(Data!R30,"AAAAAC+rfLY=")</f>
        <v>#VALUE!</v>
      </c>
      <c r="GB70" t="e">
        <f>AND(Data!S30,"AAAAAC+rfLc=")</f>
        <v>#VALUE!</v>
      </c>
      <c r="GC70" t="e">
        <f>AND(Data!T30,"AAAAAC+rfLg=")</f>
        <v>#VALUE!</v>
      </c>
      <c r="GD70" t="e">
        <f>AND(Data!U30,"AAAAAC+rfLk=")</f>
        <v>#VALUE!</v>
      </c>
      <c r="GE70" t="e">
        <f>AND(Data!V30,"AAAAAC+rfLo=")</f>
        <v>#VALUE!</v>
      </c>
      <c r="GF70" t="e">
        <f>AND(Data!W30,"AAAAAC+rfLs=")</f>
        <v>#VALUE!</v>
      </c>
      <c r="GG70" t="e">
        <f>AND(Data!X30,"AAAAAC+rfLw=")</f>
        <v>#VALUE!</v>
      </c>
      <c r="GH70">
        <f>IF(Data!31:31,"AAAAAC+rfL0=",0)</f>
        <v>0</v>
      </c>
      <c r="GI70" t="e">
        <f>AND(Data!A31,"AAAAAC+rfL4=")</f>
        <v>#VALUE!</v>
      </c>
      <c r="GJ70" t="e">
        <f>AND(Data!B31,"AAAAAC+rfL8=")</f>
        <v>#VALUE!</v>
      </c>
      <c r="GK70" t="e">
        <f>AND(Data!C31,"AAAAAC+rfMA=")</f>
        <v>#VALUE!</v>
      </c>
      <c r="GL70" t="e">
        <f>AND(Data!D31,"AAAAAC+rfME=")</f>
        <v>#VALUE!</v>
      </c>
      <c r="GM70" t="e">
        <f>AND(Data!E31,"AAAAAC+rfMI=")</f>
        <v>#VALUE!</v>
      </c>
      <c r="GN70" t="e">
        <f>AND(Data!F31,"AAAAAC+rfMM=")</f>
        <v>#VALUE!</v>
      </c>
      <c r="GO70" t="e">
        <f>AND(Data!G31,"AAAAAC+rfMQ=")</f>
        <v>#VALUE!</v>
      </c>
      <c r="GP70" t="e">
        <f>AND(Data!H31,"AAAAAC+rfMU=")</f>
        <v>#VALUE!</v>
      </c>
      <c r="GQ70" t="e">
        <f>AND(Data!I31,"AAAAAC+rfMY=")</f>
        <v>#VALUE!</v>
      </c>
      <c r="GR70" t="e">
        <f>AND(Data!J31,"AAAAAC+rfMc=")</f>
        <v>#VALUE!</v>
      </c>
      <c r="GS70" t="e">
        <f>AND(Data!K31,"AAAAAC+rfMg=")</f>
        <v>#VALUE!</v>
      </c>
      <c r="GT70" t="e">
        <f>AND(Data!L31,"AAAAAC+rfMk=")</f>
        <v>#VALUE!</v>
      </c>
      <c r="GU70" t="e">
        <f>AND(Data!M31,"AAAAAC+rfMo=")</f>
        <v>#VALUE!</v>
      </c>
      <c r="GV70" t="e">
        <f>AND(Data!N31,"AAAAAC+rfMs=")</f>
        <v>#VALUE!</v>
      </c>
      <c r="GW70" t="e">
        <f>AND(Data!O31,"AAAAAC+rfMw=")</f>
        <v>#VALUE!</v>
      </c>
      <c r="GX70" t="e">
        <f>AND(Data!P31,"AAAAAC+rfM0=")</f>
        <v>#VALUE!</v>
      </c>
      <c r="GY70" t="e">
        <f>AND(Data!Q31,"AAAAAC+rfM4=")</f>
        <v>#VALUE!</v>
      </c>
      <c r="GZ70" t="e">
        <f>AND(Data!R31,"AAAAAC+rfM8=")</f>
        <v>#VALUE!</v>
      </c>
      <c r="HA70" t="e">
        <f>AND(Data!S31,"AAAAAC+rfNA=")</f>
        <v>#VALUE!</v>
      </c>
      <c r="HB70" t="e">
        <f>AND(Data!T31,"AAAAAC+rfNE=")</f>
        <v>#VALUE!</v>
      </c>
      <c r="HC70" t="e">
        <f>AND(Data!U31,"AAAAAC+rfNI=")</f>
        <v>#VALUE!</v>
      </c>
      <c r="HD70" t="e">
        <f>AND(Data!V31,"AAAAAC+rfNM=")</f>
        <v>#VALUE!</v>
      </c>
      <c r="HE70" t="e">
        <f>AND(Data!W31,"AAAAAC+rfNQ=")</f>
        <v>#VALUE!</v>
      </c>
      <c r="HF70" t="e">
        <f>AND(Data!X31,"AAAAAC+rfNU=")</f>
        <v>#VALUE!</v>
      </c>
      <c r="HG70">
        <f>IF(Data!32:32,"AAAAAC+rfNY=",0)</f>
        <v>0</v>
      </c>
      <c r="HH70" t="e">
        <f>AND(Data!A32,"AAAAAC+rfNc=")</f>
        <v>#VALUE!</v>
      </c>
      <c r="HI70" t="e">
        <f>AND(Data!B32,"AAAAAC+rfNg=")</f>
        <v>#VALUE!</v>
      </c>
      <c r="HJ70" t="e">
        <f>AND(Data!C32,"AAAAAC+rfNk=")</f>
        <v>#VALUE!</v>
      </c>
      <c r="HK70" t="e">
        <f>AND(Data!D32,"AAAAAC+rfNo=")</f>
        <v>#VALUE!</v>
      </c>
      <c r="HL70" t="e">
        <f>AND(Data!E32,"AAAAAC+rfNs=")</f>
        <v>#VALUE!</v>
      </c>
      <c r="HM70" t="e">
        <f>AND(Data!F32,"AAAAAC+rfNw=")</f>
        <v>#VALUE!</v>
      </c>
      <c r="HN70" t="e">
        <f>AND(Data!G32,"AAAAAC+rfN0=")</f>
        <v>#VALUE!</v>
      </c>
      <c r="HO70" t="e">
        <f>AND(Data!H32,"AAAAAC+rfN4=")</f>
        <v>#VALUE!</v>
      </c>
      <c r="HP70" t="e">
        <f>AND(Data!I32,"AAAAAC+rfN8=")</f>
        <v>#VALUE!</v>
      </c>
      <c r="HQ70" t="e">
        <f>AND(Data!J32,"AAAAAC+rfOA=")</f>
        <v>#VALUE!</v>
      </c>
      <c r="HR70" t="e">
        <f>AND(Data!K32,"AAAAAC+rfOE=")</f>
        <v>#VALUE!</v>
      </c>
      <c r="HS70" t="e">
        <f>AND(Data!L32,"AAAAAC+rfOI=")</f>
        <v>#VALUE!</v>
      </c>
      <c r="HT70" t="e">
        <f>AND(Data!M32,"AAAAAC+rfOM=")</f>
        <v>#VALUE!</v>
      </c>
      <c r="HU70" t="e">
        <f>AND(Data!N32,"AAAAAC+rfOQ=")</f>
        <v>#VALUE!</v>
      </c>
      <c r="HV70" t="e">
        <f>AND(Data!O32,"AAAAAC+rfOU=")</f>
        <v>#VALUE!</v>
      </c>
      <c r="HW70" t="e">
        <f>AND(Data!P32,"AAAAAC+rfOY=")</f>
        <v>#VALUE!</v>
      </c>
      <c r="HX70" t="e">
        <f>AND(Data!Q32,"AAAAAC+rfOc=")</f>
        <v>#VALUE!</v>
      </c>
      <c r="HY70" t="e">
        <f>AND(Data!R32,"AAAAAC+rfOg=")</f>
        <v>#VALUE!</v>
      </c>
      <c r="HZ70" t="e">
        <f>AND(Data!S32,"AAAAAC+rfOk=")</f>
        <v>#VALUE!</v>
      </c>
      <c r="IA70" t="e">
        <f>AND(Data!T32,"AAAAAC+rfOo=")</f>
        <v>#VALUE!</v>
      </c>
      <c r="IB70" t="e">
        <f>AND(Data!U32,"AAAAAC+rfOs=")</f>
        <v>#VALUE!</v>
      </c>
      <c r="IC70" t="e">
        <f>AND(Data!V32,"AAAAAC+rfOw=")</f>
        <v>#VALUE!</v>
      </c>
      <c r="ID70" t="e">
        <f>AND(Data!W32,"AAAAAC+rfO0=")</f>
        <v>#VALUE!</v>
      </c>
      <c r="IE70" t="e">
        <f>AND(Data!X32,"AAAAAC+rfO4=")</f>
        <v>#VALUE!</v>
      </c>
      <c r="IF70">
        <f>IF(Data!33:33,"AAAAAC+rfO8=",0)</f>
        <v>0</v>
      </c>
      <c r="IG70" t="e">
        <f>AND(Data!A33,"AAAAAC+rfPA=")</f>
        <v>#VALUE!</v>
      </c>
      <c r="IH70" t="e">
        <f>AND(Data!B33,"AAAAAC+rfPE=")</f>
        <v>#VALUE!</v>
      </c>
      <c r="II70" t="e">
        <f>AND(Data!C33,"AAAAAC+rfPI=")</f>
        <v>#VALUE!</v>
      </c>
      <c r="IJ70" t="e">
        <f>AND(Data!D33,"AAAAAC+rfPM=")</f>
        <v>#VALUE!</v>
      </c>
      <c r="IK70" t="e">
        <f>AND(Data!E33,"AAAAAC+rfPQ=")</f>
        <v>#VALUE!</v>
      </c>
      <c r="IL70" t="e">
        <f>AND(Data!F33,"AAAAAC+rfPU=")</f>
        <v>#VALUE!</v>
      </c>
      <c r="IM70" t="e">
        <f>AND(Data!G33,"AAAAAC+rfPY=")</f>
        <v>#VALUE!</v>
      </c>
      <c r="IN70" t="e">
        <f>AND(Data!H33,"AAAAAC+rfPc=")</f>
        <v>#VALUE!</v>
      </c>
      <c r="IO70" t="e">
        <f>AND(Data!I33,"AAAAAC+rfPg=")</f>
        <v>#VALUE!</v>
      </c>
      <c r="IP70" t="e">
        <f>AND(Data!J33,"AAAAAC+rfPk=")</f>
        <v>#VALUE!</v>
      </c>
      <c r="IQ70" t="e">
        <f>AND(Data!K33,"AAAAAC+rfPo=")</f>
        <v>#VALUE!</v>
      </c>
      <c r="IR70" t="e">
        <f>AND(Data!L33,"AAAAAC+rfPs=")</f>
        <v>#VALUE!</v>
      </c>
      <c r="IS70" t="e">
        <f>AND(Data!M33,"AAAAAC+rfPw=")</f>
        <v>#VALUE!</v>
      </c>
      <c r="IT70" t="e">
        <f>AND(Data!N33,"AAAAAC+rfP0=")</f>
        <v>#VALUE!</v>
      </c>
      <c r="IU70" t="e">
        <f>AND(Data!O33,"AAAAAC+rfP4=")</f>
        <v>#VALUE!</v>
      </c>
      <c r="IV70" t="e">
        <f>AND(Data!P33,"AAAAAC+rfP8=")</f>
        <v>#VALUE!</v>
      </c>
    </row>
    <row r="71" spans="1:256" x14ac:dyDescent="0.2">
      <c r="A71" t="e">
        <f>AND(Data!Q33,"AAAAAH/WewA=")</f>
        <v>#VALUE!</v>
      </c>
      <c r="B71" t="e">
        <f>AND(Data!R33,"AAAAAH/WewE=")</f>
        <v>#VALUE!</v>
      </c>
      <c r="C71" t="e">
        <f>AND(Data!S33,"AAAAAH/WewI=")</f>
        <v>#VALUE!</v>
      </c>
      <c r="D71" t="e">
        <f>AND(Data!T33,"AAAAAH/WewM=")</f>
        <v>#VALUE!</v>
      </c>
      <c r="E71" t="e">
        <f>AND(Data!U33,"AAAAAH/WewQ=")</f>
        <v>#VALUE!</v>
      </c>
      <c r="F71" t="e">
        <f>AND(Data!V33,"AAAAAH/WewU=")</f>
        <v>#VALUE!</v>
      </c>
      <c r="G71" t="e">
        <f>AND(Data!W33,"AAAAAH/WewY=")</f>
        <v>#VALUE!</v>
      </c>
      <c r="H71" t="e">
        <f>AND(Data!X33,"AAAAAH/Wewc=")</f>
        <v>#VALUE!</v>
      </c>
      <c r="I71">
        <f>IF(Data!34:34,"AAAAAH/Wewg=",0)</f>
        <v>0</v>
      </c>
      <c r="J71" t="e">
        <f>AND(Data!A34,"AAAAAH/Wewk=")</f>
        <v>#VALUE!</v>
      </c>
      <c r="K71" t="e">
        <f>AND(Data!B34,"AAAAAH/Wewo=")</f>
        <v>#VALUE!</v>
      </c>
      <c r="L71" t="e">
        <f>AND(Data!C34,"AAAAAH/Wews=")</f>
        <v>#VALUE!</v>
      </c>
      <c r="M71" t="e">
        <f>AND(Data!D34,"AAAAAH/Weww=")</f>
        <v>#VALUE!</v>
      </c>
      <c r="N71" t="e">
        <f>AND(Data!E34,"AAAAAH/Wew0=")</f>
        <v>#VALUE!</v>
      </c>
      <c r="O71" t="e">
        <f>AND(Data!F34,"AAAAAH/Wew4=")</f>
        <v>#VALUE!</v>
      </c>
      <c r="P71" t="e">
        <f>AND(Data!G34,"AAAAAH/Wew8=")</f>
        <v>#VALUE!</v>
      </c>
      <c r="Q71" t="e">
        <f>AND(Data!H34,"AAAAAH/WexA=")</f>
        <v>#VALUE!</v>
      </c>
      <c r="R71" t="e">
        <f>AND(Data!I34,"AAAAAH/WexE=")</f>
        <v>#VALUE!</v>
      </c>
      <c r="S71" t="e">
        <f>AND(Data!J34,"AAAAAH/WexI=")</f>
        <v>#VALUE!</v>
      </c>
      <c r="T71" t="e">
        <f>AND(Data!K34,"AAAAAH/WexM=")</f>
        <v>#VALUE!</v>
      </c>
      <c r="U71" t="e">
        <f>AND(Data!L34,"AAAAAH/WexQ=")</f>
        <v>#VALUE!</v>
      </c>
      <c r="V71" t="e">
        <f>AND(Data!M34,"AAAAAH/WexU=")</f>
        <v>#VALUE!</v>
      </c>
      <c r="W71" t="e">
        <f>AND(Data!N34,"AAAAAH/WexY=")</f>
        <v>#VALUE!</v>
      </c>
      <c r="X71" t="e">
        <f>AND(Data!O34,"AAAAAH/Wexc=")</f>
        <v>#VALUE!</v>
      </c>
      <c r="Y71" t="e">
        <f>AND(Data!P34,"AAAAAH/Wexg=")</f>
        <v>#VALUE!</v>
      </c>
      <c r="Z71" t="e">
        <f>AND(Data!Q34,"AAAAAH/Wexk=")</f>
        <v>#VALUE!</v>
      </c>
      <c r="AA71" t="e">
        <f>AND(Data!R34,"AAAAAH/Wexo=")</f>
        <v>#VALUE!</v>
      </c>
      <c r="AB71" t="e">
        <f>AND(Data!S34,"AAAAAH/Wexs=")</f>
        <v>#VALUE!</v>
      </c>
      <c r="AC71" t="e">
        <f>AND(Data!T34,"AAAAAH/Wexw=")</f>
        <v>#VALUE!</v>
      </c>
      <c r="AD71" t="e">
        <f>AND(Data!U34,"AAAAAH/Wex0=")</f>
        <v>#VALUE!</v>
      </c>
      <c r="AE71" t="e">
        <f>AND(Data!V34,"AAAAAH/Wex4=")</f>
        <v>#VALUE!</v>
      </c>
      <c r="AF71" t="e">
        <f>AND(Data!W34,"AAAAAH/Wex8=")</f>
        <v>#VALUE!</v>
      </c>
      <c r="AG71" t="e">
        <f>AND(Data!X34,"AAAAAH/WeyA=")</f>
        <v>#VALUE!</v>
      </c>
      <c r="AH71">
        <f>IF(Data!35:35,"AAAAAH/WeyE=",0)</f>
        <v>0</v>
      </c>
      <c r="AI71" t="e">
        <f>AND(Data!A35,"AAAAAH/WeyI=")</f>
        <v>#VALUE!</v>
      </c>
      <c r="AJ71" t="e">
        <f>AND(Data!B35,"AAAAAH/WeyM=")</f>
        <v>#VALUE!</v>
      </c>
      <c r="AK71" t="e">
        <f>AND(Data!C35,"AAAAAH/WeyQ=")</f>
        <v>#VALUE!</v>
      </c>
      <c r="AL71" t="e">
        <f>AND(Data!D35,"AAAAAH/WeyU=")</f>
        <v>#VALUE!</v>
      </c>
      <c r="AM71" t="e">
        <f>AND(Data!E35,"AAAAAH/WeyY=")</f>
        <v>#VALUE!</v>
      </c>
      <c r="AN71" t="e">
        <f>AND(Data!F35,"AAAAAH/Weyc=")</f>
        <v>#VALUE!</v>
      </c>
      <c r="AO71" t="e">
        <f>AND(Data!G35,"AAAAAH/Weyg=")</f>
        <v>#VALUE!</v>
      </c>
      <c r="AP71" t="e">
        <f>AND(Data!H35,"AAAAAH/Weyk=")</f>
        <v>#VALUE!</v>
      </c>
      <c r="AQ71" t="e">
        <f>AND(Data!I35,"AAAAAH/Weyo=")</f>
        <v>#VALUE!</v>
      </c>
      <c r="AR71" t="e">
        <f>AND(Data!J35,"AAAAAH/Weys=")</f>
        <v>#VALUE!</v>
      </c>
      <c r="AS71" t="e">
        <f>AND(Data!K35,"AAAAAH/Weyw=")</f>
        <v>#VALUE!</v>
      </c>
      <c r="AT71" t="e">
        <f>AND(Data!L35,"AAAAAH/Wey0=")</f>
        <v>#VALUE!</v>
      </c>
      <c r="AU71" t="e">
        <f>AND(Data!M35,"AAAAAH/Wey4=")</f>
        <v>#VALUE!</v>
      </c>
      <c r="AV71" t="e">
        <f>AND(Data!N35,"AAAAAH/Wey8=")</f>
        <v>#VALUE!</v>
      </c>
      <c r="AW71" t="e">
        <f>AND(Data!O35,"AAAAAH/WezA=")</f>
        <v>#VALUE!</v>
      </c>
      <c r="AX71" t="e">
        <f>AND(Data!P35,"AAAAAH/WezE=")</f>
        <v>#VALUE!</v>
      </c>
      <c r="AY71" t="e">
        <f>AND(Data!Q35,"AAAAAH/WezI=")</f>
        <v>#VALUE!</v>
      </c>
      <c r="AZ71" t="e">
        <f>AND(Data!R35,"AAAAAH/WezM=")</f>
        <v>#VALUE!</v>
      </c>
      <c r="BA71" t="e">
        <f>AND(Data!S35,"AAAAAH/WezQ=")</f>
        <v>#VALUE!</v>
      </c>
      <c r="BB71" t="e">
        <f>AND(Data!T35,"AAAAAH/WezU=")</f>
        <v>#VALUE!</v>
      </c>
      <c r="BC71" t="e">
        <f>AND(Data!U35,"AAAAAH/WezY=")</f>
        <v>#VALUE!</v>
      </c>
      <c r="BD71" t="e">
        <f>AND(Data!V35,"AAAAAH/Wezc=")</f>
        <v>#VALUE!</v>
      </c>
      <c r="BE71" t="e">
        <f>AND(Data!W35,"AAAAAH/Wezg=")</f>
        <v>#VALUE!</v>
      </c>
      <c r="BF71" t="e">
        <f>AND(Data!X35,"AAAAAH/Wezk=")</f>
        <v>#VALUE!</v>
      </c>
      <c r="BG71">
        <f>IF(Data!36:36,"AAAAAH/Wezo=",0)</f>
        <v>0</v>
      </c>
      <c r="BH71" t="e">
        <f>AND(Data!A36,"AAAAAH/Wezs=")</f>
        <v>#VALUE!</v>
      </c>
      <c r="BI71" t="e">
        <f>AND(Data!B36,"AAAAAH/Wezw=")</f>
        <v>#VALUE!</v>
      </c>
      <c r="BJ71" t="e">
        <f>AND(Data!C36,"AAAAAH/Wez0=")</f>
        <v>#VALUE!</v>
      </c>
      <c r="BK71" t="e">
        <f>AND(Data!D36,"AAAAAH/Wez4=")</f>
        <v>#VALUE!</v>
      </c>
      <c r="BL71" t="e">
        <f>AND(Data!E36,"AAAAAH/Wez8=")</f>
        <v>#VALUE!</v>
      </c>
      <c r="BM71" t="e">
        <f>AND(Data!F36,"AAAAAH/We0A=")</f>
        <v>#VALUE!</v>
      </c>
      <c r="BN71" t="e">
        <f>AND(Data!G36,"AAAAAH/We0E=")</f>
        <v>#VALUE!</v>
      </c>
      <c r="BO71" t="e">
        <f>AND(Data!H36,"AAAAAH/We0I=")</f>
        <v>#VALUE!</v>
      </c>
      <c r="BP71" t="e">
        <f>AND(Data!I36,"AAAAAH/We0M=")</f>
        <v>#VALUE!</v>
      </c>
      <c r="BQ71" t="e">
        <f>AND(Data!J36,"AAAAAH/We0Q=")</f>
        <v>#VALUE!</v>
      </c>
      <c r="BR71" t="e">
        <f>AND(Data!K36,"AAAAAH/We0U=")</f>
        <v>#VALUE!</v>
      </c>
      <c r="BS71" t="e">
        <f>AND(Data!L36,"AAAAAH/We0Y=")</f>
        <v>#VALUE!</v>
      </c>
      <c r="BT71" t="e">
        <f>AND(Data!M36,"AAAAAH/We0c=")</f>
        <v>#VALUE!</v>
      </c>
      <c r="BU71" t="e">
        <f>AND(Data!N36,"AAAAAH/We0g=")</f>
        <v>#VALUE!</v>
      </c>
      <c r="BV71" t="e">
        <f>AND(Data!O36,"AAAAAH/We0k=")</f>
        <v>#VALUE!</v>
      </c>
      <c r="BW71" t="e">
        <f>AND(Data!P36,"AAAAAH/We0o=")</f>
        <v>#VALUE!</v>
      </c>
      <c r="BX71" t="e">
        <f>AND(Data!Q36,"AAAAAH/We0s=")</f>
        <v>#VALUE!</v>
      </c>
      <c r="BY71" t="e">
        <f>AND(Data!R36,"AAAAAH/We0w=")</f>
        <v>#VALUE!</v>
      </c>
      <c r="BZ71" t="e">
        <f>AND(Data!S36,"AAAAAH/We00=")</f>
        <v>#VALUE!</v>
      </c>
      <c r="CA71" t="e">
        <f>AND(Data!T36,"AAAAAH/We04=")</f>
        <v>#VALUE!</v>
      </c>
      <c r="CB71" t="e">
        <f>AND(Data!U36,"AAAAAH/We08=")</f>
        <v>#VALUE!</v>
      </c>
      <c r="CC71" t="e">
        <f>AND(Data!V36,"AAAAAH/We1A=")</f>
        <v>#VALUE!</v>
      </c>
      <c r="CD71" t="e">
        <f>AND(Data!W36,"AAAAAH/We1E=")</f>
        <v>#VALUE!</v>
      </c>
      <c r="CE71" t="e">
        <f>AND(Data!X36,"AAAAAH/We1I=")</f>
        <v>#VALUE!</v>
      </c>
      <c r="CF71">
        <f>IF(Data!37:37,"AAAAAH/We1M=",0)</f>
        <v>0</v>
      </c>
      <c r="CG71" t="e">
        <f>AND(Data!A37,"AAAAAH/We1Q=")</f>
        <v>#VALUE!</v>
      </c>
      <c r="CH71" t="e">
        <f>AND(Data!B37,"AAAAAH/We1U=")</f>
        <v>#VALUE!</v>
      </c>
      <c r="CI71" t="e">
        <f>AND(Data!C37,"AAAAAH/We1Y=")</f>
        <v>#VALUE!</v>
      </c>
      <c r="CJ71" t="e">
        <f>AND(Data!D37,"AAAAAH/We1c=")</f>
        <v>#VALUE!</v>
      </c>
      <c r="CK71" t="e">
        <f>AND(Data!E37,"AAAAAH/We1g=")</f>
        <v>#VALUE!</v>
      </c>
      <c r="CL71" t="e">
        <f>AND(Data!F37,"AAAAAH/We1k=")</f>
        <v>#VALUE!</v>
      </c>
      <c r="CM71" t="e">
        <f>AND(Data!G37,"AAAAAH/We1o=")</f>
        <v>#VALUE!</v>
      </c>
      <c r="CN71" t="e">
        <f>AND(Data!H37,"AAAAAH/We1s=")</f>
        <v>#VALUE!</v>
      </c>
      <c r="CO71" t="e">
        <f>AND(Data!I37,"AAAAAH/We1w=")</f>
        <v>#VALUE!</v>
      </c>
      <c r="CP71" t="e">
        <f>AND(Data!J37,"AAAAAH/We10=")</f>
        <v>#VALUE!</v>
      </c>
      <c r="CQ71" t="e">
        <f>AND(Data!K37,"AAAAAH/We14=")</f>
        <v>#VALUE!</v>
      </c>
      <c r="CR71" t="e">
        <f>AND(Data!L37,"AAAAAH/We18=")</f>
        <v>#VALUE!</v>
      </c>
      <c r="CS71" t="e">
        <f>AND(Data!M37,"AAAAAH/We2A=")</f>
        <v>#VALUE!</v>
      </c>
      <c r="CT71" t="e">
        <f>AND(Data!N37,"AAAAAH/We2E=")</f>
        <v>#VALUE!</v>
      </c>
      <c r="CU71" t="e">
        <f>AND(Data!O37,"AAAAAH/We2I=")</f>
        <v>#VALUE!</v>
      </c>
      <c r="CV71" t="e">
        <f>AND(Data!P37,"AAAAAH/We2M=")</f>
        <v>#VALUE!</v>
      </c>
      <c r="CW71" t="e">
        <f>AND(Data!Q37,"AAAAAH/We2Q=")</f>
        <v>#VALUE!</v>
      </c>
      <c r="CX71" t="e">
        <f>AND(Data!R37,"AAAAAH/We2U=")</f>
        <v>#VALUE!</v>
      </c>
      <c r="CY71" t="e">
        <f>AND(Data!S37,"AAAAAH/We2Y=")</f>
        <v>#VALUE!</v>
      </c>
      <c r="CZ71" t="e">
        <f>AND(Data!T37,"AAAAAH/We2c=")</f>
        <v>#VALUE!</v>
      </c>
      <c r="DA71" t="e">
        <f>AND(Data!U37,"AAAAAH/We2g=")</f>
        <v>#VALUE!</v>
      </c>
      <c r="DB71" t="e">
        <f>AND(Data!V37,"AAAAAH/We2k=")</f>
        <v>#VALUE!</v>
      </c>
      <c r="DC71" t="e">
        <f>AND(Data!W37,"AAAAAH/We2o=")</f>
        <v>#VALUE!</v>
      </c>
      <c r="DD71" t="e">
        <f>AND(Data!X37,"AAAAAH/We2s=")</f>
        <v>#VALUE!</v>
      </c>
      <c r="DE71">
        <f>IF(Data!38:38,"AAAAAH/We2w=",0)</f>
        <v>0</v>
      </c>
      <c r="DF71" t="e">
        <f>AND(Data!A38,"AAAAAH/We20=")</f>
        <v>#VALUE!</v>
      </c>
      <c r="DG71" t="e">
        <f>AND(Data!B38,"AAAAAH/We24=")</f>
        <v>#VALUE!</v>
      </c>
      <c r="DH71" t="e">
        <f>AND(Data!C38,"AAAAAH/We28=")</f>
        <v>#VALUE!</v>
      </c>
      <c r="DI71" t="e">
        <f>AND(Data!D38,"AAAAAH/We3A=")</f>
        <v>#VALUE!</v>
      </c>
      <c r="DJ71" t="e">
        <f>AND(Data!E38,"AAAAAH/We3E=")</f>
        <v>#VALUE!</v>
      </c>
      <c r="DK71" t="e">
        <f>AND(Data!F38,"AAAAAH/We3I=")</f>
        <v>#VALUE!</v>
      </c>
      <c r="DL71" t="e">
        <f>AND(Data!G38,"AAAAAH/We3M=")</f>
        <v>#VALUE!</v>
      </c>
      <c r="DM71" t="e">
        <f>AND(Data!H38,"AAAAAH/We3Q=")</f>
        <v>#VALUE!</v>
      </c>
      <c r="DN71" t="e">
        <f>AND(Data!I38,"AAAAAH/We3U=")</f>
        <v>#VALUE!</v>
      </c>
      <c r="DO71" t="e">
        <f>AND(Data!J38,"AAAAAH/We3Y=")</f>
        <v>#VALUE!</v>
      </c>
      <c r="DP71" t="e">
        <f>AND(Data!K38,"AAAAAH/We3c=")</f>
        <v>#VALUE!</v>
      </c>
      <c r="DQ71" t="e">
        <f>AND(Data!L38,"AAAAAH/We3g=")</f>
        <v>#VALUE!</v>
      </c>
      <c r="DR71" t="e">
        <f>AND(Data!M38,"AAAAAH/We3k=")</f>
        <v>#VALUE!</v>
      </c>
      <c r="DS71" t="e">
        <f>AND(Data!N38,"AAAAAH/We3o=")</f>
        <v>#VALUE!</v>
      </c>
      <c r="DT71" t="e">
        <f>AND(Data!O38,"AAAAAH/We3s=")</f>
        <v>#VALUE!</v>
      </c>
      <c r="DU71" t="e">
        <f>AND(Data!P38,"AAAAAH/We3w=")</f>
        <v>#VALUE!</v>
      </c>
      <c r="DV71" t="e">
        <f>AND(Data!Q38,"AAAAAH/We30=")</f>
        <v>#VALUE!</v>
      </c>
      <c r="DW71" t="e">
        <f>AND(Data!R38,"AAAAAH/We34=")</f>
        <v>#VALUE!</v>
      </c>
      <c r="DX71" t="e">
        <f>AND(Data!S38,"AAAAAH/We38=")</f>
        <v>#VALUE!</v>
      </c>
      <c r="DY71" t="e">
        <f>AND(Data!T38,"AAAAAH/We4A=")</f>
        <v>#VALUE!</v>
      </c>
      <c r="DZ71" t="e">
        <f>AND(Data!U38,"AAAAAH/We4E=")</f>
        <v>#VALUE!</v>
      </c>
      <c r="EA71" t="e">
        <f>AND(Data!V38,"AAAAAH/We4I=")</f>
        <v>#VALUE!</v>
      </c>
      <c r="EB71" t="e">
        <f>AND(Data!W38,"AAAAAH/We4M=")</f>
        <v>#VALUE!</v>
      </c>
      <c r="EC71" t="e">
        <f>AND(Data!X38,"AAAAAH/We4Q=")</f>
        <v>#VALUE!</v>
      </c>
      <c r="ED71">
        <f>IF(Data!39:39,"AAAAAH/We4U=",0)</f>
        <v>0</v>
      </c>
      <c r="EE71" t="e">
        <f>AND(Data!A39,"AAAAAH/We4Y=")</f>
        <v>#VALUE!</v>
      </c>
      <c r="EF71" t="e">
        <f>AND(Data!B39,"AAAAAH/We4c=")</f>
        <v>#VALUE!</v>
      </c>
      <c r="EG71" t="e">
        <f>AND(Data!C39,"AAAAAH/We4g=")</f>
        <v>#VALUE!</v>
      </c>
      <c r="EH71" t="e">
        <f>AND(Data!D39,"AAAAAH/We4k=")</f>
        <v>#VALUE!</v>
      </c>
      <c r="EI71" t="e">
        <f>AND(Data!E39,"AAAAAH/We4o=")</f>
        <v>#VALUE!</v>
      </c>
      <c r="EJ71" t="e">
        <f>AND(Data!F39,"AAAAAH/We4s=")</f>
        <v>#VALUE!</v>
      </c>
      <c r="EK71" t="e">
        <f>AND(Data!G39,"AAAAAH/We4w=")</f>
        <v>#VALUE!</v>
      </c>
      <c r="EL71" t="e">
        <f>AND(Data!H39,"AAAAAH/We40=")</f>
        <v>#VALUE!</v>
      </c>
      <c r="EM71" t="e">
        <f>AND(Data!I39,"AAAAAH/We44=")</f>
        <v>#VALUE!</v>
      </c>
      <c r="EN71" t="e">
        <f>AND(Data!J39,"AAAAAH/We48=")</f>
        <v>#VALUE!</v>
      </c>
      <c r="EO71" t="e">
        <f>AND(Data!K39,"AAAAAH/We5A=")</f>
        <v>#VALUE!</v>
      </c>
      <c r="EP71" t="e">
        <f>AND(Data!L39,"AAAAAH/We5E=")</f>
        <v>#VALUE!</v>
      </c>
      <c r="EQ71" t="e">
        <f>AND(Data!M39,"AAAAAH/We5I=")</f>
        <v>#VALUE!</v>
      </c>
      <c r="ER71" t="e">
        <f>AND(Data!N39,"AAAAAH/We5M=")</f>
        <v>#VALUE!</v>
      </c>
      <c r="ES71" t="e">
        <f>AND(Data!O39,"AAAAAH/We5Q=")</f>
        <v>#VALUE!</v>
      </c>
      <c r="ET71" t="e">
        <f>AND(Data!P39,"AAAAAH/We5U=")</f>
        <v>#VALUE!</v>
      </c>
      <c r="EU71" t="e">
        <f>AND(Data!Q39,"AAAAAH/We5Y=")</f>
        <v>#VALUE!</v>
      </c>
      <c r="EV71" t="e">
        <f>AND(Data!R39,"AAAAAH/We5c=")</f>
        <v>#VALUE!</v>
      </c>
      <c r="EW71" t="e">
        <f>AND(Data!S39,"AAAAAH/We5g=")</f>
        <v>#VALUE!</v>
      </c>
      <c r="EX71" t="e">
        <f>AND(Data!T39,"AAAAAH/We5k=")</f>
        <v>#VALUE!</v>
      </c>
      <c r="EY71" t="e">
        <f>AND(Data!U39,"AAAAAH/We5o=")</f>
        <v>#VALUE!</v>
      </c>
      <c r="EZ71" t="e">
        <f>AND(Data!V39,"AAAAAH/We5s=")</f>
        <v>#VALUE!</v>
      </c>
      <c r="FA71" t="e">
        <f>AND(Data!W39,"AAAAAH/We5w=")</f>
        <v>#VALUE!</v>
      </c>
      <c r="FB71" t="e">
        <f>AND(Data!X39,"AAAAAH/We50=")</f>
        <v>#VALUE!</v>
      </c>
      <c r="FC71">
        <f>IF(Data!40:40,"AAAAAH/We54=",0)</f>
        <v>0</v>
      </c>
      <c r="FD71" t="e">
        <f>AND(Data!A40,"AAAAAH/We58=")</f>
        <v>#VALUE!</v>
      </c>
      <c r="FE71" t="e">
        <f>AND(Data!B40,"AAAAAH/We6A=")</f>
        <v>#VALUE!</v>
      </c>
      <c r="FF71" t="e">
        <f>AND(Data!C40,"AAAAAH/We6E=")</f>
        <v>#VALUE!</v>
      </c>
      <c r="FG71" t="e">
        <f>AND(Data!D40,"AAAAAH/We6I=")</f>
        <v>#VALUE!</v>
      </c>
      <c r="FH71" t="e">
        <f>AND(Data!E40,"AAAAAH/We6M=")</f>
        <v>#VALUE!</v>
      </c>
      <c r="FI71" t="e">
        <f>AND(Data!F40,"AAAAAH/We6Q=")</f>
        <v>#VALUE!</v>
      </c>
      <c r="FJ71" t="e">
        <f>AND(Data!G40,"AAAAAH/We6U=")</f>
        <v>#VALUE!</v>
      </c>
      <c r="FK71" t="e">
        <f>AND(Data!H40,"AAAAAH/We6Y=")</f>
        <v>#VALUE!</v>
      </c>
      <c r="FL71" t="e">
        <f>AND(Data!I40,"AAAAAH/We6c=")</f>
        <v>#VALUE!</v>
      </c>
      <c r="FM71" t="e">
        <f>AND(Data!J40,"AAAAAH/We6g=")</f>
        <v>#VALUE!</v>
      </c>
      <c r="FN71" t="e">
        <f>AND(Data!K40,"AAAAAH/We6k=")</f>
        <v>#VALUE!</v>
      </c>
      <c r="FO71" t="e">
        <f>AND(Data!L40,"AAAAAH/We6o=")</f>
        <v>#VALUE!</v>
      </c>
      <c r="FP71" t="e">
        <f>AND(Data!M40,"AAAAAH/We6s=")</f>
        <v>#VALUE!</v>
      </c>
      <c r="FQ71" t="e">
        <f>AND(Data!N40,"AAAAAH/We6w=")</f>
        <v>#VALUE!</v>
      </c>
      <c r="FR71" t="e">
        <f>AND(Data!O40,"AAAAAH/We60=")</f>
        <v>#VALUE!</v>
      </c>
      <c r="FS71" t="e">
        <f>AND(Data!P40,"AAAAAH/We64=")</f>
        <v>#VALUE!</v>
      </c>
      <c r="FT71" t="e">
        <f>AND(Data!Q40,"AAAAAH/We68=")</f>
        <v>#VALUE!</v>
      </c>
      <c r="FU71" t="e">
        <f>AND(Data!R40,"AAAAAH/We7A=")</f>
        <v>#VALUE!</v>
      </c>
      <c r="FV71" t="e">
        <f>AND(Data!S40,"AAAAAH/We7E=")</f>
        <v>#VALUE!</v>
      </c>
      <c r="FW71" t="e">
        <f>AND(Data!T40,"AAAAAH/We7I=")</f>
        <v>#VALUE!</v>
      </c>
      <c r="FX71" t="e">
        <f>AND(Data!U40,"AAAAAH/We7M=")</f>
        <v>#VALUE!</v>
      </c>
      <c r="FY71" t="e">
        <f>AND(Data!V40,"AAAAAH/We7Q=")</f>
        <v>#VALUE!</v>
      </c>
      <c r="FZ71" t="e">
        <f>AND(Data!W40,"AAAAAH/We7U=")</f>
        <v>#VALUE!</v>
      </c>
      <c r="GA71" t="e">
        <f>AND(Data!X40,"AAAAAH/We7Y=")</f>
        <v>#VALUE!</v>
      </c>
      <c r="GB71">
        <f>IF(Data!41:41,"AAAAAH/We7c=",0)</f>
        <v>0</v>
      </c>
      <c r="GC71" t="e">
        <f>AND(Data!A41,"AAAAAH/We7g=")</f>
        <v>#VALUE!</v>
      </c>
      <c r="GD71" t="e">
        <f>AND(Data!B41,"AAAAAH/We7k=")</f>
        <v>#VALUE!</v>
      </c>
      <c r="GE71" t="e">
        <f>AND(Data!C41,"AAAAAH/We7o=")</f>
        <v>#VALUE!</v>
      </c>
      <c r="GF71" t="e">
        <f>AND(Data!D41,"AAAAAH/We7s=")</f>
        <v>#VALUE!</v>
      </c>
      <c r="GG71" t="e">
        <f>AND(Data!E41,"AAAAAH/We7w=")</f>
        <v>#VALUE!</v>
      </c>
      <c r="GH71" t="e">
        <f>AND(Data!F41,"AAAAAH/We70=")</f>
        <v>#VALUE!</v>
      </c>
      <c r="GI71" t="e">
        <f>AND(Data!G41,"AAAAAH/We74=")</f>
        <v>#VALUE!</v>
      </c>
      <c r="GJ71" t="e">
        <f>AND(Data!H41,"AAAAAH/We78=")</f>
        <v>#VALUE!</v>
      </c>
      <c r="GK71" t="e">
        <f>AND(Data!I41,"AAAAAH/We8A=")</f>
        <v>#VALUE!</v>
      </c>
      <c r="GL71" t="e">
        <f>AND(Data!J41,"AAAAAH/We8E=")</f>
        <v>#VALUE!</v>
      </c>
      <c r="GM71" t="e">
        <f>AND(Data!K41,"AAAAAH/We8I=")</f>
        <v>#VALUE!</v>
      </c>
      <c r="GN71" t="e">
        <f>AND(Data!L41,"AAAAAH/We8M=")</f>
        <v>#VALUE!</v>
      </c>
      <c r="GO71" t="e">
        <f>AND(Data!M41,"AAAAAH/We8Q=")</f>
        <v>#VALUE!</v>
      </c>
      <c r="GP71" t="e">
        <f>AND(Data!N41,"AAAAAH/We8U=")</f>
        <v>#VALUE!</v>
      </c>
      <c r="GQ71" t="e">
        <f>AND(Data!O41,"AAAAAH/We8Y=")</f>
        <v>#VALUE!</v>
      </c>
      <c r="GR71" t="e">
        <f>AND(Data!P41,"AAAAAH/We8c=")</f>
        <v>#VALUE!</v>
      </c>
      <c r="GS71" t="e">
        <f>AND(Data!Q41,"AAAAAH/We8g=")</f>
        <v>#VALUE!</v>
      </c>
      <c r="GT71" t="e">
        <f>AND(Data!R41,"AAAAAH/We8k=")</f>
        <v>#VALUE!</v>
      </c>
      <c r="GU71" t="e">
        <f>AND(Data!S41,"AAAAAH/We8o=")</f>
        <v>#VALUE!</v>
      </c>
      <c r="GV71" t="e">
        <f>AND(Data!T41,"AAAAAH/We8s=")</f>
        <v>#VALUE!</v>
      </c>
      <c r="GW71" t="e">
        <f>AND(Data!U41,"AAAAAH/We8w=")</f>
        <v>#VALUE!</v>
      </c>
      <c r="GX71" t="e">
        <f>AND(Data!V41,"AAAAAH/We80=")</f>
        <v>#VALUE!</v>
      </c>
      <c r="GY71" t="e">
        <f>AND(Data!W41,"AAAAAH/We84=")</f>
        <v>#VALUE!</v>
      </c>
      <c r="GZ71" t="e">
        <f>AND(Data!X41,"AAAAAH/We88=")</f>
        <v>#VALUE!</v>
      </c>
      <c r="HA71">
        <f>IF(Data!42:42,"AAAAAH/We9A=",0)</f>
        <v>0</v>
      </c>
      <c r="HB71" t="e">
        <f>AND(Data!A42,"AAAAAH/We9E=")</f>
        <v>#VALUE!</v>
      </c>
      <c r="HC71" t="e">
        <f>AND(Data!B42,"AAAAAH/We9I=")</f>
        <v>#VALUE!</v>
      </c>
      <c r="HD71" t="e">
        <f>AND(Data!C42,"AAAAAH/We9M=")</f>
        <v>#VALUE!</v>
      </c>
      <c r="HE71" t="e">
        <f>AND(Data!D42,"AAAAAH/We9Q=")</f>
        <v>#VALUE!</v>
      </c>
      <c r="HF71" t="e">
        <f>AND(Data!E42,"AAAAAH/We9U=")</f>
        <v>#VALUE!</v>
      </c>
      <c r="HG71" t="e">
        <f>AND(Data!F42,"AAAAAH/We9Y=")</f>
        <v>#VALUE!</v>
      </c>
      <c r="HH71" t="e">
        <f>AND(Data!G42,"AAAAAH/We9c=")</f>
        <v>#VALUE!</v>
      </c>
      <c r="HI71" t="e">
        <f>AND(Data!H42,"AAAAAH/We9g=")</f>
        <v>#VALUE!</v>
      </c>
      <c r="HJ71" t="e">
        <f>AND(Data!I42,"AAAAAH/We9k=")</f>
        <v>#VALUE!</v>
      </c>
      <c r="HK71" t="e">
        <f>AND(Data!J42,"AAAAAH/We9o=")</f>
        <v>#VALUE!</v>
      </c>
      <c r="HL71" t="e">
        <f>AND(Data!K42,"AAAAAH/We9s=")</f>
        <v>#VALUE!</v>
      </c>
      <c r="HM71" t="e">
        <f>AND(Data!L42,"AAAAAH/We9w=")</f>
        <v>#VALUE!</v>
      </c>
      <c r="HN71" t="e">
        <f>AND(Data!M42,"AAAAAH/We90=")</f>
        <v>#VALUE!</v>
      </c>
      <c r="HO71" t="e">
        <f>AND(Data!N42,"AAAAAH/We94=")</f>
        <v>#VALUE!</v>
      </c>
      <c r="HP71" t="e">
        <f>AND(Data!O42,"AAAAAH/We98=")</f>
        <v>#VALUE!</v>
      </c>
      <c r="HQ71" t="e">
        <f>AND(Data!P42,"AAAAAH/We+A=")</f>
        <v>#VALUE!</v>
      </c>
      <c r="HR71" t="e">
        <f>AND(Data!Q42,"AAAAAH/We+E=")</f>
        <v>#VALUE!</v>
      </c>
      <c r="HS71" t="e">
        <f>AND(Data!R42,"AAAAAH/We+I=")</f>
        <v>#VALUE!</v>
      </c>
      <c r="HT71" t="e">
        <f>AND(Data!S42,"AAAAAH/We+M=")</f>
        <v>#VALUE!</v>
      </c>
      <c r="HU71" t="e">
        <f>AND(Data!T42,"AAAAAH/We+Q=")</f>
        <v>#VALUE!</v>
      </c>
      <c r="HV71" t="e">
        <f>AND(Data!U42,"AAAAAH/We+U=")</f>
        <v>#VALUE!</v>
      </c>
      <c r="HW71" t="e">
        <f>AND(Data!V42,"AAAAAH/We+Y=")</f>
        <v>#VALUE!</v>
      </c>
      <c r="HX71" t="e">
        <f>AND(Data!W42,"AAAAAH/We+c=")</f>
        <v>#VALUE!</v>
      </c>
      <c r="HY71" t="e">
        <f>AND(Data!X42,"AAAAAH/We+g=")</f>
        <v>#VALUE!</v>
      </c>
      <c r="HZ71">
        <f>IF(Data!43:43,"AAAAAH/We+k=",0)</f>
        <v>0</v>
      </c>
      <c r="IA71" t="e">
        <f>AND(Data!A43,"AAAAAH/We+o=")</f>
        <v>#VALUE!</v>
      </c>
      <c r="IB71" t="e">
        <f>AND(Data!B43,"AAAAAH/We+s=")</f>
        <v>#VALUE!</v>
      </c>
      <c r="IC71" t="e">
        <f>AND(Data!C43,"AAAAAH/We+w=")</f>
        <v>#VALUE!</v>
      </c>
      <c r="ID71" t="e">
        <f>AND(Data!D43,"AAAAAH/We+0=")</f>
        <v>#VALUE!</v>
      </c>
      <c r="IE71" t="e">
        <f>AND(Data!E43,"AAAAAH/We+4=")</f>
        <v>#VALUE!</v>
      </c>
      <c r="IF71" t="e">
        <f>AND(Data!F43,"AAAAAH/We+8=")</f>
        <v>#VALUE!</v>
      </c>
      <c r="IG71" t="e">
        <f>AND(Data!G43,"AAAAAH/We/A=")</f>
        <v>#VALUE!</v>
      </c>
      <c r="IH71" t="e">
        <f>AND(Data!H43,"AAAAAH/We/E=")</f>
        <v>#VALUE!</v>
      </c>
      <c r="II71" t="e">
        <f>AND(Data!I43,"AAAAAH/We/I=")</f>
        <v>#VALUE!</v>
      </c>
      <c r="IJ71" t="e">
        <f>AND(Data!J43,"AAAAAH/We/M=")</f>
        <v>#VALUE!</v>
      </c>
      <c r="IK71" t="e">
        <f>AND(Data!K43,"AAAAAH/We/Q=")</f>
        <v>#VALUE!</v>
      </c>
      <c r="IL71" t="e">
        <f>AND(Data!L43,"AAAAAH/We/U=")</f>
        <v>#VALUE!</v>
      </c>
      <c r="IM71" t="e">
        <f>AND(Data!M43,"AAAAAH/We/Y=")</f>
        <v>#VALUE!</v>
      </c>
      <c r="IN71" t="e">
        <f>AND(Data!N43,"AAAAAH/We/c=")</f>
        <v>#VALUE!</v>
      </c>
      <c r="IO71" t="e">
        <f>AND(Data!O43,"AAAAAH/We/g=")</f>
        <v>#VALUE!</v>
      </c>
      <c r="IP71" t="e">
        <f>AND(Data!P43,"AAAAAH/We/k=")</f>
        <v>#VALUE!</v>
      </c>
      <c r="IQ71" t="e">
        <f>AND(Data!Q43,"AAAAAH/We/o=")</f>
        <v>#VALUE!</v>
      </c>
      <c r="IR71" t="e">
        <f>AND(Data!R43,"AAAAAH/We/s=")</f>
        <v>#VALUE!</v>
      </c>
      <c r="IS71" t="e">
        <f>AND(Data!S43,"AAAAAH/We/w=")</f>
        <v>#VALUE!</v>
      </c>
      <c r="IT71" t="e">
        <f>AND(Data!T43,"AAAAAH/We/0=")</f>
        <v>#VALUE!</v>
      </c>
      <c r="IU71" t="e">
        <f>AND(Data!U43,"AAAAAH/We/4=")</f>
        <v>#VALUE!</v>
      </c>
      <c r="IV71" t="e">
        <f>AND(Data!V43,"AAAAAH/We/8=")</f>
        <v>#VALUE!</v>
      </c>
    </row>
    <row r="72" spans="1:256" x14ac:dyDescent="0.2">
      <c r="A72" t="e">
        <f>AND(Data!W43,"AAAAAH3e/wA=")</f>
        <v>#VALUE!</v>
      </c>
      <c r="B72" t="e">
        <f>AND(Data!X43,"AAAAAH3e/wE=")</f>
        <v>#VALUE!</v>
      </c>
      <c r="C72">
        <f>IF(Data!44:44,"AAAAAH3e/wI=",0)</f>
        <v>0</v>
      </c>
      <c r="D72" t="e">
        <f>AND(Data!A44,"AAAAAH3e/wM=")</f>
        <v>#VALUE!</v>
      </c>
      <c r="E72" t="e">
        <f>AND(Data!B44,"AAAAAH3e/wQ=")</f>
        <v>#VALUE!</v>
      </c>
      <c r="F72" t="e">
        <f>AND(Data!C44,"AAAAAH3e/wU=")</f>
        <v>#VALUE!</v>
      </c>
      <c r="G72" t="e">
        <f>AND(Data!D44,"AAAAAH3e/wY=")</f>
        <v>#VALUE!</v>
      </c>
      <c r="H72" t="e">
        <f>AND(Data!E44,"AAAAAH3e/wc=")</f>
        <v>#VALUE!</v>
      </c>
      <c r="I72" t="e">
        <f>AND(Data!F44,"AAAAAH3e/wg=")</f>
        <v>#VALUE!</v>
      </c>
      <c r="J72" t="e">
        <f>AND(Data!G44,"AAAAAH3e/wk=")</f>
        <v>#VALUE!</v>
      </c>
      <c r="K72" t="e">
        <f>AND(Data!H44,"AAAAAH3e/wo=")</f>
        <v>#VALUE!</v>
      </c>
      <c r="L72" t="e">
        <f>AND(Data!I44,"AAAAAH3e/ws=")</f>
        <v>#VALUE!</v>
      </c>
      <c r="M72" t="e">
        <f>AND(Data!J44,"AAAAAH3e/ww=")</f>
        <v>#VALUE!</v>
      </c>
      <c r="N72" t="e">
        <f>AND(Data!K44,"AAAAAH3e/w0=")</f>
        <v>#VALUE!</v>
      </c>
      <c r="O72" t="e">
        <f>AND(Data!L44,"AAAAAH3e/w4=")</f>
        <v>#VALUE!</v>
      </c>
      <c r="P72" t="e">
        <f>AND(Data!M44,"AAAAAH3e/w8=")</f>
        <v>#VALUE!</v>
      </c>
      <c r="Q72" t="e">
        <f>AND(Data!N44,"AAAAAH3e/xA=")</f>
        <v>#VALUE!</v>
      </c>
      <c r="R72" t="e">
        <f>AND(Data!O44,"AAAAAH3e/xE=")</f>
        <v>#VALUE!</v>
      </c>
      <c r="S72" t="e">
        <f>AND(Data!P44,"AAAAAH3e/xI=")</f>
        <v>#VALUE!</v>
      </c>
      <c r="T72" t="e">
        <f>AND(Data!Q44,"AAAAAH3e/xM=")</f>
        <v>#VALUE!</v>
      </c>
      <c r="U72" t="e">
        <f>AND(Data!R44,"AAAAAH3e/xQ=")</f>
        <v>#VALUE!</v>
      </c>
      <c r="V72" t="e">
        <f>AND(Data!S44,"AAAAAH3e/xU=")</f>
        <v>#VALUE!</v>
      </c>
      <c r="W72" t="e">
        <f>AND(Data!T44,"AAAAAH3e/xY=")</f>
        <v>#VALUE!</v>
      </c>
      <c r="X72" t="e">
        <f>AND(Data!U44,"AAAAAH3e/xc=")</f>
        <v>#VALUE!</v>
      </c>
      <c r="Y72" t="e">
        <f>AND(Data!V44,"AAAAAH3e/xg=")</f>
        <v>#VALUE!</v>
      </c>
      <c r="Z72" t="e">
        <f>AND(Data!W44,"AAAAAH3e/xk=")</f>
        <v>#VALUE!</v>
      </c>
      <c r="AA72" t="e">
        <f>AND(Data!X44,"AAAAAH3e/xo=")</f>
        <v>#VALUE!</v>
      </c>
      <c r="AB72">
        <f>IF(Data!45:45,"AAAAAH3e/xs=",0)</f>
        <v>0</v>
      </c>
      <c r="AC72" t="e">
        <f>AND(Data!A45,"AAAAAH3e/xw=")</f>
        <v>#VALUE!</v>
      </c>
      <c r="AD72" t="e">
        <f>AND(Data!B45,"AAAAAH3e/x0=")</f>
        <v>#VALUE!</v>
      </c>
      <c r="AE72" t="e">
        <f>AND(Data!C45,"AAAAAH3e/x4=")</f>
        <v>#VALUE!</v>
      </c>
      <c r="AF72" t="e">
        <f>AND(Data!D45,"AAAAAH3e/x8=")</f>
        <v>#VALUE!</v>
      </c>
      <c r="AG72" t="e">
        <f>AND(Data!E45,"AAAAAH3e/yA=")</f>
        <v>#VALUE!</v>
      </c>
      <c r="AH72" t="e">
        <f>AND(Data!F45,"AAAAAH3e/yE=")</f>
        <v>#VALUE!</v>
      </c>
      <c r="AI72" t="e">
        <f>AND(Data!G45,"AAAAAH3e/yI=")</f>
        <v>#VALUE!</v>
      </c>
      <c r="AJ72" t="e">
        <f>AND(Data!H45,"AAAAAH3e/yM=")</f>
        <v>#VALUE!</v>
      </c>
      <c r="AK72" t="e">
        <f>AND(Data!I45,"AAAAAH3e/yQ=")</f>
        <v>#VALUE!</v>
      </c>
      <c r="AL72" t="e">
        <f>AND(Data!J45,"AAAAAH3e/yU=")</f>
        <v>#VALUE!</v>
      </c>
      <c r="AM72" t="e">
        <f>AND(Data!K45,"AAAAAH3e/yY=")</f>
        <v>#VALUE!</v>
      </c>
      <c r="AN72" t="e">
        <f>AND(Data!L45,"AAAAAH3e/yc=")</f>
        <v>#VALUE!</v>
      </c>
      <c r="AO72" t="e">
        <f>AND(Data!M45,"AAAAAH3e/yg=")</f>
        <v>#VALUE!</v>
      </c>
      <c r="AP72" t="e">
        <f>AND(Data!N45,"AAAAAH3e/yk=")</f>
        <v>#VALUE!</v>
      </c>
      <c r="AQ72" t="e">
        <f>AND(Data!O45,"AAAAAH3e/yo=")</f>
        <v>#VALUE!</v>
      </c>
      <c r="AR72" t="e">
        <f>AND(Data!P45,"AAAAAH3e/ys=")</f>
        <v>#VALUE!</v>
      </c>
      <c r="AS72" t="e">
        <f>AND(Data!Q45,"AAAAAH3e/yw=")</f>
        <v>#VALUE!</v>
      </c>
      <c r="AT72" t="e">
        <f>AND(Data!R45,"AAAAAH3e/y0=")</f>
        <v>#VALUE!</v>
      </c>
      <c r="AU72" t="e">
        <f>AND(Data!S45,"AAAAAH3e/y4=")</f>
        <v>#VALUE!</v>
      </c>
      <c r="AV72" t="e">
        <f>AND(Data!T45,"AAAAAH3e/y8=")</f>
        <v>#VALUE!</v>
      </c>
      <c r="AW72" t="e">
        <f>AND(Data!U45,"AAAAAH3e/zA=")</f>
        <v>#VALUE!</v>
      </c>
      <c r="AX72" t="e">
        <f>AND(Data!V45,"AAAAAH3e/zE=")</f>
        <v>#VALUE!</v>
      </c>
      <c r="AY72" t="e">
        <f>AND(Data!W45,"AAAAAH3e/zI=")</f>
        <v>#VALUE!</v>
      </c>
      <c r="AZ72" t="e">
        <f>AND(Data!X45,"AAAAAH3e/zM=")</f>
        <v>#VALUE!</v>
      </c>
      <c r="BA72">
        <f>IF(Data!46:46,"AAAAAH3e/zQ=",0)</f>
        <v>0</v>
      </c>
      <c r="BB72" t="e">
        <f>AND(Data!A46,"AAAAAH3e/zU=")</f>
        <v>#VALUE!</v>
      </c>
      <c r="BC72" t="e">
        <f>AND(Data!B46,"AAAAAH3e/zY=")</f>
        <v>#VALUE!</v>
      </c>
      <c r="BD72" t="e">
        <f>AND(Data!C46,"AAAAAH3e/zc=")</f>
        <v>#VALUE!</v>
      </c>
      <c r="BE72" t="e">
        <f>AND(Data!D46,"AAAAAH3e/zg=")</f>
        <v>#VALUE!</v>
      </c>
      <c r="BF72" t="e">
        <f>AND(Data!E46,"AAAAAH3e/zk=")</f>
        <v>#VALUE!</v>
      </c>
      <c r="BG72" t="e">
        <f>AND(Data!F46,"AAAAAH3e/zo=")</f>
        <v>#VALUE!</v>
      </c>
      <c r="BH72" t="e">
        <f>AND(Data!G46,"AAAAAH3e/zs=")</f>
        <v>#VALUE!</v>
      </c>
      <c r="BI72" t="e">
        <f>AND(Data!H46,"AAAAAH3e/zw=")</f>
        <v>#VALUE!</v>
      </c>
      <c r="BJ72" t="e">
        <f>AND(Data!I46,"AAAAAH3e/z0=")</f>
        <v>#VALUE!</v>
      </c>
      <c r="BK72" t="e">
        <f>AND(Data!J46,"AAAAAH3e/z4=")</f>
        <v>#VALUE!</v>
      </c>
      <c r="BL72" t="e">
        <f>AND(Data!K46,"AAAAAH3e/z8=")</f>
        <v>#VALUE!</v>
      </c>
      <c r="BM72" t="e">
        <f>AND(Data!L46,"AAAAAH3e/0A=")</f>
        <v>#VALUE!</v>
      </c>
      <c r="BN72" t="e">
        <f>AND(Data!M46,"AAAAAH3e/0E=")</f>
        <v>#VALUE!</v>
      </c>
      <c r="BO72" t="e">
        <f>AND(Data!N46,"AAAAAH3e/0I=")</f>
        <v>#VALUE!</v>
      </c>
      <c r="BP72" t="e">
        <f>AND(Data!O46,"AAAAAH3e/0M=")</f>
        <v>#VALUE!</v>
      </c>
      <c r="BQ72" t="e">
        <f>AND(Data!P46,"AAAAAH3e/0Q=")</f>
        <v>#VALUE!</v>
      </c>
      <c r="BR72" t="e">
        <f>AND(Data!Q46,"AAAAAH3e/0U=")</f>
        <v>#VALUE!</v>
      </c>
      <c r="BS72" t="e">
        <f>AND(Data!R46,"AAAAAH3e/0Y=")</f>
        <v>#VALUE!</v>
      </c>
      <c r="BT72" t="e">
        <f>AND(Data!S46,"AAAAAH3e/0c=")</f>
        <v>#VALUE!</v>
      </c>
      <c r="BU72" t="e">
        <f>AND(Data!T46,"AAAAAH3e/0g=")</f>
        <v>#VALUE!</v>
      </c>
      <c r="BV72" t="e">
        <f>AND(Data!U46,"AAAAAH3e/0k=")</f>
        <v>#VALUE!</v>
      </c>
      <c r="BW72" t="e">
        <f>AND(Data!V46,"AAAAAH3e/0o=")</f>
        <v>#VALUE!</v>
      </c>
      <c r="BX72" t="e">
        <f>AND(Data!W46,"AAAAAH3e/0s=")</f>
        <v>#VALUE!</v>
      </c>
      <c r="BY72" t="e">
        <f>AND(Data!X46,"AAAAAH3e/0w=")</f>
        <v>#VALUE!</v>
      </c>
      <c r="BZ72">
        <f>IF(Data!47:47,"AAAAAH3e/00=",0)</f>
        <v>0</v>
      </c>
      <c r="CA72" t="e">
        <f>AND(Data!A47,"AAAAAH3e/04=")</f>
        <v>#VALUE!</v>
      </c>
      <c r="CB72" t="e">
        <f>AND(Data!B47,"AAAAAH3e/08=")</f>
        <v>#VALUE!</v>
      </c>
      <c r="CC72" t="e">
        <f>AND(Data!C47,"AAAAAH3e/1A=")</f>
        <v>#VALUE!</v>
      </c>
      <c r="CD72" t="e">
        <f>AND(Data!D47,"AAAAAH3e/1E=")</f>
        <v>#VALUE!</v>
      </c>
      <c r="CE72" t="e">
        <f>AND(Data!E47,"AAAAAH3e/1I=")</f>
        <v>#VALUE!</v>
      </c>
      <c r="CF72" t="e">
        <f>AND(Data!F47,"AAAAAH3e/1M=")</f>
        <v>#VALUE!</v>
      </c>
      <c r="CG72" t="e">
        <f>AND(Data!G47,"AAAAAH3e/1Q=")</f>
        <v>#VALUE!</v>
      </c>
      <c r="CH72" t="e">
        <f>AND(Data!H47,"AAAAAH3e/1U=")</f>
        <v>#VALUE!</v>
      </c>
      <c r="CI72" t="e">
        <f>AND(Data!I47,"AAAAAH3e/1Y=")</f>
        <v>#VALUE!</v>
      </c>
      <c r="CJ72" t="e">
        <f>AND(Data!J47,"AAAAAH3e/1c=")</f>
        <v>#VALUE!</v>
      </c>
      <c r="CK72" t="e">
        <f>AND(Data!K47,"AAAAAH3e/1g=")</f>
        <v>#VALUE!</v>
      </c>
      <c r="CL72" t="e">
        <f>AND(Data!L47,"AAAAAH3e/1k=")</f>
        <v>#VALUE!</v>
      </c>
      <c r="CM72" t="e">
        <f>AND(Data!M47,"AAAAAH3e/1o=")</f>
        <v>#VALUE!</v>
      </c>
      <c r="CN72" t="e">
        <f>AND(Data!N47,"AAAAAH3e/1s=")</f>
        <v>#VALUE!</v>
      </c>
      <c r="CO72" t="e">
        <f>AND(Data!O47,"AAAAAH3e/1w=")</f>
        <v>#VALUE!</v>
      </c>
      <c r="CP72" t="e">
        <f>AND(Data!P47,"AAAAAH3e/10=")</f>
        <v>#VALUE!</v>
      </c>
      <c r="CQ72" t="e">
        <f>AND(Data!Q47,"AAAAAH3e/14=")</f>
        <v>#VALUE!</v>
      </c>
      <c r="CR72" t="e">
        <f>AND(Data!R47,"AAAAAH3e/18=")</f>
        <v>#VALUE!</v>
      </c>
      <c r="CS72" t="e">
        <f>AND(Data!S47,"AAAAAH3e/2A=")</f>
        <v>#VALUE!</v>
      </c>
      <c r="CT72" t="e">
        <f>AND(Data!T47,"AAAAAH3e/2E=")</f>
        <v>#VALUE!</v>
      </c>
      <c r="CU72" t="e">
        <f>AND(Data!U47,"AAAAAH3e/2I=")</f>
        <v>#VALUE!</v>
      </c>
      <c r="CV72" t="e">
        <f>AND(Data!V47,"AAAAAH3e/2M=")</f>
        <v>#VALUE!</v>
      </c>
      <c r="CW72" t="e">
        <f>AND(Data!W47,"AAAAAH3e/2Q=")</f>
        <v>#VALUE!</v>
      </c>
      <c r="CX72" t="e">
        <f>AND(Data!X47,"AAAAAH3e/2U=")</f>
        <v>#VALUE!</v>
      </c>
      <c r="CY72">
        <f>IF(Data!48:48,"AAAAAH3e/2Y=",0)</f>
        <v>0</v>
      </c>
      <c r="CZ72" t="e">
        <f>AND(Data!A48,"AAAAAH3e/2c=")</f>
        <v>#VALUE!</v>
      </c>
      <c r="DA72" t="e">
        <f>AND(Data!B48,"AAAAAH3e/2g=")</f>
        <v>#VALUE!</v>
      </c>
      <c r="DB72" t="e">
        <f>AND(Data!C48,"AAAAAH3e/2k=")</f>
        <v>#VALUE!</v>
      </c>
      <c r="DC72" t="e">
        <f>AND(Data!D48,"AAAAAH3e/2o=")</f>
        <v>#VALUE!</v>
      </c>
      <c r="DD72" t="e">
        <f>AND(Data!E48,"AAAAAH3e/2s=")</f>
        <v>#VALUE!</v>
      </c>
      <c r="DE72" t="e">
        <f>AND(Data!F48,"AAAAAH3e/2w=")</f>
        <v>#VALUE!</v>
      </c>
      <c r="DF72" t="e">
        <f>AND(Data!G48,"AAAAAH3e/20=")</f>
        <v>#VALUE!</v>
      </c>
      <c r="DG72" t="e">
        <f>AND(Data!H48,"AAAAAH3e/24=")</f>
        <v>#VALUE!</v>
      </c>
      <c r="DH72" t="e">
        <f>AND(Data!I48,"AAAAAH3e/28=")</f>
        <v>#VALUE!</v>
      </c>
      <c r="DI72" t="e">
        <f>AND(Data!J48,"AAAAAH3e/3A=")</f>
        <v>#VALUE!</v>
      </c>
      <c r="DJ72" t="e">
        <f>AND(Data!K48,"AAAAAH3e/3E=")</f>
        <v>#VALUE!</v>
      </c>
      <c r="DK72" t="e">
        <f>AND(Data!L48,"AAAAAH3e/3I=")</f>
        <v>#VALUE!</v>
      </c>
      <c r="DL72" t="e">
        <f>AND(Data!M48,"AAAAAH3e/3M=")</f>
        <v>#VALUE!</v>
      </c>
      <c r="DM72" t="e">
        <f>AND(Data!N48,"AAAAAH3e/3Q=")</f>
        <v>#VALUE!</v>
      </c>
      <c r="DN72" t="e">
        <f>AND(Data!O48,"AAAAAH3e/3U=")</f>
        <v>#VALUE!</v>
      </c>
      <c r="DO72" t="e">
        <f>AND(Data!P48,"AAAAAH3e/3Y=")</f>
        <v>#VALUE!</v>
      </c>
      <c r="DP72" t="e">
        <f>AND(Data!Q48,"AAAAAH3e/3c=")</f>
        <v>#VALUE!</v>
      </c>
      <c r="DQ72" t="e">
        <f>AND(Data!R48,"AAAAAH3e/3g=")</f>
        <v>#VALUE!</v>
      </c>
      <c r="DR72" t="e">
        <f>AND(Data!S48,"AAAAAH3e/3k=")</f>
        <v>#VALUE!</v>
      </c>
      <c r="DS72" t="e">
        <f>AND(Data!T48,"AAAAAH3e/3o=")</f>
        <v>#VALUE!</v>
      </c>
      <c r="DT72" t="e">
        <f>AND(Data!U48,"AAAAAH3e/3s=")</f>
        <v>#VALUE!</v>
      </c>
      <c r="DU72" t="e">
        <f>AND(Data!V48,"AAAAAH3e/3w=")</f>
        <v>#VALUE!</v>
      </c>
      <c r="DV72" t="e">
        <f>AND(Data!W48,"AAAAAH3e/30=")</f>
        <v>#VALUE!</v>
      </c>
      <c r="DW72" t="e">
        <f>AND(Data!X48,"AAAAAH3e/34=")</f>
        <v>#VALUE!</v>
      </c>
      <c r="DX72">
        <f>IF(Data!49:49,"AAAAAH3e/38=",0)</f>
        <v>0</v>
      </c>
      <c r="DY72" t="e">
        <f>AND(Data!A49,"AAAAAH3e/4A=")</f>
        <v>#VALUE!</v>
      </c>
      <c r="DZ72" t="e">
        <f>AND(Data!B49,"AAAAAH3e/4E=")</f>
        <v>#VALUE!</v>
      </c>
      <c r="EA72" t="e">
        <f>AND(Data!C49,"AAAAAH3e/4I=")</f>
        <v>#VALUE!</v>
      </c>
      <c r="EB72" t="e">
        <f>AND(Data!D49,"AAAAAH3e/4M=")</f>
        <v>#VALUE!</v>
      </c>
      <c r="EC72" t="e">
        <f>AND(Data!E49,"AAAAAH3e/4Q=")</f>
        <v>#VALUE!</v>
      </c>
      <c r="ED72" t="e">
        <f>AND(Data!F49,"AAAAAH3e/4U=")</f>
        <v>#VALUE!</v>
      </c>
      <c r="EE72" t="e">
        <f>AND(Data!G49,"AAAAAH3e/4Y=")</f>
        <v>#VALUE!</v>
      </c>
      <c r="EF72" t="e">
        <f>AND(Data!H49,"AAAAAH3e/4c=")</f>
        <v>#VALUE!</v>
      </c>
      <c r="EG72" t="e">
        <f>AND(Data!I49,"AAAAAH3e/4g=")</f>
        <v>#VALUE!</v>
      </c>
      <c r="EH72" t="e">
        <f>AND(Data!J49,"AAAAAH3e/4k=")</f>
        <v>#VALUE!</v>
      </c>
      <c r="EI72" t="e">
        <f>AND(Data!K49,"AAAAAH3e/4o=")</f>
        <v>#VALUE!</v>
      </c>
      <c r="EJ72" t="e">
        <f>AND(Data!L49,"AAAAAH3e/4s=")</f>
        <v>#VALUE!</v>
      </c>
      <c r="EK72" t="e">
        <f>AND(Data!M49,"AAAAAH3e/4w=")</f>
        <v>#VALUE!</v>
      </c>
      <c r="EL72" t="e">
        <f>AND(Data!N49,"AAAAAH3e/40=")</f>
        <v>#VALUE!</v>
      </c>
      <c r="EM72" t="e">
        <f>AND(Data!O49,"AAAAAH3e/44=")</f>
        <v>#VALUE!</v>
      </c>
      <c r="EN72" t="e">
        <f>AND(Data!P49,"AAAAAH3e/48=")</f>
        <v>#VALUE!</v>
      </c>
      <c r="EO72" t="e">
        <f>AND(Data!Q49,"AAAAAH3e/5A=")</f>
        <v>#VALUE!</v>
      </c>
      <c r="EP72" t="e">
        <f>AND(Data!R49,"AAAAAH3e/5E=")</f>
        <v>#VALUE!</v>
      </c>
      <c r="EQ72" t="e">
        <f>AND(Data!S49,"AAAAAH3e/5I=")</f>
        <v>#VALUE!</v>
      </c>
      <c r="ER72" t="e">
        <f>AND(Data!T49,"AAAAAH3e/5M=")</f>
        <v>#VALUE!</v>
      </c>
      <c r="ES72" t="e">
        <f>AND(Data!U49,"AAAAAH3e/5Q=")</f>
        <v>#VALUE!</v>
      </c>
      <c r="ET72" t="e">
        <f>AND(Data!V49,"AAAAAH3e/5U=")</f>
        <v>#VALUE!</v>
      </c>
      <c r="EU72" t="e">
        <f>AND(Data!W49,"AAAAAH3e/5Y=")</f>
        <v>#VALUE!</v>
      </c>
      <c r="EV72" t="e">
        <f>AND(Data!X49,"AAAAAH3e/5c=")</f>
        <v>#VALUE!</v>
      </c>
      <c r="EW72">
        <f>IF(Data!50:50,"AAAAAH3e/5g=",0)</f>
        <v>0</v>
      </c>
      <c r="EX72" t="e">
        <f>AND(Data!A50,"AAAAAH3e/5k=")</f>
        <v>#VALUE!</v>
      </c>
      <c r="EY72" t="e">
        <f>AND(Data!B50,"AAAAAH3e/5o=")</f>
        <v>#VALUE!</v>
      </c>
      <c r="EZ72" t="e">
        <f>AND(Data!C50,"AAAAAH3e/5s=")</f>
        <v>#VALUE!</v>
      </c>
      <c r="FA72" t="e">
        <f>AND(Data!D50,"AAAAAH3e/5w=")</f>
        <v>#VALUE!</v>
      </c>
      <c r="FB72" t="e">
        <f>AND(Data!E50,"AAAAAH3e/50=")</f>
        <v>#VALUE!</v>
      </c>
      <c r="FC72" t="e">
        <f>AND(Data!F50,"AAAAAH3e/54=")</f>
        <v>#VALUE!</v>
      </c>
      <c r="FD72" t="e">
        <f>AND(Data!G50,"AAAAAH3e/58=")</f>
        <v>#VALUE!</v>
      </c>
      <c r="FE72" t="e">
        <f>AND(Data!H50,"AAAAAH3e/6A=")</f>
        <v>#VALUE!</v>
      </c>
      <c r="FF72" t="e">
        <f>AND(Data!I50,"AAAAAH3e/6E=")</f>
        <v>#VALUE!</v>
      </c>
      <c r="FG72" t="e">
        <f>AND(Data!J50,"AAAAAH3e/6I=")</f>
        <v>#VALUE!</v>
      </c>
      <c r="FH72" t="e">
        <f>AND(Data!K50,"AAAAAH3e/6M=")</f>
        <v>#VALUE!</v>
      </c>
      <c r="FI72" t="e">
        <f>AND(Data!L50,"AAAAAH3e/6Q=")</f>
        <v>#VALUE!</v>
      </c>
      <c r="FJ72" t="e">
        <f>AND(Data!M50,"AAAAAH3e/6U=")</f>
        <v>#VALUE!</v>
      </c>
      <c r="FK72" t="e">
        <f>AND(Data!N50,"AAAAAH3e/6Y=")</f>
        <v>#VALUE!</v>
      </c>
      <c r="FL72" t="e">
        <f>AND(Data!O50,"AAAAAH3e/6c=")</f>
        <v>#VALUE!</v>
      </c>
      <c r="FM72" t="e">
        <f>AND(Data!P50,"AAAAAH3e/6g=")</f>
        <v>#VALUE!</v>
      </c>
      <c r="FN72" t="e">
        <f>AND(Data!Q50,"AAAAAH3e/6k=")</f>
        <v>#VALUE!</v>
      </c>
      <c r="FO72" t="e">
        <f>AND(Data!R50,"AAAAAH3e/6o=")</f>
        <v>#VALUE!</v>
      </c>
      <c r="FP72" t="e">
        <f>AND(Data!S50,"AAAAAH3e/6s=")</f>
        <v>#VALUE!</v>
      </c>
      <c r="FQ72" t="e">
        <f>AND(Data!T50,"AAAAAH3e/6w=")</f>
        <v>#VALUE!</v>
      </c>
      <c r="FR72" t="e">
        <f>AND(Data!U50,"AAAAAH3e/60=")</f>
        <v>#VALUE!</v>
      </c>
      <c r="FS72" t="e">
        <f>AND(Data!V50,"AAAAAH3e/64=")</f>
        <v>#VALUE!</v>
      </c>
      <c r="FT72" t="e">
        <f>AND(Data!W50,"AAAAAH3e/68=")</f>
        <v>#VALUE!</v>
      </c>
      <c r="FU72" t="e">
        <f>AND(Data!X50,"AAAAAH3e/7A=")</f>
        <v>#VALUE!</v>
      </c>
      <c r="FV72">
        <f>IF(Data!51:51,"AAAAAH3e/7E=",0)</f>
        <v>0</v>
      </c>
      <c r="FW72" t="e">
        <f>AND(Data!A51,"AAAAAH3e/7I=")</f>
        <v>#VALUE!</v>
      </c>
      <c r="FX72" t="e">
        <f>AND(Data!B51,"AAAAAH3e/7M=")</f>
        <v>#VALUE!</v>
      </c>
      <c r="FY72" t="e">
        <f>AND(Data!C51,"AAAAAH3e/7Q=")</f>
        <v>#VALUE!</v>
      </c>
      <c r="FZ72" t="e">
        <f>AND(Data!D51,"AAAAAH3e/7U=")</f>
        <v>#VALUE!</v>
      </c>
      <c r="GA72" t="e">
        <f>AND(Data!E51,"AAAAAH3e/7Y=")</f>
        <v>#VALUE!</v>
      </c>
      <c r="GB72" t="e">
        <f>AND(Data!F51,"AAAAAH3e/7c=")</f>
        <v>#VALUE!</v>
      </c>
      <c r="GC72" t="e">
        <f>AND(Data!G51,"AAAAAH3e/7g=")</f>
        <v>#VALUE!</v>
      </c>
      <c r="GD72" t="e">
        <f>AND(Data!H51,"AAAAAH3e/7k=")</f>
        <v>#VALUE!</v>
      </c>
      <c r="GE72" t="e">
        <f>AND(Data!I51,"AAAAAH3e/7o=")</f>
        <v>#VALUE!</v>
      </c>
      <c r="GF72" t="e">
        <f>AND(Data!J51,"AAAAAH3e/7s=")</f>
        <v>#VALUE!</v>
      </c>
      <c r="GG72" t="e">
        <f>AND(Data!K51,"AAAAAH3e/7w=")</f>
        <v>#VALUE!</v>
      </c>
      <c r="GH72" t="e">
        <f>AND(Data!L51,"AAAAAH3e/70=")</f>
        <v>#VALUE!</v>
      </c>
      <c r="GI72" t="e">
        <f>AND(Data!M51,"AAAAAH3e/74=")</f>
        <v>#VALUE!</v>
      </c>
      <c r="GJ72" t="e">
        <f>AND(Data!N51,"AAAAAH3e/78=")</f>
        <v>#VALUE!</v>
      </c>
      <c r="GK72" t="e">
        <f>AND(Data!O51,"AAAAAH3e/8A=")</f>
        <v>#VALUE!</v>
      </c>
      <c r="GL72" t="e">
        <f>AND(Data!P51,"AAAAAH3e/8E=")</f>
        <v>#VALUE!</v>
      </c>
      <c r="GM72" t="e">
        <f>AND(Data!Q51,"AAAAAH3e/8I=")</f>
        <v>#VALUE!</v>
      </c>
      <c r="GN72" t="e">
        <f>AND(Data!R51,"AAAAAH3e/8M=")</f>
        <v>#VALUE!</v>
      </c>
      <c r="GO72" t="e">
        <f>AND(Data!S51,"AAAAAH3e/8Q=")</f>
        <v>#VALUE!</v>
      </c>
      <c r="GP72" t="e">
        <f>AND(Data!T51,"AAAAAH3e/8U=")</f>
        <v>#VALUE!</v>
      </c>
      <c r="GQ72" t="e">
        <f>AND(Data!U51,"AAAAAH3e/8Y=")</f>
        <v>#VALUE!</v>
      </c>
      <c r="GR72" t="e">
        <f>AND(Data!V51,"AAAAAH3e/8c=")</f>
        <v>#VALUE!</v>
      </c>
      <c r="GS72" t="e">
        <f>AND(Data!W51,"AAAAAH3e/8g=")</f>
        <v>#VALUE!</v>
      </c>
      <c r="GT72" t="e">
        <f>AND(Data!X51,"AAAAAH3e/8k=")</f>
        <v>#VALUE!</v>
      </c>
      <c r="GU72">
        <f>IF(Data!52:52,"AAAAAH3e/8o=",0)</f>
        <v>0</v>
      </c>
      <c r="GV72" t="e">
        <f>AND(Data!A52,"AAAAAH3e/8s=")</f>
        <v>#VALUE!</v>
      </c>
      <c r="GW72" t="e">
        <f>AND(Data!B52,"AAAAAH3e/8w=")</f>
        <v>#VALUE!</v>
      </c>
      <c r="GX72" t="e">
        <f>AND(Data!C52,"AAAAAH3e/80=")</f>
        <v>#VALUE!</v>
      </c>
      <c r="GY72" t="e">
        <f>AND(Data!D52,"AAAAAH3e/84=")</f>
        <v>#VALUE!</v>
      </c>
      <c r="GZ72" t="e">
        <f>AND(Data!E52,"AAAAAH3e/88=")</f>
        <v>#VALUE!</v>
      </c>
      <c r="HA72" t="e">
        <f>AND(Data!F52,"AAAAAH3e/9A=")</f>
        <v>#VALUE!</v>
      </c>
      <c r="HB72" t="e">
        <f>AND(Data!G52,"AAAAAH3e/9E=")</f>
        <v>#VALUE!</v>
      </c>
      <c r="HC72" t="e">
        <f>AND(Data!H52,"AAAAAH3e/9I=")</f>
        <v>#VALUE!</v>
      </c>
      <c r="HD72" t="e">
        <f>AND(Data!I52,"AAAAAH3e/9M=")</f>
        <v>#VALUE!</v>
      </c>
      <c r="HE72" t="e">
        <f>AND(Data!J52,"AAAAAH3e/9Q=")</f>
        <v>#VALUE!</v>
      </c>
      <c r="HF72" t="e">
        <f>AND(Data!K52,"AAAAAH3e/9U=")</f>
        <v>#VALUE!</v>
      </c>
      <c r="HG72" t="e">
        <f>AND(Data!L52,"AAAAAH3e/9Y=")</f>
        <v>#VALUE!</v>
      </c>
      <c r="HH72" t="e">
        <f>AND(Data!M52,"AAAAAH3e/9c=")</f>
        <v>#VALUE!</v>
      </c>
      <c r="HI72" t="e">
        <f>AND(Data!N52,"AAAAAH3e/9g=")</f>
        <v>#VALUE!</v>
      </c>
      <c r="HJ72" t="e">
        <f>AND(Data!O52,"AAAAAH3e/9k=")</f>
        <v>#VALUE!</v>
      </c>
      <c r="HK72" t="e">
        <f>AND(Data!P52,"AAAAAH3e/9o=")</f>
        <v>#VALUE!</v>
      </c>
      <c r="HL72" t="e">
        <f>AND(Data!Q52,"AAAAAH3e/9s=")</f>
        <v>#VALUE!</v>
      </c>
      <c r="HM72" t="e">
        <f>AND(Data!R52,"AAAAAH3e/9w=")</f>
        <v>#VALUE!</v>
      </c>
      <c r="HN72" t="e">
        <f>AND(Data!S52,"AAAAAH3e/90=")</f>
        <v>#VALUE!</v>
      </c>
      <c r="HO72" t="e">
        <f>AND(Data!T52,"AAAAAH3e/94=")</f>
        <v>#VALUE!</v>
      </c>
      <c r="HP72" t="e">
        <f>AND(Data!U52,"AAAAAH3e/98=")</f>
        <v>#VALUE!</v>
      </c>
      <c r="HQ72" t="e">
        <f>AND(Data!V52,"AAAAAH3e/+A=")</f>
        <v>#VALUE!</v>
      </c>
      <c r="HR72" t="e">
        <f>AND(Data!W52,"AAAAAH3e/+E=")</f>
        <v>#VALUE!</v>
      </c>
      <c r="HS72" t="e">
        <f>AND(Data!X52,"AAAAAH3e/+I=")</f>
        <v>#VALUE!</v>
      </c>
      <c r="HT72">
        <f>IF(Data!53:53,"AAAAAH3e/+M=",0)</f>
        <v>0</v>
      </c>
      <c r="HU72" t="e">
        <f>AND(Data!A53,"AAAAAH3e/+Q=")</f>
        <v>#VALUE!</v>
      </c>
      <c r="HV72" t="e">
        <f>AND(Data!B53,"AAAAAH3e/+U=")</f>
        <v>#VALUE!</v>
      </c>
      <c r="HW72" t="e">
        <f>AND(Data!C53,"AAAAAH3e/+Y=")</f>
        <v>#VALUE!</v>
      </c>
      <c r="HX72" t="e">
        <f>AND(Data!D53,"AAAAAH3e/+c=")</f>
        <v>#VALUE!</v>
      </c>
      <c r="HY72" t="e">
        <f>AND(Data!E53,"AAAAAH3e/+g=")</f>
        <v>#VALUE!</v>
      </c>
      <c r="HZ72" t="e">
        <f>AND(Data!F53,"AAAAAH3e/+k=")</f>
        <v>#VALUE!</v>
      </c>
      <c r="IA72" t="e">
        <f>AND(Data!G53,"AAAAAH3e/+o=")</f>
        <v>#VALUE!</v>
      </c>
      <c r="IB72" t="e">
        <f>AND(Data!H53,"AAAAAH3e/+s=")</f>
        <v>#VALUE!</v>
      </c>
      <c r="IC72" t="e">
        <f>AND(Data!I53,"AAAAAH3e/+w=")</f>
        <v>#VALUE!</v>
      </c>
      <c r="ID72" t="e">
        <f>AND(Data!J53,"AAAAAH3e/+0=")</f>
        <v>#VALUE!</v>
      </c>
      <c r="IE72" t="e">
        <f>AND(Data!K53,"AAAAAH3e/+4=")</f>
        <v>#VALUE!</v>
      </c>
      <c r="IF72" t="e">
        <f>AND(Data!L53,"AAAAAH3e/+8=")</f>
        <v>#VALUE!</v>
      </c>
      <c r="IG72" t="e">
        <f>AND(Data!M53,"AAAAAH3e//A=")</f>
        <v>#VALUE!</v>
      </c>
      <c r="IH72" t="e">
        <f>AND(Data!N53,"AAAAAH3e//E=")</f>
        <v>#VALUE!</v>
      </c>
      <c r="II72" t="e">
        <f>AND(Data!O53,"AAAAAH3e//I=")</f>
        <v>#VALUE!</v>
      </c>
      <c r="IJ72" t="e">
        <f>AND(Data!P53,"AAAAAH3e//M=")</f>
        <v>#VALUE!</v>
      </c>
      <c r="IK72" t="e">
        <f>AND(Data!Q53,"AAAAAH3e//Q=")</f>
        <v>#VALUE!</v>
      </c>
      <c r="IL72" t="e">
        <f>AND(Data!R53,"AAAAAH3e//U=")</f>
        <v>#VALUE!</v>
      </c>
      <c r="IM72" t="e">
        <f>AND(Data!S53,"AAAAAH3e//Y=")</f>
        <v>#VALUE!</v>
      </c>
      <c r="IN72" t="e">
        <f>AND(Data!T53,"AAAAAH3e//c=")</f>
        <v>#VALUE!</v>
      </c>
      <c r="IO72" t="e">
        <f>AND(Data!U53,"AAAAAH3e//g=")</f>
        <v>#VALUE!</v>
      </c>
      <c r="IP72" t="e">
        <f>AND(Data!V53,"AAAAAH3e//k=")</f>
        <v>#VALUE!</v>
      </c>
      <c r="IQ72" t="e">
        <f>AND(Data!W53,"AAAAAH3e//o=")</f>
        <v>#VALUE!</v>
      </c>
      <c r="IR72" t="e">
        <f>AND(Data!X53,"AAAAAH3e//s=")</f>
        <v>#VALUE!</v>
      </c>
      <c r="IS72">
        <f>IF(Data!54:54,"AAAAAH3e//w=",0)</f>
        <v>0</v>
      </c>
      <c r="IT72" t="e">
        <f>AND(Data!A54,"AAAAAH3e//0=")</f>
        <v>#VALUE!</v>
      </c>
      <c r="IU72" t="e">
        <f>AND(Data!B54,"AAAAAH3e//4=")</f>
        <v>#VALUE!</v>
      </c>
      <c r="IV72" t="e">
        <f>AND(Data!C54,"AAAAAH3e//8=")</f>
        <v>#VALUE!</v>
      </c>
    </row>
    <row r="73" spans="1:256" x14ac:dyDescent="0.2">
      <c r="A73" t="e">
        <f>AND(Data!D54,"AAAAAHDv/QA=")</f>
        <v>#VALUE!</v>
      </c>
      <c r="B73" t="e">
        <f>AND(Data!E54,"AAAAAHDv/QE=")</f>
        <v>#VALUE!</v>
      </c>
      <c r="C73" t="e">
        <f>AND(Data!F54,"AAAAAHDv/QI=")</f>
        <v>#VALUE!</v>
      </c>
      <c r="D73" t="e">
        <f>AND(Data!G54,"AAAAAHDv/QM=")</f>
        <v>#VALUE!</v>
      </c>
      <c r="E73" t="e">
        <f>AND(Data!H54,"AAAAAHDv/QQ=")</f>
        <v>#VALUE!</v>
      </c>
      <c r="F73" t="e">
        <f>AND(Data!I54,"AAAAAHDv/QU=")</f>
        <v>#VALUE!</v>
      </c>
      <c r="G73" t="e">
        <f>AND(Data!J54,"AAAAAHDv/QY=")</f>
        <v>#VALUE!</v>
      </c>
      <c r="H73" t="e">
        <f>AND(Data!K54,"AAAAAHDv/Qc=")</f>
        <v>#VALUE!</v>
      </c>
      <c r="I73" t="e">
        <f>AND(Data!L54,"AAAAAHDv/Qg=")</f>
        <v>#VALUE!</v>
      </c>
      <c r="J73" t="e">
        <f>AND(Data!M54,"AAAAAHDv/Qk=")</f>
        <v>#VALUE!</v>
      </c>
      <c r="K73" t="e">
        <f>AND(Data!N54,"AAAAAHDv/Qo=")</f>
        <v>#VALUE!</v>
      </c>
      <c r="L73" t="e">
        <f>AND(Data!O54,"AAAAAHDv/Qs=")</f>
        <v>#VALUE!</v>
      </c>
      <c r="M73" t="e">
        <f>AND(Data!P54,"AAAAAHDv/Qw=")</f>
        <v>#VALUE!</v>
      </c>
      <c r="N73" t="e">
        <f>AND(Data!Q54,"AAAAAHDv/Q0=")</f>
        <v>#VALUE!</v>
      </c>
      <c r="O73" t="e">
        <f>AND(Data!R54,"AAAAAHDv/Q4=")</f>
        <v>#VALUE!</v>
      </c>
      <c r="P73" t="e">
        <f>AND(Data!S54,"AAAAAHDv/Q8=")</f>
        <v>#VALUE!</v>
      </c>
      <c r="Q73" t="e">
        <f>AND(Data!T54,"AAAAAHDv/RA=")</f>
        <v>#VALUE!</v>
      </c>
      <c r="R73" t="e">
        <f>AND(Data!U54,"AAAAAHDv/RE=")</f>
        <v>#VALUE!</v>
      </c>
      <c r="S73" t="e">
        <f>AND(Data!V54,"AAAAAHDv/RI=")</f>
        <v>#VALUE!</v>
      </c>
      <c r="T73" t="e">
        <f>AND(Data!W54,"AAAAAHDv/RM=")</f>
        <v>#VALUE!</v>
      </c>
      <c r="U73" t="e">
        <f>AND(Data!X54,"AAAAAHDv/RQ=")</f>
        <v>#VALUE!</v>
      </c>
      <c r="V73">
        <f>IF(Data!55:55,"AAAAAHDv/RU=",0)</f>
        <v>0</v>
      </c>
      <c r="W73" t="e">
        <f>AND(Data!A55,"AAAAAHDv/RY=")</f>
        <v>#VALUE!</v>
      </c>
      <c r="X73" t="e">
        <f>AND(Data!B55,"AAAAAHDv/Rc=")</f>
        <v>#VALUE!</v>
      </c>
      <c r="Y73" t="e">
        <f>AND(Data!C55,"AAAAAHDv/Rg=")</f>
        <v>#VALUE!</v>
      </c>
      <c r="Z73" t="e">
        <f>AND(Data!D55,"AAAAAHDv/Rk=")</f>
        <v>#VALUE!</v>
      </c>
      <c r="AA73" t="e">
        <f>AND(Data!E55,"AAAAAHDv/Ro=")</f>
        <v>#VALUE!</v>
      </c>
      <c r="AB73" t="e">
        <f>AND(Data!F55,"AAAAAHDv/Rs=")</f>
        <v>#VALUE!</v>
      </c>
      <c r="AC73" t="e">
        <f>AND(Data!G55,"AAAAAHDv/Rw=")</f>
        <v>#VALUE!</v>
      </c>
      <c r="AD73" t="e">
        <f>AND(Data!H55,"AAAAAHDv/R0=")</f>
        <v>#VALUE!</v>
      </c>
      <c r="AE73" t="e">
        <f>AND(Data!I55,"AAAAAHDv/R4=")</f>
        <v>#VALUE!</v>
      </c>
      <c r="AF73" t="e">
        <f>AND(Data!J55,"AAAAAHDv/R8=")</f>
        <v>#VALUE!</v>
      </c>
      <c r="AG73" t="e">
        <f>AND(Data!K55,"AAAAAHDv/SA=")</f>
        <v>#VALUE!</v>
      </c>
      <c r="AH73" t="e">
        <f>AND(Data!L55,"AAAAAHDv/SE=")</f>
        <v>#VALUE!</v>
      </c>
      <c r="AI73" t="e">
        <f>AND(Data!M55,"AAAAAHDv/SI=")</f>
        <v>#VALUE!</v>
      </c>
      <c r="AJ73" t="e">
        <f>AND(Data!N55,"AAAAAHDv/SM=")</f>
        <v>#VALUE!</v>
      </c>
      <c r="AK73" t="e">
        <f>AND(Data!O55,"AAAAAHDv/SQ=")</f>
        <v>#VALUE!</v>
      </c>
      <c r="AL73" t="e">
        <f>AND(Data!P55,"AAAAAHDv/SU=")</f>
        <v>#VALUE!</v>
      </c>
      <c r="AM73" t="e">
        <f>AND(Data!Q55,"AAAAAHDv/SY=")</f>
        <v>#VALUE!</v>
      </c>
      <c r="AN73" t="e">
        <f>AND(Data!R55,"AAAAAHDv/Sc=")</f>
        <v>#VALUE!</v>
      </c>
      <c r="AO73" t="e">
        <f>AND(Data!S55,"AAAAAHDv/Sg=")</f>
        <v>#VALUE!</v>
      </c>
      <c r="AP73" t="e">
        <f>AND(Data!T55,"AAAAAHDv/Sk=")</f>
        <v>#VALUE!</v>
      </c>
      <c r="AQ73" t="e">
        <f>AND(Data!U55,"AAAAAHDv/So=")</f>
        <v>#VALUE!</v>
      </c>
      <c r="AR73" t="e">
        <f>AND(Data!V55,"AAAAAHDv/Ss=")</f>
        <v>#VALUE!</v>
      </c>
      <c r="AS73" t="e">
        <f>AND(Data!W55,"AAAAAHDv/Sw=")</f>
        <v>#VALUE!</v>
      </c>
      <c r="AT73" t="e">
        <f>AND(Data!X55,"AAAAAHDv/S0=")</f>
        <v>#VALUE!</v>
      </c>
      <c r="AU73">
        <f>IF(Data!56:56,"AAAAAHDv/S4=",0)</f>
        <v>0</v>
      </c>
      <c r="AV73" t="e">
        <f>AND(Data!A56,"AAAAAHDv/S8=")</f>
        <v>#VALUE!</v>
      </c>
      <c r="AW73" t="e">
        <f>AND(Data!B56,"AAAAAHDv/TA=")</f>
        <v>#VALUE!</v>
      </c>
      <c r="AX73" t="e">
        <f>AND(Data!C56,"AAAAAHDv/TE=")</f>
        <v>#VALUE!</v>
      </c>
      <c r="AY73" t="e">
        <f>AND(Data!D56,"AAAAAHDv/TI=")</f>
        <v>#VALUE!</v>
      </c>
      <c r="AZ73" t="e">
        <f>AND(Data!E56,"AAAAAHDv/TM=")</f>
        <v>#VALUE!</v>
      </c>
      <c r="BA73" t="e">
        <f>AND(Data!F56,"AAAAAHDv/TQ=")</f>
        <v>#VALUE!</v>
      </c>
      <c r="BB73" t="e">
        <f>AND(Data!G56,"AAAAAHDv/TU=")</f>
        <v>#VALUE!</v>
      </c>
      <c r="BC73" t="e">
        <f>AND(Data!H56,"AAAAAHDv/TY=")</f>
        <v>#VALUE!</v>
      </c>
      <c r="BD73" t="e">
        <f>AND(Data!I56,"AAAAAHDv/Tc=")</f>
        <v>#VALUE!</v>
      </c>
      <c r="BE73" t="e">
        <f>AND(Data!J56,"AAAAAHDv/Tg=")</f>
        <v>#VALUE!</v>
      </c>
      <c r="BF73" t="e">
        <f>AND(Data!K56,"AAAAAHDv/Tk=")</f>
        <v>#VALUE!</v>
      </c>
      <c r="BG73" t="e">
        <f>AND(Data!L56,"AAAAAHDv/To=")</f>
        <v>#VALUE!</v>
      </c>
      <c r="BH73" t="e">
        <f>AND(Data!M56,"AAAAAHDv/Ts=")</f>
        <v>#VALUE!</v>
      </c>
      <c r="BI73" t="e">
        <f>AND(Data!N56,"AAAAAHDv/Tw=")</f>
        <v>#VALUE!</v>
      </c>
      <c r="BJ73" t="e">
        <f>AND(Data!O56,"AAAAAHDv/T0=")</f>
        <v>#VALUE!</v>
      </c>
      <c r="BK73" t="e">
        <f>AND(Data!P56,"AAAAAHDv/T4=")</f>
        <v>#VALUE!</v>
      </c>
      <c r="BL73" t="e">
        <f>AND(Data!Q56,"AAAAAHDv/T8=")</f>
        <v>#VALUE!</v>
      </c>
      <c r="BM73" t="e">
        <f>AND(Data!R56,"AAAAAHDv/UA=")</f>
        <v>#VALUE!</v>
      </c>
      <c r="BN73" t="e">
        <f>AND(Data!S56,"AAAAAHDv/UE=")</f>
        <v>#VALUE!</v>
      </c>
      <c r="BO73" t="e">
        <f>AND(Data!T56,"AAAAAHDv/UI=")</f>
        <v>#VALUE!</v>
      </c>
      <c r="BP73" t="e">
        <f>AND(Data!U56,"AAAAAHDv/UM=")</f>
        <v>#VALUE!</v>
      </c>
      <c r="BQ73" t="e">
        <f>AND(Data!V56,"AAAAAHDv/UQ=")</f>
        <v>#VALUE!</v>
      </c>
      <c r="BR73" t="e">
        <f>AND(Data!W56,"AAAAAHDv/UU=")</f>
        <v>#VALUE!</v>
      </c>
      <c r="BS73" t="e">
        <f>AND(Data!X56,"AAAAAHDv/UY=")</f>
        <v>#VALUE!</v>
      </c>
      <c r="BT73">
        <f>IF(Data!57:57,"AAAAAHDv/Uc=",0)</f>
        <v>0</v>
      </c>
      <c r="BU73" t="e">
        <f>AND(Data!A57,"AAAAAHDv/Ug=")</f>
        <v>#VALUE!</v>
      </c>
      <c r="BV73" t="e">
        <f>AND(Data!B57,"AAAAAHDv/Uk=")</f>
        <v>#VALUE!</v>
      </c>
      <c r="BW73" t="e">
        <f>AND(Data!C57,"AAAAAHDv/Uo=")</f>
        <v>#VALUE!</v>
      </c>
      <c r="BX73" t="e">
        <f>AND(Data!D57,"AAAAAHDv/Us=")</f>
        <v>#VALUE!</v>
      </c>
      <c r="BY73" t="e">
        <f>AND(Data!E57,"AAAAAHDv/Uw=")</f>
        <v>#VALUE!</v>
      </c>
      <c r="BZ73" t="e">
        <f>AND(Data!F57,"AAAAAHDv/U0=")</f>
        <v>#VALUE!</v>
      </c>
      <c r="CA73" t="e">
        <f>AND(Data!G57,"AAAAAHDv/U4=")</f>
        <v>#VALUE!</v>
      </c>
      <c r="CB73" t="e">
        <f>AND(Data!H57,"AAAAAHDv/U8=")</f>
        <v>#VALUE!</v>
      </c>
      <c r="CC73" t="e">
        <f>AND(Data!I57,"AAAAAHDv/VA=")</f>
        <v>#VALUE!</v>
      </c>
      <c r="CD73" t="e">
        <f>AND(Data!J57,"AAAAAHDv/VE=")</f>
        <v>#VALUE!</v>
      </c>
      <c r="CE73" t="e">
        <f>AND(Data!K57,"AAAAAHDv/VI=")</f>
        <v>#VALUE!</v>
      </c>
      <c r="CF73" t="e">
        <f>AND(Data!L57,"AAAAAHDv/VM=")</f>
        <v>#VALUE!</v>
      </c>
      <c r="CG73" t="e">
        <f>AND(Data!M57,"AAAAAHDv/VQ=")</f>
        <v>#VALUE!</v>
      </c>
      <c r="CH73" t="e">
        <f>AND(Data!N57,"AAAAAHDv/VU=")</f>
        <v>#VALUE!</v>
      </c>
      <c r="CI73" t="e">
        <f>AND(Data!O57,"AAAAAHDv/VY=")</f>
        <v>#VALUE!</v>
      </c>
      <c r="CJ73" t="e">
        <f>AND(Data!P57,"AAAAAHDv/Vc=")</f>
        <v>#VALUE!</v>
      </c>
      <c r="CK73" t="e">
        <f>AND(Data!Q57,"AAAAAHDv/Vg=")</f>
        <v>#VALUE!</v>
      </c>
      <c r="CL73" t="e">
        <f>AND(Data!R57,"AAAAAHDv/Vk=")</f>
        <v>#VALUE!</v>
      </c>
      <c r="CM73" t="e">
        <f>AND(Data!S57,"AAAAAHDv/Vo=")</f>
        <v>#VALUE!</v>
      </c>
      <c r="CN73" t="e">
        <f>AND(Data!T57,"AAAAAHDv/Vs=")</f>
        <v>#VALUE!</v>
      </c>
      <c r="CO73" t="e">
        <f>AND(Data!U57,"AAAAAHDv/Vw=")</f>
        <v>#VALUE!</v>
      </c>
      <c r="CP73" t="e">
        <f>AND(Data!V57,"AAAAAHDv/V0=")</f>
        <v>#VALUE!</v>
      </c>
      <c r="CQ73" t="e">
        <f>AND(Data!W57,"AAAAAHDv/V4=")</f>
        <v>#VALUE!</v>
      </c>
      <c r="CR73" t="e">
        <f>AND(Data!X57,"AAAAAHDv/V8=")</f>
        <v>#VALUE!</v>
      </c>
      <c r="CS73">
        <f>IF(Data!58:58,"AAAAAHDv/WA=",0)</f>
        <v>0</v>
      </c>
      <c r="CT73" t="e">
        <f>AND(Data!A58,"AAAAAHDv/WE=")</f>
        <v>#VALUE!</v>
      </c>
      <c r="CU73" t="e">
        <f>AND(Data!B58,"AAAAAHDv/WI=")</f>
        <v>#VALUE!</v>
      </c>
      <c r="CV73" t="e">
        <f>AND(Data!C58,"AAAAAHDv/WM=")</f>
        <v>#VALUE!</v>
      </c>
      <c r="CW73" t="e">
        <f>AND(Data!D58,"AAAAAHDv/WQ=")</f>
        <v>#VALUE!</v>
      </c>
      <c r="CX73" t="e">
        <f>AND(Data!E58,"AAAAAHDv/WU=")</f>
        <v>#VALUE!</v>
      </c>
      <c r="CY73" t="e">
        <f>AND(Data!F58,"AAAAAHDv/WY=")</f>
        <v>#VALUE!</v>
      </c>
      <c r="CZ73" t="e">
        <f>AND(Data!G58,"AAAAAHDv/Wc=")</f>
        <v>#VALUE!</v>
      </c>
      <c r="DA73" t="e">
        <f>AND(Data!H58,"AAAAAHDv/Wg=")</f>
        <v>#VALUE!</v>
      </c>
      <c r="DB73" t="e">
        <f>AND(Data!I58,"AAAAAHDv/Wk=")</f>
        <v>#VALUE!</v>
      </c>
      <c r="DC73" t="e">
        <f>AND(Data!J58,"AAAAAHDv/Wo=")</f>
        <v>#VALUE!</v>
      </c>
      <c r="DD73" t="e">
        <f>AND(Data!K58,"AAAAAHDv/Ws=")</f>
        <v>#VALUE!</v>
      </c>
      <c r="DE73" t="e">
        <f>AND(Data!L58,"AAAAAHDv/Ww=")</f>
        <v>#VALUE!</v>
      </c>
      <c r="DF73" t="e">
        <f>AND(Data!M58,"AAAAAHDv/W0=")</f>
        <v>#VALUE!</v>
      </c>
      <c r="DG73" t="e">
        <f>AND(Data!N58,"AAAAAHDv/W4=")</f>
        <v>#VALUE!</v>
      </c>
      <c r="DH73" t="e">
        <f>AND(Data!O58,"AAAAAHDv/W8=")</f>
        <v>#VALUE!</v>
      </c>
      <c r="DI73" t="e">
        <f>AND(Data!P58,"AAAAAHDv/XA=")</f>
        <v>#VALUE!</v>
      </c>
      <c r="DJ73" t="e">
        <f>AND(Data!Q58,"AAAAAHDv/XE=")</f>
        <v>#VALUE!</v>
      </c>
      <c r="DK73" t="e">
        <f>AND(Data!R58,"AAAAAHDv/XI=")</f>
        <v>#VALUE!</v>
      </c>
      <c r="DL73" t="e">
        <f>AND(Data!S58,"AAAAAHDv/XM=")</f>
        <v>#VALUE!</v>
      </c>
      <c r="DM73" t="e">
        <f>AND(Data!T58,"AAAAAHDv/XQ=")</f>
        <v>#VALUE!</v>
      </c>
      <c r="DN73" t="e">
        <f>AND(Data!U58,"AAAAAHDv/XU=")</f>
        <v>#VALUE!</v>
      </c>
      <c r="DO73" t="e">
        <f>AND(Data!V58,"AAAAAHDv/XY=")</f>
        <v>#VALUE!</v>
      </c>
      <c r="DP73" t="e">
        <f>AND(Data!W58,"AAAAAHDv/Xc=")</f>
        <v>#VALUE!</v>
      </c>
      <c r="DQ73" t="e">
        <f>AND(Data!X58,"AAAAAHDv/Xg=")</f>
        <v>#VALUE!</v>
      </c>
      <c r="DR73">
        <f>IF(Data!59:59,"AAAAAHDv/Xk=",0)</f>
        <v>0</v>
      </c>
      <c r="DS73" t="e">
        <f>AND(Data!A59,"AAAAAHDv/Xo=")</f>
        <v>#VALUE!</v>
      </c>
      <c r="DT73" t="e">
        <f>AND(Data!B59,"AAAAAHDv/Xs=")</f>
        <v>#VALUE!</v>
      </c>
      <c r="DU73" t="e">
        <f>AND(Data!C59,"AAAAAHDv/Xw=")</f>
        <v>#VALUE!</v>
      </c>
      <c r="DV73" t="e">
        <f>AND(Data!D59,"AAAAAHDv/X0=")</f>
        <v>#VALUE!</v>
      </c>
      <c r="DW73" t="e">
        <f>AND(Data!E59,"AAAAAHDv/X4=")</f>
        <v>#VALUE!</v>
      </c>
      <c r="DX73" t="e">
        <f>AND(Data!F59,"AAAAAHDv/X8=")</f>
        <v>#VALUE!</v>
      </c>
      <c r="DY73" t="e">
        <f>AND(Data!G59,"AAAAAHDv/YA=")</f>
        <v>#VALUE!</v>
      </c>
      <c r="DZ73" t="e">
        <f>AND(Data!H59,"AAAAAHDv/YE=")</f>
        <v>#VALUE!</v>
      </c>
      <c r="EA73" t="e">
        <f>AND(Data!I59,"AAAAAHDv/YI=")</f>
        <v>#VALUE!</v>
      </c>
      <c r="EB73" t="e">
        <f>AND(Data!J59,"AAAAAHDv/YM=")</f>
        <v>#VALUE!</v>
      </c>
      <c r="EC73" t="e">
        <f>AND(Data!K59,"AAAAAHDv/YQ=")</f>
        <v>#VALUE!</v>
      </c>
      <c r="ED73" t="e">
        <f>AND(Data!L59,"AAAAAHDv/YU=")</f>
        <v>#VALUE!</v>
      </c>
      <c r="EE73" t="e">
        <f>AND(Data!M59,"AAAAAHDv/YY=")</f>
        <v>#VALUE!</v>
      </c>
      <c r="EF73" t="e">
        <f>AND(Data!N59,"AAAAAHDv/Yc=")</f>
        <v>#VALUE!</v>
      </c>
      <c r="EG73" t="e">
        <f>AND(Data!O59,"AAAAAHDv/Yg=")</f>
        <v>#VALUE!</v>
      </c>
      <c r="EH73" t="e">
        <f>AND(Data!P59,"AAAAAHDv/Yk=")</f>
        <v>#VALUE!</v>
      </c>
      <c r="EI73" t="e">
        <f>AND(Data!Q59,"AAAAAHDv/Yo=")</f>
        <v>#VALUE!</v>
      </c>
      <c r="EJ73" t="e">
        <f>AND(Data!R59,"AAAAAHDv/Ys=")</f>
        <v>#VALUE!</v>
      </c>
      <c r="EK73" t="e">
        <f>AND(Data!S59,"AAAAAHDv/Yw=")</f>
        <v>#VALUE!</v>
      </c>
      <c r="EL73" t="e">
        <f>AND(Data!T59,"AAAAAHDv/Y0=")</f>
        <v>#VALUE!</v>
      </c>
      <c r="EM73" t="e">
        <f>AND(Data!U59,"AAAAAHDv/Y4=")</f>
        <v>#VALUE!</v>
      </c>
      <c r="EN73" t="e">
        <f>AND(Data!V59,"AAAAAHDv/Y8=")</f>
        <v>#VALUE!</v>
      </c>
      <c r="EO73" t="e">
        <f>AND(Data!W59,"AAAAAHDv/ZA=")</f>
        <v>#VALUE!</v>
      </c>
      <c r="EP73" t="e">
        <f>AND(Data!X59,"AAAAAHDv/ZE=")</f>
        <v>#VALUE!</v>
      </c>
      <c r="EQ73">
        <f>IF(Data!60:60,"AAAAAHDv/ZI=",0)</f>
        <v>0</v>
      </c>
      <c r="ER73" t="e">
        <f>AND(Data!A60,"AAAAAHDv/ZM=")</f>
        <v>#VALUE!</v>
      </c>
      <c r="ES73" t="e">
        <f>AND(Data!B60,"AAAAAHDv/ZQ=")</f>
        <v>#VALUE!</v>
      </c>
      <c r="ET73" t="e">
        <f>AND(Data!C60,"AAAAAHDv/ZU=")</f>
        <v>#VALUE!</v>
      </c>
      <c r="EU73" t="e">
        <f>AND(Data!D60,"AAAAAHDv/ZY=")</f>
        <v>#VALUE!</v>
      </c>
      <c r="EV73" t="e">
        <f>AND(Data!E60,"AAAAAHDv/Zc=")</f>
        <v>#VALUE!</v>
      </c>
      <c r="EW73" t="e">
        <f>AND(Data!F60,"AAAAAHDv/Zg=")</f>
        <v>#VALUE!</v>
      </c>
      <c r="EX73" t="e">
        <f>AND(Data!G60,"AAAAAHDv/Zk=")</f>
        <v>#VALUE!</v>
      </c>
      <c r="EY73" t="e">
        <f>AND(Data!H60,"AAAAAHDv/Zo=")</f>
        <v>#VALUE!</v>
      </c>
      <c r="EZ73" t="e">
        <f>AND(Data!I60,"AAAAAHDv/Zs=")</f>
        <v>#VALUE!</v>
      </c>
      <c r="FA73" t="e">
        <f>AND(Data!J60,"AAAAAHDv/Zw=")</f>
        <v>#VALUE!</v>
      </c>
      <c r="FB73" t="e">
        <f>AND(Data!K60,"AAAAAHDv/Z0=")</f>
        <v>#VALUE!</v>
      </c>
      <c r="FC73" t="e">
        <f>AND(Data!L60,"AAAAAHDv/Z4=")</f>
        <v>#VALUE!</v>
      </c>
      <c r="FD73" t="e">
        <f>AND(Data!M60,"AAAAAHDv/Z8=")</f>
        <v>#VALUE!</v>
      </c>
      <c r="FE73" t="e">
        <f>AND(Data!N60,"AAAAAHDv/aA=")</f>
        <v>#VALUE!</v>
      </c>
      <c r="FF73" t="e">
        <f>AND(Data!O60,"AAAAAHDv/aE=")</f>
        <v>#VALUE!</v>
      </c>
      <c r="FG73" t="e">
        <f>AND(Data!P60,"AAAAAHDv/aI=")</f>
        <v>#VALUE!</v>
      </c>
      <c r="FH73" t="e">
        <f>AND(Data!Q60,"AAAAAHDv/aM=")</f>
        <v>#VALUE!</v>
      </c>
      <c r="FI73" t="e">
        <f>AND(Data!R60,"AAAAAHDv/aQ=")</f>
        <v>#VALUE!</v>
      </c>
      <c r="FJ73" t="e">
        <f>AND(Data!S60,"AAAAAHDv/aU=")</f>
        <v>#VALUE!</v>
      </c>
      <c r="FK73" t="e">
        <f>AND(Data!T60,"AAAAAHDv/aY=")</f>
        <v>#VALUE!</v>
      </c>
      <c r="FL73" t="e">
        <f>AND(Data!U60,"AAAAAHDv/ac=")</f>
        <v>#VALUE!</v>
      </c>
      <c r="FM73" t="e">
        <f>AND(Data!V60,"AAAAAHDv/ag=")</f>
        <v>#VALUE!</v>
      </c>
      <c r="FN73" t="e">
        <f>AND(Data!W60,"AAAAAHDv/ak=")</f>
        <v>#VALUE!</v>
      </c>
      <c r="FO73" t="e">
        <f>AND(Data!X60,"AAAAAHDv/ao=")</f>
        <v>#VALUE!</v>
      </c>
      <c r="FP73">
        <f>IF(Data!61:61,"AAAAAHDv/as=",0)</f>
        <v>0</v>
      </c>
      <c r="FQ73" t="e">
        <f>AND(Data!A61,"AAAAAHDv/aw=")</f>
        <v>#VALUE!</v>
      </c>
      <c r="FR73" t="e">
        <f>AND(Data!B61,"AAAAAHDv/a0=")</f>
        <v>#VALUE!</v>
      </c>
      <c r="FS73" t="e">
        <f>AND(Data!C61,"AAAAAHDv/a4=")</f>
        <v>#VALUE!</v>
      </c>
      <c r="FT73" t="e">
        <f>AND(Data!D61,"AAAAAHDv/a8=")</f>
        <v>#VALUE!</v>
      </c>
      <c r="FU73" t="e">
        <f>AND(Data!E61,"AAAAAHDv/bA=")</f>
        <v>#VALUE!</v>
      </c>
      <c r="FV73" t="e">
        <f>AND(Data!F61,"AAAAAHDv/bE=")</f>
        <v>#VALUE!</v>
      </c>
      <c r="FW73" t="e">
        <f>AND(Data!G61,"AAAAAHDv/bI=")</f>
        <v>#VALUE!</v>
      </c>
      <c r="FX73" t="e">
        <f>AND(Data!H61,"AAAAAHDv/bM=")</f>
        <v>#VALUE!</v>
      </c>
      <c r="FY73" t="e">
        <f>AND(Data!I61,"AAAAAHDv/bQ=")</f>
        <v>#VALUE!</v>
      </c>
      <c r="FZ73" t="e">
        <f>AND(Data!J61,"AAAAAHDv/bU=")</f>
        <v>#VALUE!</v>
      </c>
      <c r="GA73" t="e">
        <f>AND(Data!K61,"AAAAAHDv/bY=")</f>
        <v>#VALUE!</v>
      </c>
      <c r="GB73" t="e">
        <f>AND(Data!L61,"AAAAAHDv/bc=")</f>
        <v>#VALUE!</v>
      </c>
      <c r="GC73" t="e">
        <f>AND(Data!M61,"AAAAAHDv/bg=")</f>
        <v>#VALUE!</v>
      </c>
      <c r="GD73" t="e">
        <f>AND(Data!N61,"AAAAAHDv/bk=")</f>
        <v>#VALUE!</v>
      </c>
      <c r="GE73" t="e">
        <f>AND(Data!O61,"AAAAAHDv/bo=")</f>
        <v>#VALUE!</v>
      </c>
      <c r="GF73" t="e">
        <f>AND(Data!P61,"AAAAAHDv/bs=")</f>
        <v>#VALUE!</v>
      </c>
      <c r="GG73" t="e">
        <f>AND(Data!Q61,"AAAAAHDv/bw=")</f>
        <v>#VALUE!</v>
      </c>
      <c r="GH73" t="e">
        <f>AND(Data!R61,"AAAAAHDv/b0=")</f>
        <v>#VALUE!</v>
      </c>
      <c r="GI73" t="e">
        <f>AND(Data!S61,"AAAAAHDv/b4=")</f>
        <v>#VALUE!</v>
      </c>
      <c r="GJ73" t="e">
        <f>AND(Data!T61,"AAAAAHDv/b8=")</f>
        <v>#VALUE!</v>
      </c>
      <c r="GK73" t="e">
        <f>AND(Data!U61,"AAAAAHDv/cA=")</f>
        <v>#VALUE!</v>
      </c>
      <c r="GL73" t="e">
        <f>AND(Data!V61,"AAAAAHDv/cE=")</f>
        <v>#VALUE!</v>
      </c>
      <c r="GM73" t="e">
        <f>AND(Data!W61,"AAAAAHDv/cI=")</f>
        <v>#VALUE!</v>
      </c>
      <c r="GN73" t="e">
        <f>AND(Data!X61,"AAAAAHDv/cM=")</f>
        <v>#VALUE!</v>
      </c>
      <c r="GO73">
        <f>IF(Data!62:62,"AAAAAHDv/cQ=",0)</f>
        <v>0</v>
      </c>
      <c r="GP73" t="e">
        <f>AND(Data!A62,"AAAAAHDv/cU=")</f>
        <v>#VALUE!</v>
      </c>
      <c r="GQ73" t="e">
        <f>AND(Data!B62,"AAAAAHDv/cY=")</f>
        <v>#VALUE!</v>
      </c>
      <c r="GR73" t="e">
        <f>AND(Data!C62,"AAAAAHDv/cc=")</f>
        <v>#VALUE!</v>
      </c>
      <c r="GS73" t="e">
        <f>AND(Data!D62,"AAAAAHDv/cg=")</f>
        <v>#VALUE!</v>
      </c>
      <c r="GT73" t="e">
        <f>AND(Data!E62,"AAAAAHDv/ck=")</f>
        <v>#VALUE!</v>
      </c>
      <c r="GU73" t="e">
        <f>AND(Data!F62,"AAAAAHDv/co=")</f>
        <v>#VALUE!</v>
      </c>
      <c r="GV73" t="e">
        <f>AND(Data!G62,"AAAAAHDv/cs=")</f>
        <v>#VALUE!</v>
      </c>
      <c r="GW73" t="e">
        <f>AND(Data!H62,"AAAAAHDv/cw=")</f>
        <v>#VALUE!</v>
      </c>
      <c r="GX73" t="e">
        <f>AND(Data!I62,"AAAAAHDv/c0=")</f>
        <v>#VALUE!</v>
      </c>
      <c r="GY73" t="e">
        <f>AND(Data!J62,"AAAAAHDv/c4=")</f>
        <v>#VALUE!</v>
      </c>
      <c r="GZ73" t="e">
        <f>AND(Data!K62,"AAAAAHDv/c8=")</f>
        <v>#VALUE!</v>
      </c>
      <c r="HA73" t="e">
        <f>AND(Data!L62,"AAAAAHDv/dA=")</f>
        <v>#VALUE!</v>
      </c>
      <c r="HB73" t="e">
        <f>AND(Data!M62,"AAAAAHDv/dE=")</f>
        <v>#VALUE!</v>
      </c>
      <c r="HC73" t="e">
        <f>AND(Data!N62,"AAAAAHDv/dI=")</f>
        <v>#VALUE!</v>
      </c>
      <c r="HD73" t="e">
        <f>AND(Data!O62,"AAAAAHDv/dM=")</f>
        <v>#VALUE!</v>
      </c>
      <c r="HE73" t="e">
        <f>AND(Data!P62,"AAAAAHDv/dQ=")</f>
        <v>#VALUE!</v>
      </c>
      <c r="HF73" t="e">
        <f>AND(Data!Q62,"AAAAAHDv/dU=")</f>
        <v>#VALUE!</v>
      </c>
      <c r="HG73" t="e">
        <f>AND(Data!R62,"AAAAAHDv/dY=")</f>
        <v>#VALUE!</v>
      </c>
      <c r="HH73" t="e">
        <f>AND(Data!S62,"AAAAAHDv/dc=")</f>
        <v>#VALUE!</v>
      </c>
      <c r="HI73" t="e">
        <f>AND(Data!T62,"AAAAAHDv/dg=")</f>
        <v>#VALUE!</v>
      </c>
      <c r="HJ73" t="e">
        <f>AND(Data!U62,"AAAAAHDv/dk=")</f>
        <v>#VALUE!</v>
      </c>
      <c r="HK73" t="e">
        <f>AND(Data!V62,"AAAAAHDv/do=")</f>
        <v>#VALUE!</v>
      </c>
      <c r="HL73" t="e">
        <f>AND(Data!W62,"AAAAAHDv/ds=")</f>
        <v>#VALUE!</v>
      </c>
      <c r="HM73" t="e">
        <f>AND(Data!X62,"AAAAAHDv/dw=")</f>
        <v>#VALUE!</v>
      </c>
      <c r="HN73">
        <f>IF(Data!63:63,"AAAAAHDv/d0=",0)</f>
        <v>0</v>
      </c>
      <c r="HO73" t="e">
        <f>AND(Data!A63,"AAAAAHDv/d4=")</f>
        <v>#VALUE!</v>
      </c>
      <c r="HP73" t="e">
        <f>AND(Data!B63,"AAAAAHDv/d8=")</f>
        <v>#VALUE!</v>
      </c>
      <c r="HQ73" t="e">
        <f>AND(Data!C63,"AAAAAHDv/eA=")</f>
        <v>#VALUE!</v>
      </c>
      <c r="HR73" t="e">
        <f>AND(Data!D63,"AAAAAHDv/eE=")</f>
        <v>#VALUE!</v>
      </c>
      <c r="HS73" t="e">
        <f>AND(Data!E63,"AAAAAHDv/eI=")</f>
        <v>#VALUE!</v>
      </c>
      <c r="HT73" t="e">
        <f>AND(Data!F63,"AAAAAHDv/eM=")</f>
        <v>#VALUE!</v>
      </c>
      <c r="HU73" t="e">
        <f>AND(Data!G63,"AAAAAHDv/eQ=")</f>
        <v>#VALUE!</v>
      </c>
      <c r="HV73" t="e">
        <f>AND(Data!H63,"AAAAAHDv/eU=")</f>
        <v>#VALUE!</v>
      </c>
      <c r="HW73" t="e">
        <f>AND(Data!I63,"AAAAAHDv/eY=")</f>
        <v>#VALUE!</v>
      </c>
      <c r="HX73" t="e">
        <f>AND(Data!J63,"AAAAAHDv/ec=")</f>
        <v>#VALUE!</v>
      </c>
      <c r="HY73" t="e">
        <f>AND(Data!K63,"AAAAAHDv/eg=")</f>
        <v>#VALUE!</v>
      </c>
      <c r="HZ73" t="e">
        <f>AND(Data!L63,"AAAAAHDv/ek=")</f>
        <v>#VALUE!</v>
      </c>
      <c r="IA73" t="e">
        <f>AND(Data!M63,"AAAAAHDv/eo=")</f>
        <v>#VALUE!</v>
      </c>
      <c r="IB73" t="e">
        <f>AND(Data!N63,"AAAAAHDv/es=")</f>
        <v>#VALUE!</v>
      </c>
      <c r="IC73" t="e">
        <f>AND(Data!O63,"AAAAAHDv/ew=")</f>
        <v>#VALUE!</v>
      </c>
      <c r="ID73" t="e">
        <f>AND(Data!P63,"AAAAAHDv/e0=")</f>
        <v>#VALUE!</v>
      </c>
      <c r="IE73" t="e">
        <f>AND(Data!Q63,"AAAAAHDv/e4=")</f>
        <v>#VALUE!</v>
      </c>
      <c r="IF73" t="e">
        <f>AND(Data!R63,"AAAAAHDv/e8=")</f>
        <v>#VALUE!</v>
      </c>
      <c r="IG73" t="e">
        <f>AND(Data!S63,"AAAAAHDv/fA=")</f>
        <v>#VALUE!</v>
      </c>
      <c r="IH73" t="e">
        <f>AND(Data!T63,"AAAAAHDv/fE=")</f>
        <v>#VALUE!</v>
      </c>
      <c r="II73" t="e">
        <f>AND(Data!U63,"AAAAAHDv/fI=")</f>
        <v>#VALUE!</v>
      </c>
      <c r="IJ73" t="e">
        <f>AND(Data!V63,"AAAAAHDv/fM=")</f>
        <v>#VALUE!</v>
      </c>
      <c r="IK73" t="e">
        <f>AND(Data!W63,"AAAAAHDv/fQ=")</f>
        <v>#VALUE!</v>
      </c>
      <c r="IL73" t="e">
        <f>AND(Data!X63,"AAAAAHDv/fU=")</f>
        <v>#VALUE!</v>
      </c>
      <c r="IM73">
        <f>IF(Data!64:64,"AAAAAHDv/fY=",0)</f>
        <v>0</v>
      </c>
      <c r="IN73" t="e">
        <f>AND(Data!A64,"AAAAAHDv/fc=")</f>
        <v>#VALUE!</v>
      </c>
      <c r="IO73" t="e">
        <f>AND(Data!B64,"AAAAAHDv/fg=")</f>
        <v>#VALUE!</v>
      </c>
      <c r="IP73" t="e">
        <f>AND(Data!C64,"AAAAAHDv/fk=")</f>
        <v>#VALUE!</v>
      </c>
      <c r="IQ73" t="e">
        <f>AND(Data!D64,"AAAAAHDv/fo=")</f>
        <v>#VALUE!</v>
      </c>
      <c r="IR73" t="e">
        <f>AND(Data!E64,"AAAAAHDv/fs=")</f>
        <v>#VALUE!</v>
      </c>
      <c r="IS73" t="e">
        <f>AND(Data!F64,"AAAAAHDv/fw=")</f>
        <v>#VALUE!</v>
      </c>
      <c r="IT73" t="e">
        <f>AND(Data!G64,"AAAAAHDv/f0=")</f>
        <v>#VALUE!</v>
      </c>
      <c r="IU73" t="e">
        <f>AND(Data!H64,"AAAAAHDv/f4=")</f>
        <v>#VALUE!</v>
      </c>
      <c r="IV73" t="e">
        <f>AND(Data!I64,"AAAAAHDv/f8=")</f>
        <v>#VALUE!</v>
      </c>
    </row>
    <row r="74" spans="1:256" x14ac:dyDescent="0.2">
      <c r="A74" t="e">
        <f>AND(Data!J64,"AAAAAD535wA=")</f>
        <v>#VALUE!</v>
      </c>
      <c r="B74" t="e">
        <f>AND(Data!K64,"AAAAAD535wE=")</f>
        <v>#VALUE!</v>
      </c>
      <c r="C74" t="e">
        <f>AND(Data!L64,"AAAAAD535wI=")</f>
        <v>#VALUE!</v>
      </c>
      <c r="D74" t="e">
        <f>AND(Data!M64,"AAAAAD535wM=")</f>
        <v>#VALUE!</v>
      </c>
      <c r="E74" t="e">
        <f>AND(Data!N64,"AAAAAD535wQ=")</f>
        <v>#VALUE!</v>
      </c>
      <c r="F74" t="e">
        <f>AND(Data!O64,"AAAAAD535wU=")</f>
        <v>#VALUE!</v>
      </c>
      <c r="G74" t="e">
        <f>AND(Data!P64,"AAAAAD535wY=")</f>
        <v>#VALUE!</v>
      </c>
      <c r="H74" t="e">
        <f>AND(Data!Q64,"AAAAAD535wc=")</f>
        <v>#VALUE!</v>
      </c>
      <c r="I74" t="e">
        <f>AND(Data!R64,"AAAAAD535wg=")</f>
        <v>#VALUE!</v>
      </c>
      <c r="J74" t="e">
        <f>AND(Data!S64,"AAAAAD535wk=")</f>
        <v>#VALUE!</v>
      </c>
      <c r="K74" t="e">
        <f>AND(Data!T64,"AAAAAD535wo=")</f>
        <v>#VALUE!</v>
      </c>
      <c r="L74" t="e">
        <f>AND(Data!U64,"AAAAAD535ws=")</f>
        <v>#VALUE!</v>
      </c>
      <c r="M74" t="e">
        <f>AND(Data!V64,"AAAAAD535ww=")</f>
        <v>#VALUE!</v>
      </c>
      <c r="N74" t="e">
        <f>AND(Data!W64,"AAAAAD535w0=")</f>
        <v>#VALUE!</v>
      </c>
      <c r="O74" t="e">
        <f>AND(Data!X64,"AAAAAD535w4=")</f>
        <v>#VALUE!</v>
      </c>
      <c r="P74" t="e">
        <f>IF(Data!65:65,"AAAAAD535w8=",0)</f>
        <v>#VALUE!</v>
      </c>
      <c r="Q74" t="e">
        <f>AND(Data!A65,"AAAAAD535xA=")</f>
        <v>#VALUE!</v>
      </c>
      <c r="R74" t="e">
        <f>AND(Data!B65,"AAAAAD535xE=")</f>
        <v>#VALUE!</v>
      </c>
      <c r="S74" t="e">
        <f>AND(Data!C65,"AAAAAD535xI=")</f>
        <v>#VALUE!</v>
      </c>
      <c r="T74" t="e">
        <f>AND(Data!D65,"AAAAAD535xM=")</f>
        <v>#VALUE!</v>
      </c>
      <c r="U74" t="e">
        <f>AND(Data!E65,"AAAAAD535xQ=")</f>
        <v>#VALUE!</v>
      </c>
      <c r="V74" t="e">
        <f>AND(Data!F65,"AAAAAD535xU=")</f>
        <v>#VALUE!</v>
      </c>
      <c r="W74" t="e">
        <f>AND(Data!G65,"AAAAAD535xY=")</f>
        <v>#VALUE!</v>
      </c>
      <c r="X74" t="e">
        <f>AND(Data!H65,"AAAAAD535xc=")</f>
        <v>#VALUE!</v>
      </c>
      <c r="Y74" t="e">
        <f>AND(Data!I65,"AAAAAD535xg=")</f>
        <v>#VALUE!</v>
      </c>
      <c r="Z74" t="e">
        <f>AND(Data!J65,"AAAAAD535xk=")</f>
        <v>#VALUE!</v>
      </c>
      <c r="AA74" t="e">
        <f>AND(Data!K65,"AAAAAD535xo=")</f>
        <v>#VALUE!</v>
      </c>
      <c r="AB74" t="e">
        <f>AND(Data!L65,"AAAAAD535xs=")</f>
        <v>#VALUE!</v>
      </c>
      <c r="AC74" t="e">
        <f>AND(Data!M65,"AAAAAD535xw=")</f>
        <v>#VALUE!</v>
      </c>
      <c r="AD74" t="e">
        <f>AND(Data!N65,"AAAAAD535x0=")</f>
        <v>#VALUE!</v>
      </c>
      <c r="AE74" t="e">
        <f>AND(Data!O65,"AAAAAD535x4=")</f>
        <v>#VALUE!</v>
      </c>
      <c r="AF74" t="e">
        <f>AND(Data!P65,"AAAAAD535x8=")</f>
        <v>#VALUE!</v>
      </c>
      <c r="AG74" t="e">
        <f>AND(Data!Q65,"AAAAAD535yA=")</f>
        <v>#VALUE!</v>
      </c>
      <c r="AH74" t="e">
        <f>AND(Data!R65,"AAAAAD535yE=")</f>
        <v>#VALUE!</v>
      </c>
      <c r="AI74" t="e">
        <f>AND(Data!S65,"AAAAAD535yI=")</f>
        <v>#VALUE!</v>
      </c>
      <c r="AJ74" t="e">
        <f>AND(Data!T65,"AAAAAD535yM=")</f>
        <v>#VALUE!</v>
      </c>
      <c r="AK74" t="e">
        <f>AND(Data!U65,"AAAAAD535yQ=")</f>
        <v>#VALUE!</v>
      </c>
      <c r="AL74" t="e">
        <f>AND(Data!V65,"AAAAAD535yU=")</f>
        <v>#VALUE!</v>
      </c>
      <c r="AM74" t="e">
        <f>AND(Data!W65,"AAAAAD535yY=")</f>
        <v>#VALUE!</v>
      </c>
      <c r="AN74" t="e">
        <f>AND(Data!X65,"AAAAAD535yc=")</f>
        <v>#VALUE!</v>
      </c>
      <c r="AO74">
        <f>IF(Data!66:66,"AAAAAD535yg=",0)</f>
        <v>0</v>
      </c>
      <c r="AP74" t="e">
        <f>AND(Data!A66,"AAAAAD535yk=")</f>
        <v>#VALUE!</v>
      </c>
      <c r="AQ74" t="e">
        <f>AND(Data!B66,"AAAAAD535yo=")</f>
        <v>#VALUE!</v>
      </c>
      <c r="AR74" t="e">
        <f>AND(Data!C66,"AAAAAD535ys=")</f>
        <v>#VALUE!</v>
      </c>
      <c r="AS74" t="e">
        <f>AND(Data!D66,"AAAAAD535yw=")</f>
        <v>#VALUE!</v>
      </c>
      <c r="AT74" t="e">
        <f>AND(Data!E66,"AAAAAD535y0=")</f>
        <v>#VALUE!</v>
      </c>
      <c r="AU74" t="e">
        <f>AND(Data!F66,"AAAAAD535y4=")</f>
        <v>#VALUE!</v>
      </c>
      <c r="AV74" t="e">
        <f>AND(Data!G66,"AAAAAD535y8=")</f>
        <v>#VALUE!</v>
      </c>
      <c r="AW74" t="e">
        <f>AND(Data!H66,"AAAAAD535zA=")</f>
        <v>#VALUE!</v>
      </c>
      <c r="AX74" t="e">
        <f>AND(Data!I66,"AAAAAD535zE=")</f>
        <v>#VALUE!</v>
      </c>
      <c r="AY74" t="e">
        <f>AND(Data!J66,"AAAAAD535zI=")</f>
        <v>#VALUE!</v>
      </c>
      <c r="AZ74" t="e">
        <f>AND(Data!K66,"AAAAAD535zM=")</f>
        <v>#VALUE!</v>
      </c>
      <c r="BA74" t="e">
        <f>AND(Data!L66,"AAAAAD535zQ=")</f>
        <v>#VALUE!</v>
      </c>
      <c r="BB74" t="e">
        <f>AND(Data!M66,"AAAAAD535zU=")</f>
        <v>#VALUE!</v>
      </c>
      <c r="BC74" t="e">
        <f>AND(Data!N66,"AAAAAD535zY=")</f>
        <v>#VALUE!</v>
      </c>
      <c r="BD74" t="e">
        <f>AND(Data!O66,"AAAAAD535zc=")</f>
        <v>#VALUE!</v>
      </c>
      <c r="BE74" t="e">
        <f>AND(Data!P66,"AAAAAD535zg=")</f>
        <v>#VALUE!</v>
      </c>
      <c r="BF74" t="e">
        <f>AND(Data!Q66,"AAAAAD535zk=")</f>
        <v>#VALUE!</v>
      </c>
      <c r="BG74" t="e">
        <f>AND(Data!R66,"AAAAAD535zo=")</f>
        <v>#VALUE!</v>
      </c>
      <c r="BH74" t="e">
        <f>AND(Data!S66,"AAAAAD535zs=")</f>
        <v>#VALUE!</v>
      </c>
      <c r="BI74" t="e">
        <f>AND(Data!T66,"AAAAAD535zw=")</f>
        <v>#VALUE!</v>
      </c>
      <c r="BJ74" t="e">
        <f>AND(Data!U66,"AAAAAD535z0=")</f>
        <v>#VALUE!</v>
      </c>
      <c r="BK74" t="e">
        <f>AND(Data!V66,"AAAAAD535z4=")</f>
        <v>#VALUE!</v>
      </c>
      <c r="BL74" t="e">
        <f>AND(Data!W66,"AAAAAD535z8=")</f>
        <v>#VALUE!</v>
      </c>
      <c r="BM74" t="e">
        <f>AND(Data!X66,"AAAAAD5350A=")</f>
        <v>#VALUE!</v>
      </c>
      <c r="BN74">
        <f>IF(Data!67:67,"AAAAAD5350E=",0)</f>
        <v>0</v>
      </c>
      <c r="BO74" t="e">
        <f>AND(Data!A67,"AAAAAD5350I=")</f>
        <v>#VALUE!</v>
      </c>
      <c r="BP74" t="e">
        <f>AND(Data!B67,"AAAAAD5350M=")</f>
        <v>#VALUE!</v>
      </c>
      <c r="BQ74" t="e">
        <f>AND(Data!C67,"AAAAAD5350Q=")</f>
        <v>#VALUE!</v>
      </c>
      <c r="BR74" t="e">
        <f>AND(Data!D67,"AAAAAD5350U=")</f>
        <v>#VALUE!</v>
      </c>
      <c r="BS74" t="e">
        <f>AND(Data!E67,"AAAAAD5350Y=")</f>
        <v>#VALUE!</v>
      </c>
      <c r="BT74" t="e">
        <f>AND(Data!F67,"AAAAAD5350c=")</f>
        <v>#VALUE!</v>
      </c>
      <c r="BU74" t="e">
        <f>AND(Data!G67,"AAAAAD5350g=")</f>
        <v>#VALUE!</v>
      </c>
      <c r="BV74" t="e">
        <f>AND(Data!H67,"AAAAAD5350k=")</f>
        <v>#VALUE!</v>
      </c>
      <c r="BW74" t="e">
        <f>AND(Data!I67,"AAAAAD5350o=")</f>
        <v>#VALUE!</v>
      </c>
      <c r="BX74" t="e">
        <f>AND(Data!J67,"AAAAAD5350s=")</f>
        <v>#VALUE!</v>
      </c>
      <c r="BY74" t="e">
        <f>AND(Data!K67,"AAAAAD5350w=")</f>
        <v>#VALUE!</v>
      </c>
      <c r="BZ74" t="e">
        <f>AND(Data!L67,"AAAAAD53500=")</f>
        <v>#VALUE!</v>
      </c>
      <c r="CA74" t="e">
        <f>AND(Data!M67,"AAAAAD53504=")</f>
        <v>#VALUE!</v>
      </c>
      <c r="CB74" t="e">
        <f>AND(Data!N67,"AAAAAD53508=")</f>
        <v>#VALUE!</v>
      </c>
      <c r="CC74" t="e">
        <f>AND(Data!O67,"AAAAAD5351A=")</f>
        <v>#VALUE!</v>
      </c>
      <c r="CD74" t="e">
        <f>AND(Data!P67,"AAAAAD5351E=")</f>
        <v>#VALUE!</v>
      </c>
      <c r="CE74" t="e">
        <f>AND(Data!Q67,"AAAAAD5351I=")</f>
        <v>#VALUE!</v>
      </c>
      <c r="CF74" t="e">
        <f>AND(Data!R67,"AAAAAD5351M=")</f>
        <v>#VALUE!</v>
      </c>
      <c r="CG74" t="e">
        <f>AND(Data!S67,"AAAAAD5351Q=")</f>
        <v>#VALUE!</v>
      </c>
      <c r="CH74" t="e">
        <f>AND(Data!T67,"AAAAAD5351U=")</f>
        <v>#VALUE!</v>
      </c>
      <c r="CI74" t="e">
        <f>AND(Data!U67,"AAAAAD5351Y=")</f>
        <v>#VALUE!</v>
      </c>
      <c r="CJ74" t="e">
        <f>AND(Data!V67,"AAAAAD5351c=")</f>
        <v>#VALUE!</v>
      </c>
      <c r="CK74" t="e">
        <f>AND(Data!W67,"AAAAAD5351g=")</f>
        <v>#VALUE!</v>
      </c>
      <c r="CL74" t="e">
        <f>AND(Data!X67,"AAAAAD5351k=")</f>
        <v>#VALUE!</v>
      </c>
      <c r="CM74">
        <f>IF(Data!68:68,"AAAAAD5351o=",0)</f>
        <v>0</v>
      </c>
      <c r="CN74" t="e">
        <f>AND(Data!A68,"AAAAAD5351s=")</f>
        <v>#VALUE!</v>
      </c>
      <c r="CO74" t="e">
        <f>AND(Data!B68,"AAAAAD5351w=")</f>
        <v>#VALUE!</v>
      </c>
      <c r="CP74" t="e">
        <f>AND(Data!C68,"AAAAAD53510=")</f>
        <v>#VALUE!</v>
      </c>
      <c r="CQ74" t="e">
        <f>AND(Data!D68,"AAAAAD53514=")</f>
        <v>#VALUE!</v>
      </c>
      <c r="CR74" t="e">
        <f>AND(Data!E68,"AAAAAD53518=")</f>
        <v>#VALUE!</v>
      </c>
      <c r="CS74" t="e">
        <f>AND(Data!F68,"AAAAAD5352A=")</f>
        <v>#VALUE!</v>
      </c>
      <c r="CT74" t="e">
        <f>AND(Data!G68,"AAAAAD5352E=")</f>
        <v>#VALUE!</v>
      </c>
      <c r="CU74" t="e">
        <f>AND(Data!H68,"AAAAAD5352I=")</f>
        <v>#VALUE!</v>
      </c>
      <c r="CV74" t="e">
        <f>AND(Data!I68,"AAAAAD5352M=")</f>
        <v>#VALUE!</v>
      </c>
      <c r="CW74" t="e">
        <f>AND(Data!J68,"AAAAAD5352Q=")</f>
        <v>#VALUE!</v>
      </c>
      <c r="CX74" t="e">
        <f>AND(Data!K68,"AAAAAD5352U=")</f>
        <v>#VALUE!</v>
      </c>
      <c r="CY74" t="e">
        <f>AND(Data!L68,"AAAAAD5352Y=")</f>
        <v>#VALUE!</v>
      </c>
      <c r="CZ74" t="e">
        <f>AND(Data!M68,"AAAAAD5352c=")</f>
        <v>#VALUE!</v>
      </c>
      <c r="DA74" t="e">
        <f>AND(Data!N68,"AAAAAD5352g=")</f>
        <v>#VALUE!</v>
      </c>
      <c r="DB74" t="e">
        <f>AND(Data!O68,"AAAAAD5352k=")</f>
        <v>#VALUE!</v>
      </c>
      <c r="DC74" t="e">
        <f>AND(Data!P68,"AAAAAD5352o=")</f>
        <v>#VALUE!</v>
      </c>
      <c r="DD74" t="e">
        <f>AND(Data!Q68,"AAAAAD5352s=")</f>
        <v>#VALUE!</v>
      </c>
      <c r="DE74" t="e">
        <f>AND(Data!R68,"AAAAAD5352w=")</f>
        <v>#VALUE!</v>
      </c>
      <c r="DF74" t="e">
        <f>AND(Data!S68,"AAAAAD53520=")</f>
        <v>#VALUE!</v>
      </c>
      <c r="DG74" t="e">
        <f>AND(Data!T68,"AAAAAD53524=")</f>
        <v>#VALUE!</v>
      </c>
      <c r="DH74" t="e">
        <f>AND(Data!U68,"AAAAAD53528=")</f>
        <v>#VALUE!</v>
      </c>
      <c r="DI74" t="e">
        <f>AND(Data!V68,"AAAAAD5353A=")</f>
        <v>#VALUE!</v>
      </c>
      <c r="DJ74" t="e">
        <f>AND(Data!W68,"AAAAAD5353E=")</f>
        <v>#VALUE!</v>
      </c>
      <c r="DK74" t="e">
        <f>AND(Data!X68,"AAAAAD5353I=")</f>
        <v>#VALUE!</v>
      </c>
      <c r="DL74">
        <f>IF(Data!69:69,"AAAAAD5353M=",0)</f>
        <v>0</v>
      </c>
      <c r="DM74" t="e">
        <f>AND(Data!A69,"AAAAAD5353Q=")</f>
        <v>#VALUE!</v>
      </c>
      <c r="DN74" t="e">
        <f>AND(Data!B69,"AAAAAD5353U=")</f>
        <v>#VALUE!</v>
      </c>
      <c r="DO74" t="e">
        <f>AND(Data!C69,"AAAAAD5353Y=")</f>
        <v>#VALUE!</v>
      </c>
      <c r="DP74" t="e">
        <f>AND(Data!D69,"AAAAAD5353c=")</f>
        <v>#VALUE!</v>
      </c>
      <c r="DQ74" t="e">
        <f>AND(Data!E69,"AAAAAD5353g=")</f>
        <v>#VALUE!</v>
      </c>
      <c r="DR74" t="e">
        <f>AND(Data!F69,"AAAAAD5353k=")</f>
        <v>#VALUE!</v>
      </c>
      <c r="DS74" t="e">
        <f>AND(Data!G69,"AAAAAD5353o=")</f>
        <v>#VALUE!</v>
      </c>
      <c r="DT74" t="e">
        <f>AND(Data!H69,"AAAAAD5353s=")</f>
        <v>#VALUE!</v>
      </c>
      <c r="DU74" t="e">
        <f>AND(Data!I69,"AAAAAD5353w=")</f>
        <v>#VALUE!</v>
      </c>
      <c r="DV74" t="e">
        <f>AND(Data!J69,"AAAAAD53530=")</f>
        <v>#VALUE!</v>
      </c>
      <c r="DW74" t="e">
        <f>AND(Data!K69,"AAAAAD53534=")</f>
        <v>#VALUE!</v>
      </c>
      <c r="DX74" t="e">
        <f>AND(Data!L69,"AAAAAD53538=")</f>
        <v>#VALUE!</v>
      </c>
      <c r="DY74" t="e">
        <f>AND(Data!M69,"AAAAAD5354A=")</f>
        <v>#VALUE!</v>
      </c>
      <c r="DZ74" t="e">
        <f>AND(Data!N69,"AAAAAD5354E=")</f>
        <v>#VALUE!</v>
      </c>
      <c r="EA74" t="e">
        <f>AND(Data!O69,"AAAAAD5354I=")</f>
        <v>#VALUE!</v>
      </c>
      <c r="EB74" t="e">
        <f>AND(Data!P69,"AAAAAD5354M=")</f>
        <v>#VALUE!</v>
      </c>
      <c r="EC74" t="e">
        <f>AND(Data!Q69,"AAAAAD5354Q=")</f>
        <v>#VALUE!</v>
      </c>
      <c r="ED74" t="e">
        <f>AND(Data!R69,"AAAAAD5354U=")</f>
        <v>#VALUE!</v>
      </c>
      <c r="EE74" t="e">
        <f>AND(Data!S69,"AAAAAD5354Y=")</f>
        <v>#VALUE!</v>
      </c>
      <c r="EF74" t="e">
        <f>AND(Data!T69,"AAAAAD5354c=")</f>
        <v>#VALUE!</v>
      </c>
      <c r="EG74" t="e">
        <f>AND(Data!U69,"AAAAAD5354g=")</f>
        <v>#VALUE!</v>
      </c>
      <c r="EH74" t="e">
        <f>AND(Data!V69,"AAAAAD5354k=")</f>
        <v>#VALUE!</v>
      </c>
      <c r="EI74" t="e">
        <f>AND(Data!W69,"AAAAAD5354o=")</f>
        <v>#VALUE!</v>
      </c>
      <c r="EJ74" t="e">
        <f>AND(Data!X69,"AAAAAD5354s=")</f>
        <v>#VALUE!</v>
      </c>
      <c r="EK74">
        <f>IF(Data!70:70,"AAAAAD5354w=",0)</f>
        <v>0</v>
      </c>
      <c r="EL74" t="e">
        <f>AND(Data!A70,"AAAAAD53540=")</f>
        <v>#VALUE!</v>
      </c>
      <c r="EM74" t="e">
        <f>AND(Data!B70,"AAAAAD53544=")</f>
        <v>#VALUE!</v>
      </c>
      <c r="EN74" t="e">
        <f>AND(Data!C70,"AAAAAD53548=")</f>
        <v>#VALUE!</v>
      </c>
      <c r="EO74" t="e">
        <f>AND(Data!D70,"AAAAAD5355A=")</f>
        <v>#VALUE!</v>
      </c>
      <c r="EP74" t="e">
        <f>AND(Data!E70,"AAAAAD5355E=")</f>
        <v>#VALUE!</v>
      </c>
      <c r="EQ74" t="e">
        <f>AND(Data!F70,"AAAAAD5355I=")</f>
        <v>#VALUE!</v>
      </c>
      <c r="ER74" t="e">
        <f>AND(Data!G70,"AAAAAD5355M=")</f>
        <v>#VALUE!</v>
      </c>
      <c r="ES74" t="e">
        <f>AND(Data!H70,"AAAAAD5355Q=")</f>
        <v>#VALUE!</v>
      </c>
      <c r="ET74" t="e">
        <f>AND(Data!I70,"AAAAAD5355U=")</f>
        <v>#VALUE!</v>
      </c>
      <c r="EU74" t="e">
        <f>AND(Data!J70,"AAAAAD5355Y=")</f>
        <v>#VALUE!</v>
      </c>
      <c r="EV74" t="e">
        <f>AND(Data!K70,"AAAAAD5355c=")</f>
        <v>#VALUE!</v>
      </c>
      <c r="EW74" t="e">
        <f>AND(Data!L70,"AAAAAD5355g=")</f>
        <v>#VALUE!</v>
      </c>
      <c r="EX74" t="e">
        <f>AND(Data!M70,"AAAAAD5355k=")</f>
        <v>#VALUE!</v>
      </c>
      <c r="EY74" t="e">
        <f>AND(Data!N70,"AAAAAD5355o=")</f>
        <v>#VALUE!</v>
      </c>
      <c r="EZ74" t="e">
        <f>AND(Data!O70,"AAAAAD5355s=")</f>
        <v>#VALUE!</v>
      </c>
      <c r="FA74" t="e">
        <f>AND(Data!P70,"AAAAAD5355w=")</f>
        <v>#VALUE!</v>
      </c>
      <c r="FB74" t="e">
        <f>AND(Data!Q70,"AAAAAD53550=")</f>
        <v>#VALUE!</v>
      </c>
      <c r="FC74" t="e">
        <f>AND(Data!R70,"AAAAAD53554=")</f>
        <v>#VALUE!</v>
      </c>
      <c r="FD74" t="e">
        <f>AND(Data!S70,"AAAAAD53558=")</f>
        <v>#VALUE!</v>
      </c>
      <c r="FE74" t="e">
        <f>AND(Data!T70,"AAAAAD5356A=")</f>
        <v>#VALUE!</v>
      </c>
      <c r="FF74" t="e">
        <f>AND(Data!U70,"AAAAAD5356E=")</f>
        <v>#VALUE!</v>
      </c>
      <c r="FG74" t="e">
        <f>AND(Data!V70,"AAAAAD5356I=")</f>
        <v>#VALUE!</v>
      </c>
      <c r="FH74" t="e">
        <f>AND(Data!W70,"AAAAAD5356M=")</f>
        <v>#VALUE!</v>
      </c>
      <c r="FI74" t="e">
        <f>AND(Data!X70,"AAAAAD5356Q=")</f>
        <v>#VALUE!</v>
      </c>
      <c r="FJ74">
        <f>IF(Data!71:71,"AAAAAD5356U=",0)</f>
        <v>0</v>
      </c>
      <c r="FK74" t="e">
        <f>AND(Data!A71,"AAAAAD5356Y=")</f>
        <v>#VALUE!</v>
      </c>
      <c r="FL74" t="e">
        <f>AND(Data!B71,"AAAAAD5356c=")</f>
        <v>#VALUE!</v>
      </c>
      <c r="FM74" t="e">
        <f>AND(Data!C71,"AAAAAD5356g=")</f>
        <v>#VALUE!</v>
      </c>
      <c r="FN74" t="e">
        <f>AND(Data!D71,"AAAAAD5356k=")</f>
        <v>#VALUE!</v>
      </c>
      <c r="FO74" t="e">
        <f>AND(Data!E71,"AAAAAD5356o=")</f>
        <v>#VALUE!</v>
      </c>
      <c r="FP74" t="e">
        <f>AND(Data!F71,"AAAAAD5356s=")</f>
        <v>#VALUE!</v>
      </c>
      <c r="FQ74" t="e">
        <f>AND(Data!G71,"AAAAAD5356w=")</f>
        <v>#VALUE!</v>
      </c>
      <c r="FR74" t="e">
        <f>AND(Data!H71,"AAAAAD53560=")</f>
        <v>#VALUE!</v>
      </c>
      <c r="FS74" t="e">
        <f>AND(Data!I71,"AAAAAD53564=")</f>
        <v>#VALUE!</v>
      </c>
      <c r="FT74" t="e">
        <f>AND(Data!J71,"AAAAAD53568=")</f>
        <v>#VALUE!</v>
      </c>
      <c r="FU74" t="e">
        <f>AND(Data!K71,"AAAAAD5357A=")</f>
        <v>#VALUE!</v>
      </c>
      <c r="FV74" t="e">
        <f>AND(Data!L71,"AAAAAD5357E=")</f>
        <v>#VALUE!</v>
      </c>
      <c r="FW74" t="e">
        <f>AND(Data!M71,"AAAAAD5357I=")</f>
        <v>#VALUE!</v>
      </c>
      <c r="FX74" t="e">
        <f>AND(Data!N71,"AAAAAD5357M=")</f>
        <v>#VALUE!</v>
      </c>
      <c r="FY74" t="e">
        <f>AND(Data!O71,"AAAAAD5357Q=")</f>
        <v>#VALUE!</v>
      </c>
      <c r="FZ74" t="e">
        <f>AND(Data!P71,"AAAAAD5357U=")</f>
        <v>#VALUE!</v>
      </c>
      <c r="GA74" t="e">
        <f>AND(Data!Q71,"AAAAAD5357Y=")</f>
        <v>#VALUE!</v>
      </c>
      <c r="GB74" t="e">
        <f>AND(Data!R71,"AAAAAD5357c=")</f>
        <v>#VALUE!</v>
      </c>
      <c r="GC74" t="e">
        <f>AND(Data!S71,"AAAAAD5357g=")</f>
        <v>#VALUE!</v>
      </c>
      <c r="GD74" t="e">
        <f>AND(Data!T71,"AAAAAD5357k=")</f>
        <v>#VALUE!</v>
      </c>
      <c r="GE74" t="e">
        <f>AND(Data!U71,"AAAAAD5357o=")</f>
        <v>#VALUE!</v>
      </c>
      <c r="GF74" t="e">
        <f>AND(Data!V71,"AAAAAD5357s=")</f>
        <v>#VALUE!</v>
      </c>
      <c r="GG74" t="e">
        <f>AND(Data!W71,"AAAAAD5357w=")</f>
        <v>#VALUE!</v>
      </c>
      <c r="GH74" t="e">
        <f>AND(Data!X71,"AAAAAD53570=")</f>
        <v>#VALUE!</v>
      </c>
      <c r="GI74">
        <f>IF(Data!72:72,"AAAAAD53574=",0)</f>
        <v>0</v>
      </c>
      <c r="GJ74" t="e">
        <f>AND(Data!A72,"AAAAAD53578=")</f>
        <v>#VALUE!</v>
      </c>
      <c r="GK74" t="e">
        <f>AND(Data!B72,"AAAAAD5358A=")</f>
        <v>#VALUE!</v>
      </c>
      <c r="GL74" t="e">
        <f>AND(Data!C72,"AAAAAD5358E=")</f>
        <v>#VALUE!</v>
      </c>
      <c r="GM74" t="e">
        <f>AND(Data!D72,"AAAAAD5358I=")</f>
        <v>#VALUE!</v>
      </c>
      <c r="GN74" t="e">
        <f>AND(Data!E72,"AAAAAD5358M=")</f>
        <v>#VALUE!</v>
      </c>
      <c r="GO74" t="e">
        <f>AND(Data!F72,"AAAAAD5358Q=")</f>
        <v>#VALUE!</v>
      </c>
      <c r="GP74" t="e">
        <f>AND(Data!G72,"AAAAAD5358U=")</f>
        <v>#VALUE!</v>
      </c>
      <c r="GQ74" t="e">
        <f>AND(Data!H72,"AAAAAD5358Y=")</f>
        <v>#VALUE!</v>
      </c>
      <c r="GR74" t="e">
        <f>AND(Data!I72,"AAAAAD5358c=")</f>
        <v>#VALUE!</v>
      </c>
      <c r="GS74" t="e">
        <f>AND(Data!J72,"AAAAAD5358g=")</f>
        <v>#VALUE!</v>
      </c>
      <c r="GT74" t="e">
        <f>AND(Data!K72,"AAAAAD5358k=")</f>
        <v>#VALUE!</v>
      </c>
      <c r="GU74" t="e">
        <f>AND(Data!L72,"AAAAAD5358o=")</f>
        <v>#VALUE!</v>
      </c>
      <c r="GV74" t="e">
        <f>AND(Data!M72,"AAAAAD5358s=")</f>
        <v>#VALUE!</v>
      </c>
      <c r="GW74" t="e">
        <f>AND(Data!N72,"AAAAAD5358w=")</f>
        <v>#VALUE!</v>
      </c>
      <c r="GX74" t="e">
        <f>AND(Data!O72,"AAAAAD53580=")</f>
        <v>#VALUE!</v>
      </c>
      <c r="GY74" t="e">
        <f>AND(Data!P72,"AAAAAD53584=")</f>
        <v>#VALUE!</v>
      </c>
      <c r="GZ74" t="e">
        <f>AND(Data!Q72,"AAAAAD53588=")</f>
        <v>#VALUE!</v>
      </c>
      <c r="HA74" t="e">
        <f>AND(Data!R72,"AAAAAD5359A=")</f>
        <v>#VALUE!</v>
      </c>
      <c r="HB74" t="e">
        <f>AND(Data!S72,"AAAAAD5359E=")</f>
        <v>#VALUE!</v>
      </c>
      <c r="HC74" t="e">
        <f>AND(Data!T72,"AAAAAD5359I=")</f>
        <v>#VALUE!</v>
      </c>
      <c r="HD74" t="e">
        <f>AND(Data!U72,"AAAAAD5359M=")</f>
        <v>#VALUE!</v>
      </c>
      <c r="HE74" t="e">
        <f>AND(Data!V72,"AAAAAD5359Q=")</f>
        <v>#VALUE!</v>
      </c>
      <c r="HF74" t="e">
        <f>AND(Data!W72,"AAAAAD5359U=")</f>
        <v>#VALUE!</v>
      </c>
      <c r="HG74" t="e">
        <f>AND(Data!X72,"AAAAAD5359Y=")</f>
        <v>#VALUE!</v>
      </c>
      <c r="HH74">
        <f>IF(Data!73:73,"AAAAAD5359c=",0)</f>
        <v>0</v>
      </c>
      <c r="HI74" t="e">
        <f>AND(Data!A73,"AAAAAD5359g=")</f>
        <v>#VALUE!</v>
      </c>
      <c r="HJ74" t="e">
        <f>AND(Data!B73,"AAAAAD5359k=")</f>
        <v>#VALUE!</v>
      </c>
      <c r="HK74" t="e">
        <f>AND(Data!C73,"AAAAAD5359o=")</f>
        <v>#VALUE!</v>
      </c>
      <c r="HL74" t="e">
        <f>AND(Data!D73,"AAAAAD5359s=")</f>
        <v>#VALUE!</v>
      </c>
      <c r="HM74" t="e">
        <f>AND(Data!E73,"AAAAAD5359w=")</f>
        <v>#VALUE!</v>
      </c>
      <c r="HN74" t="e">
        <f>AND(Data!F73,"AAAAAD53590=")</f>
        <v>#VALUE!</v>
      </c>
      <c r="HO74" t="e">
        <f>AND(Data!G73,"AAAAAD53594=")</f>
        <v>#VALUE!</v>
      </c>
      <c r="HP74" t="e">
        <f>AND(Data!H73,"AAAAAD53598=")</f>
        <v>#VALUE!</v>
      </c>
      <c r="HQ74" t="e">
        <f>AND(Data!I73,"AAAAAD535+A=")</f>
        <v>#VALUE!</v>
      </c>
      <c r="HR74" t="e">
        <f>AND(Data!J73,"AAAAAD535+E=")</f>
        <v>#VALUE!</v>
      </c>
      <c r="HS74" t="e">
        <f>AND(Data!K73,"AAAAAD535+I=")</f>
        <v>#VALUE!</v>
      </c>
      <c r="HT74" t="e">
        <f>AND(Data!L73,"AAAAAD535+M=")</f>
        <v>#VALUE!</v>
      </c>
      <c r="HU74" t="e">
        <f>AND(Data!M73,"AAAAAD535+Q=")</f>
        <v>#VALUE!</v>
      </c>
      <c r="HV74" t="e">
        <f>AND(Data!N73,"AAAAAD535+U=")</f>
        <v>#VALUE!</v>
      </c>
      <c r="HW74" t="e">
        <f>AND(Data!O73,"AAAAAD535+Y=")</f>
        <v>#VALUE!</v>
      </c>
      <c r="HX74" t="e">
        <f>AND(Data!P73,"AAAAAD535+c=")</f>
        <v>#VALUE!</v>
      </c>
      <c r="HY74" t="e">
        <f>AND(Data!Q73,"AAAAAD535+g=")</f>
        <v>#VALUE!</v>
      </c>
      <c r="HZ74" t="e">
        <f>AND(Data!R73,"AAAAAD535+k=")</f>
        <v>#VALUE!</v>
      </c>
      <c r="IA74" t="e">
        <f>AND(Data!S73,"AAAAAD535+o=")</f>
        <v>#VALUE!</v>
      </c>
      <c r="IB74" t="e">
        <f>AND(Data!T73,"AAAAAD535+s=")</f>
        <v>#VALUE!</v>
      </c>
      <c r="IC74" t="e">
        <f>AND(Data!U73,"AAAAAD535+w=")</f>
        <v>#VALUE!</v>
      </c>
      <c r="ID74" t="e">
        <f>AND(Data!V73,"AAAAAD535+0=")</f>
        <v>#VALUE!</v>
      </c>
      <c r="IE74" t="e">
        <f>AND(Data!W73,"AAAAAD535+4=")</f>
        <v>#VALUE!</v>
      </c>
      <c r="IF74" t="e">
        <f>AND(Data!X73,"AAAAAD535+8=")</f>
        <v>#VALUE!</v>
      </c>
      <c r="IG74">
        <f>IF(Data!74:74,"AAAAAD535/A=",0)</f>
        <v>0</v>
      </c>
      <c r="IH74" t="e">
        <f>AND(Data!A74,"AAAAAD535/E=")</f>
        <v>#VALUE!</v>
      </c>
      <c r="II74" t="e">
        <f>AND(Data!B74,"AAAAAD535/I=")</f>
        <v>#VALUE!</v>
      </c>
      <c r="IJ74" t="e">
        <f>AND(Data!C74,"AAAAAD535/M=")</f>
        <v>#VALUE!</v>
      </c>
      <c r="IK74" t="e">
        <f>AND(Data!D74,"AAAAAD535/Q=")</f>
        <v>#VALUE!</v>
      </c>
      <c r="IL74" t="e">
        <f>AND(Data!E74,"AAAAAD535/U=")</f>
        <v>#VALUE!</v>
      </c>
      <c r="IM74" t="e">
        <f>AND(Data!F74,"AAAAAD535/Y=")</f>
        <v>#VALUE!</v>
      </c>
      <c r="IN74" t="e">
        <f>AND(Data!G74,"AAAAAD535/c=")</f>
        <v>#VALUE!</v>
      </c>
      <c r="IO74" t="e">
        <f>AND(Data!H74,"AAAAAD535/g=")</f>
        <v>#VALUE!</v>
      </c>
      <c r="IP74" t="e">
        <f>AND(Data!I74,"AAAAAD535/k=")</f>
        <v>#VALUE!</v>
      </c>
      <c r="IQ74" t="e">
        <f>AND(Data!J74,"AAAAAD535/o=")</f>
        <v>#VALUE!</v>
      </c>
      <c r="IR74" t="e">
        <f>AND(Data!K74,"AAAAAD535/s=")</f>
        <v>#VALUE!</v>
      </c>
      <c r="IS74" t="e">
        <f>AND(Data!L74,"AAAAAD535/w=")</f>
        <v>#VALUE!</v>
      </c>
      <c r="IT74" t="e">
        <f>AND(Data!M74,"AAAAAD535/0=")</f>
        <v>#VALUE!</v>
      </c>
      <c r="IU74" t="e">
        <f>AND(Data!N74,"AAAAAD535/4=")</f>
        <v>#VALUE!</v>
      </c>
      <c r="IV74" t="e">
        <f>AND(Data!O74,"AAAAAD535/8=")</f>
        <v>#VALUE!</v>
      </c>
    </row>
    <row r="75" spans="1:256" x14ac:dyDescent="0.2">
      <c r="A75" t="e">
        <f>AND(Data!P74,"AAAAAGvd/wA=")</f>
        <v>#VALUE!</v>
      </c>
      <c r="B75" t="e">
        <f>AND(Data!Q74,"AAAAAGvd/wE=")</f>
        <v>#VALUE!</v>
      </c>
      <c r="C75" t="e">
        <f>AND(Data!R74,"AAAAAGvd/wI=")</f>
        <v>#VALUE!</v>
      </c>
      <c r="D75" t="e">
        <f>AND(Data!S74,"AAAAAGvd/wM=")</f>
        <v>#VALUE!</v>
      </c>
      <c r="E75" t="e">
        <f>AND(Data!T74,"AAAAAGvd/wQ=")</f>
        <v>#VALUE!</v>
      </c>
      <c r="F75" t="e">
        <f>AND(Data!U74,"AAAAAGvd/wU=")</f>
        <v>#VALUE!</v>
      </c>
      <c r="G75" t="e">
        <f>AND(Data!V74,"AAAAAGvd/wY=")</f>
        <v>#VALUE!</v>
      </c>
      <c r="H75" t="e">
        <f>AND(Data!W74,"AAAAAGvd/wc=")</f>
        <v>#VALUE!</v>
      </c>
      <c r="I75" t="e">
        <f>AND(Data!X74,"AAAAAGvd/wg=")</f>
        <v>#VALUE!</v>
      </c>
      <c r="J75" t="str">
        <f>IF(Data!75:75,"AAAAAGvd/wk=",0)</f>
        <v>AAAAAGvd/wk=</v>
      </c>
      <c r="K75" t="e">
        <f>AND(Data!A75,"AAAAAGvd/wo=")</f>
        <v>#VALUE!</v>
      </c>
      <c r="L75" t="e">
        <f>AND(Data!B75,"AAAAAGvd/ws=")</f>
        <v>#VALUE!</v>
      </c>
      <c r="M75" t="e">
        <f>AND(Data!C75,"AAAAAGvd/ww=")</f>
        <v>#VALUE!</v>
      </c>
      <c r="N75" t="e">
        <f>AND(Data!D75,"AAAAAGvd/w0=")</f>
        <v>#VALUE!</v>
      </c>
      <c r="O75" t="e">
        <f>AND(Data!E75,"AAAAAGvd/w4=")</f>
        <v>#VALUE!</v>
      </c>
      <c r="P75" t="e">
        <f>AND(Data!F75,"AAAAAGvd/w8=")</f>
        <v>#VALUE!</v>
      </c>
      <c r="Q75" t="e">
        <f>AND(Data!G75,"AAAAAGvd/xA=")</f>
        <v>#VALUE!</v>
      </c>
      <c r="R75" t="e">
        <f>AND(Data!H75,"AAAAAGvd/xE=")</f>
        <v>#VALUE!</v>
      </c>
      <c r="S75" t="e">
        <f>AND(Data!I75,"AAAAAGvd/xI=")</f>
        <v>#VALUE!</v>
      </c>
      <c r="T75" t="e">
        <f>AND(Data!J75,"AAAAAGvd/xM=")</f>
        <v>#VALUE!</v>
      </c>
      <c r="U75" t="e">
        <f>AND(Data!K75,"AAAAAGvd/xQ=")</f>
        <v>#VALUE!</v>
      </c>
      <c r="V75" t="e">
        <f>AND(Data!L75,"AAAAAGvd/xU=")</f>
        <v>#VALUE!</v>
      </c>
      <c r="W75" t="e">
        <f>AND(Data!M75,"AAAAAGvd/xY=")</f>
        <v>#VALUE!</v>
      </c>
      <c r="X75" t="e">
        <f>AND(Data!N75,"AAAAAGvd/xc=")</f>
        <v>#VALUE!</v>
      </c>
      <c r="Y75" t="e">
        <f>AND(Data!O75,"AAAAAGvd/xg=")</f>
        <v>#VALUE!</v>
      </c>
      <c r="Z75" t="e">
        <f>AND(Data!P75,"AAAAAGvd/xk=")</f>
        <v>#VALUE!</v>
      </c>
      <c r="AA75" t="e">
        <f>AND(Data!Q75,"AAAAAGvd/xo=")</f>
        <v>#VALUE!</v>
      </c>
      <c r="AB75" t="e">
        <f>AND(Data!R75,"AAAAAGvd/xs=")</f>
        <v>#VALUE!</v>
      </c>
      <c r="AC75" t="e">
        <f>AND(Data!S75,"AAAAAGvd/xw=")</f>
        <v>#VALUE!</v>
      </c>
      <c r="AD75" t="e">
        <f>AND(Data!T75,"AAAAAGvd/x0=")</f>
        <v>#VALUE!</v>
      </c>
      <c r="AE75" t="e">
        <f>AND(Data!U75,"AAAAAGvd/x4=")</f>
        <v>#VALUE!</v>
      </c>
      <c r="AF75" t="e">
        <f>AND(Data!V75,"AAAAAGvd/x8=")</f>
        <v>#VALUE!</v>
      </c>
      <c r="AG75" t="e">
        <f>AND(Data!W75,"AAAAAGvd/yA=")</f>
        <v>#VALUE!</v>
      </c>
      <c r="AH75" t="e">
        <f>AND(Data!X75,"AAAAAGvd/yE=")</f>
        <v>#VALUE!</v>
      </c>
      <c r="AI75">
        <f>IF(Data!76:76,"AAAAAGvd/yI=",0)</f>
        <v>0</v>
      </c>
      <c r="AJ75" t="e">
        <f>AND(Data!A76,"AAAAAGvd/yM=")</f>
        <v>#VALUE!</v>
      </c>
      <c r="AK75" t="e">
        <f>AND(Data!B76,"AAAAAGvd/yQ=")</f>
        <v>#VALUE!</v>
      </c>
      <c r="AL75" t="e">
        <f>AND(Data!C76,"AAAAAGvd/yU=")</f>
        <v>#VALUE!</v>
      </c>
      <c r="AM75" t="e">
        <f>AND(Data!D76,"AAAAAGvd/yY=")</f>
        <v>#VALUE!</v>
      </c>
      <c r="AN75" t="e">
        <f>AND(Data!E76,"AAAAAGvd/yc=")</f>
        <v>#VALUE!</v>
      </c>
      <c r="AO75" t="e">
        <f>AND(Data!F76,"AAAAAGvd/yg=")</f>
        <v>#VALUE!</v>
      </c>
      <c r="AP75" t="e">
        <f>AND(Data!G76,"AAAAAGvd/yk=")</f>
        <v>#VALUE!</v>
      </c>
      <c r="AQ75" t="e">
        <f>AND(Data!H76,"AAAAAGvd/yo=")</f>
        <v>#VALUE!</v>
      </c>
      <c r="AR75" t="e">
        <f>AND(Data!I76,"AAAAAGvd/ys=")</f>
        <v>#VALUE!</v>
      </c>
      <c r="AS75" t="e">
        <f>AND(Data!J76,"AAAAAGvd/yw=")</f>
        <v>#VALUE!</v>
      </c>
      <c r="AT75" t="e">
        <f>AND(Data!K76,"AAAAAGvd/y0=")</f>
        <v>#VALUE!</v>
      </c>
      <c r="AU75" t="e">
        <f>AND(Data!L76,"AAAAAGvd/y4=")</f>
        <v>#VALUE!</v>
      </c>
      <c r="AV75" t="e">
        <f>AND(Data!M76,"AAAAAGvd/y8=")</f>
        <v>#VALUE!</v>
      </c>
      <c r="AW75" t="e">
        <f>AND(Data!N76,"AAAAAGvd/zA=")</f>
        <v>#VALUE!</v>
      </c>
      <c r="AX75" t="e">
        <f>AND(Data!O76,"AAAAAGvd/zE=")</f>
        <v>#VALUE!</v>
      </c>
      <c r="AY75" t="e">
        <f>AND(Data!P76,"AAAAAGvd/zI=")</f>
        <v>#VALUE!</v>
      </c>
      <c r="AZ75" t="e">
        <f>AND(Data!Q76,"AAAAAGvd/zM=")</f>
        <v>#VALUE!</v>
      </c>
      <c r="BA75" t="e">
        <f>AND(Data!R76,"AAAAAGvd/zQ=")</f>
        <v>#VALUE!</v>
      </c>
      <c r="BB75" t="e">
        <f>AND(Data!S76,"AAAAAGvd/zU=")</f>
        <v>#VALUE!</v>
      </c>
      <c r="BC75" t="e">
        <f>AND(Data!T76,"AAAAAGvd/zY=")</f>
        <v>#VALUE!</v>
      </c>
      <c r="BD75" t="e">
        <f>AND(Data!U76,"AAAAAGvd/zc=")</f>
        <v>#VALUE!</v>
      </c>
      <c r="BE75" t="e">
        <f>AND(Data!V76,"AAAAAGvd/zg=")</f>
        <v>#VALUE!</v>
      </c>
      <c r="BF75" t="e">
        <f>AND(Data!W76,"AAAAAGvd/zk=")</f>
        <v>#VALUE!</v>
      </c>
      <c r="BG75" t="e">
        <f>AND(Data!X76,"AAAAAGvd/zo=")</f>
        <v>#VALUE!</v>
      </c>
      <c r="BH75">
        <f>IF(Data!77:77,"AAAAAGvd/zs=",0)</f>
        <v>0</v>
      </c>
      <c r="BI75" t="e">
        <f>AND(Data!A77,"AAAAAGvd/zw=")</f>
        <v>#VALUE!</v>
      </c>
      <c r="BJ75" t="e">
        <f>AND(Data!B77,"AAAAAGvd/z0=")</f>
        <v>#VALUE!</v>
      </c>
      <c r="BK75" t="e">
        <f>AND(Data!C77,"AAAAAGvd/z4=")</f>
        <v>#VALUE!</v>
      </c>
      <c r="BL75" t="e">
        <f>AND(Data!D77,"AAAAAGvd/z8=")</f>
        <v>#VALUE!</v>
      </c>
      <c r="BM75" t="e">
        <f>AND(Data!E77,"AAAAAGvd/0A=")</f>
        <v>#VALUE!</v>
      </c>
      <c r="BN75" t="e">
        <f>AND(Data!F77,"AAAAAGvd/0E=")</f>
        <v>#VALUE!</v>
      </c>
      <c r="BO75" t="e">
        <f>AND(Data!G77,"AAAAAGvd/0I=")</f>
        <v>#VALUE!</v>
      </c>
      <c r="BP75" t="e">
        <f>AND(Data!H77,"AAAAAGvd/0M=")</f>
        <v>#VALUE!</v>
      </c>
      <c r="BQ75" t="e">
        <f>AND(Data!I77,"AAAAAGvd/0Q=")</f>
        <v>#VALUE!</v>
      </c>
      <c r="BR75" t="e">
        <f>AND(Data!J77,"AAAAAGvd/0U=")</f>
        <v>#VALUE!</v>
      </c>
      <c r="BS75" t="e">
        <f>AND(Data!K77,"AAAAAGvd/0Y=")</f>
        <v>#VALUE!</v>
      </c>
      <c r="BT75" t="e">
        <f>AND(Data!L77,"AAAAAGvd/0c=")</f>
        <v>#VALUE!</v>
      </c>
      <c r="BU75" t="e">
        <f>AND(Data!M77,"AAAAAGvd/0g=")</f>
        <v>#VALUE!</v>
      </c>
      <c r="BV75" t="e">
        <f>AND(Data!N77,"AAAAAGvd/0k=")</f>
        <v>#VALUE!</v>
      </c>
      <c r="BW75" t="e">
        <f>AND(Data!O77,"AAAAAGvd/0o=")</f>
        <v>#VALUE!</v>
      </c>
      <c r="BX75" t="e">
        <f>AND(Data!P77,"AAAAAGvd/0s=")</f>
        <v>#VALUE!</v>
      </c>
      <c r="BY75" t="e">
        <f>AND(Data!Q77,"AAAAAGvd/0w=")</f>
        <v>#VALUE!</v>
      </c>
      <c r="BZ75" t="e">
        <f>AND(Data!R77,"AAAAAGvd/00=")</f>
        <v>#VALUE!</v>
      </c>
      <c r="CA75" t="e">
        <f>AND(Data!S77,"AAAAAGvd/04=")</f>
        <v>#VALUE!</v>
      </c>
      <c r="CB75" t="e">
        <f>AND(Data!T77,"AAAAAGvd/08=")</f>
        <v>#VALUE!</v>
      </c>
      <c r="CC75" t="e">
        <f>AND(Data!U77,"AAAAAGvd/1A=")</f>
        <v>#VALUE!</v>
      </c>
      <c r="CD75" t="e">
        <f>AND(Data!V77,"AAAAAGvd/1E=")</f>
        <v>#VALUE!</v>
      </c>
      <c r="CE75" t="e">
        <f>AND(Data!W77,"AAAAAGvd/1I=")</f>
        <v>#VALUE!</v>
      </c>
      <c r="CF75" t="e">
        <f>AND(Data!X77,"AAAAAGvd/1M=")</f>
        <v>#VALUE!</v>
      </c>
      <c r="CG75">
        <f>IF(Data!78:78,"AAAAAGvd/1Q=",0)</f>
        <v>0</v>
      </c>
      <c r="CH75" t="e">
        <f>AND(Data!A78,"AAAAAGvd/1U=")</f>
        <v>#VALUE!</v>
      </c>
      <c r="CI75" t="e">
        <f>AND(Data!B78,"AAAAAGvd/1Y=")</f>
        <v>#VALUE!</v>
      </c>
      <c r="CJ75" t="e">
        <f>AND(Data!C78,"AAAAAGvd/1c=")</f>
        <v>#VALUE!</v>
      </c>
      <c r="CK75" t="e">
        <f>AND(Data!D78,"AAAAAGvd/1g=")</f>
        <v>#VALUE!</v>
      </c>
      <c r="CL75" t="e">
        <f>AND(Data!E78,"AAAAAGvd/1k=")</f>
        <v>#VALUE!</v>
      </c>
      <c r="CM75" t="e">
        <f>AND(Data!F78,"AAAAAGvd/1o=")</f>
        <v>#VALUE!</v>
      </c>
      <c r="CN75" t="e">
        <f>AND(Data!G78,"AAAAAGvd/1s=")</f>
        <v>#VALUE!</v>
      </c>
      <c r="CO75" t="e">
        <f>AND(Data!H78,"AAAAAGvd/1w=")</f>
        <v>#VALUE!</v>
      </c>
      <c r="CP75" t="e">
        <f>AND(Data!I78,"AAAAAGvd/10=")</f>
        <v>#VALUE!</v>
      </c>
      <c r="CQ75" t="e">
        <f>AND(Data!J78,"AAAAAGvd/14=")</f>
        <v>#VALUE!</v>
      </c>
      <c r="CR75" t="e">
        <f>AND(Data!K78,"AAAAAGvd/18=")</f>
        <v>#VALUE!</v>
      </c>
      <c r="CS75" t="e">
        <f>AND(Data!L78,"AAAAAGvd/2A=")</f>
        <v>#VALUE!</v>
      </c>
      <c r="CT75" t="e">
        <f>AND(Data!M78,"AAAAAGvd/2E=")</f>
        <v>#VALUE!</v>
      </c>
      <c r="CU75" t="e">
        <f>AND(Data!N78,"AAAAAGvd/2I=")</f>
        <v>#VALUE!</v>
      </c>
      <c r="CV75" t="e">
        <f>AND(Data!O78,"AAAAAGvd/2M=")</f>
        <v>#VALUE!</v>
      </c>
      <c r="CW75" t="e">
        <f>AND(Data!P78,"AAAAAGvd/2Q=")</f>
        <v>#VALUE!</v>
      </c>
      <c r="CX75" t="e">
        <f>AND(Data!Q78,"AAAAAGvd/2U=")</f>
        <v>#VALUE!</v>
      </c>
      <c r="CY75" t="e">
        <f>AND(Data!R78,"AAAAAGvd/2Y=")</f>
        <v>#VALUE!</v>
      </c>
      <c r="CZ75" t="e">
        <f>AND(Data!S78,"AAAAAGvd/2c=")</f>
        <v>#VALUE!</v>
      </c>
      <c r="DA75" t="e">
        <f>AND(Data!T78,"AAAAAGvd/2g=")</f>
        <v>#VALUE!</v>
      </c>
      <c r="DB75" t="e">
        <f>AND(Data!U78,"AAAAAGvd/2k=")</f>
        <v>#VALUE!</v>
      </c>
      <c r="DC75" t="e">
        <f>AND(Data!V78,"AAAAAGvd/2o=")</f>
        <v>#VALUE!</v>
      </c>
      <c r="DD75" t="e">
        <f>AND(Data!W78,"AAAAAGvd/2s=")</f>
        <v>#VALUE!</v>
      </c>
      <c r="DE75" t="e">
        <f>AND(Data!X78,"AAAAAGvd/2w=")</f>
        <v>#VALUE!</v>
      </c>
      <c r="DF75">
        <f>IF(Data!79:79,"AAAAAGvd/20=",0)</f>
        <v>0</v>
      </c>
      <c r="DG75" t="e">
        <f>AND(Data!A79,"AAAAAGvd/24=")</f>
        <v>#VALUE!</v>
      </c>
      <c r="DH75" t="e">
        <f>AND(Data!B79,"AAAAAGvd/28=")</f>
        <v>#VALUE!</v>
      </c>
      <c r="DI75" t="e">
        <f>AND(Data!C79,"AAAAAGvd/3A=")</f>
        <v>#VALUE!</v>
      </c>
      <c r="DJ75" t="e">
        <f>AND(Data!D79,"AAAAAGvd/3E=")</f>
        <v>#VALUE!</v>
      </c>
      <c r="DK75" t="e">
        <f>AND(Data!E79,"AAAAAGvd/3I=")</f>
        <v>#VALUE!</v>
      </c>
      <c r="DL75" t="e">
        <f>AND(Data!F79,"AAAAAGvd/3M=")</f>
        <v>#VALUE!</v>
      </c>
      <c r="DM75" t="e">
        <f>AND(Data!G79,"AAAAAGvd/3Q=")</f>
        <v>#VALUE!</v>
      </c>
      <c r="DN75" t="e">
        <f>AND(Data!H79,"AAAAAGvd/3U=")</f>
        <v>#VALUE!</v>
      </c>
      <c r="DO75" t="e">
        <f>AND(Data!I79,"AAAAAGvd/3Y=")</f>
        <v>#VALUE!</v>
      </c>
      <c r="DP75" t="e">
        <f>AND(Data!J79,"AAAAAGvd/3c=")</f>
        <v>#VALUE!</v>
      </c>
      <c r="DQ75" t="e">
        <f>AND(Data!K79,"AAAAAGvd/3g=")</f>
        <v>#VALUE!</v>
      </c>
      <c r="DR75" t="e">
        <f>AND(Data!L79,"AAAAAGvd/3k=")</f>
        <v>#VALUE!</v>
      </c>
      <c r="DS75" t="e">
        <f>AND(Data!M79,"AAAAAGvd/3o=")</f>
        <v>#VALUE!</v>
      </c>
      <c r="DT75" t="e">
        <f>AND(Data!N79,"AAAAAGvd/3s=")</f>
        <v>#VALUE!</v>
      </c>
      <c r="DU75" t="e">
        <f>AND(Data!O79,"AAAAAGvd/3w=")</f>
        <v>#VALUE!</v>
      </c>
      <c r="DV75" t="e">
        <f>AND(Data!P79,"AAAAAGvd/30=")</f>
        <v>#VALUE!</v>
      </c>
      <c r="DW75" t="e">
        <f>AND(Data!Q79,"AAAAAGvd/34=")</f>
        <v>#VALUE!</v>
      </c>
      <c r="DX75" t="e">
        <f>AND(Data!R79,"AAAAAGvd/38=")</f>
        <v>#VALUE!</v>
      </c>
      <c r="DY75" t="e">
        <f>AND(Data!S79,"AAAAAGvd/4A=")</f>
        <v>#VALUE!</v>
      </c>
      <c r="DZ75" t="e">
        <f>AND(Data!T79,"AAAAAGvd/4E=")</f>
        <v>#VALUE!</v>
      </c>
      <c r="EA75" t="e">
        <f>AND(Data!U79,"AAAAAGvd/4I=")</f>
        <v>#VALUE!</v>
      </c>
      <c r="EB75" t="e">
        <f>AND(Data!V79,"AAAAAGvd/4M=")</f>
        <v>#VALUE!</v>
      </c>
      <c r="EC75" t="e">
        <f>AND(Data!W79,"AAAAAGvd/4Q=")</f>
        <v>#VALUE!</v>
      </c>
      <c r="ED75" t="e">
        <f>AND(Data!X79,"AAAAAGvd/4U=")</f>
        <v>#VALUE!</v>
      </c>
      <c r="EE75">
        <f>IF(Data!80:80,"AAAAAGvd/4Y=",0)</f>
        <v>0</v>
      </c>
      <c r="EF75" t="e">
        <f>AND(Data!A80,"AAAAAGvd/4c=")</f>
        <v>#VALUE!</v>
      </c>
      <c r="EG75" t="e">
        <f>AND(Data!B80,"AAAAAGvd/4g=")</f>
        <v>#VALUE!</v>
      </c>
      <c r="EH75" t="e">
        <f>AND(Data!C80,"AAAAAGvd/4k=")</f>
        <v>#VALUE!</v>
      </c>
      <c r="EI75" t="e">
        <f>AND(Data!D80,"AAAAAGvd/4o=")</f>
        <v>#VALUE!</v>
      </c>
      <c r="EJ75" t="e">
        <f>AND(Data!E80,"AAAAAGvd/4s=")</f>
        <v>#VALUE!</v>
      </c>
      <c r="EK75" t="e">
        <f>AND(Data!F80,"AAAAAGvd/4w=")</f>
        <v>#VALUE!</v>
      </c>
      <c r="EL75" t="e">
        <f>AND(Data!G80,"AAAAAGvd/40=")</f>
        <v>#VALUE!</v>
      </c>
      <c r="EM75" t="e">
        <f>AND(Data!H80,"AAAAAGvd/44=")</f>
        <v>#VALUE!</v>
      </c>
      <c r="EN75" t="e">
        <f>AND(Data!I80,"AAAAAGvd/48=")</f>
        <v>#VALUE!</v>
      </c>
      <c r="EO75" t="e">
        <f>AND(Data!J80,"AAAAAGvd/5A=")</f>
        <v>#VALUE!</v>
      </c>
      <c r="EP75" t="e">
        <f>AND(Data!K80,"AAAAAGvd/5E=")</f>
        <v>#VALUE!</v>
      </c>
      <c r="EQ75" t="e">
        <f>AND(Data!L80,"AAAAAGvd/5I=")</f>
        <v>#VALUE!</v>
      </c>
      <c r="ER75" t="e">
        <f>AND(Data!M80,"AAAAAGvd/5M=")</f>
        <v>#VALUE!</v>
      </c>
      <c r="ES75" t="e">
        <f>AND(Data!N80,"AAAAAGvd/5Q=")</f>
        <v>#VALUE!</v>
      </c>
      <c r="ET75" t="e">
        <f>AND(Data!O80,"AAAAAGvd/5U=")</f>
        <v>#VALUE!</v>
      </c>
      <c r="EU75" t="e">
        <f>AND(Data!P80,"AAAAAGvd/5Y=")</f>
        <v>#VALUE!</v>
      </c>
      <c r="EV75" t="e">
        <f>AND(Data!Q80,"AAAAAGvd/5c=")</f>
        <v>#VALUE!</v>
      </c>
      <c r="EW75" t="e">
        <f>AND(Data!R80,"AAAAAGvd/5g=")</f>
        <v>#VALUE!</v>
      </c>
      <c r="EX75" t="e">
        <f>AND(Data!S80,"AAAAAGvd/5k=")</f>
        <v>#VALUE!</v>
      </c>
      <c r="EY75" t="e">
        <f>AND(Data!T80,"AAAAAGvd/5o=")</f>
        <v>#VALUE!</v>
      </c>
      <c r="EZ75" t="e">
        <f>AND(Data!U80,"AAAAAGvd/5s=")</f>
        <v>#VALUE!</v>
      </c>
      <c r="FA75" t="e">
        <f>AND(Data!V80,"AAAAAGvd/5w=")</f>
        <v>#VALUE!</v>
      </c>
      <c r="FB75" t="e">
        <f>AND(Data!W80,"AAAAAGvd/50=")</f>
        <v>#VALUE!</v>
      </c>
      <c r="FC75" t="e">
        <f>AND(Data!X80,"AAAAAGvd/54=")</f>
        <v>#VALUE!</v>
      </c>
      <c r="FD75">
        <f>IF(Data!81:81,"AAAAAGvd/58=",0)</f>
        <v>0</v>
      </c>
      <c r="FE75" t="e">
        <f>AND(Data!A81,"AAAAAGvd/6A=")</f>
        <v>#VALUE!</v>
      </c>
      <c r="FF75" t="e">
        <f>AND(Data!B81,"AAAAAGvd/6E=")</f>
        <v>#VALUE!</v>
      </c>
      <c r="FG75" t="e">
        <f>AND(Data!C81,"AAAAAGvd/6I=")</f>
        <v>#VALUE!</v>
      </c>
      <c r="FH75" t="e">
        <f>AND(Data!D81,"AAAAAGvd/6M=")</f>
        <v>#VALUE!</v>
      </c>
      <c r="FI75" t="e">
        <f>AND(Data!E81,"AAAAAGvd/6Q=")</f>
        <v>#VALUE!</v>
      </c>
      <c r="FJ75" t="e">
        <f>AND(Data!F81,"AAAAAGvd/6U=")</f>
        <v>#VALUE!</v>
      </c>
      <c r="FK75" t="e">
        <f>AND(Data!G81,"AAAAAGvd/6Y=")</f>
        <v>#VALUE!</v>
      </c>
      <c r="FL75" t="e">
        <f>AND(Data!H81,"AAAAAGvd/6c=")</f>
        <v>#VALUE!</v>
      </c>
      <c r="FM75" t="e">
        <f>AND(Data!I81,"AAAAAGvd/6g=")</f>
        <v>#VALUE!</v>
      </c>
      <c r="FN75" t="e">
        <f>AND(Data!J81,"AAAAAGvd/6k=")</f>
        <v>#VALUE!</v>
      </c>
      <c r="FO75" t="e">
        <f>AND(Data!K81,"AAAAAGvd/6o=")</f>
        <v>#VALUE!</v>
      </c>
      <c r="FP75" t="e">
        <f>AND(Data!L81,"AAAAAGvd/6s=")</f>
        <v>#VALUE!</v>
      </c>
      <c r="FQ75" t="e">
        <f>AND(Data!M81,"AAAAAGvd/6w=")</f>
        <v>#VALUE!</v>
      </c>
      <c r="FR75" t="e">
        <f>AND(Data!N81,"AAAAAGvd/60=")</f>
        <v>#VALUE!</v>
      </c>
      <c r="FS75" t="e">
        <f>AND(Data!O81,"AAAAAGvd/64=")</f>
        <v>#VALUE!</v>
      </c>
      <c r="FT75" t="e">
        <f>AND(Data!P81,"AAAAAGvd/68=")</f>
        <v>#VALUE!</v>
      </c>
      <c r="FU75" t="e">
        <f>AND(Data!Q81,"AAAAAGvd/7A=")</f>
        <v>#VALUE!</v>
      </c>
      <c r="FV75" t="e">
        <f>AND(Data!R81,"AAAAAGvd/7E=")</f>
        <v>#VALUE!</v>
      </c>
      <c r="FW75" t="e">
        <f>AND(Data!S81,"AAAAAGvd/7I=")</f>
        <v>#VALUE!</v>
      </c>
      <c r="FX75" t="e">
        <f>AND(Data!T81,"AAAAAGvd/7M=")</f>
        <v>#VALUE!</v>
      </c>
      <c r="FY75" t="e">
        <f>AND(Data!U81,"AAAAAGvd/7Q=")</f>
        <v>#VALUE!</v>
      </c>
      <c r="FZ75" t="e">
        <f>AND(Data!V81,"AAAAAGvd/7U=")</f>
        <v>#VALUE!</v>
      </c>
      <c r="GA75" t="e">
        <f>AND(Data!W81,"AAAAAGvd/7Y=")</f>
        <v>#VALUE!</v>
      </c>
      <c r="GB75" t="e">
        <f>AND(Data!X81,"AAAAAGvd/7c=")</f>
        <v>#VALUE!</v>
      </c>
      <c r="GC75">
        <f>IF(Data!82:82,"AAAAAGvd/7g=",0)</f>
        <v>0</v>
      </c>
      <c r="GD75" t="e">
        <f>AND(Data!A82,"AAAAAGvd/7k=")</f>
        <v>#VALUE!</v>
      </c>
      <c r="GE75" t="e">
        <f>AND(Data!B82,"AAAAAGvd/7o=")</f>
        <v>#VALUE!</v>
      </c>
      <c r="GF75" t="e">
        <f>AND(Data!C82,"AAAAAGvd/7s=")</f>
        <v>#VALUE!</v>
      </c>
      <c r="GG75" t="e">
        <f>AND(Data!D82,"AAAAAGvd/7w=")</f>
        <v>#VALUE!</v>
      </c>
      <c r="GH75" t="e">
        <f>AND(Data!E82,"AAAAAGvd/70=")</f>
        <v>#VALUE!</v>
      </c>
      <c r="GI75" t="e">
        <f>AND(Data!F82,"AAAAAGvd/74=")</f>
        <v>#VALUE!</v>
      </c>
      <c r="GJ75" t="e">
        <f>AND(Data!G82,"AAAAAGvd/78=")</f>
        <v>#VALUE!</v>
      </c>
      <c r="GK75" t="e">
        <f>AND(Data!H82,"AAAAAGvd/8A=")</f>
        <v>#VALUE!</v>
      </c>
      <c r="GL75" t="e">
        <f>AND(Data!I82,"AAAAAGvd/8E=")</f>
        <v>#VALUE!</v>
      </c>
      <c r="GM75" t="e">
        <f>AND(Data!J82,"AAAAAGvd/8I=")</f>
        <v>#VALUE!</v>
      </c>
      <c r="GN75" t="e">
        <f>AND(Data!K82,"AAAAAGvd/8M=")</f>
        <v>#VALUE!</v>
      </c>
      <c r="GO75" t="e">
        <f>AND(Data!L82,"AAAAAGvd/8Q=")</f>
        <v>#VALUE!</v>
      </c>
      <c r="GP75" t="e">
        <f>AND(Data!M82,"AAAAAGvd/8U=")</f>
        <v>#VALUE!</v>
      </c>
      <c r="GQ75" t="e">
        <f>AND(Data!N82,"AAAAAGvd/8Y=")</f>
        <v>#VALUE!</v>
      </c>
      <c r="GR75" t="e">
        <f>AND(Data!O82,"AAAAAGvd/8c=")</f>
        <v>#VALUE!</v>
      </c>
      <c r="GS75" t="e">
        <f>AND(Data!P82,"AAAAAGvd/8g=")</f>
        <v>#VALUE!</v>
      </c>
      <c r="GT75" t="e">
        <f>AND(Data!Q82,"AAAAAGvd/8k=")</f>
        <v>#VALUE!</v>
      </c>
      <c r="GU75" t="e">
        <f>AND(Data!R82,"AAAAAGvd/8o=")</f>
        <v>#VALUE!</v>
      </c>
      <c r="GV75" t="e">
        <f>AND(Data!S82,"AAAAAGvd/8s=")</f>
        <v>#VALUE!</v>
      </c>
      <c r="GW75" t="e">
        <f>AND(Data!T82,"AAAAAGvd/8w=")</f>
        <v>#VALUE!</v>
      </c>
      <c r="GX75" t="e">
        <f>AND(Data!U82,"AAAAAGvd/80=")</f>
        <v>#VALUE!</v>
      </c>
      <c r="GY75" t="e">
        <f>AND(Data!V82,"AAAAAGvd/84=")</f>
        <v>#VALUE!</v>
      </c>
      <c r="GZ75" t="e">
        <f>AND(Data!W82,"AAAAAGvd/88=")</f>
        <v>#VALUE!</v>
      </c>
      <c r="HA75" t="e">
        <f>AND(Data!X82,"AAAAAGvd/9A=")</f>
        <v>#VALUE!</v>
      </c>
      <c r="HB75">
        <f>IF(Data!83:83,"AAAAAGvd/9E=",0)</f>
        <v>0</v>
      </c>
      <c r="HC75" t="e">
        <f>AND(Data!A83,"AAAAAGvd/9I=")</f>
        <v>#VALUE!</v>
      </c>
      <c r="HD75" t="e">
        <f>AND(Data!B83,"AAAAAGvd/9M=")</f>
        <v>#VALUE!</v>
      </c>
      <c r="HE75" t="e">
        <f>AND(Data!C83,"AAAAAGvd/9Q=")</f>
        <v>#VALUE!</v>
      </c>
      <c r="HF75" t="e">
        <f>AND(Data!D83,"AAAAAGvd/9U=")</f>
        <v>#VALUE!</v>
      </c>
      <c r="HG75" t="e">
        <f>AND(Data!E83,"AAAAAGvd/9Y=")</f>
        <v>#VALUE!</v>
      </c>
      <c r="HH75" t="e">
        <f>AND(Data!F83,"AAAAAGvd/9c=")</f>
        <v>#VALUE!</v>
      </c>
      <c r="HI75" t="e">
        <f>AND(Data!G83,"AAAAAGvd/9g=")</f>
        <v>#VALUE!</v>
      </c>
      <c r="HJ75" t="e">
        <f>AND(Data!H83,"AAAAAGvd/9k=")</f>
        <v>#VALUE!</v>
      </c>
      <c r="HK75" t="e">
        <f>AND(Data!I83,"AAAAAGvd/9o=")</f>
        <v>#VALUE!</v>
      </c>
      <c r="HL75" t="e">
        <f>AND(Data!J83,"AAAAAGvd/9s=")</f>
        <v>#VALUE!</v>
      </c>
      <c r="HM75" t="e">
        <f>AND(Data!K83,"AAAAAGvd/9w=")</f>
        <v>#VALUE!</v>
      </c>
      <c r="HN75" t="e">
        <f>AND(Data!L83,"AAAAAGvd/90=")</f>
        <v>#VALUE!</v>
      </c>
      <c r="HO75" t="e">
        <f>AND(Data!M83,"AAAAAGvd/94=")</f>
        <v>#VALUE!</v>
      </c>
      <c r="HP75" t="e">
        <f>AND(Data!N83,"AAAAAGvd/98=")</f>
        <v>#VALUE!</v>
      </c>
      <c r="HQ75" t="e">
        <f>AND(Data!O83,"AAAAAGvd/+A=")</f>
        <v>#VALUE!</v>
      </c>
      <c r="HR75" t="e">
        <f>AND(Data!P83,"AAAAAGvd/+E=")</f>
        <v>#VALUE!</v>
      </c>
      <c r="HS75" t="e">
        <f>AND(Data!Q83,"AAAAAGvd/+I=")</f>
        <v>#VALUE!</v>
      </c>
      <c r="HT75" t="e">
        <f>AND(Data!R83,"AAAAAGvd/+M=")</f>
        <v>#VALUE!</v>
      </c>
      <c r="HU75" t="e">
        <f>AND(Data!S83,"AAAAAGvd/+Q=")</f>
        <v>#VALUE!</v>
      </c>
      <c r="HV75" t="e">
        <f>AND(Data!T83,"AAAAAGvd/+U=")</f>
        <v>#VALUE!</v>
      </c>
      <c r="HW75" t="e">
        <f>AND(Data!U83,"AAAAAGvd/+Y=")</f>
        <v>#VALUE!</v>
      </c>
      <c r="HX75" t="e">
        <f>AND(Data!V83,"AAAAAGvd/+c=")</f>
        <v>#VALUE!</v>
      </c>
      <c r="HY75" t="e">
        <f>AND(Data!W83,"AAAAAGvd/+g=")</f>
        <v>#VALUE!</v>
      </c>
      <c r="HZ75" t="e">
        <f>AND(Data!X83,"AAAAAGvd/+k=")</f>
        <v>#VALUE!</v>
      </c>
      <c r="IA75">
        <f>IF(Data!84:84,"AAAAAGvd/+o=",0)</f>
        <v>0</v>
      </c>
      <c r="IB75" t="e">
        <f>AND(Data!A84,"AAAAAGvd/+s=")</f>
        <v>#VALUE!</v>
      </c>
      <c r="IC75" t="e">
        <f>AND(Data!B84,"AAAAAGvd/+w=")</f>
        <v>#VALUE!</v>
      </c>
      <c r="ID75" t="e">
        <f>AND(Data!C84,"AAAAAGvd/+0=")</f>
        <v>#VALUE!</v>
      </c>
      <c r="IE75" t="e">
        <f>AND(Data!D84,"AAAAAGvd/+4=")</f>
        <v>#VALUE!</v>
      </c>
      <c r="IF75" t="e">
        <f>AND(Data!E84,"AAAAAGvd/+8=")</f>
        <v>#VALUE!</v>
      </c>
      <c r="IG75" t="e">
        <f>AND(Data!F84,"AAAAAGvd//A=")</f>
        <v>#VALUE!</v>
      </c>
      <c r="IH75" t="e">
        <f>AND(Data!G84,"AAAAAGvd//E=")</f>
        <v>#VALUE!</v>
      </c>
      <c r="II75" t="e">
        <f>AND(Data!H84,"AAAAAGvd//I=")</f>
        <v>#VALUE!</v>
      </c>
      <c r="IJ75" t="e">
        <f>AND(Data!I84,"AAAAAGvd//M=")</f>
        <v>#VALUE!</v>
      </c>
      <c r="IK75" t="e">
        <f>AND(Data!J84,"AAAAAGvd//Q=")</f>
        <v>#VALUE!</v>
      </c>
      <c r="IL75" t="e">
        <f>AND(Data!K84,"AAAAAGvd//U=")</f>
        <v>#VALUE!</v>
      </c>
      <c r="IM75" t="e">
        <f>AND(Data!L84,"AAAAAGvd//Y=")</f>
        <v>#VALUE!</v>
      </c>
      <c r="IN75" t="e">
        <f>AND(Data!M84,"AAAAAGvd//c=")</f>
        <v>#VALUE!</v>
      </c>
      <c r="IO75" t="e">
        <f>AND(Data!N84,"AAAAAGvd//g=")</f>
        <v>#VALUE!</v>
      </c>
      <c r="IP75" t="e">
        <f>AND(Data!O84,"AAAAAGvd//k=")</f>
        <v>#VALUE!</v>
      </c>
      <c r="IQ75" t="e">
        <f>AND(Data!P84,"AAAAAGvd//o=")</f>
        <v>#VALUE!</v>
      </c>
      <c r="IR75" t="e">
        <f>AND(Data!Q84,"AAAAAGvd//s=")</f>
        <v>#VALUE!</v>
      </c>
      <c r="IS75" t="e">
        <f>AND(Data!R84,"AAAAAGvd//w=")</f>
        <v>#VALUE!</v>
      </c>
      <c r="IT75" t="e">
        <f>AND(Data!S84,"AAAAAGvd//0=")</f>
        <v>#VALUE!</v>
      </c>
      <c r="IU75" t="e">
        <f>AND(Data!T84,"AAAAAGvd//4=")</f>
        <v>#VALUE!</v>
      </c>
      <c r="IV75" t="e">
        <f>AND(Data!U84,"AAAAAGvd//8=")</f>
        <v>#VALUE!</v>
      </c>
    </row>
    <row r="76" spans="1:256" x14ac:dyDescent="0.2">
      <c r="A76" t="e">
        <f>AND(Data!V84,"AAAAAGW7mgA=")</f>
        <v>#VALUE!</v>
      </c>
      <c r="B76" t="e">
        <f>AND(Data!W84,"AAAAAGW7mgE=")</f>
        <v>#VALUE!</v>
      </c>
      <c r="C76" t="e">
        <f>AND(Data!X84,"AAAAAGW7mgI=")</f>
        <v>#VALUE!</v>
      </c>
      <c r="D76" t="str">
        <f>IF(Data!85:85,"AAAAAGW7mgM=",0)</f>
        <v>AAAAAGW7mgM=</v>
      </c>
      <c r="E76" t="e">
        <f>AND(Data!A85,"AAAAAGW7mgQ=")</f>
        <v>#VALUE!</v>
      </c>
      <c r="F76" t="e">
        <f>AND(Data!B85,"AAAAAGW7mgU=")</f>
        <v>#VALUE!</v>
      </c>
      <c r="G76" t="e">
        <f>AND(Data!C85,"AAAAAGW7mgY=")</f>
        <v>#VALUE!</v>
      </c>
      <c r="H76" t="e">
        <f>AND(Data!D85,"AAAAAGW7mgc=")</f>
        <v>#VALUE!</v>
      </c>
      <c r="I76" t="e">
        <f>AND(Data!E85,"AAAAAGW7mgg=")</f>
        <v>#VALUE!</v>
      </c>
      <c r="J76" t="e">
        <f>AND(Data!F85,"AAAAAGW7mgk=")</f>
        <v>#VALUE!</v>
      </c>
      <c r="K76" t="e">
        <f>AND(Data!G85,"AAAAAGW7mgo=")</f>
        <v>#VALUE!</v>
      </c>
      <c r="L76" t="e">
        <f>AND(Data!H85,"AAAAAGW7mgs=")</f>
        <v>#VALUE!</v>
      </c>
      <c r="M76" t="e">
        <f>AND(Data!I85,"AAAAAGW7mgw=")</f>
        <v>#VALUE!</v>
      </c>
      <c r="N76" t="e">
        <f>AND(Data!J85,"AAAAAGW7mg0=")</f>
        <v>#VALUE!</v>
      </c>
      <c r="O76" t="e">
        <f>AND(Data!K85,"AAAAAGW7mg4=")</f>
        <v>#VALUE!</v>
      </c>
      <c r="P76" t="e">
        <f>AND(Data!L85,"AAAAAGW7mg8=")</f>
        <v>#VALUE!</v>
      </c>
      <c r="Q76" t="e">
        <f>AND(Data!M85,"AAAAAGW7mhA=")</f>
        <v>#VALUE!</v>
      </c>
      <c r="R76" t="e">
        <f>AND(Data!N85,"AAAAAGW7mhE=")</f>
        <v>#VALUE!</v>
      </c>
      <c r="S76" t="e">
        <f>AND(Data!O85,"AAAAAGW7mhI=")</f>
        <v>#VALUE!</v>
      </c>
      <c r="T76" t="e">
        <f>AND(Data!P85,"AAAAAGW7mhM=")</f>
        <v>#VALUE!</v>
      </c>
      <c r="U76" t="e">
        <f>AND(Data!Q85,"AAAAAGW7mhQ=")</f>
        <v>#VALUE!</v>
      </c>
      <c r="V76" t="e">
        <f>AND(Data!R85,"AAAAAGW7mhU=")</f>
        <v>#VALUE!</v>
      </c>
      <c r="W76" t="e">
        <f>AND(Data!S85,"AAAAAGW7mhY=")</f>
        <v>#VALUE!</v>
      </c>
      <c r="X76" t="e">
        <f>AND(Data!T85,"AAAAAGW7mhc=")</f>
        <v>#VALUE!</v>
      </c>
      <c r="Y76" t="e">
        <f>AND(Data!U85,"AAAAAGW7mhg=")</f>
        <v>#VALUE!</v>
      </c>
      <c r="Z76" t="e">
        <f>AND(Data!V85,"AAAAAGW7mhk=")</f>
        <v>#VALUE!</v>
      </c>
      <c r="AA76" t="e">
        <f>AND(Data!W85,"AAAAAGW7mho=")</f>
        <v>#VALUE!</v>
      </c>
      <c r="AB76" t="e">
        <f>AND(Data!X85,"AAAAAGW7mhs=")</f>
        <v>#VALUE!</v>
      </c>
      <c r="AC76">
        <f>IF(Data!86:86,"AAAAAGW7mhw=",0)</f>
        <v>0</v>
      </c>
      <c r="AD76" t="e">
        <f>AND(Data!A86,"AAAAAGW7mh0=")</f>
        <v>#VALUE!</v>
      </c>
      <c r="AE76" t="e">
        <f>AND(Data!B86,"AAAAAGW7mh4=")</f>
        <v>#VALUE!</v>
      </c>
      <c r="AF76" t="e">
        <f>AND(Data!C86,"AAAAAGW7mh8=")</f>
        <v>#VALUE!</v>
      </c>
      <c r="AG76" t="e">
        <f>AND(Data!D86,"AAAAAGW7miA=")</f>
        <v>#VALUE!</v>
      </c>
      <c r="AH76" t="e">
        <f>AND(Data!E86,"AAAAAGW7miE=")</f>
        <v>#VALUE!</v>
      </c>
      <c r="AI76" t="e">
        <f>AND(Data!F86,"AAAAAGW7miI=")</f>
        <v>#VALUE!</v>
      </c>
      <c r="AJ76" t="e">
        <f>AND(Data!G86,"AAAAAGW7miM=")</f>
        <v>#VALUE!</v>
      </c>
      <c r="AK76" t="e">
        <f>AND(Data!H86,"AAAAAGW7miQ=")</f>
        <v>#VALUE!</v>
      </c>
      <c r="AL76" t="e">
        <f>AND(Data!I86,"AAAAAGW7miU=")</f>
        <v>#VALUE!</v>
      </c>
      <c r="AM76" t="e">
        <f>AND(Data!J86,"AAAAAGW7miY=")</f>
        <v>#VALUE!</v>
      </c>
      <c r="AN76" t="e">
        <f>AND(Data!K86,"AAAAAGW7mic=")</f>
        <v>#VALUE!</v>
      </c>
      <c r="AO76" t="e">
        <f>AND(Data!L86,"AAAAAGW7mig=")</f>
        <v>#VALUE!</v>
      </c>
      <c r="AP76" t="e">
        <f>AND(Data!M86,"AAAAAGW7mik=")</f>
        <v>#VALUE!</v>
      </c>
      <c r="AQ76" t="e">
        <f>AND(Data!N86,"AAAAAGW7mio=")</f>
        <v>#VALUE!</v>
      </c>
      <c r="AR76" t="e">
        <f>AND(Data!O86,"AAAAAGW7mis=")</f>
        <v>#VALUE!</v>
      </c>
      <c r="AS76" t="e">
        <f>AND(Data!P86,"AAAAAGW7miw=")</f>
        <v>#VALUE!</v>
      </c>
      <c r="AT76" t="e">
        <f>AND(Data!Q86,"AAAAAGW7mi0=")</f>
        <v>#VALUE!</v>
      </c>
      <c r="AU76" t="e">
        <f>AND(Data!R86,"AAAAAGW7mi4=")</f>
        <v>#VALUE!</v>
      </c>
      <c r="AV76" t="e">
        <f>AND(Data!S86,"AAAAAGW7mi8=")</f>
        <v>#VALUE!</v>
      </c>
      <c r="AW76" t="e">
        <f>AND(Data!T86,"AAAAAGW7mjA=")</f>
        <v>#VALUE!</v>
      </c>
      <c r="AX76" t="e">
        <f>AND(Data!U86,"AAAAAGW7mjE=")</f>
        <v>#VALUE!</v>
      </c>
      <c r="AY76" t="e">
        <f>AND(Data!V86,"AAAAAGW7mjI=")</f>
        <v>#VALUE!</v>
      </c>
      <c r="AZ76" t="e">
        <f>AND(Data!W86,"AAAAAGW7mjM=")</f>
        <v>#VALUE!</v>
      </c>
      <c r="BA76" t="e">
        <f>AND(Data!X86,"AAAAAGW7mjQ=")</f>
        <v>#VALUE!</v>
      </c>
      <c r="BB76">
        <f>IF(Data!87:87,"AAAAAGW7mjU=",0)</f>
        <v>0</v>
      </c>
      <c r="BC76" t="e">
        <f>AND(Data!A87,"AAAAAGW7mjY=")</f>
        <v>#VALUE!</v>
      </c>
      <c r="BD76" t="e">
        <f>AND(Data!B87,"AAAAAGW7mjc=")</f>
        <v>#VALUE!</v>
      </c>
      <c r="BE76" t="e">
        <f>AND(Data!C87,"AAAAAGW7mjg=")</f>
        <v>#VALUE!</v>
      </c>
      <c r="BF76" t="e">
        <f>AND(Data!D87,"AAAAAGW7mjk=")</f>
        <v>#VALUE!</v>
      </c>
      <c r="BG76" t="e">
        <f>AND(Data!E87,"AAAAAGW7mjo=")</f>
        <v>#VALUE!</v>
      </c>
      <c r="BH76" t="e">
        <f>AND(Data!F87,"AAAAAGW7mjs=")</f>
        <v>#VALUE!</v>
      </c>
      <c r="BI76" t="e">
        <f>AND(Data!G87,"AAAAAGW7mjw=")</f>
        <v>#VALUE!</v>
      </c>
      <c r="BJ76" t="e">
        <f>AND(Data!H87,"AAAAAGW7mj0=")</f>
        <v>#VALUE!</v>
      </c>
      <c r="BK76" t="e">
        <f>AND(Data!I87,"AAAAAGW7mj4=")</f>
        <v>#VALUE!</v>
      </c>
      <c r="BL76" t="e">
        <f>AND(Data!J87,"AAAAAGW7mj8=")</f>
        <v>#VALUE!</v>
      </c>
      <c r="BM76" t="e">
        <f>AND(Data!K87,"AAAAAGW7mkA=")</f>
        <v>#VALUE!</v>
      </c>
      <c r="BN76" t="e">
        <f>AND(Data!L87,"AAAAAGW7mkE=")</f>
        <v>#VALUE!</v>
      </c>
      <c r="BO76" t="e">
        <f>AND(Data!M87,"AAAAAGW7mkI=")</f>
        <v>#VALUE!</v>
      </c>
      <c r="BP76" t="e">
        <f>AND(Data!N87,"AAAAAGW7mkM=")</f>
        <v>#VALUE!</v>
      </c>
      <c r="BQ76" t="e">
        <f>AND(Data!O87,"AAAAAGW7mkQ=")</f>
        <v>#VALUE!</v>
      </c>
      <c r="BR76" t="e">
        <f>AND(Data!P87,"AAAAAGW7mkU=")</f>
        <v>#VALUE!</v>
      </c>
      <c r="BS76" t="e">
        <f>AND(Data!Q87,"AAAAAGW7mkY=")</f>
        <v>#VALUE!</v>
      </c>
      <c r="BT76" t="e">
        <f>AND(Data!R87,"AAAAAGW7mkc=")</f>
        <v>#VALUE!</v>
      </c>
      <c r="BU76" t="e">
        <f>AND(Data!S87,"AAAAAGW7mkg=")</f>
        <v>#VALUE!</v>
      </c>
      <c r="BV76" t="e">
        <f>AND(Data!T87,"AAAAAGW7mkk=")</f>
        <v>#VALUE!</v>
      </c>
      <c r="BW76" t="e">
        <f>AND(Data!U87,"AAAAAGW7mko=")</f>
        <v>#VALUE!</v>
      </c>
      <c r="BX76" t="e">
        <f>AND(Data!V87,"AAAAAGW7mks=")</f>
        <v>#VALUE!</v>
      </c>
      <c r="BY76" t="e">
        <f>AND(Data!W87,"AAAAAGW7mkw=")</f>
        <v>#VALUE!</v>
      </c>
      <c r="BZ76" t="e">
        <f>AND(Data!X87,"AAAAAGW7mk0=")</f>
        <v>#VALUE!</v>
      </c>
      <c r="CA76">
        <f>IF(Data!88:88,"AAAAAGW7mk4=",0)</f>
        <v>0</v>
      </c>
      <c r="CB76" t="e">
        <f>AND(Data!A88,"AAAAAGW7mk8=")</f>
        <v>#VALUE!</v>
      </c>
      <c r="CC76" t="e">
        <f>AND(Data!B88,"AAAAAGW7mlA=")</f>
        <v>#VALUE!</v>
      </c>
      <c r="CD76" t="e">
        <f>AND(Data!C88,"AAAAAGW7mlE=")</f>
        <v>#VALUE!</v>
      </c>
      <c r="CE76" t="e">
        <f>AND(Data!D88,"AAAAAGW7mlI=")</f>
        <v>#VALUE!</v>
      </c>
      <c r="CF76" t="e">
        <f>AND(Data!E88,"AAAAAGW7mlM=")</f>
        <v>#VALUE!</v>
      </c>
      <c r="CG76" t="e">
        <f>AND(Data!F88,"AAAAAGW7mlQ=")</f>
        <v>#VALUE!</v>
      </c>
      <c r="CH76" t="e">
        <f>AND(Data!G88,"AAAAAGW7mlU=")</f>
        <v>#VALUE!</v>
      </c>
      <c r="CI76" t="e">
        <f>AND(Data!H88,"AAAAAGW7mlY=")</f>
        <v>#VALUE!</v>
      </c>
      <c r="CJ76" t="e">
        <f>AND(Data!I88,"AAAAAGW7mlc=")</f>
        <v>#VALUE!</v>
      </c>
      <c r="CK76" t="e">
        <f>AND(Data!J88,"AAAAAGW7mlg=")</f>
        <v>#VALUE!</v>
      </c>
      <c r="CL76" t="e">
        <f>AND(Data!K88,"AAAAAGW7mlk=")</f>
        <v>#VALUE!</v>
      </c>
      <c r="CM76" t="e">
        <f>AND(Data!L88,"AAAAAGW7mlo=")</f>
        <v>#VALUE!</v>
      </c>
      <c r="CN76" t="e">
        <f>AND(Data!M88,"AAAAAGW7mls=")</f>
        <v>#VALUE!</v>
      </c>
      <c r="CO76" t="e">
        <f>AND(Data!N88,"AAAAAGW7mlw=")</f>
        <v>#VALUE!</v>
      </c>
      <c r="CP76" t="e">
        <f>AND(Data!O88,"AAAAAGW7ml0=")</f>
        <v>#VALUE!</v>
      </c>
      <c r="CQ76" t="e">
        <f>AND(Data!P88,"AAAAAGW7ml4=")</f>
        <v>#VALUE!</v>
      </c>
      <c r="CR76" t="e">
        <f>AND(Data!Q88,"AAAAAGW7ml8=")</f>
        <v>#VALUE!</v>
      </c>
      <c r="CS76" t="e">
        <f>AND(Data!R88,"AAAAAGW7mmA=")</f>
        <v>#VALUE!</v>
      </c>
      <c r="CT76" t="e">
        <f>AND(Data!S88,"AAAAAGW7mmE=")</f>
        <v>#VALUE!</v>
      </c>
      <c r="CU76" t="e">
        <f>AND(Data!T88,"AAAAAGW7mmI=")</f>
        <v>#VALUE!</v>
      </c>
      <c r="CV76" t="e">
        <f>AND(Data!U88,"AAAAAGW7mmM=")</f>
        <v>#VALUE!</v>
      </c>
      <c r="CW76" t="e">
        <f>AND(Data!V88,"AAAAAGW7mmQ=")</f>
        <v>#VALUE!</v>
      </c>
      <c r="CX76" t="e">
        <f>AND(Data!W88,"AAAAAGW7mmU=")</f>
        <v>#VALUE!</v>
      </c>
      <c r="CY76" t="e">
        <f>AND(Data!X88,"AAAAAGW7mmY=")</f>
        <v>#VALUE!</v>
      </c>
      <c r="CZ76">
        <f>IF(Data!89:89,"AAAAAGW7mmc=",0)</f>
        <v>0</v>
      </c>
      <c r="DA76" t="e">
        <f>AND(Data!A89,"AAAAAGW7mmg=")</f>
        <v>#VALUE!</v>
      </c>
      <c r="DB76" t="e">
        <f>AND(Data!B89,"AAAAAGW7mmk=")</f>
        <v>#VALUE!</v>
      </c>
      <c r="DC76" t="e">
        <f>AND(Data!C89,"AAAAAGW7mmo=")</f>
        <v>#VALUE!</v>
      </c>
      <c r="DD76" t="e">
        <f>AND(Data!D89,"AAAAAGW7mms=")</f>
        <v>#VALUE!</v>
      </c>
      <c r="DE76" t="e">
        <f>AND(Data!E89,"AAAAAGW7mmw=")</f>
        <v>#VALUE!</v>
      </c>
      <c r="DF76" t="e">
        <f>AND(Data!F89,"AAAAAGW7mm0=")</f>
        <v>#VALUE!</v>
      </c>
      <c r="DG76" t="e">
        <f>AND(Data!G89,"AAAAAGW7mm4=")</f>
        <v>#VALUE!</v>
      </c>
      <c r="DH76" t="e">
        <f>AND(Data!H89,"AAAAAGW7mm8=")</f>
        <v>#VALUE!</v>
      </c>
      <c r="DI76" t="e">
        <f>AND(Data!I89,"AAAAAGW7mnA=")</f>
        <v>#VALUE!</v>
      </c>
      <c r="DJ76" t="e">
        <f>AND(Data!J89,"AAAAAGW7mnE=")</f>
        <v>#VALUE!</v>
      </c>
      <c r="DK76" t="e">
        <f>AND(Data!K89,"AAAAAGW7mnI=")</f>
        <v>#VALUE!</v>
      </c>
      <c r="DL76" t="e">
        <f>AND(Data!L89,"AAAAAGW7mnM=")</f>
        <v>#VALUE!</v>
      </c>
      <c r="DM76" t="e">
        <f>AND(Data!M89,"AAAAAGW7mnQ=")</f>
        <v>#VALUE!</v>
      </c>
      <c r="DN76" t="e">
        <f>AND(Data!N89,"AAAAAGW7mnU=")</f>
        <v>#VALUE!</v>
      </c>
      <c r="DO76" t="e">
        <f>AND(Data!O89,"AAAAAGW7mnY=")</f>
        <v>#VALUE!</v>
      </c>
      <c r="DP76" t="e">
        <f>AND(Data!P89,"AAAAAGW7mnc=")</f>
        <v>#VALUE!</v>
      </c>
      <c r="DQ76" t="e">
        <f>AND(Data!Q89,"AAAAAGW7mng=")</f>
        <v>#VALUE!</v>
      </c>
      <c r="DR76" t="e">
        <f>AND(Data!R89,"AAAAAGW7mnk=")</f>
        <v>#VALUE!</v>
      </c>
      <c r="DS76" t="e">
        <f>AND(Data!S89,"AAAAAGW7mno=")</f>
        <v>#VALUE!</v>
      </c>
      <c r="DT76" t="e">
        <f>AND(Data!T89,"AAAAAGW7mns=")</f>
        <v>#VALUE!</v>
      </c>
      <c r="DU76" t="e">
        <f>AND(Data!U89,"AAAAAGW7mnw=")</f>
        <v>#VALUE!</v>
      </c>
      <c r="DV76" t="e">
        <f>AND(Data!V89,"AAAAAGW7mn0=")</f>
        <v>#VALUE!</v>
      </c>
      <c r="DW76" t="e">
        <f>AND(Data!W89,"AAAAAGW7mn4=")</f>
        <v>#VALUE!</v>
      </c>
      <c r="DX76" t="e">
        <f>AND(Data!X89,"AAAAAGW7mn8=")</f>
        <v>#VALUE!</v>
      </c>
      <c r="DY76">
        <f>IF(Data!90:90,"AAAAAGW7moA=",0)</f>
        <v>0</v>
      </c>
      <c r="DZ76" t="e">
        <f>AND(Data!A90,"AAAAAGW7moE=")</f>
        <v>#VALUE!</v>
      </c>
      <c r="EA76" t="e">
        <f>AND(Data!B90,"AAAAAGW7moI=")</f>
        <v>#VALUE!</v>
      </c>
      <c r="EB76" t="e">
        <f>AND(Data!C90,"AAAAAGW7moM=")</f>
        <v>#VALUE!</v>
      </c>
      <c r="EC76" t="e">
        <f>AND(Data!D90,"AAAAAGW7moQ=")</f>
        <v>#VALUE!</v>
      </c>
      <c r="ED76" t="e">
        <f>AND(Data!E90,"AAAAAGW7moU=")</f>
        <v>#VALUE!</v>
      </c>
      <c r="EE76" t="e">
        <f>AND(Data!F90,"AAAAAGW7moY=")</f>
        <v>#VALUE!</v>
      </c>
      <c r="EF76" t="e">
        <f>AND(Data!G90,"AAAAAGW7moc=")</f>
        <v>#VALUE!</v>
      </c>
      <c r="EG76" t="e">
        <f>AND(Data!H90,"AAAAAGW7mog=")</f>
        <v>#VALUE!</v>
      </c>
      <c r="EH76" t="e">
        <f>AND(Data!I90,"AAAAAGW7mok=")</f>
        <v>#VALUE!</v>
      </c>
      <c r="EI76" t="e">
        <f>AND(Data!J90,"AAAAAGW7moo=")</f>
        <v>#VALUE!</v>
      </c>
      <c r="EJ76" t="e">
        <f>AND(Data!K90,"AAAAAGW7mos=")</f>
        <v>#VALUE!</v>
      </c>
      <c r="EK76" t="e">
        <f>AND(Data!L90,"AAAAAGW7mow=")</f>
        <v>#VALUE!</v>
      </c>
      <c r="EL76" t="e">
        <f>AND(Data!M90,"AAAAAGW7mo0=")</f>
        <v>#VALUE!</v>
      </c>
      <c r="EM76" t="e">
        <f>AND(Data!N90,"AAAAAGW7mo4=")</f>
        <v>#VALUE!</v>
      </c>
      <c r="EN76" t="e">
        <f>AND(Data!O90,"AAAAAGW7mo8=")</f>
        <v>#VALUE!</v>
      </c>
      <c r="EO76" t="e">
        <f>AND(Data!P90,"AAAAAGW7mpA=")</f>
        <v>#VALUE!</v>
      </c>
      <c r="EP76" t="e">
        <f>AND(Data!Q90,"AAAAAGW7mpE=")</f>
        <v>#VALUE!</v>
      </c>
      <c r="EQ76" t="e">
        <f>AND(Data!R90,"AAAAAGW7mpI=")</f>
        <v>#VALUE!</v>
      </c>
      <c r="ER76" t="e">
        <f>AND(Data!S90,"AAAAAGW7mpM=")</f>
        <v>#VALUE!</v>
      </c>
      <c r="ES76" t="e">
        <f>AND(Data!T90,"AAAAAGW7mpQ=")</f>
        <v>#VALUE!</v>
      </c>
      <c r="ET76" t="e">
        <f>AND(Data!U90,"AAAAAGW7mpU=")</f>
        <v>#VALUE!</v>
      </c>
      <c r="EU76" t="e">
        <f>AND(Data!V90,"AAAAAGW7mpY=")</f>
        <v>#VALUE!</v>
      </c>
      <c r="EV76" t="e">
        <f>AND(Data!W90,"AAAAAGW7mpc=")</f>
        <v>#VALUE!</v>
      </c>
      <c r="EW76" t="e">
        <f>AND(Data!X90,"AAAAAGW7mpg=")</f>
        <v>#VALUE!</v>
      </c>
      <c r="EX76">
        <f>IF(Data!91:91,"AAAAAGW7mpk=",0)</f>
        <v>0</v>
      </c>
      <c r="EY76" t="e">
        <f>AND(Data!A91,"AAAAAGW7mpo=")</f>
        <v>#VALUE!</v>
      </c>
      <c r="EZ76" t="e">
        <f>AND(Data!B91,"AAAAAGW7mps=")</f>
        <v>#VALUE!</v>
      </c>
      <c r="FA76" t="e">
        <f>AND(Data!C91,"AAAAAGW7mpw=")</f>
        <v>#VALUE!</v>
      </c>
      <c r="FB76" t="e">
        <f>AND(Data!D91,"AAAAAGW7mp0=")</f>
        <v>#VALUE!</v>
      </c>
      <c r="FC76" t="e">
        <f>AND(Data!E91,"AAAAAGW7mp4=")</f>
        <v>#VALUE!</v>
      </c>
      <c r="FD76" t="e">
        <f>AND(Data!F91,"AAAAAGW7mp8=")</f>
        <v>#VALUE!</v>
      </c>
      <c r="FE76" t="e">
        <f>AND(Data!G91,"AAAAAGW7mqA=")</f>
        <v>#VALUE!</v>
      </c>
      <c r="FF76" t="e">
        <f>AND(Data!H91,"AAAAAGW7mqE=")</f>
        <v>#VALUE!</v>
      </c>
      <c r="FG76" t="e">
        <f>AND(Data!I91,"AAAAAGW7mqI=")</f>
        <v>#VALUE!</v>
      </c>
      <c r="FH76" t="e">
        <f>AND(Data!J91,"AAAAAGW7mqM=")</f>
        <v>#VALUE!</v>
      </c>
      <c r="FI76" t="e">
        <f>AND(Data!K91,"AAAAAGW7mqQ=")</f>
        <v>#VALUE!</v>
      </c>
      <c r="FJ76" t="e">
        <f>AND(Data!L91,"AAAAAGW7mqU=")</f>
        <v>#VALUE!</v>
      </c>
      <c r="FK76" t="e">
        <f>AND(Data!M91,"AAAAAGW7mqY=")</f>
        <v>#VALUE!</v>
      </c>
      <c r="FL76" t="e">
        <f>AND(Data!N91,"AAAAAGW7mqc=")</f>
        <v>#VALUE!</v>
      </c>
      <c r="FM76" t="e">
        <f>AND(Data!O91,"AAAAAGW7mqg=")</f>
        <v>#VALUE!</v>
      </c>
      <c r="FN76" t="e">
        <f>AND(Data!P91,"AAAAAGW7mqk=")</f>
        <v>#VALUE!</v>
      </c>
      <c r="FO76" t="e">
        <f>AND(Data!Q91,"AAAAAGW7mqo=")</f>
        <v>#VALUE!</v>
      </c>
      <c r="FP76" t="e">
        <f>AND(Data!R91,"AAAAAGW7mqs=")</f>
        <v>#VALUE!</v>
      </c>
      <c r="FQ76" t="e">
        <f>AND(Data!S91,"AAAAAGW7mqw=")</f>
        <v>#VALUE!</v>
      </c>
      <c r="FR76" t="e">
        <f>AND(Data!T91,"AAAAAGW7mq0=")</f>
        <v>#VALUE!</v>
      </c>
      <c r="FS76" t="e">
        <f>AND(Data!U91,"AAAAAGW7mq4=")</f>
        <v>#VALUE!</v>
      </c>
      <c r="FT76" t="e">
        <f>AND(Data!V91,"AAAAAGW7mq8=")</f>
        <v>#VALUE!</v>
      </c>
      <c r="FU76" t="e">
        <f>AND(Data!W91,"AAAAAGW7mrA=")</f>
        <v>#VALUE!</v>
      </c>
      <c r="FV76" t="e">
        <f>AND(Data!X91,"AAAAAGW7mrE=")</f>
        <v>#VALUE!</v>
      </c>
      <c r="FW76">
        <f>IF(Data!92:92,"AAAAAGW7mrI=",0)</f>
        <v>0</v>
      </c>
      <c r="FX76" t="e">
        <f>AND(Data!A92,"AAAAAGW7mrM=")</f>
        <v>#VALUE!</v>
      </c>
      <c r="FY76" t="e">
        <f>AND(Data!B92,"AAAAAGW7mrQ=")</f>
        <v>#VALUE!</v>
      </c>
      <c r="FZ76" t="e">
        <f>AND(Data!C92,"AAAAAGW7mrU=")</f>
        <v>#VALUE!</v>
      </c>
      <c r="GA76" t="e">
        <f>AND(Data!D92,"AAAAAGW7mrY=")</f>
        <v>#VALUE!</v>
      </c>
      <c r="GB76" t="e">
        <f>AND(Data!E92,"AAAAAGW7mrc=")</f>
        <v>#VALUE!</v>
      </c>
      <c r="GC76" t="e">
        <f>AND(Data!F92,"AAAAAGW7mrg=")</f>
        <v>#VALUE!</v>
      </c>
      <c r="GD76" t="e">
        <f>AND(Data!G92,"AAAAAGW7mrk=")</f>
        <v>#VALUE!</v>
      </c>
      <c r="GE76" t="e">
        <f>AND(Data!H92,"AAAAAGW7mro=")</f>
        <v>#VALUE!</v>
      </c>
      <c r="GF76" t="e">
        <f>AND(Data!I92,"AAAAAGW7mrs=")</f>
        <v>#VALUE!</v>
      </c>
      <c r="GG76" t="e">
        <f>AND(Data!J92,"AAAAAGW7mrw=")</f>
        <v>#VALUE!</v>
      </c>
      <c r="GH76" t="e">
        <f>AND(Data!K92,"AAAAAGW7mr0=")</f>
        <v>#VALUE!</v>
      </c>
      <c r="GI76" t="e">
        <f>AND(Data!L92,"AAAAAGW7mr4=")</f>
        <v>#VALUE!</v>
      </c>
      <c r="GJ76" t="e">
        <f>AND(Data!M92,"AAAAAGW7mr8=")</f>
        <v>#VALUE!</v>
      </c>
      <c r="GK76" t="e">
        <f>AND(Data!N92,"AAAAAGW7msA=")</f>
        <v>#VALUE!</v>
      </c>
      <c r="GL76" t="e">
        <f>AND(Data!O92,"AAAAAGW7msE=")</f>
        <v>#VALUE!</v>
      </c>
      <c r="GM76" t="e">
        <f>AND(Data!P92,"AAAAAGW7msI=")</f>
        <v>#VALUE!</v>
      </c>
      <c r="GN76" t="e">
        <f>AND(Data!Q92,"AAAAAGW7msM=")</f>
        <v>#VALUE!</v>
      </c>
      <c r="GO76" t="e">
        <f>AND(Data!R92,"AAAAAGW7msQ=")</f>
        <v>#VALUE!</v>
      </c>
      <c r="GP76" t="e">
        <f>AND(Data!S92,"AAAAAGW7msU=")</f>
        <v>#VALUE!</v>
      </c>
      <c r="GQ76" t="e">
        <f>AND(Data!T92,"AAAAAGW7msY=")</f>
        <v>#VALUE!</v>
      </c>
      <c r="GR76" t="e">
        <f>AND(Data!U92,"AAAAAGW7msc=")</f>
        <v>#VALUE!</v>
      </c>
      <c r="GS76" t="e">
        <f>AND(Data!V92,"AAAAAGW7msg=")</f>
        <v>#VALUE!</v>
      </c>
      <c r="GT76" t="e">
        <f>AND(Data!W92,"AAAAAGW7msk=")</f>
        <v>#VALUE!</v>
      </c>
      <c r="GU76" t="e">
        <f>AND(Data!X92,"AAAAAGW7mso=")</f>
        <v>#VALUE!</v>
      </c>
      <c r="GV76">
        <f>IF(Data!93:93,"AAAAAGW7mss=",0)</f>
        <v>0</v>
      </c>
      <c r="GW76" t="e">
        <f>AND(Data!A93,"AAAAAGW7msw=")</f>
        <v>#VALUE!</v>
      </c>
      <c r="GX76" t="e">
        <f>AND(Data!B93,"AAAAAGW7ms0=")</f>
        <v>#VALUE!</v>
      </c>
      <c r="GY76" t="e">
        <f>AND(Data!C93,"AAAAAGW7ms4=")</f>
        <v>#VALUE!</v>
      </c>
      <c r="GZ76" t="e">
        <f>AND(Data!D93,"AAAAAGW7ms8=")</f>
        <v>#VALUE!</v>
      </c>
      <c r="HA76" t="e">
        <f>AND(Data!E93,"AAAAAGW7mtA=")</f>
        <v>#VALUE!</v>
      </c>
      <c r="HB76" t="e">
        <f>AND(Data!F93,"AAAAAGW7mtE=")</f>
        <v>#VALUE!</v>
      </c>
      <c r="HC76" t="e">
        <f>AND(Data!G93,"AAAAAGW7mtI=")</f>
        <v>#VALUE!</v>
      </c>
      <c r="HD76" t="e">
        <f>AND(Data!H93,"AAAAAGW7mtM=")</f>
        <v>#VALUE!</v>
      </c>
      <c r="HE76" t="e">
        <f>AND(Data!I93,"AAAAAGW7mtQ=")</f>
        <v>#VALUE!</v>
      </c>
      <c r="HF76" t="e">
        <f>AND(Data!J93,"AAAAAGW7mtU=")</f>
        <v>#VALUE!</v>
      </c>
      <c r="HG76" t="e">
        <f>AND(Data!K93,"AAAAAGW7mtY=")</f>
        <v>#VALUE!</v>
      </c>
      <c r="HH76" t="e">
        <f>AND(Data!L93,"AAAAAGW7mtc=")</f>
        <v>#VALUE!</v>
      </c>
      <c r="HI76" t="e">
        <f>AND(Data!M93,"AAAAAGW7mtg=")</f>
        <v>#VALUE!</v>
      </c>
      <c r="HJ76" t="e">
        <f>AND(Data!N93,"AAAAAGW7mtk=")</f>
        <v>#VALUE!</v>
      </c>
      <c r="HK76" t="e">
        <f>AND(Data!O93,"AAAAAGW7mto=")</f>
        <v>#VALUE!</v>
      </c>
      <c r="HL76" t="e">
        <f>AND(Data!P93,"AAAAAGW7mts=")</f>
        <v>#VALUE!</v>
      </c>
      <c r="HM76" t="e">
        <f>AND(Data!Q93,"AAAAAGW7mtw=")</f>
        <v>#VALUE!</v>
      </c>
      <c r="HN76" t="e">
        <f>AND(Data!R93,"AAAAAGW7mt0=")</f>
        <v>#VALUE!</v>
      </c>
      <c r="HO76" t="e">
        <f>AND(Data!S93,"AAAAAGW7mt4=")</f>
        <v>#VALUE!</v>
      </c>
      <c r="HP76" t="e">
        <f>AND(Data!T93,"AAAAAGW7mt8=")</f>
        <v>#VALUE!</v>
      </c>
      <c r="HQ76" t="e">
        <f>AND(Data!U93,"AAAAAGW7muA=")</f>
        <v>#VALUE!</v>
      </c>
      <c r="HR76" t="e">
        <f>AND(Data!V93,"AAAAAGW7muE=")</f>
        <v>#VALUE!</v>
      </c>
      <c r="HS76" t="e">
        <f>AND(Data!W93,"AAAAAGW7muI=")</f>
        <v>#VALUE!</v>
      </c>
      <c r="HT76" t="e">
        <f>AND(Data!X93,"AAAAAGW7muM=")</f>
        <v>#VALUE!</v>
      </c>
      <c r="HU76">
        <f>IF(Data!94:94,"AAAAAGW7muQ=",0)</f>
        <v>0</v>
      </c>
      <c r="HV76" t="e">
        <f>AND(Data!A94,"AAAAAGW7muU=")</f>
        <v>#VALUE!</v>
      </c>
      <c r="HW76" t="e">
        <f>AND(Data!B94,"AAAAAGW7muY=")</f>
        <v>#VALUE!</v>
      </c>
      <c r="HX76" t="e">
        <f>AND(Data!C94,"AAAAAGW7muc=")</f>
        <v>#VALUE!</v>
      </c>
      <c r="HY76" t="e">
        <f>AND(Data!D94,"AAAAAGW7mug=")</f>
        <v>#VALUE!</v>
      </c>
      <c r="HZ76" t="e">
        <f>AND(Data!E94,"AAAAAGW7muk=")</f>
        <v>#VALUE!</v>
      </c>
      <c r="IA76" t="e">
        <f>AND(Data!F94,"AAAAAGW7muo=")</f>
        <v>#VALUE!</v>
      </c>
      <c r="IB76" t="e">
        <f>AND(Data!G94,"AAAAAGW7mus=")</f>
        <v>#VALUE!</v>
      </c>
      <c r="IC76" t="e">
        <f>AND(Data!H94,"AAAAAGW7muw=")</f>
        <v>#VALUE!</v>
      </c>
      <c r="ID76" t="e">
        <f>AND(Data!I94,"AAAAAGW7mu0=")</f>
        <v>#VALUE!</v>
      </c>
      <c r="IE76" t="e">
        <f>AND(Data!J94,"AAAAAGW7mu4=")</f>
        <v>#VALUE!</v>
      </c>
      <c r="IF76" t="e">
        <f>AND(Data!K94,"AAAAAGW7mu8=")</f>
        <v>#VALUE!</v>
      </c>
      <c r="IG76" t="e">
        <f>AND(Data!L94,"AAAAAGW7mvA=")</f>
        <v>#VALUE!</v>
      </c>
      <c r="IH76" t="e">
        <f>AND(Data!M94,"AAAAAGW7mvE=")</f>
        <v>#VALUE!</v>
      </c>
      <c r="II76" t="e">
        <f>AND(Data!N94,"AAAAAGW7mvI=")</f>
        <v>#VALUE!</v>
      </c>
      <c r="IJ76" t="e">
        <f>AND(Data!O94,"AAAAAGW7mvM=")</f>
        <v>#VALUE!</v>
      </c>
      <c r="IK76" t="e">
        <f>AND(Data!P94,"AAAAAGW7mvQ=")</f>
        <v>#VALUE!</v>
      </c>
      <c r="IL76" t="e">
        <f>AND(Data!Q94,"AAAAAGW7mvU=")</f>
        <v>#VALUE!</v>
      </c>
      <c r="IM76" t="e">
        <f>AND(Data!R94,"AAAAAGW7mvY=")</f>
        <v>#VALUE!</v>
      </c>
      <c r="IN76" t="e">
        <f>AND(Data!S94,"AAAAAGW7mvc=")</f>
        <v>#VALUE!</v>
      </c>
      <c r="IO76" t="e">
        <f>AND(Data!T94,"AAAAAGW7mvg=")</f>
        <v>#VALUE!</v>
      </c>
      <c r="IP76" t="e">
        <f>AND(Data!U94,"AAAAAGW7mvk=")</f>
        <v>#VALUE!</v>
      </c>
      <c r="IQ76" t="e">
        <f>AND(Data!V94,"AAAAAGW7mvo=")</f>
        <v>#VALUE!</v>
      </c>
      <c r="IR76" t="e">
        <f>AND(Data!W94,"AAAAAGW7mvs=")</f>
        <v>#VALUE!</v>
      </c>
      <c r="IS76" t="e">
        <f>AND(Data!X94,"AAAAAGW7mvw=")</f>
        <v>#VALUE!</v>
      </c>
      <c r="IT76">
        <f>IF(Data!95:95,"AAAAAGW7mv0=",0)</f>
        <v>0</v>
      </c>
      <c r="IU76" t="e">
        <f>AND(Data!A95,"AAAAAGW7mv4=")</f>
        <v>#VALUE!</v>
      </c>
      <c r="IV76" t="e">
        <f>AND(Data!B95,"AAAAAGW7mv8=")</f>
        <v>#VALUE!</v>
      </c>
    </row>
    <row r="77" spans="1:256" x14ac:dyDescent="0.2">
      <c r="A77" t="e">
        <f>AND(Data!C95,"AAAAAF+53wA=")</f>
        <v>#VALUE!</v>
      </c>
      <c r="B77" t="e">
        <f>AND(Data!D95,"AAAAAF+53wE=")</f>
        <v>#VALUE!</v>
      </c>
      <c r="C77" t="e">
        <f>AND(Data!E95,"AAAAAF+53wI=")</f>
        <v>#VALUE!</v>
      </c>
      <c r="D77" t="e">
        <f>AND(Data!F95,"AAAAAF+53wM=")</f>
        <v>#VALUE!</v>
      </c>
      <c r="E77" t="e">
        <f>AND(Data!G95,"AAAAAF+53wQ=")</f>
        <v>#VALUE!</v>
      </c>
      <c r="F77" t="e">
        <f>AND(Data!H95,"AAAAAF+53wU=")</f>
        <v>#VALUE!</v>
      </c>
      <c r="G77" t="e">
        <f>AND(Data!I95,"AAAAAF+53wY=")</f>
        <v>#VALUE!</v>
      </c>
      <c r="H77" t="e">
        <f>AND(Data!J95,"AAAAAF+53wc=")</f>
        <v>#VALUE!</v>
      </c>
      <c r="I77" t="e">
        <f>AND(Data!K95,"AAAAAF+53wg=")</f>
        <v>#VALUE!</v>
      </c>
      <c r="J77" t="e">
        <f>AND(Data!L95,"AAAAAF+53wk=")</f>
        <v>#VALUE!</v>
      </c>
      <c r="K77" t="e">
        <f>AND(Data!M95,"AAAAAF+53wo=")</f>
        <v>#VALUE!</v>
      </c>
      <c r="L77" t="e">
        <f>AND(Data!N95,"AAAAAF+53ws=")</f>
        <v>#VALUE!</v>
      </c>
      <c r="M77" t="e">
        <f>AND(Data!O95,"AAAAAF+53ww=")</f>
        <v>#VALUE!</v>
      </c>
      <c r="N77" t="e">
        <f>AND(Data!P95,"AAAAAF+53w0=")</f>
        <v>#VALUE!</v>
      </c>
      <c r="O77" t="e">
        <f>AND(Data!Q95,"AAAAAF+53w4=")</f>
        <v>#VALUE!</v>
      </c>
      <c r="P77" t="e">
        <f>AND(Data!R95,"AAAAAF+53w8=")</f>
        <v>#VALUE!</v>
      </c>
      <c r="Q77" t="e">
        <f>AND(Data!S95,"AAAAAF+53xA=")</f>
        <v>#VALUE!</v>
      </c>
      <c r="R77" t="e">
        <f>AND(Data!T95,"AAAAAF+53xE=")</f>
        <v>#VALUE!</v>
      </c>
      <c r="S77" t="e">
        <f>AND(Data!U95,"AAAAAF+53xI=")</f>
        <v>#VALUE!</v>
      </c>
      <c r="T77" t="e">
        <f>AND(Data!V95,"AAAAAF+53xM=")</f>
        <v>#VALUE!</v>
      </c>
      <c r="U77" t="e">
        <f>AND(Data!W95,"AAAAAF+53xQ=")</f>
        <v>#VALUE!</v>
      </c>
      <c r="V77" t="e">
        <f>AND(Data!X95,"AAAAAF+53xU=")</f>
        <v>#VALUE!</v>
      </c>
      <c r="W77">
        <f>IF(Data!96:96,"AAAAAF+53xY=",0)</f>
        <v>0</v>
      </c>
      <c r="X77" t="e">
        <f>AND(Data!A96,"AAAAAF+53xc=")</f>
        <v>#VALUE!</v>
      </c>
      <c r="Y77" t="e">
        <f>AND(Data!B96,"AAAAAF+53xg=")</f>
        <v>#VALUE!</v>
      </c>
      <c r="Z77" t="e">
        <f>AND(Data!C96,"AAAAAF+53xk=")</f>
        <v>#VALUE!</v>
      </c>
      <c r="AA77" t="e">
        <f>AND(Data!D96,"AAAAAF+53xo=")</f>
        <v>#VALUE!</v>
      </c>
      <c r="AB77" t="e">
        <f>AND(Data!E96,"AAAAAF+53xs=")</f>
        <v>#VALUE!</v>
      </c>
      <c r="AC77" t="e">
        <f>AND(Data!F96,"AAAAAF+53xw=")</f>
        <v>#VALUE!</v>
      </c>
      <c r="AD77" t="e">
        <f>AND(Data!G96,"AAAAAF+53x0=")</f>
        <v>#VALUE!</v>
      </c>
      <c r="AE77" t="e">
        <f>AND(Data!H96,"AAAAAF+53x4=")</f>
        <v>#VALUE!</v>
      </c>
      <c r="AF77" t="e">
        <f>AND(Data!I96,"AAAAAF+53x8=")</f>
        <v>#VALUE!</v>
      </c>
      <c r="AG77" t="e">
        <f>AND(Data!J96,"AAAAAF+53yA=")</f>
        <v>#VALUE!</v>
      </c>
      <c r="AH77" t="e">
        <f>AND(Data!K96,"AAAAAF+53yE=")</f>
        <v>#VALUE!</v>
      </c>
      <c r="AI77" t="e">
        <f>AND(Data!L96,"AAAAAF+53yI=")</f>
        <v>#VALUE!</v>
      </c>
      <c r="AJ77" t="e">
        <f>AND(Data!M96,"AAAAAF+53yM=")</f>
        <v>#VALUE!</v>
      </c>
      <c r="AK77" t="e">
        <f>AND(Data!N96,"AAAAAF+53yQ=")</f>
        <v>#VALUE!</v>
      </c>
      <c r="AL77" t="e">
        <f>AND(Data!O96,"AAAAAF+53yU=")</f>
        <v>#VALUE!</v>
      </c>
      <c r="AM77" t="e">
        <f>AND(Data!P96,"AAAAAF+53yY=")</f>
        <v>#VALUE!</v>
      </c>
      <c r="AN77" t="e">
        <f>AND(Data!Q96,"AAAAAF+53yc=")</f>
        <v>#VALUE!</v>
      </c>
      <c r="AO77" t="e">
        <f>AND(Data!R96,"AAAAAF+53yg=")</f>
        <v>#VALUE!</v>
      </c>
      <c r="AP77" t="e">
        <f>AND(Data!S96,"AAAAAF+53yk=")</f>
        <v>#VALUE!</v>
      </c>
      <c r="AQ77" t="e">
        <f>AND(Data!T96,"AAAAAF+53yo=")</f>
        <v>#VALUE!</v>
      </c>
      <c r="AR77" t="e">
        <f>AND(Data!U96,"AAAAAF+53ys=")</f>
        <v>#VALUE!</v>
      </c>
      <c r="AS77" t="e">
        <f>AND(Data!V96,"AAAAAF+53yw=")</f>
        <v>#VALUE!</v>
      </c>
      <c r="AT77" t="e">
        <f>AND(Data!W96,"AAAAAF+53y0=")</f>
        <v>#VALUE!</v>
      </c>
      <c r="AU77" t="e">
        <f>AND(Data!X96,"AAAAAF+53y4=")</f>
        <v>#VALUE!</v>
      </c>
      <c r="AV77">
        <f>IF(Data!97:97,"AAAAAF+53y8=",0)</f>
        <v>0</v>
      </c>
      <c r="AW77" t="e">
        <f>AND(Data!A97,"AAAAAF+53zA=")</f>
        <v>#VALUE!</v>
      </c>
      <c r="AX77" t="e">
        <f>AND(Data!B97,"AAAAAF+53zE=")</f>
        <v>#VALUE!</v>
      </c>
      <c r="AY77" t="e">
        <f>AND(Data!C97,"AAAAAF+53zI=")</f>
        <v>#VALUE!</v>
      </c>
      <c r="AZ77" t="e">
        <f>AND(Data!D97,"AAAAAF+53zM=")</f>
        <v>#VALUE!</v>
      </c>
      <c r="BA77" t="e">
        <f>AND(Data!E97,"AAAAAF+53zQ=")</f>
        <v>#VALUE!</v>
      </c>
      <c r="BB77" t="e">
        <f>AND(Data!F97,"AAAAAF+53zU=")</f>
        <v>#VALUE!</v>
      </c>
      <c r="BC77" t="e">
        <f>AND(Data!G97,"AAAAAF+53zY=")</f>
        <v>#VALUE!</v>
      </c>
      <c r="BD77" t="e">
        <f>AND(Data!H97,"AAAAAF+53zc=")</f>
        <v>#VALUE!</v>
      </c>
      <c r="BE77" t="e">
        <f>AND(Data!I97,"AAAAAF+53zg=")</f>
        <v>#VALUE!</v>
      </c>
      <c r="BF77" t="e">
        <f>AND(Data!J97,"AAAAAF+53zk=")</f>
        <v>#VALUE!</v>
      </c>
      <c r="BG77" t="e">
        <f>AND(Data!K97,"AAAAAF+53zo=")</f>
        <v>#VALUE!</v>
      </c>
      <c r="BH77" t="e">
        <f>AND(Data!L97,"AAAAAF+53zs=")</f>
        <v>#VALUE!</v>
      </c>
      <c r="BI77" t="e">
        <f>AND(Data!M97,"AAAAAF+53zw=")</f>
        <v>#VALUE!</v>
      </c>
      <c r="BJ77" t="e">
        <f>AND(Data!N97,"AAAAAF+53z0=")</f>
        <v>#VALUE!</v>
      </c>
      <c r="BK77" t="e">
        <f>AND(Data!O97,"AAAAAF+53z4=")</f>
        <v>#VALUE!</v>
      </c>
      <c r="BL77" t="e">
        <f>AND(Data!P97,"AAAAAF+53z8=")</f>
        <v>#VALUE!</v>
      </c>
      <c r="BM77" t="e">
        <f>AND(Data!Q97,"AAAAAF+530A=")</f>
        <v>#VALUE!</v>
      </c>
      <c r="BN77" t="e">
        <f>AND(Data!R97,"AAAAAF+530E=")</f>
        <v>#VALUE!</v>
      </c>
      <c r="BO77" t="e">
        <f>AND(Data!S97,"AAAAAF+530I=")</f>
        <v>#VALUE!</v>
      </c>
      <c r="BP77" t="e">
        <f>AND(Data!T97,"AAAAAF+530M=")</f>
        <v>#VALUE!</v>
      </c>
      <c r="BQ77" t="e">
        <f>AND(Data!U97,"AAAAAF+530Q=")</f>
        <v>#VALUE!</v>
      </c>
      <c r="BR77" t="e">
        <f>AND(Data!V97,"AAAAAF+530U=")</f>
        <v>#VALUE!</v>
      </c>
      <c r="BS77" t="e">
        <f>AND(Data!W97,"AAAAAF+530Y=")</f>
        <v>#VALUE!</v>
      </c>
      <c r="BT77" t="e">
        <f>AND(Data!X97,"AAAAAF+530c=")</f>
        <v>#VALUE!</v>
      </c>
      <c r="BU77">
        <f>IF(Data!98:98,"AAAAAF+530g=",0)</f>
        <v>0</v>
      </c>
      <c r="BV77" t="e">
        <f>AND(Data!A98,"AAAAAF+530k=")</f>
        <v>#VALUE!</v>
      </c>
      <c r="BW77" t="e">
        <f>AND(Data!B98,"AAAAAF+530o=")</f>
        <v>#VALUE!</v>
      </c>
      <c r="BX77" t="e">
        <f>AND(Data!C98,"AAAAAF+530s=")</f>
        <v>#VALUE!</v>
      </c>
      <c r="BY77" t="e">
        <f>AND(Data!D98,"AAAAAF+530w=")</f>
        <v>#VALUE!</v>
      </c>
      <c r="BZ77" t="e">
        <f>AND(Data!E98,"AAAAAF+5300=")</f>
        <v>#VALUE!</v>
      </c>
      <c r="CA77" t="e">
        <f>AND(Data!F98,"AAAAAF+5304=")</f>
        <v>#VALUE!</v>
      </c>
      <c r="CB77" t="e">
        <f>AND(Data!G98,"AAAAAF+5308=")</f>
        <v>#VALUE!</v>
      </c>
      <c r="CC77" t="e">
        <f>AND(Data!H98,"AAAAAF+531A=")</f>
        <v>#VALUE!</v>
      </c>
      <c r="CD77" t="e">
        <f>AND(Data!I98,"AAAAAF+531E=")</f>
        <v>#VALUE!</v>
      </c>
      <c r="CE77" t="e">
        <f>AND(Data!J98,"AAAAAF+531I=")</f>
        <v>#VALUE!</v>
      </c>
      <c r="CF77" t="e">
        <f>AND(Data!K98,"AAAAAF+531M=")</f>
        <v>#VALUE!</v>
      </c>
      <c r="CG77" t="e">
        <f>AND(Data!L98,"AAAAAF+531Q=")</f>
        <v>#VALUE!</v>
      </c>
      <c r="CH77" t="e">
        <f>AND(Data!M98,"AAAAAF+531U=")</f>
        <v>#VALUE!</v>
      </c>
      <c r="CI77" t="e">
        <f>AND(Data!N98,"AAAAAF+531Y=")</f>
        <v>#VALUE!</v>
      </c>
      <c r="CJ77" t="e">
        <f>AND(Data!O98,"AAAAAF+531c=")</f>
        <v>#VALUE!</v>
      </c>
      <c r="CK77" t="e">
        <f>AND(Data!P98,"AAAAAF+531g=")</f>
        <v>#VALUE!</v>
      </c>
      <c r="CL77" t="e">
        <f>AND(Data!Q98,"AAAAAF+531k=")</f>
        <v>#VALUE!</v>
      </c>
      <c r="CM77" t="e">
        <f>AND(Data!R98,"AAAAAF+531o=")</f>
        <v>#VALUE!</v>
      </c>
      <c r="CN77" t="e">
        <f>AND(Data!S98,"AAAAAF+531s=")</f>
        <v>#VALUE!</v>
      </c>
      <c r="CO77" t="e">
        <f>AND(Data!T98,"AAAAAF+531w=")</f>
        <v>#VALUE!</v>
      </c>
      <c r="CP77" t="e">
        <f>AND(Data!U98,"AAAAAF+5310=")</f>
        <v>#VALUE!</v>
      </c>
      <c r="CQ77" t="e">
        <f>AND(Data!V98,"AAAAAF+5314=")</f>
        <v>#VALUE!</v>
      </c>
      <c r="CR77" t="e">
        <f>AND(Data!W98,"AAAAAF+5318=")</f>
        <v>#VALUE!</v>
      </c>
      <c r="CS77" t="e">
        <f>AND(Data!X98,"AAAAAF+532A=")</f>
        <v>#VALUE!</v>
      </c>
      <c r="CT77">
        <f>IF(Data!99:99,"AAAAAF+532E=",0)</f>
        <v>0</v>
      </c>
      <c r="CU77" t="e">
        <f>AND(Data!A99,"AAAAAF+532I=")</f>
        <v>#VALUE!</v>
      </c>
      <c r="CV77" t="e">
        <f>AND(Data!B99,"AAAAAF+532M=")</f>
        <v>#VALUE!</v>
      </c>
      <c r="CW77" t="e">
        <f>AND(Data!C99,"AAAAAF+532Q=")</f>
        <v>#VALUE!</v>
      </c>
      <c r="CX77" t="e">
        <f>AND(Data!D99,"AAAAAF+532U=")</f>
        <v>#VALUE!</v>
      </c>
      <c r="CY77" t="e">
        <f>AND(Data!E99,"AAAAAF+532Y=")</f>
        <v>#VALUE!</v>
      </c>
      <c r="CZ77" t="e">
        <f>AND(Data!F99,"AAAAAF+532c=")</f>
        <v>#VALUE!</v>
      </c>
      <c r="DA77" t="e">
        <f>AND(Data!G99,"AAAAAF+532g=")</f>
        <v>#VALUE!</v>
      </c>
      <c r="DB77" t="e">
        <f>AND(Data!H99,"AAAAAF+532k=")</f>
        <v>#VALUE!</v>
      </c>
      <c r="DC77" t="e">
        <f>AND(Data!I99,"AAAAAF+532o=")</f>
        <v>#VALUE!</v>
      </c>
      <c r="DD77" t="e">
        <f>AND(Data!J99,"AAAAAF+532s=")</f>
        <v>#VALUE!</v>
      </c>
      <c r="DE77" t="e">
        <f>AND(Data!K99,"AAAAAF+532w=")</f>
        <v>#VALUE!</v>
      </c>
      <c r="DF77" t="e">
        <f>AND(Data!L99,"AAAAAF+5320=")</f>
        <v>#VALUE!</v>
      </c>
      <c r="DG77" t="e">
        <f>AND(Data!M99,"AAAAAF+5324=")</f>
        <v>#VALUE!</v>
      </c>
      <c r="DH77" t="e">
        <f>AND(Data!N99,"AAAAAF+5328=")</f>
        <v>#VALUE!</v>
      </c>
      <c r="DI77" t="e">
        <f>AND(Data!O99,"AAAAAF+533A=")</f>
        <v>#VALUE!</v>
      </c>
      <c r="DJ77" t="e">
        <f>AND(Data!P99,"AAAAAF+533E=")</f>
        <v>#VALUE!</v>
      </c>
      <c r="DK77" t="e">
        <f>AND(Data!Q99,"AAAAAF+533I=")</f>
        <v>#VALUE!</v>
      </c>
      <c r="DL77" t="e">
        <f>AND(Data!R99,"AAAAAF+533M=")</f>
        <v>#VALUE!</v>
      </c>
      <c r="DM77" t="e">
        <f>AND(Data!S99,"AAAAAF+533Q=")</f>
        <v>#VALUE!</v>
      </c>
      <c r="DN77" t="e">
        <f>AND(Data!T99,"AAAAAF+533U=")</f>
        <v>#VALUE!</v>
      </c>
      <c r="DO77" t="e">
        <f>AND(Data!U99,"AAAAAF+533Y=")</f>
        <v>#VALUE!</v>
      </c>
      <c r="DP77" t="e">
        <f>AND(Data!V99,"AAAAAF+533c=")</f>
        <v>#VALUE!</v>
      </c>
      <c r="DQ77" t="e">
        <f>AND(Data!W99,"AAAAAF+533g=")</f>
        <v>#VALUE!</v>
      </c>
      <c r="DR77" t="e">
        <f>AND(Data!X99,"AAAAAF+533k=")</f>
        <v>#VALUE!</v>
      </c>
      <c r="DS77">
        <f>IF(Data!100:100,"AAAAAF+533o=",0)</f>
        <v>0</v>
      </c>
      <c r="DT77" t="e">
        <f>AND(Data!A100,"AAAAAF+533s=")</f>
        <v>#VALUE!</v>
      </c>
      <c r="DU77" t="e">
        <f>AND(Data!B100,"AAAAAF+533w=")</f>
        <v>#VALUE!</v>
      </c>
      <c r="DV77" t="e">
        <f>AND(Data!C100,"AAAAAF+5330=")</f>
        <v>#VALUE!</v>
      </c>
      <c r="DW77" t="e">
        <f>AND(Data!D100,"AAAAAF+5334=")</f>
        <v>#VALUE!</v>
      </c>
      <c r="DX77" t="e">
        <f>AND(Data!E100,"AAAAAF+5338=")</f>
        <v>#VALUE!</v>
      </c>
      <c r="DY77" t="e">
        <f>AND(Data!F100,"AAAAAF+534A=")</f>
        <v>#VALUE!</v>
      </c>
      <c r="DZ77" t="e">
        <f>AND(Data!G100,"AAAAAF+534E=")</f>
        <v>#VALUE!</v>
      </c>
      <c r="EA77" t="e">
        <f>AND(Data!H100,"AAAAAF+534I=")</f>
        <v>#VALUE!</v>
      </c>
      <c r="EB77" t="e">
        <f>AND(Data!I100,"AAAAAF+534M=")</f>
        <v>#VALUE!</v>
      </c>
      <c r="EC77" t="e">
        <f>AND(Data!J100,"AAAAAF+534Q=")</f>
        <v>#VALUE!</v>
      </c>
      <c r="ED77" t="e">
        <f>AND(Data!K100,"AAAAAF+534U=")</f>
        <v>#VALUE!</v>
      </c>
      <c r="EE77" t="e">
        <f>AND(Data!L100,"AAAAAF+534Y=")</f>
        <v>#VALUE!</v>
      </c>
      <c r="EF77" t="e">
        <f>AND(Data!M100,"AAAAAF+534c=")</f>
        <v>#VALUE!</v>
      </c>
      <c r="EG77" t="e">
        <f>AND(Data!N100,"AAAAAF+534g=")</f>
        <v>#VALUE!</v>
      </c>
      <c r="EH77" t="e">
        <f>AND(Data!O100,"AAAAAF+534k=")</f>
        <v>#VALUE!</v>
      </c>
      <c r="EI77" t="e">
        <f>AND(Data!P100,"AAAAAF+534o=")</f>
        <v>#VALUE!</v>
      </c>
      <c r="EJ77" t="e">
        <f>AND(Data!Q100,"AAAAAF+534s=")</f>
        <v>#VALUE!</v>
      </c>
      <c r="EK77" t="e">
        <f>AND(Data!R100,"AAAAAF+534w=")</f>
        <v>#VALUE!</v>
      </c>
      <c r="EL77" t="e">
        <f>AND(Data!S100,"AAAAAF+5340=")</f>
        <v>#VALUE!</v>
      </c>
      <c r="EM77" t="e">
        <f>AND(Data!T100,"AAAAAF+5344=")</f>
        <v>#VALUE!</v>
      </c>
      <c r="EN77" t="e">
        <f>AND(Data!U100,"AAAAAF+5348=")</f>
        <v>#VALUE!</v>
      </c>
      <c r="EO77" t="e">
        <f>AND(Data!V100,"AAAAAF+535A=")</f>
        <v>#VALUE!</v>
      </c>
      <c r="EP77" t="e">
        <f>AND(Data!W100,"AAAAAF+535E=")</f>
        <v>#VALUE!</v>
      </c>
      <c r="EQ77" t="e">
        <f>AND(Data!X100,"AAAAAF+535I=")</f>
        <v>#VALUE!</v>
      </c>
      <c r="ER77">
        <f>IF(Data!101:101,"AAAAAF+535M=",0)</f>
        <v>0</v>
      </c>
      <c r="ES77" t="e">
        <f>AND(Data!A101,"AAAAAF+535Q=")</f>
        <v>#VALUE!</v>
      </c>
      <c r="ET77" t="e">
        <f>AND(Data!B101,"AAAAAF+535U=")</f>
        <v>#VALUE!</v>
      </c>
      <c r="EU77" t="e">
        <f>AND(Data!C101,"AAAAAF+535Y=")</f>
        <v>#VALUE!</v>
      </c>
      <c r="EV77" t="e">
        <f>AND(Data!D101,"AAAAAF+535c=")</f>
        <v>#VALUE!</v>
      </c>
      <c r="EW77" t="e">
        <f>AND(Data!E101,"AAAAAF+535g=")</f>
        <v>#VALUE!</v>
      </c>
      <c r="EX77" t="e">
        <f>AND(Data!F101,"AAAAAF+535k=")</f>
        <v>#VALUE!</v>
      </c>
      <c r="EY77" t="e">
        <f>AND(Data!G101,"AAAAAF+535o=")</f>
        <v>#VALUE!</v>
      </c>
      <c r="EZ77" t="e">
        <f>AND(Data!H101,"AAAAAF+535s=")</f>
        <v>#VALUE!</v>
      </c>
      <c r="FA77" t="e">
        <f>AND(Data!I101,"AAAAAF+535w=")</f>
        <v>#VALUE!</v>
      </c>
      <c r="FB77" t="e">
        <f>AND(Data!J101,"AAAAAF+5350=")</f>
        <v>#VALUE!</v>
      </c>
      <c r="FC77" t="e">
        <f>AND(Data!K101,"AAAAAF+5354=")</f>
        <v>#VALUE!</v>
      </c>
      <c r="FD77" t="e">
        <f>AND(Data!L101,"AAAAAF+5358=")</f>
        <v>#VALUE!</v>
      </c>
      <c r="FE77" t="e">
        <f>AND(Data!M101,"AAAAAF+536A=")</f>
        <v>#VALUE!</v>
      </c>
      <c r="FF77" t="e">
        <f>AND(Data!N101,"AAAAAF+536E=")</f>
        <v>#VALUE!</v>
      </c>
      <c r="FG77" t="e">
        <f>AND(Data!O101,"AAAAAF+536I=")</f>
        <v>#VALUE!</v>
      </c>
      <c r="FH77" t="e">
        <f>AND(Data!P101,"AAAAAF+536M=")</f>
        <v>#VALUE!</v>
      </c>
      <c r="FI77" t="e">
        <f>AND(Data!Q101,"AAAAAF+536Q=")</f>
        <v>#VALUE!</v>
      </c>
      <c r="FJ77" t="e">
        <f>AND(Data!R101,"AAAAAF+536U=")</f>
        <v>#VALUE!</v>
      </c>
      <c r="FK77" t="e">
        <f>AND(Data!S101,"AAAAAF+536Y=")</f>
        <v>#VALUE!</v>
      </c>
      <c r="FL77" t="e">
        <f>AND(Data!T101,"AAAAAF+536c=")</f>
        <v>#VALUE!</v>
      </c>
      <c r="FM77" t="e">
        <f>AND(Data!U101,"AAAAAF+536g=")</f>
        <v>#VALUE!</v>
      </c>
      <c r="FN77" t="e">
        <f>AND(Data!V101,"AAAAAF+536k=")</f>
        <v>#VALUE!</v>
      </c>
      <c r="FO77" t="e">
        <f>AND(Data!W101,"AAAAAF+536o=")</f>
        <v>#VALUE!</v>
      </c>
      <c r="FP77" t="e">
        <f>AND(Data!X101,"AAAAAF+536s=")</f>
        <v>#VALUE!</v>
      </c>
      <c r="FQ77">
        <f>IF(Data!102:102,"AAAAAF+536w=",0)</f>
        <v>0</v>
      </c>
      <c r="FR77" t="e">
        <f>AND(Data!A102,"AAAAAF+5360=")</f>
        <v>#VALUE!</v>
      </c>
      <c r="FS77" t="e">
        <f>AND(Data!B102,"AAAAAF+5364=")</f>
        <v>#VALUE!</v>
      </c>
      <c r="FT77" t="e">
        <f>AND(Data!C102,"AAAAAF+5368=")</f>
        <v>#VALUE!</v>
      </c>
      <c r="FU77" t="e">
        <f>AND(Data!D102,"AAAAAF+537A=")</f>
        <v>#VALUE!</v>
      </c>
      <c r="FV77" t="e">
        <f>AND(Data!E102,"AAAAAF+537E=")</f>
        <v>#VALUE!</v>
      </c>
      <c r="FW77" t="e">
        <f>AND(Data!F102,"AAAAAF+537I=")</f>
        <v>#VALUE!</v>
      </c>
      <c r="FX77" t="e">
        <f>AND(Data!G102,"AAAAAF+537M=")</f>
        <v>#VALUE!</v>
      </c>
      <c r="FY77" t="e">
        <f>AND(Data!H102,"AAAAAF+537Q=")</f>
        <v>#VALUE!</v>
      </c>
      <c r="FZ77" t="e">
        <f>AND(Data!I102,"AAAAAF+537U=")</f>
        <v>#VALUE!</v>
      </c>
      <c r="GA77" t="e">
        <f>AND(Data!J102,"AAAAAF+537Y=")</f>
        <v>#VALUE!</v>
      </c>
      <c r="GB77" t="e">
        <f>AND(Data!K102,"AAAAAF+537c=")</f>
        <v>#VALUE!</v>
      </c>
      <c r="GC77" t="e">
        <f>AND(Data!L102,"AAAAAF+537g=")</f>
        <v>#VALUE!</v>
      </c>
      <c r="GD77" t="e">
        <f>AND(Data!M102,"AAAAAF+537k=")</f>
        <v>#VALUE!</v>
      </c>
      <c r="GE77" t="e">
        <f>AND(Data!N102,"AAAAAF+537o=")</f>
        <v>#VALUE!</v>
      </c>
      <c r="GF77" t="e">
        <f>AND(Data!O102,"AAAAAF+537s=")</f>
        <v>#VALUE!</v>
      </c>
      <c r="GG77" t="e">
        <f>AND(Data!P102,"AAAAAF+537w=")</f>
        <v>#VALUE!</v>
      </c>
      <c r="GH77" t="e">
        <f>AND(Data!Q102,"AAAAAF+5370=")</f>
        <v>#VALUE!</v>
      </c>
      <c r="GI77" t="e">
        <f>AND(Data!R102,"AAAAAF+5374=")</f>
        <v>#VALUE!</v>
      </c>
      <c r="GJ77" t="e">
        <f>AND(Data!S102,"AAAAAF+5378=")</f>
        <v>#VALUE!</v>
      </c>
      <c r="GK77" t="e">
        <f>AND(Data!T102,"AAAAAF+538A=")</f>
        <v>#VALUE!</v>
      </c>
      <c r="GL77" t="e">
        <f>AND(Data!U102,"AAAAAF+538E=")</f>
        <v>#VALUE!</v>
      </c>
      <c r="GM77" t="e">
        <f>AND(Data!V102,"AAAAAF+538I=")</f>
        <v>#VALUE!</v>
      </c>
      <c r="GN77" t="e">
        <f>AND(Data!W102,"AAAAAF+538M=")</f>
        <v>#VALUE!</v>
      </c>
      <c r="GO77" t="e">
        <f>AND(Data!X102,"AAAAAF+538Q=")</f>
        <v>#VALUE!</v>
      </c>
      <c r="GP77">
        <f>IF(Data!103:103,"AAAAAF+538U=",0)</f>
        <v>0</v>
      </c>
      <c r="GQ77" t="e">
        <f>AND(Data!A103,"AAAAAF+538Y=")</f>
        <v>#VALUE!</v>
      </c>
      <c r="GR77" t="e">
        <f>AND(Data!B103,"AAAAAF+538c=")</f>
        <v>#VALUE!</v>
      </c>
      <c r="GS77" t="e">
        <f>AND(Data!C103,"AAAAAF+538g=")</f>
        <v>#VALUE!</v>
      </c>
      <c r="GT77" t="e">
        <f>AND(Data!D103,"AAAAAF+538k=")</f>
        <v>#VALUE!</v>
      </c>
      <c r="GU77" t="e">
        <f>AND(Data!E103,"AAAAAF+538o=")</f>
        <v>#VALUE!</v>
      </c>
      <c r="GV77" t="e">
        <f>AND(Data!F103,"AAAAAF+538s=")</f>
        <v>#VALUE!</v>
      </c>
      <c r="GW77" t="e">
        <f>AND(Data!G103,"AAAAAF+538w=")</f>
        <v>#VALUE!</v>
      </c>
      <c r="GX77" t="e">
        <f>AND(Data!H103,"AAAAAF+5380=")</f>
        <v>#VALUE!</v>
      </c>
      <c r="GY77" t="e">
        <f>AND(Data!I103,"AAAAAF+5384=")</f>
        <v>#VALUE!</v>
      </c>
      <c r="GZ77" t="e">
        <f>AND(Data!J103,"AAAAAF+5388=")</f>
        <v>#VALUE!</v>
      </c>
      <c r="HA77" t="e">
        <f>AND(Data!K103,"AAAAAF+539A=")</f>
        <v>#VALUE!</v>
      </c>
      <c r="HB77" t="e">
        <f>AND(Data!L103,"AAAAAF+539E=")</f>
        <v>#VALUE!</v>
      </c>
      <c r="HC77" t="e">
        <f>AND(Data!M103,"AAAAAF+539I=")</f>
        <v>#VALUE!</v>
      </c>
      <c r="HD77" t="e">
        <f>AND(Data!N103,"AAAAAF+539M=")</f>
        <v>#VALUE!</v>
      </c>
      <c r="HE77" t="e">
        <f>AND(Data!O103,"AAAAAF+539Q=")</f>
        <v>#VALUE!</v>
      </c>
      <c r="HF77" t="e">
        <f>AND(Data!P103,"AAAAAF+539U=")</f>
        <v>#VALUE!</v>
      </c>
      <c r="HG77" t="e">
        <f>AND(Data!Q103,"AAAAAF+539Y=")</f>
        <v>#VALUE!</v>
      </c>
      <c r="HH77" t="e">
        <f>AND(Data!R103,"AAAAAF+539c=")</f>
        <v>#VALUE!</v>
      </c>
      <c r="HI77" t="e">
        <f>AND(Data!S103,"AAAAAF+539g=")</f>
        <v>#VALUE!</v>
      </c>
      <c r="HJ77" t="e">
        <f>AND(Data!T103,"AAAAAF+539k=")</f>
        <v>#VALUE!</v>
      </c>
      <c r="HK77" t="e">
        <f>AND(Data!U103,"AAAAAF+539o=")</f>
        <v>#VALUE!</v>
      </c>
      <c r="HL77" t="e">
        <f>AND(Data!V103,"AAAAAF+539s=")</f>
        <v>#VALUE!</v>
      </c>
      <c r="HM77" t="e">
        <f>AND(Data!W103,"AAAAAF+539w=")</f>
        <v>#VALUE!</v>
      </c>
      <c r="HN77" t="e">
        <f>AND(Data!X103,"AAAAAF+5390=")</f>
        <v>#VALUE!</v>
      </c>
      <c r="HO77">
        <f>IF(Data!104:104,"AAAAAF+5394=",0)</f>
        <v>0</v>
      </c>
      <c r="HP77" t="e">
        <f>AND(Data!A104,"AAAAAF+5398=")</f>
        <v>#VALUE!</v>
      </c>
      <c r="HQ77" t="e">
        <f>AND(Data!B104,"AAAAAF+53+A=")</f>
        <v>#VALUE!</v>
      </c>
      <c r="HR77" t="e">
        <f>AND(Data!C104,"AAAAAF+53+E=")</f>
        <v>#VALUE!</v>
      </c>
      <c r="HS77" t="e">
        <f>AND(Data!D104,"AAAAAF+53+I=")</f>
        <v>#VALUE!</v>
      </c>
      <c r="HT77" t="e">
        <f>AND(Data!E104,"AAAAAF+53+M=")</f>
        <v>#VALUE!</v>
      </c>
      <c r="HU77" t="e">
        <f>AND(Data!F104,"AAAAAF+53+Q=")</f>
        <v>#VALUE!</v>
      </c>
      <c r="HV77" t="e">
        <f>AND(Data!G104,"AAAAAF+53+U=")</f>
        <v>#VALUE!</v>
      </c>
      <c r="HW77" t="e">
        <f>AND(Data!H104,"AAAAAF+53+Y=")</f>
        <v>#VALUE!</v>
      </c>
      <c r="HX77" t="e">
        <f>AND(Data!I104,"AAAAAF+53+c=")</f>
        <v>#VALUE!</v>
      </c>
      <c r="HY77" t="e">
        <f>AND(Data!J104,"AAAAAF+53+g=")</f>
        <v>#VALUE!</v>
      </c>
      <c r="HZ77" t="e">
        <f>AND(Data!K104,"AAAAAF+53+k=")</f>
        <v>#VALUE!</v>
      </c>
      <c r="IA77" t="e">
        <f>AND(Data!L104,"AAAAAF+53+o=")</f>
        <v>#VALUE!</v>
      </c>
      <c r="IB77" t="e">
        <f>AND(Data!M104,"AAAAAF+53+s=")</f>
        <v>#VALUE!</v>
      </c>
      <c r="IC77" t="e">
        <f>AND(Data!N104,"AAAAAF+53+w=")</f>
        <v>#VALUE!</v>
      </c>
      <c r="ID77" t="e">
        <f>AND(Data!O104,"AAAAAF+53+0=")</f>
        <v>#VALUE!</v>
      </c>
      <c r="IE77" t="e">
        <f>AND(Data!P104,"AAAAAF+53+4=")</f>
        <v>#VALUE!</v>
      </c>
      <c r="IF77" t="e">
        <f>AND(Data!Q104,"AAAAAF+53+8=")</f>
        <v>#VALUE!</v>
      </c>
      <c r="IG77" t="e">
        <f>AND(Data!R104,"AAAAAF+53/A=")</f>
        <v>#VALUE!</v>
      </c>
      <c r="IH77" t="e">
        <f>AND(Data!S104,"AAAAAF+53/E=")</f>
        <v>#VALUE!</v>
      </c>
      <c r="II77" t="e">
        <f>AND(Data!T104,"AAAAAF+53/I=")</f>
        <v>#VALUE!</v>
      </c>
      <c r="IJ77" t="e">
        <f>AND(Data!U104,"AAAAAF+53/M=")</f>
        <v>#VALUE!</v>
      </c>
      <c r="IK77" t="e">
        <f>AND(Data!V104,"AAAAAF+53/Q=")</f>
        <v>#VALUE!</v>
      </c>
      <c r="IL77" t="e">
        <f>AND(Data!W104,"AAAAAF+53/U=")</f>
        <v>#VALUE!</v>
      </c>
      <c r="IM77" t="e">
        <f>AND(Data!X104,"AAAAAF+53/Y=")</f>
        <v>#VALUE!</v>
      </c>
      <c r="IN77">
        <f>IF(Data!105:105,"AAAAAF+53/c=",0)</f>
        <v>0</v>
      </c>
      <c r="IO77" t="e">
        <f>AND(Data!A105,"AAAAAF+53/g=")</f>
        <v>#VALUE!</v>
      </c>
      <c r="IP77" t="e">
        <f>AND(Data!B105,"AAAAAF+53/k=")</f>
        <v>#VALUE!</v>
      </c>
      <c r="IQ77" t="e">
        <f>AND(Data!C105,"AAAAAF+53/o=")</f>
        <v>#VALUE!</v>
      </c>
      <c r="IR77" t="e">
        <f>AND(Data!D105,"AAAAAF+53/s=")</f>
        <v>#VALUE!</v>
      </c>
      <c r="IS77" t="e">
        <f>AND(Data!E105,"AAAAAF+53/w=")</f>
        <v>#VALUE!</v>
      </c>
      <c r="IT77" t="e">
        <f>AND(Data!F105,"AAAAAF+53/0=")</f>
        <v>#VALUE!</v>
      </c>
      <c r="IU77" t="e">
        <f>AND(Data!G105,"AAAAAF+53/4=")</f>
        <v>#VALUE!</v>
      </c>
      <c r="IV77" t="e">
        <f>AND(Data!H105,"AAAAAF+53/8=")</f>
        <v>#VALUE!</v>
      </c>
    </row>
    <row r="78" spans="1:256" x14ac:dyDescent="0.2">
      <c r="A78" t="e">
        <f>AND(Data!I105,"AAAAAGfm7wA=")</f>
        <v>#VALUE!</v>
      </c>
      <c r="B78" t="e">
        <f>AND(Data!J105,"AAAAAGfm7wE=")</f>
        <v>#VALUE!</v>
      </c>
      <c r="C78" t="e">
        <f>AND(Data!K105,"AAAAAGfm7wI=")</f>
        <v>#VALUE!</v>
      </c>
      <c r="D78" t="e">
        <f>AND(Data!L105,"AAAAAGfm7wM=")</f>
        <v>#VALUE!</v>
      </c>
      <c r="E78" t="e">
        <f>AND(Data!M105,"AAAAAGfm7wQ=")</f>
        <v>#VALUE!</v>
      </c>
      <c r="F78" t="e">
        <f>AND(Data!N105,"AAAAAGfm7wU=")</f>
        <v>#VALUE!</v>
      </c>
      <c r="G78" t="e">
        <f>AND(Data!O105,"AAAAAGfm7wY=")</f>
        <v>#VALUE!</v>
      </c>
      <c r="H78" t="e">
        <f>AND(Data!P105,"AAAAAGfm7wc=")</f>
        <v>#VALUE!</v>
      </c>
      <c r="I78" t="e">
        <f>AND(Data!Q105,"AAAAAGfm7wg=")</f>
        <v>#VALUE!</v>
      </c>
      <c r="J78" t="e">
        <f>AND(Data!R105,"AAAAAGfm7wk=")</f>
        <v>#VALUE!</v>
      </c>
      <c r="K78" t="e">
        <f>AND(Data!S105,"AAAAAGfm7wo=")</f>
        <v>#VALUE!</v>
      </c>
      <c r="L78" t="e">
        <f>AND(Data!T105,"AAAAAGfm7ws=")</f>
        <v>#VALUE!</v>
      </c>
      <c r="M78" t="e">
        <f>AND(Data!U105,"AAAAAGfm7ww=")</f>
        <v>#VALUE!</v>
      </c>
      <c r="N78" t="e">
        <f>AND(Data!V105,"AAAAAGfm7w0=")</f>
        <v>#VALUE!</v>
      </c>
      <c r="O78" t="e">
        <f>AND(Data!W105,"AAAAAGfm7w4=")</f>
        <v>#VALUE!</v>
      </c>
      <c r="P78" t="e">
        <f>AND(Data!X105,"AAAAAGfm7w8=")</f>
        <v>#VALUE!</v>
      </c>
      <c r="Q78" t="e">
        <f>IF(Data!106:106,"AAAAAGfm7xA=",0)</f>
        <v>#VALUE!</v>
      </c>
      <c r="R78" t="e">
        <f>AND(Data!A106,"AAAAAGfm7xE=")</f>
        <v>#VALUE!</v>
      </c>
      <c r="S78" t="e">
        <f>AND(Data!B106,"AAAAAGfm7xI=")</f>
        <v>#VALUE!</v>
      </c>
      <c r="T78" t="e">
        <f>AND(Data!C106,"AAAAAGfm7xM=")</f>
        <v>#VALUE!</v>
      </c>
      <c r="U78" t="e">
        <f>AND(Data!D106,"AAAAAGfm7xQ=")</f>
        <v>#VALUE!</v>
      </c>
      <c r="V78" t="e">
        <f>AND(Data!E106,"AAAAAGfm7xU=")</f>
        <v>#VALUE!</v>
      </c>
      <c r="W78" t="e">
        <f>AND(Data!F106,"AAAAAGfm7xY=")</f>
        <v>#VALUE!</v>
      </c>
      <c r="X78" t="e">
        <f>AND(Data!G106,"AAAAAGfm7xc=")</f>
        <v>#VALUE!</v>
      </c>
      <c r="Y78" t="e">
        <f>AND(Data!H106,"AAAAAGfm7xg=")</f>
        <v>#VALUE!</v>
      </c>
      <c r="Z78" t="e">
        <f>AND(Data!I106,"AAAAAGfm7xk=")</f>
        <v>#VALUE!</v>
      </c>
      <c r="AA78" t="e">
        <f>AND(Data!J106,"AAAAAGfm7xo=")</f>
        <v>#VALUE!</v>
      </c>
      <c r="AB78" t="e">
        <f>AND(Data!K106,"AAAAAGfm7xs=")</f>
        <v>#VALUE!</v>
      </c>
      <c r="AC78" t="e">
        <f>AND(Data!L106,"AAAAAGfm7xw=")</f>
        <v>#VALUE!</v>
      </c>
      <c r="AD78" t="e">
        <f>AND(Data!M106,"AAAAAGfm7x0=")</f>
        <v>#VALUE!</v>
      </c>
      <c r="AE78" t="e">
        <f>AND(Data!N106,"AAAAAGfm7x4=")</f>
        <v>#VALUE!</v>
      </c>
      <c r="AF78" t="e">
        <f>AND(Data!O106,"AAAAAGfm7x8=")</f>
        <v>#VALUE!</v>
      </c>
      <c r="AG78" t="e">
        <f>AND(Data!P106,"AAAAAGfm7yA=")</f>
        <v>#VALUE!</v>
      </c>
      <c r="AH78" t="e">
        <f>AND(Data!Q106,"AAAAAGfm7yE=")</f>
        <v>#VALUE!</v>
      </c>
      <c r="AI78" t="e">
        <f>AND(Data!R106,"AAAAAGfm7yI=")</f>
        <v>#VALUE!</v>
      </c>
      <c r="AJ78" t="e">
        <f>AND(Data!S106,"AAAAAGfm7yM=")</f>
        <v>#VALUE!</v>
      </c>
      <c r="AK78" t="e">
        <f>AND(Data!T106,"AAAAAGfm7yQ=")</f>
        <v>#VALUE!</v>
      </c>
      <c r="AL78" t="e">
        <f>AND(Data!U106,"AAAAAGfm7yU=")</f>
        <v>#VALUE!</v>
      </c>
      <c r="AM78" t="e">
        <f>AND(Data!V106,"AAAAAGfm7yY=")</f>
        <v>#VALUE!</v>
      </c>
      <c r="AN78" t="e">
        <f>AND(Data!W106,"AAAAAGfm7yc=")</f>
        <v>#VALUE!</v>
      </c>
      <c r="AO78" t="e">
        <f>AND(Data!X106,"AAAAAGfm7yg=")</f>
        <v>#VALUE!</v>
      </c>
      <c r="AP78">
        <f>IF(Data!107:107,"AAAAAGfm7yk=",0)</f>
        <v>0</v>
      </c>
      <c r="AQ78" t="e">
        <f>AND(Data!A107,"AAAAAGfm7yo=")</f>
        <v>#VALUE!</v>
      </c>
      <c r="AR78" t="e">
        <f>AND(Data!B107,"AAAAAGfm7ys=")</f>
        <v>#VALUE!</v>
      </c>
      <c r="AS78" t="e">
        <f>AND(Data!C107,"AAAAAGfm7yw=")</f>
        <v>#VALUE!</v>
      </c>
      <c r="AT78" t="e">
        <f>AND(Data!D107,"AAAAAGfm7y0=")</f>
        <v>#VALUE!</v>
      </c>
      <c r="AU78" t="e">
        <f>AND(Data!E107,"AAAAAGfm7y4=")</f>
        <v>#VALUE!</v>
      </c>
      <c r="AV78" t="e">
        <f>AND(Data!F107,"AAAAAGfm7y8=")</f>
        <v>#VALUE!</v>
      </c>
      <c r="AW78" t="e">
        <f>AND(Data!G107,"AAAAAGfm7zA=")</f>
        <v>#VALUE!</v>
      </c>
      <c r="AX78" t="e">
        <f>AND(Data!H107,"AAAAAGfm7zE=")</f>
        <v>#VALUE!</v>
      </c>
      <c r="AY78" t="e">
        <f>AND(Data!I107,"AAAAAGfm7zI=")</f>
        <v>#VALUE!</v>
      </c>
      <c r="AZ78" t="e">
        <f>AND(Data!J107,"AAAAAGfm7zM=")</f>
        <v>#VALUE!</v>
      </c>
      <c r="BA78" t="e">
        <f>AND(Data!K107,"AAAAAGfm7zQ=")</f>
        <v>#VALUE!</v>
      </c>
      <c r="BB78" t="e">
        <f>AND(Data!L107,"AAAAAGfm7zU=")</f>
        <v>#VALUE!</v>
      </c>
      <c r="BC78" t="e">
        <f>AND(Data!M107,"AAAAAGfm7zY=")</f>
        <v>#VALUE!</v>
      </c>
      <c r="BD78" t="e">
        <f>AND(Data!N107,"AAAAAGfm7zc=")</f>
        <v>#VALUE!</v>
      </c>
      <c r="BE78" t="e">
        <f>AND(Data!O107,"AAAAAGfm7zg=")</f>
        <v>#VALUE!</v>
      </c>
      <c r="BF78" t="e">
        <f>AND(Data!P107,"AAAAAGfm7zk=")</f>
        <v>#VALUE!</v>
      </c>
      <c r="BG78" t="e">
        <f>AND(Data!Q107,"AAAAAGfm7zo=")</f>
        <v>#VALUE!</v>
      </c>
      <c r="BH78" t="e">
        <f>AND(Data!R107,"AAAAAGfm7zs=")</f>
        <v>#VALUE!</v>
      </c>
      <c r="BI78" t="e">
        <f>AND(Data!S107,"AAAAAGfm7zw=")</f>
        <v>#VALUE!</v>
      </c>
      <c r="BJ78" t="e">
        <f>AND(Data!T107,"AAAAAGfm7z0=")</f>
        <v>#VALUE!</v>
      </c>
      <c r="BK78" t="e">
        <f>AND(Data!U107,"AAAAAGfm7z4=")</f>
        <v>#VALUE!</v>
      </c>
      <c r="BL78" t="e">
        <f>AND(Data!V107,"AAAAAGfm7z8=")</f>
        <v>#VALUE!</v>
      </c>
      <c r="BM78" t="e">
        <f>AND(Data!W107,"AAAAAGfm70A=")</f>
        <v>#VALUE!</v>
      </c>
      <c r="BN78" t="e">
        <f>AND(Data!X107,"AAAAAGfm70E=")</f>
        <v>#VALUE!</v>
      </c>
      <c r="BO78">
        <f>IF(Data!108:108,"AAAAAGfm70I=",0)</f>
        <v>0</v>
      </c>
      <c r="BP78" t="e">
        <f>AND(Data!A108,"AAAAAGfm70M=")</f>
        <v>#VALUE!</v>
      </c>
      <c r="BQ78" t="e">
        <f>AND(Data!B108,"AAAAAGfm70Q=")</f>
        <v>#VALUE!</v>
      </c>
      <c r="BR78" t="e">
        <f>AND(Data!C108,"AAAAAGfm70U=")</f>
        <v>#VALUE!</v>
      </c>
      <c r="BS78" t="e">
        <f>AND(Data!D108,"AAAAAGfm70Y=")</f>
        <v>#VALUE!</v>
      </c>
      <c r="BT78" t="e">
        <f>AND(Data!E108,"AAAAAGfm70c=")</f>
        <v>#VALUE!</v>
      </c>
      <c r="BU78" t="e">
        <f>AND(Data!F108,"AAAAAGfm70g=")</f>
        <v>#VALUE!</v>
      </c>
      <c r="BV78" t="e">
        <f>AND(Data!G108,"AAAAAGfm70k=")</f>
        <v>#VALUE!</v>
      </c>
      <c r="BW78" t="e">
        <f>AND(Data!H108,"AAAAAGfm70o=")</f>
        <v>#VALUE!</v>
      </c>
      <c r="BX78" t="e">
        <f>AND(Data!I108,"AAAAAGfm70s=")</f>
        <v>#VALUE!</v>
      </c>
      <c r="BY78" t="e">
        <f>AND(Data!J108,"AAAAAGfm70w=")</f>
        <v>#VALUE!</v>
      </c>
      <c r="BZ78" t="e">
        <f>AND(Data!K108,"AAAAAGfm700=")</f>
        <v>#VALUE!</v>
      </c>
      <c r="CA78" t="e">
        <f>AND(Data!L108,"AAAAAGfm704=")</f>
        <v>#VALUE!</v>
      </c>
      <c r="CB78" t="e">
        <f>AND(Data!M108,"AAAAAGfm708=")</f>
        <v>#VALUE!</v>
      </c>
      <c r="CC78" t="e">
        <f>AND(Data!N108,"AAAAAGfm71A=")</f>
        <v>#VALUE!</v>
      </c>
      <c r="CD78" t="e">
        <f>AND(Data!O108,"AAAAAGfm71E=")</f>
        <v>#VALUE!</v>
      </c>
      <c r="CE78" t="e">
        <f>AND(Data!P108,"AAAAAGfm71I=")</f>
        <v>#VALUE!</v>
      </c>
      <c r="CF78" t="e">
        <f>AND(Data!Q108,"AAAAAGfm71M=")</f>
        <v>#VALUE!</v>
      </c>
      <c r="CG78" t="e">
        <f>AND(Data!R108,"AAAAAGfm71Q=")</f>
        <v>#VALUE!</v>
      </c>
      <c r="CH78" t="e">
        <f>AND(Data!S108,"AAAAAGfm71U=")</f>
        <v>#VALUE!</v>
      </c>
      <c r="CI78" t="e">
        <f>AND(Data!T108,"AAAAAGfm71Y=")</f>
        <v>#VALUE!</v>
      </c>
      <c r="CJ78" t="e">
        <f>AND(Data!U108,"AAAAAGfm71c=")</f>
        <v>#VALUE!</v>
      </c>
      <c r="CK78" t="e">
        <f>AND(Data!V108,"AAAAAGfm71g=")</f>
        <v>#VALUE!</v>
      </c>
      <c r="CL78" t="e">
        <f>AND(Data!W108,"AAAAAGfm71k=")</f>
        <v>#VALUE!</v>
      </c>
      <c r="CM78" t="e">
        <f>AND(Data!X108,"AAAAAGfm71o=")</f>
        <v>#VALUE!</v>
      </c>
      <c r="CN78">
        <f>IF(Data!109:109,"AAAAAGfm71s=",0)</f>
        <v>0</v>
      </c>
      <c r="CO78" t="e">
        <f>AND(Data!A109,"AAAAAGfm71w=")</f>
        <v>#VALUE!</v>
      </c>
      <c r="CP78" t="e">
        <f>AND(Data!B109,"AAAAAGfm710=")</f>
        <v>#VALUE!</v>
      </c>
      <c r="CQ78" t="e">
        <f>AND(Data!C109,"AAAAAGfm714=")</f>
        <v>#VALUE!</v>
      </c>
      <c r="CR78" t="e">
        <f>AND(Data!D109,"AAAAAGfm718=")</f>
        <v>#VALUE!</v>
      </c>
      <c r="CS78" t="e">
        <f>AND(Data!E109,"AAAAAGfm72A=")</f>
        <v>#VALUE!</v>
      </c>
      <c r="CT78" t="e">
        <f>AND(Data!F109,"AAAAAGfm72E=")</f>
        <v>#VALUE!</v>
      </c>
      <c r="CU78" t="e">
        <f>AND(Data!G109,"AAAAAGfm72I=")</f>
        <v>#VALUE!</v>
      </c>
      <c r="CV78" t="e">
        <f>AND(Data!H109,"AAAAAGfm72M=")</f>
        <v>#VALUE!</v>
      </c>
      <c r="CW78" t="e">
        <f>AND(Data!I109,"AAAAAGfm72Q=")</f>
        <v>#VALUE!</v>
      </c>
      <c r="CX78" t="e">
        <f>AND(Data!J109,"AAAAAGfm72U=")</f>
        <v>#VALUE!</v>
      </c>
      <c r="CY78" t="e">
        <f>AND(Data!K109,"AAAAAGfm72Y=")</f>
        <v>#VALUE!</v>
      </c>
      <c r="CZ78" t="e">
        <f>AND(Data!L109,"AAAAAGfm72c=")</f>
        <v>#VALUE!</v>
      </c>
      <c r="DA78" t="e">
        <f>AND(Data!M109,"AAAAAGfm72g=")</f>
        <v>#VALUE!</v>
      </c>
      <c r="DB78" t="e">
        <f>AND(Data!N109,"AAAAAGfm72k=")</f>
        <v>#VALUE!</v>
      </c>
      <c r="DC78" t="e">
        <f>AND(Data!O109,"AAAAAGfm72o=")</f>
        <v>#VALUE!</v>
      </c>
      <c r="DD78" t="e">
        <f>AND(Data!P109,"AAAAAGfm72s=")</f>
        <v>#VALUE!</v>
      </c>
      <c r="DE78" t="e">
        <f>AND(Data!Q109,"AAAAAGfm72w=")</f>
        <v>#VALUE!</v>
      </c>
      <c r="DF78" t="e">
        <f>AND(Data!R109,"AAAAAGfm720=")</f>
        <v>#VALUE!</v>
      </c>
      <c r="DG78" t="e">
        <f>AND(Data!S109,"AAAAAGfm724=")</f>
        <v>#VALUE!</v>
      </c>
      <c r="DH78" t="e">
        <f>AND(Data!T109,"AAAAAGfm728=")</f>
        <v>#VALUE!</v>
      </c>
      <c r="DI78" t="e">
        <f>AND(Data!U109,"AAAAAGfm73A=")</f>
        <v>#VALUE!</v>
      </c>
      <c r="DJ78" t="e">
        <f>AND(Data!V109,"AAAAAGfm73E=")</f>
        <v>#VALUE!</v>
      </c>
      <c r="DK78" t="e">
        <f>AND(Data!W109,"AAAAAGfm73I=")</f>
        <v>#VALUE!</v>
      </c>
      <c r="DL78" t="e">
        <f>AND(Data!X109,"AAAAAGfm73M=")</f>
        <v>#VALUE!</v>
      </c>
      <c r="DM78">
        <f>IF(Data!110:110,"AAAAAGfm73Q=",0)</f>
        <v>0</v>
      </c>
      <c r="DN78" t="e">
        <f>AND(Data!A110,"AAAAAGfm73U=")</f>
        <v>#VALUE!</v>
      </c>
      <c r="DO78" t="e">
        <f>AND(Data!B110,"AAAAAGfm73Y=")</f>
        <v>#VALUE!</v>
      </c>
      <c r="DP78" t="e">
        <f>AND(Data!C110,"AAAAAGfm73c=")</f>
        <v>#VALUE!</v>
      </c>
      <c r="DQ78" t="e">
        <f>AND(Data!D110,"AAAAAGfm73g=")</f>
        <v>#VALUE!</v>
      </c>
      <c r="DR78" t="e">
        <f>AND(Data!E110,"AAAAAGfm73k=")</f>
        <v>#VALUE!</v>
      </c>
      <c r="DS78" t="e">
        <f>AND(Data!F110,"AAAAAGfm73o=")</f>
        <v>#VALUE!</v>
      </c>
      <c r="DT78" t="e">
        <f>AND(Data!G110,"AAAAAGfm73s=")</f>
        <v>#VALUE!</v>
      </c>
      <c r="DU78" t="e">
        <f>AND(Data!H110,"AAAAAGfm73w=")</f>
        <v>#VALUE!</v>
      </c>
      <c r="DV78" t="e">
        <f>AND(Data!I110,"AAAAAGfm730=")</f>
        <v>#VALUE!</v>
      </c>
      <c r="DW78" t="e">
        <f>AND(Data!J110,"AAAAAGfm734=")</f>
        <v>#VALUE!</v>
      </c>
      <c r="DX78" t="e">
        <f>AND(Data!K110,"AAAAAGfm738=")</f>
        <v>#VALUE!</v>
      </c>
      <c r="DY78" t="e">
        <f>AND(Data!L110,"AAAAAGfm74A=")</f>
        <v>#VALUE!</v>
      </c>
      <c r="DZ78" t="e">
        <f>AND(Data!M110,"AAAAAGfm74E=")</f>
        <v>#VALUE!</v>
      </c>
      <c r="EA78" t="e">
        <f>AND(Data!N110,"AAAAAGfm74I=")</f>
        <v>#VALUE!</v>
      </c>
      <c r="EB78" t="e">
        <f>AND(Data!O110,"AAAAAGfm74M=")</f>
        <v>#VALUE!</v>
      </c>
      <c r="EC78" t="e">
        <f>AND(Data!P110,"AAAAAGfm74Q=")</f>
        <v>#VALUE!</v>
      </c>
      <c r="ED78" t="e">
        <f>AND(Data!Q110,"AAAAAGfm74U=")</f>
        <v>#VALUE!</v>
      </c>
      <c r="EE78" t="e">
        <f>AND(Data!R110,"AAAAAGfm74Y=")</f>
        <v>#VALUE!</v>
      </c>
      <c r="EF78" t="e">
        <f>AND(Data!S110,"AAAAAGfm74c=")</f>
        <v>#VALUE!</v>
      </c>
      <c r="EG78" t="e">
        <f>AND(Data!T110,"AAAAAGfm74g=")</f>
        <v>#VALUE!</v>
      </c>
      <c r="EH78" t="e">
        <f>AND(Data!U110,"AAAAAGfm74k=")</f>
        <v>#VALUE!</v>
      </c>
      <c r="EI78" t="e">
        <f>AND(Data!V110,"AAAAAGfm74o=")</f>
        <v>#VALUE!</v>
      </c>
      <c r="EJ78" t="e">
        <f>AND(Data!W110,"AAAAAGfm74s=")</f>
        <v>#VALUE!</v>
      </c>
      <c r="EK78" t="e">
        <f>AND(Data!X110,"AAAAAGfm74w=")</f>
        <v>#VALUE!</v>
      </c>
      <c r="EL78">
        <f>IF(Data!111:111,"AAAAAGfm740=",0)</f>
        <v>0</v>
      </c>
      <c r="EM78" t="e">
        <f>AND(Data!A111,"AAAAAGfm744=")</f>
        <v>#VALUE!</v>
      </c>
      <c r="EN78" t="e">
        <f>AND(Data!B111,"AAAAAGfm748=")</f>
        <v>#VALUE!</v>
      </c>
      <c r="EO78" t="e">
        <f>AND(Data!C111,"AAAAAGfm75A=")</f>
        <v>#VALUE!</v>
      </c>
      <c r="EP78" t="e">
        <f>AND(Data!D111,"AAAAAGfm75E=")</f>
        <v>#VALUE!</v>
      </c>
      <c r="EQ78" t="e">
        <f>AND(Data!E111,"AAAAAGfm75I=")</f>
        <v>#VALUE!</v>
      </c>
      <c r="ER78" t="e">
        <f>AND(Data!F111,"AAAAAGfm75M=")</f>
        <v>#VALUE!</v>
      </c>
      <c r="ES78" t="e">
        <f>AND(Data!G111,"AAAAAGfm75Q=")</f>
        <v>#VALUE!</v>
      </c>
      <c r="ET78" t="e">
        <f>AND(Data!H111,"AAAAAGfm75U=")</f>
        <v>#VALUE!</v>
      </c>
      <c r="EU78" t="e">
        <f>AND(Data!I111,"AAAAAGfm75Y=")</f>
        <v>#VALUE!</v>
      </c>
      <c r="EV78" t="e">
        <f>AND(Data!J111,"AAAAAGfm75c=")</f>
        <v>#VALUE!</v>
      </c>
      <c r="EW78" t="e">
        <f>AND(Data!K111,"AAAAAGfm75g=")</f>
        <v>#VALUE!</v>
      </c>
      <c r="EX78" t="e">
        <f>AND(Data!L111,"AAAAAGfm75k=")</f>
        <v>#VALUE!</v>
      </c>
      <c r="EY78" t="e">
        <f>AND(Data!M111,"AAAAAGfm75o=")</f>
        <v>#VALUE!</v>
      </c>
      <c r="EZ78" t="e">
        <f>AND(Data!N111,"AAAAAGfm75s=")</f>
        <v>#VALUE!</v>
      </c>
      <c r="FA78" t="e">
        <f>AND(Data!O111,"AAAAAGfm75w=")</f>
        <v>#VALUE!</v>
      </c>
      <c r="FB78" t="e">
        <f>AND(Data!P111,"AAAAAGfm750=")</f>
        <v>#VALUE!</v>
      </c>
      <c r="FC78" t="e">
        <f>AND(Data!Q111,"AAAAAGfm754=")</f>
        <v>#VALUE!</v>
      </c>
      <c r="FD78" t="e">
        <f>AND(Data!R111,"AAAAAGfm758=")</f>
        <v>#VALUE!</v>
      </c>
      <c r="FE78" t="e">
        <f>AND(Data!S111,"AAAAAGfm76A=")</f>
        <v>#VALUE!</v>
      </c>
      <c r="FF78" t="e">
        <f>AND(Data!T111,"AAAAAGfm76E=")</f>
        <v>#VALUE!</v>
      </c>
      <c r="FG78" t="e">
        <f>AND(Data!U111,"AAAAAGfm76I=")</f>
        <v>#VALUE!</v>
      </c>
      <c r="FH78" t="e">
        <f>AND(Data!V111,"AAAAAGfm76M=")</f>
        <v>#VALUE!</v>
      </c>
      <c r="FI78" t="e">
        <f>AND(Data!W111,"AAAAAGfm76Q=")</f>
        <v>#VALUE!</v>
      </c>
      <c r="FJ78" t="e">
        <f>AND(Data!X111,"AAAAAGfm76U=")</f>
        <v>#VALUE!</v>
      </c>
      <c r="FK78">
        <f>IF(Data!112:112,"AAAAAGfm76Y=",0)</f>
        <v>0</v>
      </c>
      <c r="FL78" t="e">
        <f>AND(Data!A112,"AAAAAGfm76c=")</f>
        <v>#VALUE!</v>
      </c>
      <c r="FM78" t="e">
        <f>AND(Data!B112,"AAAAAGfm76g=")</f>
        <v>#VALUE!</v>
      </c>
      <c r="FN78" t="e">
        <f>AND(Data!C112,"AAAAAGfm76k=")</f>
        <v>#VALUE!</v>
      </c>
      <c r="FO78" t="e">
        <f>AND(Data!D112,"AAAAAGfm76o=")</f>
        <v>#VALUE!</v>
      </c>
      <c r="FP78" t="e">
        <f>AND(Data!E112,"AAAAAGfm76s=")</f>
        <v>#VALUE!</v>
      </c>
      <c r="FQ78" t="e">
        <f>AND(Data!F112,"AAAAAGfm76w=")</f>
        <v>#VALUE!</v>
      </c>
      <c r="FR78" t="e">
        <f>AND(Data!G112,"AAAAAGfm760=")</f>
        <v>#VALUE!</v>
      </c>
      <c r="FS78" t="e">
        <f>AND(Data!H112,"AAAAAGfm764=")</f>
        <v>#VALUE!</v>
      </c>
      <c r="FT78" t="e">
        <f>AND(Data!I112,"AAAAAGfm768=")</f>
        <v>#VALUE!</v>
      </c>
      <c r="FU78" t="e">
        <f>AND(Data!J112,"AAAAAGfm77A=")</f>
        <v>#VALUE!</v>
      </c>
      <c r="FV78" t="e">
        <f>AND(Data!K112,"AAAAAGfm77E=")</f>
        <v>#VALUE!</v>
      </c>
      <c r="FW78" t="e">
        <f>AND(Data!L112,"AAAAAGfm77I=")</f>
        <v>#VALUE!</v>
      </c>
      <c r="FX78" t="e">
        <f>AND(Data!M112,"AAAAAGfm77M=")</f>
        <v>#VALUE!</v>
      </c>
      <c r="FY78" t="e">
        <f>AND(Data!N112,"AAAAAGfm77Q=")</f>
        <v>#VALUE!</v>
      </c>
      <c r="FZ78" t="e">
        <f>AND(Data!O112,"AAAAAGfm77U=")</f>
        <v>#VALUE!</v>
      </c>
      <c r="GA78" t="e">
        <f>AND(Data!P112,"AAAAAGfm77Y=")</f>
        <v>#VALUE!</v>
      </c>
      <c r="GB78" t="e">
        <f>AND(Data!Q112,"AAAAAGfm77c=")</f>
        <v>#VALUE!</v>
      </c>
      <c r="GC78" t="e">
        <f>AND(Data!R112,"AAAAAGfm77g=")</f>
        <v>#VALUE!</v>
      </c>
      <c r="GD78" t="e">
        <f>AND(Data!S112,"AAAAAGfm77k=")</f>
        <v>#VALUE!</v>
      </c>
      <c r="GE78" t="e">
        <f>AND(Data!T112,"AAAAAGfm77o=")</f>
        <v>#VALUE!</v>
      </c>
      <c r="GF78" t="e">
        <f>AND(Data!U112,"AAAAAGfm77s=")</f>
        <v>#VALUE!</v>
      </c>
      <c r="GG78" t="e">
        <f>AND(Data!V112,"AAAAAGfm77w=")</f>
        <v>#VALUE!</v>
      </c>
      <c r="GH78" t="e">
        <f>AND(Data!W112,"AAAAAGfm770=")</f>
        <v>#VALUE!</v>
      </c>
      <c r="GI78" t="e">
        <f>AND(Data!X112,"AAAAAGfm774=")</f>
        <v>#VALUE!</v>
      </c>
      <c r="GJ78">
        <f>IF(Data!113:113,"AAAAAGfm778=",0)</f>
        <v>0</v>
      </c>
      <c r="GK78" t="e">
        <f>AND(Data!A113,"AAAAAGfm78A=")</f>
        <v>#VALUE!</v>
      </c>
      <c r="GL78" t="e">
        <f>AND(Data!B113,"AAAAAGfm78E=")</f>
        <v>#VALUE!</v>
      </c>
      <c r="GM78" t="e">
        <f>AND(Data!C113,"AAAAAGfm78I=")</f>
        <v>#VALUE!</v>
      </c>
      <c r="GN78" t="e">
        <f>AND(Data!D113,"AAAAAGfm78M=")</f>
        <v>#VALUE!</v>
      </c>
      <c r="GO78" t="e">
        <f>AND(Data!E113,"AAAAAGfm78Q=")</f>
        <v>#VALUE!</v>
      </c>
      <c r="GP78" t="e">
        <f>AND(Data!F113,"AAAAAGfm78U=")</f>
        <v>#VALUE!</v>
      </c>
      <c r="GQ78" t="e">
        <f>AND(Data!G113,"AAAAAGfm78Y=")</f>
        <v>#VALUE!</v>
      </c>
      <c r="GR78" t="e">
        <f>AND(Data!H113,"AAAAAGfm78c=")</f>
        <v>#VALUE!</v>
      </c>
      <c r="GS78" t="e">
        <f>AND(Data!I113,"AAAAAGfm78g=")</f>
        <v>#VALUE!</v>
      </c>
      <c r="GT78" t="e">
        <f>AND(Data!J113,"AAAAAGfm78k=")</f>
        <v>#VALUE!</v>
      </c>
      <c r="GU78" t="e">
        <f>AND(Data!K113,"AAAAAGfm78o=")</f>
        <v>#VALUE!</v>
      </c>
      <c r="GV78" t="e">
        <f>AND(Data!L113,"AAAAAGfm78s=")</f>
        <v>#VALUE!</v>
      </c>
      <c r="GW78" t="e">
        <f>AND(Data!M113,"AAAAAGfm78w=")</f>
        <v>#VALUE!</v>
      </c>
      <c r="GX78" t="e">
        <f>AND(Data!N113,"AAAAAGfm780=")</f>
        <v>#VALUE!</v>
      </c>
      <c r="GY78" t="e">
        <f>AND(Data!O113,"AAAAAGfm784=")</f>
        <v>#VALUE!</v>
      </c>
      <c r="GZ78" t="e">
        <f>AND(Data!P113,"AAAAAGfm788=")</f>
        <v>#VALUE!</v>
      </c>
      <c r="HA78" t="e">
        <f>AND(Data!Q113,"AAAAAGfm79A=")</f>
        <v>#VALUE!</v>
      </c>
      <c r="HB78" t="e">
        <f>AND(Data!R113,"AAAAAGfm79E=")</f>
        <v>#VALUE!</v>
      </c>
      <c r="HC78" t="e">
        <f>AND(Data!S113,"AAAAAGfm79I=")</f>
        <v>#VALUE!</v>
      </c>
      <c r="HD78" t="e">
        <f>AND(Data!T113,"AAAAAGfm79M=")</f>
        <v>#VALUE!</v>
      </c>
      <c r="HE78" t="e">
        <f>AND(Data!U113,"AAAAAGfm79Q=")</f>
        <v>#VALUE!</v>
      </c>
      <c r="HF78" t="e">
        <f>AND(Data!V113,"AAAAAGfm79U=")</f>
        <v>#VALUE!</v>
      </c>
      <c r="HG78" t="e">
        <f>AND(Data!W113,"AAAAAGfm79Y=")</f>
        <v>#VALUE!</v>
      </c>
      <c r="HH78" t="e">
        <f>AND(Data!X113,"AAAAAGfm79c=")</f>
        <v>#VALUE!</v>
      </c>
      <c r="HI78">
        <f>IF(Data!114:114,"AAAAAGfm79g=",0)</f>
        <v>0</v>
      </c>
      <c r="HJ78" t="e">
        <f>AND(Data!A114,"AAAAAGfm79k=")</f>
        <v>#VALUE!</v>
      </c>
      <c r="HK78" t="e">
        <f>AND(Data!B114,"AAAAAGfm79o=")</f>
        <v>#VALUE!</v>
      </c>
      <c r="HL78" t="e">
        <f>AND(Data!C114,"AAAAAGfm79s=")</f>
        <v>#VALUE!</v>
      </c>
      <c r="HM78" t="e">
        <f>AND(Data!D114,"AAAAAGfm79w=")</f>
        <v>#VALUE!</v>
      </c>
      <c r="HN78" t="e">
        <f>AND(Data!E114,"AAAAAGfm790=")</f>
        <v>#VALUE!</v>
      </c>
      <c r="HO78" t="e">
        <f>AND(Data!F114,"AAAAAGfm794=")</f>
        <v>#VALUE!</v>
      </c>
      <c r="HP78" t="e">
        <f>AND(Data!G114,"AAAAAGfm798=")</f>
        <v>#VALUE!</v>
      </c>
      <c r="HQ78" t="e">
        <f>AND(Data!H114,"AAAAAGfm7+A=")</f>
        <v>#VALUE!</v>
      </c>
      <c r="HR78" t="e">
        <f>AND(Data!I114,"AAAAAGfm7+E=")</f>
        <v>#VALUE!</v>
      </c>
      <c r="HS78" t="e">
        <f>AND(Data!J114,"AAAAAGfm7+I=")</f>
        <v>#VALUE!</v>
      </c>
      <c r="HT78" t="e">
        <f>AND(Data!K114,"AAAAAGfm7+M=")</f>
        <v>#VALUE!</v>
      </c>
      <c r="HU78" t="e">
        <f>AND(Data!L114,"AAAAAGfm7+Q=")</f>
        <v>#VALUE!</v>
      </c>
      <c r="HV78" t="e">
        <f>AND(Data!M114,"AAAAAGfm7+U=")</f>
        <v>#VALUE!</v>
      </c>
      <c r="HW78" t="e">
        <f>AND(Data!N114,"AAAAAGfm7+Y=")</f>
        <v>#VALUE!</v>
      </c>
      <c r="HX78" t="e">
        <f>AND(Data!O114,"AAAAAGfm7+c=")</f>
        <v>#VALUE!</v>
      </c>
      <c r="HY78" t="e">
        <f>AND(Data!P114,"AAAAAGfm7+g=")</f>
        <v>#VALUE!</v>
      </c>
      <c r="HZ78" t="e">
        <f>AND(Data!Q114,"AAAAAGfm7+k=")</f>
        <v>#VALUE!</v>
      </c>
      <c r="IA78" t="e">
        <f>AND(Data!R114,"AAAAAGfm7+o=")</f>
        <v>#VALUE!</v>
      </c>
      <c r="IB78" t="e">
        <f>AND(Data!S114,"AAAAAGfm7+s=")</f>
        <v>#VALUE!</v>
      </c>
      <c r="IC78" t="e">
        <f>AND(Data!T114,"AAAAAGfm7+w=")</f>
        <v>#VALUE!</v>
      </c>
      <c r="ID78" t="e">
        <f>AND(Data!U114,"AAAAAGfm7+0=")</f>
        <v>#VALUE!</v>
      </c>
      <c r="IE78" t="e">
        <f>AND(Data!V114,"AAAAAGfm7+4=")</f>
        <v>#VALUE!</v>
      </c>
      <c r="IF78" t="e">
        <f>AND(Data!W114,"AAAAAGfm7+8=")</f>
        <v>#VALUE!</v>
      </c>
      <c r="IG78" t="e">
        <f>AND(Data!X114,"AAAAAGfm7/A=")</f>
        <v>#VALUE!</v>
      </c>
      <c r="IH78">
        <f>IF(Data!115:115,"AAAAAGfm7/E=",0)</f>
        <v>0</v>
      </c>
      <c r="II78" t="e">
        <f>AND(Data!A115,"AAAAAGfm7/I=")</f>
        <v>#VALUE!</v>
      </c>
      <c r="IJ78" t="e">
        <f>AND(Data!B115,"AAAAAGfm7/M=")</f>
        <v>#VALUE!</v>
      </c>
      <c r="IK78" t="e">
        <f>AND(Data!C115,"AAAAAGfm7/Q=")</f>
        <v>#VALUE!</v>
      </c>
      <c r="IL78" t="e">
        <f>AND(Data!D115,"AAAAAGfm7/U=")</f>
        <v>#VALUE!</v>
      </c>
      <c r="IM78" t="e">
        <f>AND(Data!E115,"AAAAAGfm7/Y=")</f>
        <v>#VALUE!</v>
      </c>
      <c r="IN78" t="e">
        <f>AND(Data!F115,"AAAAAGfm7/c=")</f>
        <v>#VALUE!</v>
      </c>
      <c r="IO78" t="e">
        <f>AND(Data!G115,"AAAAAGfm7/g=")</f>
        <v>#VALUE!</v>
      </c>
      <c r="IP78" t="e">
        <f>AND(Data!H115,"AAAAAGfm7/k=")</f>
        <v>#VALUE!</v>
      </c>
      <c r="IQ78" t="e">
        <f>AND(Data!I115,"AAAAAGfm7/o=")</f>
        <v>#VALUE!</v>
      </c>
      <c r="IR78" t="e">
        <f>AND(Data!J115,"AAAAAGfm7/s=")</f>
        <v>#VALUE!</v>
      </c>
      <c r="IS78" t="e">
        <f>AND(Data!K115,"AAAAAGfm7/w=")</f>
        <v>#VALUE!</v>
      </c>
      <c r="IT78" t="e">
        <f>AND(Data!L115,"AAAAAGfm7/0=")</f>
        <v>#VALUE!</v>
      </c>
      <c r="IU78" t="e">
        <f>AND(Data!M115,"AAAAAGfm7/4=")</f>
        <v>#VALUE!</v>
      </c>
      <c r="IV78" t="e">
        <f>AND(Data!N115,"AAAAAGfm7/8=")</f>
        <v>#VALUE!</v>
      </c>
    </row>
    <row r="79" spans="1:256" x14ac:dyDescent="0.2">
      <c r="A79" t="e">
        <f>AND(Data!O115,"AAAAAHv0nAA=")</f>
        <v>#VALUE!</v>
      </c>
      <c r="B79" t="e">
        <f>AND(Data!P115,"AAAAAHv0nAE=")</f>
        <v>#VALUE!</v>
      </c>
      <c r="C79" t="e">
        <f>AND(Data!Q115,"AAAAAHv0nAI=")</f>
        <v>#VALUE!</v>
      </c>
      <c r="D79" t="e">
        <f>AND(Data!R115,"AAAAAHv0nAM=")</f>
        <v>#VALUE!</v>
      </c>
      <c r="E79" t="e">
        <f>AND(Data!S115,"AAAAAHv0nAQ=")</f>
        <v>#VALUE!</v>
      </c>
      <c r="F79" t="e">
        <f>AND(Data!T115,"AAAAAHv0nAU=")</f>
        <v>#VALUE!</v>
      </c>
      <c r="G79" t="e">
        <f>AND(Data!U115,"AAAAAHv0nAY=")</f>
        <v>#VALUE!</v>
      </c>
      <c r="H79" t="e">
        <f>AND(Data!V115,"AAAAAHv0nAc=")</f>
        <v>#VALUE!</v>
      </c>
      <c r="I79" t="e">
        <f>AND(Data!W115,"AAAAAHv0nAg=")</f>
        <v>#VALUE!</v>
      </c>
      <c r="J79" t="e">
        <f>AND(Data!X115,"AAAAAHv0nAk=")</f>
        <v>#VALUE!</v>
      </c>
      <c r="K79">
        <f>IF(Data!116:116,"AAAAAHv0nAo=",0)</f>
        <v>0</v>
      </c>
      <c r="L79" t="e">
        <f>AND(Data!A116,"AAAAAHv0nAs=")</f>
        <v>#VALUE!</v>
      </c>
      <c r="M79" t="e">
        <f>AND(Data!B116,"AAAAAHv0nAw=")</f>
        <v>#VALUE!</v>
      </c>
      <c r="N79" t="e">
        <f>AND(Data!C116,"AAAAAHv0nA0=")</f>
        <v>#VALUE!</v>
      </c>
      <c r="O79" t="e">
        <f>AND(Data!D116,"AAAAAHv0nA4=")</f>
        <v>#VALUE!</v>
      </c>
      <c r="P79" t="e">
        <f>AND(Data!E116,"AAAAAHv0nA8=")</f>
        <v>#VALUE!</v>
      </c>
      <c r="Q79" t="e">
        <f>AND(Data!F116,"AAAAAHv0nBA=")</f>
        <v>#VALUE!</v>
      </c>
      <c r="R79" t="e">
        <f>AND(Data!G116,"AAAAAHv0nBE=")</f>
        <v>#VALUE!</v>
      </c>
      <c r="S79" t="e">
        <f>AND(Data!H116,"AAAAAHv0nBI=")</f>
        <v>#VALUE!</v>
      </c>
      <c r="T79" t="e">
        <f>AND(Data!I116,"AAAAAHv0nBM=")</f>
        <v>#VALUE!</v>
      </c>
      <c r="U79" t="e">
        <f>AND(Data!J116,"AAAAAHv0nBQ=")</f>
        <v>#VALUE!</v>
      </c>
      <c r="V79" t="e">
        <f>AND(Data!K116,"AAAAAHv0nBU=")</f>
        <v>#VALUE!</v>
      </c>
      <c r="W79" t="e">
        <f>AND(Data!L116,"AAAAAHv0nBY=")</f>
        <v>#VALUE!</v>
      </c>
      <c r="X79" t="e">
        <f>AND(Data!M116,"AAAAAHv0nBc=")</f>
        <v>#VALUE!</v>
      </c>
      <c r="Y79" t="e">
        <f>AND(Data!N116,"AAAAAHv0nBg=")</f>
        <v>#VALUE!</v>
      </c>
      <c r="Z79" t="e">
        <f>AND(Data!O116,"AAAAAHv0nBk=")</f>
        <v>#VALUE!</v>
      </c>
      <c r="AA79" t="e">
        <f>AND(Data!P116,"AAAAAHv0nBo=")</f>
        <v>#VALUE!</v>
      </c>
      <c r="AB79" t="e">
        <f>AND(Data!Q116,"AAAAAHv0nBs=")</f>
        <v>#VALUE!</v>
      </c>
      <c r="AC79" t="e">
        <f>AND(Data!R116,"AAAAAHv0nBw=")</f>
        <v>#VALUE!</v>
      </c>
      <c r="AD79" t="e">
        <f>AND(Data!S116,"AAAAAHv0nB0=")</f>
        <v>#VALUE!</v>
      </c>
      <c r="AE79" t="e">
        <f>AND(Data!T116,"AAAAAHv0nB4=")</f>
        <v>#VALUE!</v>
      </c>
      <c r="AF79" t="e">
        <f>AND(Data!U116,"AAAAAHv0nB8=")</f>
        <v>#VALUE!</v>
      </c>
      <c r="AG79" t="e">
        <f>AND(Data!V116,"AAAAAHv0nCA=")</f>
        <v>#VALUE!</v>
      </c>
      <c r="AH79" t="e">
        <f>AND(Data!W116,"AAAAAHv0nCE=")</f>
        <v>#VALUE!</v>
      </c>
      <c r="AI79" t="e">
        <f>AND(Data!X116,"AAAAAHv0nCI=")</f>
        <v>#VALUE!</v>
      </c>
      <c r="AJ79">
        <f>IF(Data!117:117,"AAAAAHv0nCM=",0)</f>
        <v>0</v>
      </c>
      <c r="AK79" t="e">
        <f>AND(Data!A117,"AAAAAHv0nCQ=")</f>
        <v>#VALUE!</v>
      </c>
      <c r="AL79" t="e">
        <f>AND(Data!B117,"AAAAAHv0nCU=")</f>
        <v>#VALUE!</v>
      </c>
      <c r="AM79" t="e">
        <f>AND(Data!C117,"AAAAAHv0nCY=")</f>
        <v>#VALUE!</v>
      </c>
      <c r="AN79" t="e">
        <f>AND(Data!D117,"AAAAAHv0nCc=")</f>
        <v>#VALUE!</v>
      </c>
      <c r="AO79" t="e">
        <f>AND(Data!E117,"AAAAAHv0nCg=")</f>
        <v>#VALUE!</v>
      </c>
      <c r="AP79" t="e">
        <f>AND(Data!F117,"AAAAAHv0nCk=")</f>
        <v>#VALUE!</v>
      </c>
      <c r="AQ79" t="e">
        <f>AND(Data!G117,"AAAAAHv0nCo=")</f>
        <v>#VALUE!</v>
      </c>
      <c r="AR79" t="e">
        <f>AND(Data!H117,"AAAAAHv0nCs=")</f>
        <v>#VALUE!</v>
      </c>
      <c r="AS79" t="e">
        <f>AND(Data!I117,"AAAAAHv0nCw=")</f>
        <v>#VALUE!</v>
      </c>
      <c r="AT79" t="e">
        <f>AND(Data!J117,"AAAAAHv0nC0=")</f>
        <v>#VALUE!</v>
      </c>
      <c r="AU79" t="e">
        <f>AND(Data!K117,"AAAAAHv0nC4=")</f>
        <v>#VALUE!</v>
      </c>
      <c r="AV79" t="e">
        <f>AND(Data!L117,"AAAAAHv0nC8=")</f>
        <v>#VALUE!</v>
      </c>
      <c r="AW79" t="e">
        <f>AND(Data!M117,"AAAAAHv0nDA=")</f>
        <v>#VALUE!</v>
      </c>
      <c r="AX79" t="e">
        <f>AND(Data!N117,"AAAAAHv0nDE=")</f>
        <v>#VALUE!</v>
      </c>
      <c r="AY79" t="e">
        <f>AND(Data!O117,"AAAAAHv0nDI=")</f>
        <v>#VALUE!</v>
      </c>
      <c r="AZ79" t="e">
        <f>AND(Data!P117,"AAAAAHv0nDM=")</f>
        <v>#VALUE!</v>
      </c>
      <c r="BA79" t="e">
        <f>AND(Data!Q117,"AAAAAHv0nDQ=")</f>
        <v>#VALUE!</v>
      </c>
      <c r="BB79" t="e">
        <f>AND(Data!R117,"AAAAAHv0nDU=")</f>
        <v>#VALUE!</v>
      </c>
      <c r="BC79" t="e">
        <f>AND(Data!S117,"AAAAAHv0nDY=")</f>
        <v>#VALUE!</v>
      </c>
      <c r="BD79" t="e">
        <f>AND(Data!T117,"AAAAAHv0nDc=")</f>
        <v>#VALUE!</v>
      </c>
      <c r="BE79" t="e">
        <f>AND(Data!U117,"AAAAAHv0nDg=")</f>
        <v>#VALUE!</v>
      </c>
      <c r="BF79" t="e">
        <f>AND(Data!V117,"AAAAAHv0nDk=")</f>
        <v>#VALUE!</v>
      </c>
      <c r="BG79" t="e">
        <f>AND(Data!W117,"AAAAAHv0nDo=")</f>
        <v>#VALUE!</v>
      </c>
      <c r="BH79" t="e">
        <f>AND(Data!X117,"AAAAAHv0nDs=")</f>
        <v>#VALUE!</v>
      </c>
      <c r="BI79">
        <f>IF(Data!118:118,"AAAAAHv0nDw=",0)</f>
        <v>0</v>
      </c>
      <c r="BJ79" t="e">
        <f>AND(Data!A118,"AAAAAHv0nD0=")</f>
        <v>#VALUE!</v>
      </c>
      <c r="BK79" t="e">
        <f>AND(Data!B118,"AAAAAHv0nD4=")</f>
        <v>#VALUE!</v>
      </c>
      <c r="BL79" t="e">
        <f>AND(Data!C118,"AAAAAHv0nD8=")</f>
        <v>#VALUE!</v>
      </c>
      <c r="BM79" t="e">
        <f>AND(Data!D118,"AAAAAHv0nEA=")</f>
        <v>#VALUE!</v>
      </c>
      <c r="BN79" t="e">
        <f>AND(Data!E118,"AAAAAHv0nEE=")</f>
        <v>#VALUE!</v>
      </c>
      <c r="BO79" t="e">
        <f>AND(Data!F118,"AAAAAHv0nEI=")</f>
        <v>#VALUE!</v>
      </c>
      <c r="BP79" t="e">
        <f>AND(Data!G118,"AAAAAHv0nEM=")</f>
        <v>#VALUE!</v>
      </c>
      <c r="BQ79" t="e">
        <f>AND(Data!H118,"AAAAAHv0nEQ=")</f>
        <v>#VALUE!</v>
      </c>
      <c r="BR79" t="e">
        <f>AND(Data!I118,"AAAAAHv0nEU=")</f>
        <v>#VALUE!</v>
      </c>
      <c r="BS79" t="e">
        <f>AND(Data!J118,"AAAAAHv0nEY=")</f>
        <v>#VALUE!</v>
      </c>
      <c r="BT79" t="e">
        <f>AND(Data!K118,"AAAAAHv0nEc=")</f>
        <v>#VALUE!</v>
      </c>
      <c r="BU79" t="e">
        <f>AND(Data!L118,"AAAAAHv0nEg=")</f>
        <v>#VALUE!</v>
      </c>
      <c r="BV79" t="e">
        <f>AND(Data!M118,"AAAAAHv0nEk=")</f>
        <v>#VALUE!</v>
      </c>
      <c r="BW79" t="e">
        <f>AND(Data!N118,"AAAAAHv0nEo=")</f>
        <v>#VALUE!</v>
      </c>
      <c r="BX79" t="e">
        <f>AND(Data!O118,"AAAAAHv0nEs=")</f>
        <v>#VALUE!</v>
      </c>
      <c r="BY79" t="e">
        <f>AND(Data!P118,"AAAAAHv0nEw=")</f>
        <v>#VALUE!</v>
      </c>
      <c r="BZ79" t="e">
        <f>AND(Data!Q118,"AAAAAHv0nE0=")</f>
        <v>#VALUE!</v>
      </c>
      <c r="CA79" t="e">
        <f>AND(Data!R118,"AAAAAHv0nE4=")</f>
        <v>#VALUE!</v>
      </c>
      <c r="CB79" t="e">
        <f>AND(Data!S118,"AAAAAHv0nE8=")</f>
        <v>#VALUE!</v>
      </c>
      <c r="CC79" t="e">
        <f>AND(Data!T118,"AAAAAHv0nFA=")</f>
        <v>#VALUE!</v>
      </c>
      <c r="CD79" t="e">
        <f>AND(Data!U118,"AAAAAHv0nFE=")</f>
        <v>#VALUE!</v>
      </c>
      <c r="CE79" t="e">
        <f>AND(Data!V118,"AAAAAHv0nFI=")</f>
        <v>#VALUE!</v>
      </c>
      <c r="CF79" t="e">
        <f>AND(Data!W118,"AAAAAHv0nFM=")</f>
        <v>#VALUE!</v>
      </c>
      <c r="CG79" t="e">
        <f>AND(Data!X118,"AAAAAHv0nFQ=")</f>
        <v>#VALUE!</v>
      </c>
      <c r="CH79">
        <f>IF(Data!119:119,"AAAAAHv0nFU=",0)</f>
        <v>0</v>
      </c>
      <c r="CI79" t="e">
        <f>AND(Data!A119,"AAAAAHv0nFY=")</f>
        <v>#VALUE!</v>
      </c>
      <c r="CJ79" t="e">
        <f>AND(Data!B119,"AAAAAHv0nFc=")</f>
        <v>#VALUE!</v>
      </c>
      <c r="CK79" t="e">
        <f>AND(Data!C119,"AAAAAHv0nFg=")</f>
        <v>#VALUE!</v>
      </c>
      <c r="CL79" t="e">
        <f>AND(Data!D119,"AAAAAHv0nFk=")</f>
        <v>#VALUE!</v>
      </c>
      <c r="CM79" t="e">
        <f>AND(Data!E119,"AAAAAHv0nFo=")</f>
        <v>#VALUE!</v>
      </c>
      <c r="CN79" t="e">
        <f>AND(Data!F119,"AAAAAHv0nFs=")</f>
        <v>#VALUE!</v>
      </c>
      <c r="CO79" t="e">
        <f>AND(Data!G119,"AAAAAHv0nFw=")</f>
        <v>#VALUE!</v>
      </c>
      <c r="CP79" t="e">
        <f>AND(Data!H119,"AAAAAHv0nF0=")</f>
        <v>#VALUE!</v>
      </c>
      <c r="CQ79" t="e">
        <f>AND(Data!I119,"AAAAAHv0nF4=")</f>
        <v>#VALUE!</v>
      </c>
      <c r="CR79" t="e">
        <f>AND(Data!J119,"AAAAAHv0nF8=")</f>
        <v>#VALUE!</v>
      </c>
      <c r="CS79" t="e">
        <f>AND(Data!K119,"AAAAAHv0nGA=")</f>
        <v>#VALUE!</v>
      </c>
      <c r="CT79" t="e">
        <f>AND(Data!L119,"AAAAAHv0nGE=")</f>
        <v>#VALUE!</v>
      </c>
      <c r="CU79" t="e">
        <f>AND(Data!M119,"AAAAAHv0nGI=")</f>
        <v>#VALUE!</v>
      </c>
      <c r="CV79" t="e">
        <f>AND(Data!N119,"AAAAAHv0nGM=")</f>
        <v>#VALUE!</v>
      </c>
      <c r="CW79" t="e">
        <f>AND(Data!O119,"AAAAAHv0nGQ=")</f>
        <v>#VALUE!</v>
      </c>
      <c r="CX79" t="e">
        <f>AND(Data!P119,"AAAAAHv0nGU=")</f>
        <v>#VALUE!</v>
      </c>
      <c r="CY79" t="e">
        <f>AND(Data!Q119,"AAAAAHv0nGY=")</f>
        <v>#VALUE!</v>
      </c>
      <c r="CZ79" t="e">
        <f>AND(Data!R119,"AAAAAHv0nGc=")</f>
        <v>#VALUE!</v>
      </c>
      <c r="DA79" t="e">
        <f>AND(Data!S119,"AAAAAHv0nGg=")</f>
        <v>#VALUE!</v>
      </c>
      <c r="DB79" t="e">
        <f>AND(Data!T119,"AAAAAHv0nGk=")</f>
        <v>#VALUE!</v>
      </c>
      <c r="DC79" t="e">
        <f>AND(Data!U119,"AAAAAHv0nGo=")</f>
        <v>#VALUE!</v>
      </c>
      <c r="DD79" t="e">
        <f>AND(Data!V119,"AAAAAHv0nGs=")</f>
        <v>#VALUE!</v>
      </c>
      <c r="DE79" t="e">
        <f>AND(Data!W119,"AAAAAHv0nGw=")</f>
        <v>#VALUE!</v>
      </c>
      <c r="DF79" t="e">
        <f>AND(Data!X119,"AAAAAHv0nG0=")</f>
        <v>#VALUE!</v>
      </c>
      <c r="DG79">
        <f>IF(Data!120:120,"AAAAAHv0nG4=",0)</f>
        <v>0</v>
      </c>
      <c r="DH79" t="e">
        <f>AND(Data!A120,"AAAAAHv0nG8=")</f>
        <v>#VALUE!</v>
      </c>
      <c r="DI79" t="e">
        <f>AND(Data!B120,"AAAAAHv0nHA=")</f>
        <v>#VALUE!</v>
      </c>
      <c r="DJ79" t="e">
        <f>AND(Data!C120,"AAAAAHv0nHE=")</f>
        <v>#VALUE!</v>
      </c>
      <c r="DK79" t="e">
        <f>AND(Data!D120,"AAAAAHv0nHI=")</f>
        <v>#VALUE!</v>
      </c>
      <c r="DL79" t="e">
        <f>AND(Data!E120,"AAAAAHv0nHM=")</f>
        <v>#VALUE!</v>
      </c>
      <c r="DM79" t="e">
        <f>AND(Data!F120,"AAAAAHv0nHQ=")</f>
        <v>#VALUE!</v>
      </c>
      <c r="DN79" t="e">
        <f>AND(Data!G120,"AAAAAHv0nHU=")</f>
        <v>#VALUE!</v>
      </c>
      <c r="DO79" t="e">
        <f>AND(Data!H120,"AAAAAHv0nHY=")</f>
        <v>#VALUE!</v>
      </c>
      <c r="DP79" t="e">
        <f>AND(Data!I120,"AAAAAHv0nHc=")</f>
        <v>#VALUE!</v>
      </c>
      <c r="DQ79" t="e">
        <f>AND(Data!J120,"AAAAAHv0nHg=")</f>
        <v>#VALUE!</v>
      </c>
      <c r="DR79" t="e">
        <f>AND(Data!K120,"AAAAAHv0nHk=")</f>
        <v>#VALUE!</v>
      </c>
      <c r="DS79" t="e">
        <f>AND(Data!L120,"AAAAAHv0nHo=")</f>
        <v>#VALUE!</v>
      </c>
      <c r="DT79" t="e">
        <f>AND(Data!M120,"AAAAAHv0nHs=")</f>
        <v>#VALUE!</v>
      </c>
      <c r="DU79" t="e">
        <f>AND(Data!N120,"AAAAAHv0nHw=")</f>
        <v>#VALUE!</v>
      </c>
      <c r="DV79" t="e">
        <f>AND(Data!O120,"AAAAAHv0nH0=")</f>
        <v>#VALUE!</v>
      </c>
      <c r="DW79" t="e">
        <f>AND(Data!P120,"AAAAAHv0nH4=")</f>
        <v>#VALUE!</v>
      </c>
      <c r="DX79" t="e">
        <f>AND(Data!Q120,"AAAAAHv0nH8=")</f>
        <v>#VALUE!</v>
      </c>
      <c r="DY79" t="e">
        <f>AND(Data!R120,"AAAAAHv0nIA=")</f>
        <v>#VALUE!</v>
      </c>
      <c r="DZ79" t="e">
        <f>AND(Data!S120,"AAAAAHv0nIE=")</f>
        <v>#VALUE!</v>
      </c>
      <c r="EA79" t="e">
        <f>AND(Data!T120,"AAAAAHv0nII=")</f>
        <v>#VALUE!</v>
      </c>
      <c r="EB79" t="e">
        <f>AND(Data!U120,"AAAAAHv0nIM=")</f>
        <v>#VALUE!</v>
      </c>
      <c r="EC79" t="e">
        <f>AND(Data!V120,"AAAAAHv0nIQ=")</f>
        <v>#VALUE!</v>
      </c>
      <c r="ED79" t="e">
        <f>AND(Data!W120,"AAAAAHv0nIU=")</f>
        <v>#VALUE!</v>
      </c>
      <c r="EE79" t="e">
        <f>AND(Data!X120,"AAAAAHv0nIY=")</f>
        <v>#VALUE!</v>
      </c>
      <c r="EF79">
        <f>IF(Data!121:121,"AAAAAHv0nIc=",0)</f>
        <v>0</v>
      </c>
      <c r="EG79" t="e">
        <f>AND(Data!A121,"AAAAAHv0nIg=")</f>
        <v>#VALUE!</v>
      </c>
      <c r="EH79" t="e">
        <f>AND(Data!B121,"AAAAAHv0nIk=")</f>
        <v>#VALUE!</v>
      </c>
      <c r="EI79" t="e">
        <f>AND(Data!C121,"AAAAAHv0nIo=")</f>
        <v>#VALUE!</v>
      </c>
      <c r="EJ79" t="e">
        <f>AND(Data!D121,"AAAAAHv0nIs=")</f>
        <v>#VALUE!</v>
      </c>
      <c r="EK79" t="e">
        <f>AND(Data!E121,"AAAAAHv0nIw=")</f>
        <v>#VALUE!</v>
      </c>
      <c r="EL79" t="e">
        <f>AND(Data!F121,"AAAAAHv0nI0=")</f>
        <v>#VALUE!</v>
      </c>
      <c r="EM79" t="e">
        <f>AND(Data!G121,"AAAAAHv0nI4=")</f>
        <v>#VALUE!</v>
      </c>
      <c r="EN79" t="e">
        <f>AND(Data!H121,"AAAAAHv0nI8=")</f>
        <v>#VALUE!</v>
      </c>
      <c r="EO79" t="e">
        <f>AND(Data!I121,"AAAAAHv0nJA=")</f>
        <v>#VALUE!</v>
      </c>
      <c r="EP79" t="e">
        <f>AND(Data!J121,"AAAAAHv0nJE=")</f>
        <v>#VALUE!</v>
      </c>
      <c r="EQ79" t="e">
        <f>AND(Data!K121,"AAAAAHv0nJI=")</f>
        <v>#VALUE!</v>
      </c>
      <c r="ER79" t="e">
        <f>AND(Data!L121,"AAAAAHv0nJM=")</f>
        <v>#VALUE!</v>
      </c>
      <c r="ES79" t="e">
        <f>AND(Data!M121,"AAAAAHv0nJQ=")</f>
        <v>#VALUE!</v>
      </c>
      <c r="ET79" t="e">
        <f>AND(Data!N121,"AAAAAHv0nJU=")</f>
        <v>#VALUE!</v>
      </c>
      <c r="EU79" t="e">
        <f>AND(Data!O121,"AAAAAHv0nJY=")</f>
        <v>#VALUE!</v>
      </c>
      <c r="EV79" t="e">
        <f>AND(Data!P121,"AAAAAHv0nJc=")</f>
        <v>#VALUE!</v>
      </c>
      <c r="EW79" t="e">
        <f>AND(Data!Q121,"AAAAAHv0nJg=")</f>
        <v>#VALUE!</v>
      </c>
      <c r="EX79" t="e">
        <f>AND(Data!R121,"AAAAAHv0nJk=")</f>
        <v>#VALUE!</v>
      </c>
      <c r="EY79" t="e">
        <f>AND(Data!S121,"AAAAAHv0nJo=")</f>
        <v>#VALUE!</v>
      </c>
      <c r="EZ79" t="e">
        <f>AND(Data!T121,"AAAAAHv0nJs=")</f>
        <v>#VALUE!</v>
      </c>
      <c r="FA79" t="e">
        <f>AND(Data!U121,"AAAAAHv0nJw=")</f>
        <v>#VALUE!</v>
      </c>
      <c r="FB79" t="e">
        <f>AND(Data!V121,"AAAAAHv0nJ0=")</f>
        <v>#VALUE!</v>
      </c>
      <c r="FC79" t="e">
        <f>AND(Data!W121,"AAAAAHv0nJ4=")</f>
        <v>#VALUE!</v>
      </c>
      <c r="FD79" t="e">
        <f>AND(Data!X121,"AAAAAHv0nJ8=")</f>
        <v>#VALUE!</v>
      </c>
      <c r="FE79">
        <f>IF(Data!122:122,"AAAAAHv0nKA=",0)</f>
        <v>0</v>
      </c>
      <c r="FF79" t="e">
        <f>AND(Data!A122,"AAAAAHv0nKE=")</f>
        <v>#VALUE!</v>
      </c>
      <c r="FG79" t="e">
        <f>AND(Data!B122,"AAAAAHv0nKI=")</f>
        <v>#VALUE!</v>
      </c>
      <c r="FH79" t="e">
        <f>AND(Data!C122,"AAAAAHv0nKM=")</f>
        <v>#VALUE!</v>
      </c>
      <c r="FI79" t="e">
        <f>AND(Data!D122,"AAAAAHv0nKQ=")</f>
        <v>#VALUE!</v>
      </c>
      <c r="FJ79" t="e">
        <f>AND(Data!E122,"AAAAAHv0nKU=")</f>
        <v>#VALUE!</v>
      </c>
      <c r="FK79" t="e">
        <f>AND(Data!F122,"AAAAAHv0nKY=")</f>
        <v>#VALUE!</v>
      </c>
      <c r="FL79" t="e">
        <f>AND(Data!G122,"AAAAAHv0nKc=")</f>
        <v>#VALUE!</v>
      </c>
      <c r="FM79" t="e">
        <f>AND(Data!H122,"AAAAAHv0nKg=")</f>
        <v>#VALUE!</v>
      </c>
      <c r="FN79" t="e">
        <f>AND(Data!I122,"AAAAAHv0nKk=")</f>
        <v>#VALUE!</v>
      </c>
      <c r="FO79" t="e">
        <f>AND(Data!J122,"AAAAAHv0nKo=")</f>
        <v>#VALUE!</v>
      </c>
      <c r="FP79" t="e">
        <f>AND(Data!K122,"AAAAAHv0nKs=")</f>
        <v>#VALUE!</v>
      </c>
      <c r="FQ79" t="e">
        <f>AND(Data!L122,"AAAAAHv0nKw=")</f>
        <v>#VALUE!</v>
      </c>
      <c r="FR79" t="e">
        <f>AND(Data!M122,"AAAAAHv0nK0=")</f>
        <v>#VALUE!</v>
      </c>
      <c r="FS79" t="e">
        <f>AND(Data!N122,"AAAAAHv0nK4=")</f>
        <v>#VALUE!</v>
      </c>
      <c r="FT79" t="e">
        <f>AND(Data!O122,"AAAAAHv0nK8=")</f>
        <v>#VALUE!</v>
      </c>
      <c r="FU79" t="e">
        <f>AND(Data!P122,"AAAAAHv0nLA=")</f>
        <v>#VALUE!</v>
      </c>
      <c r="FV79" t="e">
        <f>AND(Data!Q122,"AAAAAHv0nLE=")</f>
        <v>#VALUE!</v>
      </c>
      <c r="FW79" t="e">
        <f>AND(Data!R122,"AAAAAHv0nLI=")</f>
        <v>#VALUE!</v>
      </c>
      <c r="FX79" t="e">
        <f>AND(Data!S122,"AAAAAHv0nLM=")</f>
        <v>#VALUE!</v>
      </c>
      <c r="FY79" t="e">
        <f>AND(Data!T122,"AAAAAHv0nLQ=")</f>
        <v>#VALUE!</v>
      </c>
      <c r="FZ79" t="e">
        <f>AND(Data!U122,"AAAAAHv0nLU=")</f>
        <v>#VALUE!</v>
      </c>
      <c r="GA79" t="e">
        <f>AND(Data!V122,"AAAAAHv0nLY=")</f>
        <v>#VALUE!</v>
      </c>
      <c r="GB79" t="e">
        <f>AND(Data!W122,"AAAAAHv0nLc=")</f>
        <v>#VALUE!</v>
      </c>
      <c r="GC79" t="e">
        <f>AND(Data!X122,"AAAAAHv0nLg=")</f>
        <v>#VALUE!</v>
      </c>
      <c r="GD79">
        <f>IF(Data!123:123,"AAAAAHv0nLk=",0)</f>
        <v>0</v>
      </c>
      <c r="GE79" t="e">
        <f>AND(Data!A123,"AAAAAHv0nLo=")</f>
        <v>#VALUE!</v>
      </c>
      <c r="GF79" t="e">
        <f>AND(Data!B123,"AAAAAHv0nLs=")</f>
        <v>#VALUE!</v>
      </c>
      <c r="GG79" t="e">
        <f>AND(Data!C123,"AAAAAHv0nLw=")</f>
        <v>#VALUE!</v>
      </c>
      <c r="GH79" t="e">
        <f>AND(Data!D123,"AAAAAHv0nL0=")</f>
        <v>#VALUE!</v>
      </c>
      <c r="GI79" t="e">
        <f>AND(Data!E123,"AAAAAHv0nL4=")</f>
        <v>#VALUE!</v>
      </c>
      <c r="GJ79" t="e">
        <f>AND(Data!F123,"AAAAAHv0nL8=")</f>
        <v>#VALUE!</v>
      </c>
      <c r="GK79" t="e">
        <f>AND(Data!G123,"AAAAAHv0nMA=")</f>
        <v>#VALUE!</v>
      </c>
      <c r="GL79" t="e">
        <f>AND(Data!H123,"AAAAAHv0nME=")</f>
        <v>#VALUE!</v>
      </c>
      <c r="GM79" t="e">
        <f>AND(Data!I123,"AAAAAHv0nMI=")</f>
        <v>#VALUE!</v>
      </c>
      <c r="GN79" t="e">
        <f>AND(Data!J123,"AAAAAHv0nMM=")</f>
        <v>#VALUE!</v>
      </c>
      <c r="GO79" t="e">
        <f>AND(Data!K123,"AAAAAHv0nMQ=")</f>
        <v>#VALUE!</v>
      </c>
      <c r="GP79" t="e">
        <f>AND(Data!L123,"AAAAAHv0nMU=")</f>
        <v>#VALUE!</v>
      </c>
      <c r="GQ79" t="e">
        <f>AND(Data!M123,"AAAAAHv0nMY=")</f>
        <v>#VALUE!</v>
      </c>
      <c r="GR79" t="e">
        <f>AND(Data!N123,"AAAAAHv0nMc=")</f>
        <v>#VALUE!</v>
      </c>
      <c r="GS79" t="e">
        <f>AND(Data!O123,"AAAAAHv0nMg=")</f>
        <v>#VALUE!</v>
      </c>
      <c r="GT79" t="e">
        <f>AND(Data!P123,"AAAAAHv0nMk=")</f>
        <v>#VALUE!</v>
      </c>
      <c r="GU79" t="e">
        <f>AND(Data!Q123,"AAAAAHv0nMo=")</f>
        <v>#VALUE!</v>
      </c>
      <c r="GV79" t="e">
        <f>AND(Data!R123,"AAAAAHv0nMs=")</f>
        <v>#VALUE!</v>
      </c>
      <c r="GW79" t="e">
        <f>AND(Data!S123,"AAAAAHv0nMw=")</f>
        <v>#VALUE!</v>
      </c>
      <c r="GX79" t="e">
        <f>AND(Data!T123,"AAAAAHv0nM0=")</f>
        <v>#VALUE!</v>
      </c>
      <c r="GY79" t="e">
        <f>AND(Data!U123,"AAAAAHv0nM4=")</f>
        <v>#VALUE!</v>
      </c>
      <c r="GZ79" t="e">
        <f>AND(Data!V123,"AAAAAHv0nM8=")</f>
        <v>#VALUE!</v>
      </c>
      <c r="HA79" t="e">
        <f>AND(Data!W123,"AAAAAHv0nNA=")</f>
        <v>#VALUE!</v>
      </c>
      <c r="HB79" t="e">
        <f>AND(Data!X123,"AAAAAHv0nNE=")</f>
        <v>#VALUE!</v>
      </c>
      <c r="HC79">
        <f>IF(Data!124:124,"AAAAAHv0nNI=",0)</f>
        <v>0</v>
      </c>
      <c r="HD79" t="e">
        <f>AND(Data!A124,"AAAAAHv0nNM=")</f>
        <v>#VALUE!</v>
      </c>
      <c r="HE79" t="e">
        <f>AND(Data!B124,"AAAAAHv0nNQ=")</f>
        <v>#VALUE!</v>
      </c>
      <c r="HF79" t="e">
        <f>AND(Data!C124,"AAAAAHv0nNU=")</f>
        <v>#VALUE!</v>
      </c>
      <c r="HG79" t="e">
        <f>AND(Data!D124,"AAAAAHv0nNY=")</f>
        <v>#VALUE!</v>
      </c>
      <c r="HH79" t="e">
        <f>AND(Data!E124,"AAAAAHv0nNc=")</f>
        <v>#VALUE!</v>
      </c>
      <c r="HI79" t="e">
        <f>AND(Data!F124,"AAAAAHv0nNg=")</f>
        <v>#VALUE!</v>
      </c>
      <c r="HJ79" t="e">
        <f>AND(Data!G124,"AAAAAHv0nNk=")</f>
        <v>#VALUE!</v>
      </c>
      <c r="HK79" t="e">
        <f>AND(Data!H124,"AAAAAHv0nNo=")</f>
        <v>#VALUE!</v>
      </c>
      <c r="HL79" t="e">
        <f>AND(Data!I124,"AAAAAHv0nNs=")</f>
        <v>#VALUE!</v>
      </c>
      <c r="HM79" t="e">
        <f>AND(Data!J124,"AAAAAHv0nNw=")</f>
        <v>#VALUE!</v>
      </c>
      <c r="HN79" t="e">
        <f>AND(Data!K124,"AAAAAHv0nN0=")</f>
        <v>#VALUE!</v>
      </c>
      <c r="HO79" t="e">
        <f>AND(Data!L124,"AAAAAHv0nN4=")</f>
        <v>#VALUE!</v>
      </c>
      <c r="HP79" t="e">
        <f>AND(Data!M124,"AAAAAHv0nN8=")</f>
        <v>#VALUE!</v>
      </c>
      <c r="HQ79" t="e">
        <f>AND(Data!N124,"AAAAAHv0nOA=")</f>
        <v>#VALUE!</v>
      </c>
      <c r="HR79" t="e">
        <f>AND(Data!O124,"AAAAAHv0nOE=")</f>
        <v>#VALUE!</v>
      </c>
      <c r="HS79" t="e">
        <f>AND(Data!P124,"AAAAAHv0nOI=")</f>
        <v>#VALUE!</v>
      </c>
      <c r="HT79" t="e">
        <f>AND(Data!Q124,"AAAAAHv0nOM=")</f>
        <v>#VALUE!</v>
      </c>
      <c r="HU79" t="e">
        <f>AND(Data!R124,"AAAAAHv0nOQ=")</f>
        <v>#VALUE!</v>
      </c>
      <c r="HV79" t="e">
        <f>AND(Data!S124,"AAAAAHv0nOU=")</f>
        <v>#VALUE!</v>
      </c>
      <c r="HW79" t="e">
        <f>AND(Data!T124,"AAAAAHv0nOY=")</f>
        <v>#VALUE!</v>
      </c>
      <c r="HX79" t="e">
        <f>AND(Data!U124,"AAAAAHv0nOc=")</f>
        <v>#VALUE!</v>
      </c>
      <c r="HY79" t="e">
        <f>AND(Data!V124,"AAAAAHv0nOg=")</f>
        <v>#VALUE!</v>
      </c>
      <c r="HZ79" t="e">
        <f>AND(Data!W124,"AAAAAHv0nOk=")</f>
        <v>#VALUE!</v>
      </c>
      <c r="IA79" t="e">
        <f>AND(Data!X124,"AAAAAHv0nOo=")</f>
        <v>#VALUE!</v>
      </c>
      <c r="IB79">
        <f>IF(Data!125:125,"AAAAAHv0nOs=",0)</f>
        <v>0</v>
      </c>
      <c r="IC79" t="e">
        <f>AND(Data!A125,"AAAAAHv0nOw=")</f>
        <v>#VALUE!</v>
      </c>
      <c r="ID79" t="e">
        <f>AND(Data!B125,"AAAAAHv0nO0=")</f>
        <v>#VALUE!</v>
      </c>
      <c r="IE79" t="e">
        <f>AND(Data!C125,"AAAAAHv0nO4=")</f>
        <v>#VALUE!</v>
      </c>
      <c r="IF79" t="e">
        <f>AND(Data!D125,"AAAAAHv0nO8=")</f>
        <v>#VALUE!</v>
      </c>
      <c r="IG79" t="e">
        <f>AND(Data!E125,"AAAAAHv0nPA=")</f>
        <v>#VALUE!</v>
      </c>
      <c r="IH79" t="e">
        <f>AND(Data!F125,"AAAAAHv0nPE=")</f>
        <v>#VALUE!</v>
      </c>
      <c r="II79" t="e">
        <f>AND(Data!G125,"AAAAAHv0nPI=")</f>
        <v>#VALUE!</v>
      </c>
      <c r="IJ79" t="e">
        <f>AND(Data!H125,"AAAAAHv0nPM=")</f>
        <v>#VALUE!</v>
      </c>
      <c r="IK79" t="e">
        <f>AND(Data!I125,"AAAAAHv0nPQ=")</f>
        <v>#VALUE!</v>
      </c>
      <c r="IL79" t="e">
        <f>AND(Data!J125,"AAAAAHv0nPU=")</f>
        <v>#VALUE!</v>
      </c>
      <c r="IM79" t="e">
        <f>AND(Data!K125,"AAAAAHv0nPY=")</f>
        <v>#VALUE!</v>
      </c>
      <c r="IN79" t="e">
        <f>AND(Data!L125,"AAAAAHv0nPc=")</f>
        <v>#VALUE!</v>
      </c>
      <c r="IO79" t="e">
        <f>AND(Data!M125,"AAAAAHv0nPg=")</f>
        <v>#VALUE!</v>
      </c>
      <c r="IP79" t="e">
        <f>AND(Data!N125,"AAAAAHv0nPk=")</f>
        <v>#VALUE!</v>
      </c>
      <c r="IQ79" t="e">
        <f>AND(Data!O125,"AAAAAHv0nPo=")</f>
        <v>#VALUE!</v>
      </c>
      <c r="IR79" t="e">
        <f>AND(Data!P125,"AAAAAHv0nPs=")</f>
        <v>#VALUE!</v>
      </c>
      <c r="IS79" t="e">
        <f>AND(Data!Q125,"AAAAAHv0nPw=")</f>
        <v>#VALUE!</v>
      </c>
      <c r="IT79" t="e">
        <f>AND(Data!R125,"AAAAAHv0nP0=")</f>
        <v>#VALUE!</v>
      </c>
      <c r="IU79" t="e">
        <f>AND(Data!S125,"AAAAAHv0nP4=")</f>
        <v>#VALUE!</v>
      </c>
      <c r="IV79" t="e">
        <f>AND(Data!T125,"AAAAAHv0nP8=")</f>
        <v>#VALUE!</v>
      </c>
    </row>
    <row r="80" spans="1:256" x14ac:dyDescent="0.2">
      <c r="A80" t="e">
        <f>AND(Data!U125,"AAAAAH//dgA=")</f>
        <v>#VALUE!</v>
      </c>
      <c r="B80" t="e">
        <f>AND(Data!V125,"AAAAAH//dgE=")</f>
        <v>#VALUE!</v>
      </c>
      <c r="C80" t="e">
        <f>AND(Data!W125,"AAAAAH//dgI=")</f>
        <v>#VALUE!</v>
      </c>
      <c r="D80" t="e">
        <f>AND(Data!X125,"AAAAAH//dgM=")</f>
        <v>#VALUE!</v>
      </c>
      <c r="E80">
        <f>IF(Data!126:126,"AAAAAH//dgQ=",0)</f>
        <v>0</v>
      </c>
      <c r="F80" t="e">
        <f>AND(Data!A126,"AAAAAH//dgU=")</f>
        <v>#VALUE!</v>
      </c>
      <c r="G80" t="e">
        <f>AND(Data!B126,"AAAAAH//dgY=")</f>
        <v>#VALUE!</v>
      </c>
      <c r="H80" t="e">
        <f>AND(Data!C126,"AAAAAH//dgc=")</f>
        <v>#VALUE!</v>
      </c>
      <c r="I80" t="e">
        <f>AND(Data!D126,"AAAAAH//dgg=")</f>
        <v>#VALUE!</v>
      </c>
      <c r="J80" t="e">
        <f>AND(Data!E126,"AAAAAH//dgk=")</f>
        <v>#VALUE!</v>
      </c>
      <c r="K80" t="e">
        <f>AND(Data!F126,"AAAAAH//dgo=")</f>
        <v>#VALUE!</v>
      </c>
      <c r="L80" t="e">
        <f>AND(Data!G126,"AAAAAH//dgs=")</f>
        <v>#VALUE!</v>
      </c>
      <c r="M80" t="e">
        <f>AND(Data!H126,"AAAAAH//dgw=")</f>
        <v>#VALUE!</v>
      </c>
      <c r="N80" t="e">
        <f>AND(Data!I126,"AAAAAH//dg0=")</f>
        <v>#VALUE!</v>
      </c>
      <c r="O80" t="e">
        <f>AND(Data!J126,"AAAAAH//dg4=")</f>
        <v>#VALUE!</v>
      </c>
      <c r="P80" t="e">
        <f>AND(Data!K126,"AAAAAH//dg8=")</f>
        <v>#VALUE!</v>
      </c>
      <c r="Q80" t="e">
        <f>AND(Data!L126,"AAAAAH//dhA=")</f>
        <v>#VALUE!</v>
      </c>
      <c r="R80" t="e">
        <f>AND(Data!M126,"AAAAAH//dhE=")</f>
        <v>#VALUE!</v>
      </c>
      <c r="S80" t="e">
        <f>AND(Data!N126,"AAAAAH//dhI=")</f>
        <v>#VALUE!</v>
      </c>
      <c r="T80" t="e">
        <f>AND(Data!O126,"AAAAAH//dhM=")</f>
        <v>#VALUE!</v>
      </c>
      <c r="U80" t="e">
        <f>AND(Data!P126,"AAAAAH//dhQ=")</f>
        <v>#VALUE!</v>
      </c>
      <c r="V80" t="e">
        <f>AND(Data!Q126,"AAAAAH//dhU=")</f>
        <v>#VALUE!</v>
      </c>
      <c r="W80" t="e">
        <f>AND(Data!R126,"AAAAAH//dhY=")</f>
        <v>#VALUE!</v>
      </c>
      <c r="X80" t="e">
        <f>AND(Data!S126,"AAAAAH//dhc=")</f>
        <v>#VALUE!</v>
      </c>
      <c r="Y80" t="e">
        <f>AND(Data!T126,"AAAAAH//dhg=")</f>
        <v>#VALUE!</v>
      </c>
      <c r="Z80" t="e">
        <f>AND(Data!U126,"AAAAAH//dhk=")</f>
        <v>#VALUE!</v>
      </c>
      <c r="AA80" t="e">
        <f>AND(Data!V126,"AAAAAH//dho=")</f>
        <v>#VALUE!</v>
      </c>
      <c r="AB80" t="e">
        <f>AND(Data!W126,"AAAAAH//dhs=")</f>
        <v>#VALUE!</v>
      </c>
      <c r="AC80" t="e">
        <f>AND(Data!X126,"AAAAAH//dhw=")</f>
        <v>#VALUE!</v>
      </c>
      <c r="AD80">
        <f>IF(Data!127:127,"AAAAAH//dh0=",0)</f>
        <v>0</v>
      </c>
      <c r="AE80" t="e">
        <f>AND(Data!A127,"AAAAAH//dh4=")</f>
        <v>#VALUE!</v>
      </c>
      <c r="AF80" t="e">
        <f>AND(Data!B127,"AAAAAH//dh8=")</f>
        <v>#VALUE!</v>
      </c>
      <c r="AG80" t="e">
        <f>AND(Data!C127,"AAAAAH//diA=")</f>
        <v>#VALUE!</v>
      </c>
      <c r="AH80" t="e">
        <f>AND(Data!D127,"AAAAAH//diE=")</f>
        <v>#VALUE!</v>
      </c>
      <c r="AI80" t="e">
        <f>AND(Data!E127,"AAAAAH//diI=")</f>
        <v>#VALUE!</v>
      </c>
      <c r="AJ80" t="e">
        <f>AND(Data!F127,"AAAAAH//diM=")</f>
        <v>#VALUE!</v>
      </c>
      <c r="AK80" t="e">
        <f>AND(Data!G127,"AAAAAH//diQ=")</f>
        <v>#VALUE!</v>
      </c>
      <c r="AL80" t="e">
        <f>AND(Data!H127,"AAAAAH//diU=")</f>
        <v>#VALUE!</v>
      </c>
      <c r="AM80" t="e">
        <f>AND(Data!I127,"AAAAAH//diY=")</f>
        <v>#VALUE!</v>
      </c>
      <c r="AN80" t="e">
        <f>AND(Data!J127,"AAAAAH//dic=")</f>
        <v>#VALUE!</v>
      </c>
      <c r="AO80" t="e">
        <f>AND(Data!K127,"AAAAAH//dig=")</f>
        <v>#VALUE!</v>
      </c>
      <c r="AP80" t="e">
        <f>AND(Data!L127,"AAAAAH//dik=")</f>
        <v>#VALUE!</v>
      </c>
      <c r="AQ80" t="e">
        <f>AND(Data!M127,"AAAAAH//dio=")</f>
        <v>#VALUE!</v>
      </c>
      <c r="AR80" t="e">
        <f>AND(Data!N127,"AAAAAH//dis=")</f>
        <v>#VALUE!</v>
      </c>
      <c r="AS80" t="e">
        <f>AND(Data!O127,"AAAAAH//diw=")</f>
        <v>#VALUE!</v>
      </c>
      <c r="AT80" t="e">
        <f>AND(Data!P127,"AAAAAH//di0=")</f>
        <v>#VALUE!</v>
      </c>
      <c r="AU80" t="e">
        <f>AND(Data!Q127,"AAAAAH//di4=")</f>
        <v>#VALUE!</v>
      </c>
      <c r="AV80" t="e">
        <f>AND(Data!R127,"AAAAAH//di8=")</f>
        <v>#VALUE!</v>
      </c>
      <c r="AW80" t="e">
        <f>AND(Data!S127,"AAAAAH//djA=")</f>
        <v>#VALUE!</v>
      </c>
      <c r="AX80" t="e">
        <f>AND(Data!T127,"AAAAAH//djE=")</f>
        <v>#VALUE!</v>
      </c>
      <c r="AY80" t="e">
        <f>AND(Data!U127,"AAAAAH//djI=")</f>
        <v>#VALUE!</v>
      </c>
      <c r="AZ80" t="e">
        <f>AND(Data!V127,"AAAAAH//djM=")</f>
        <v>#VALUE!</v>
      </c>
      <c r="BA80" t="e">
        <f>AND(Data!W127,"AAAAAH//djQ=")</f>
        <v>#VALUE!</v>
      </c>
      <c r="BB80" t="e">
        <f>AND(Data!X127,"AAAAAH//djU=")</f>
        <v>#VALUE!</v>
      </c>
      <c r="BC80">
        <f>IF(Data!128:128,"AAAAAH//djY=",0)</f>
        <v>0</v>
      </c>
      <c r="BD80" t="e">
        <f>AND(Data!A128,"AAAAAH//djc=")</f>
        <v>#VALUE!</v>
      </c>
      <c r="BE80" t="e">
        <f>AND(Data!B128,"AAAAAH//djg=")</f>
        <v>#VALUE!</v>
      </c>
      <c r="BF80" t="e">
        <f>AND(Data!C128,"AAAAAH//djk=")</f>
        <v>#VALUE!</v>
      </c>
      <c r="BG80" t="e">
        <f>AND(Data!D128,"AAAAAH//djo=")</f>
        <v>#VALUE!</v>
      </c>
      <c r="BH80" t="e">
        <f>AND(Data!E128,"AAAAAH//djs=")</f>
        <v>#VALUE!</v>
      </c>
      <c r="BI80" t="e">
        <f>AND(Data!F128,"AAAAAH//djw=")</f>
        <v>#VALUE!</v>
      </c>
      <c r="BJ80" t="e">
        <f>AND(Data!G128,"AAAAAH//dj0=")</f>
        <v>#VALUE!</v>
      </c>
      <c r="BK80" t="e">
        <f>AND(Data!H128,"AAAAAH//dj4=")</f>
        <v>#VALUE!</v>
      </c>
      <c r="BL80" t="e">
        <f>AND(Data!I128,"AAAAAH//dj8=")</f>
        <v>#VALUE!</v>
      </c>
      <c r="BM80" t="e">
        <f>AND(Data!J128,"AAAAAH//dkA=")</f>
        <v>#VALUE!</v>
      </c>
      <c r="BN80" t="e">
        <f>AND(Data!K128,"AAAAAH//dkE=")</f>
        <v>#VALUE!</v>
      </c>
      <c r="BO80" t="e">
        <f>AND(Data!L128,"AAAAAH//dkI=")</f>
        <v>#VALUE!</v>
      </c>
      <c r="BP80" t="e">
        <f>AND(Data!M128,"AAAAAH//dkM=")</f>
        <v>#VALUE!</v>
      </c>
      <c r="BQ80" t="e">
        <f>AND(Data!N128,"AAAAAH//dkQ=")</f>
        <v>#VALUE!</v>
      </c>
      <c r="BR80" t="e">
        <f>AND(Data!O128,"AAAAAH//dkU=")</f>
        <v>#VALUE!</v>
      </c>
      <c r="BS80" t="e">
        <f>AND(Data!P128,"AAAAAH//dkY=")</f>
        <v>#VALUE!</v>
      </c>
      <c r="BT80" t="e">
        <f>AND(Data!Q128,"AAAAAH//dkc=")</f>
        <v>#VALUE!</v>
      </c>
      <c r="BU80" t="e">
        <f>AND(Data!R128,"AAAAAH//dkg=")</f>
        <v>#VALUE!</v>
      </c>
      <c r="BV80" t="e">
        <f>AND(Data!S128,"AAAAAH//dkk=")</f>
        <v>#VALUE!</v>
      </c>
      <c r="BW80" t="e">
        <f>AND(Data!T128,"AAAAAH//dko=")</f>
        <v>#VALUE!</v>
      </c>
      <c r="BX80" t="e">
        <f>AND(Data!U128,"AAAAAH//dks=")</f>
        <v>#VALUE!</v>
      </c>
      <c r="BY80" t="e">
        <f>AND(Data!V128,"AAAAAH//dkw=")</f>
        <v>#VALUE!</v>
      </c>
      <c r="BZ80" t="e">
        <f>AND(Data!W128,"AAAAAH//dk0=")</f>
        <v>#VALUE!</v>
      </c>
      <c r="CA80" t="e">
        <f>AND(Data!X128,"AAAAAH//dk4=")</f>
        <v>#VALUE!</v>
      </c>
      <c r="CB80">
        <f>IF(Data!129:129,"AAAAAH//dk8=",0)</f>
        <v>0</v>
      </c>
      <c r="CC80" t="e">
        <f>AND(Data!A129,"AAAAAH//dlA=")</f>
        <v>#VALUE!</v>
      </c>
      <c r="CD80" t="e">
        <f>AND(Data!B129,"AAAAAH//dlE=")</f>
        <v>#VALUE!</v>
      </c>
      <c r="CE80" t="e">
        <f>AND(Data!C129,"AAAAAH//dlI=")</f>
        <v>#VALUE!</v>
      </c>
      <c r="CF80" t="e">
        <f>AND(Data!D129,"AAAAAH//dlM=")</f>
        <v>#VALUE!</v>
      </c>
      <c r="CG80" t="e">
        <f>AND(Data!E129,"AAAAAH//dlQ=")</f>
        <v>#VALUE!</v>
      </c>
      <c r="CH80" t="e">
        <f>AND(Data!F129,"AAAAAH//dlU=")</f>
        <v>#VALUE!</v>
      </c>
      <c r="CI80" t="e">
        <f>AND(Data!G129,"AAAAAH//dlY=")</f>
        <v>#VALUE!</v>
      </c>
      <c r="CJ80" t="e">
        <f>AND(Data!H129,"AAAAAH//dlc=")</f>
        <v>#VALUE!</v>
      </c>
      <c r="CK80" t="e">
        <f>AND(Data!I129,"AAAAAH//dlg=")</f>
        <v>#VALUE!</v>
      </c>
      <c r="CL80" t="e">
        <f>AND(Data!J129,"AAAAAH//dlk=")</f>
        <v>#VALUE!</v>
      </c>
      <c r="CM80" t="e">
        <f>AND(Data!K129,"AAAAAH//dlo=")</f>
        <v>#VALUE!</v>
      </c>
      <c r="CN80" t="e">
        <f>AND(Data!L129,"AAAAAH//dls=")</f>
        <v>#VALUE!</v>
      </c>
      <c r="CO80" t="e">
        <f>AND(Data!M129,"AAAAAH//dlw=")</f>
        <v>#VALUE!</v>
      </c>
      <c r="CP80" t="e">
        <f>AND(Data!N129,"AAAAAH//dl0=")</f>
        <v>#VALUE!</v>
      </c>
      <c r="CQ80" t="e">
        <f>AND(Data!O129,"AAAAAH//dl4=")</f>
        <v>#VALUE!</v>
      </c>
      <c r="CR80" t="e">
        <f>AND(Data!P129,"AAAAAH//dl8=")</f>
        <v>#VALUE!</v>
      </c>
      <c r="CS80" t="e">
        <f>AND(Data!Q129,"AAAAAH//dmA=")</f>
        <v>#VALUE!</v>
      </c>
      <c r="CT80" t="e">
        <f>AND(Data!R129,"AAAAAH//dmE=")</f>
        <v>#VALUE!</v>
      </c>
      <c r="CU80" t="e">
        <f>AND(Data!S129,"AAAAAH//dmI=")</f>
        <v>#VALUE!</v>
      </c>
      <c r="CV80" t="e">
        <f>AND(Data!T129,"AAAAAH//dmM=")</f>
        <v>#VALUE!</v>
      </c>
      <c r="CW80" t="e">
        <f>AND(Data!U129,"AAAAAH//dmQ=")</f>
        <v>#VALUE!</v>
      </c>
      <c r="CX80" t="e">
        <f>AND(Data!V129,"AAAAAH//dmU=")</f>
        <v>#VALUE!</v>
      </c>
      <c r="CY80" t="e">
        <f>AND(Data!W129,"AAAAAH//dmY=")</f>
        <v>#VALUE!</v>
      </c>
      <c r="CZ80" t="e">
        <f>AND(Data!X129,"AAAAAH//dmc=")</f>
        <v>#VALUE!</v>
      </c>
      <c r="DA80">
        <f>IF(Data!130:130,"AAAAAH//dmg=",0)</f>
        <v>0</v>
      </c>
      <c r="DB80" t="e">
        <f>AND(Data!A130,"AAAAAH//dmk=")</f>
        <v>#VALUE!</v>
      </c>
      <c r="DC80" t="e">
        <f>AND(Data!B130,"AAAAAH//dmo=")</f>
        <v>#VALUE!</v>
      </c>
      <c r="DD80" t="e">
        <f>AND(Data!C130,"AAAAAH//dms=")</f>
        <v>#VALUE!</v>
      </c>
      <c r="DE80" t="e">
        <f>AND(Data!D130,"AAAAAH//dmw=")</f>
        <v>#VALUE!</v>
      </c>
      <c r="DF80" t="e">
        <f>AND(Data!E130,"AAAAAH//dm0=")</f>
        <v>#VALUE!</v>
      </c>
      <c r="DG80" t="e">
        <f>AND(Data!F130,"AAAAAH//dm4=")</f>
        <v>#VALUE!</v>
      </c>
      <c r="DH80" t="e">
        <f>AND(Data!G130,"AAAAAH//dm8=")</f>
        <v>#VALUE!</v>
      </c>
      <c r="DI80" t="e">
        <f>AND(Data!H130,"AAAAAH//dnA=")</f>
        <v>#VALUE!</v>
      </c>
      <c r="DJ80" t="e">
        <f>AND(Data!I130,"AAAAAH//dnE=")</f>
        <v>#VALUE!</v>
      </c>
      <c r="DK80" t="e">
        <f>AND(Data!J130,"AAAAAH//dnI=")</f>
        <v>#VALUE!</v>
      </c>
      <c r="DL80" t="e">
        <f>AND(Data!K130,"AAAAAH//dnM=")</f>
        <v>#VALUE!</v>
      </c>
      <c r="DM80" t="e">
        <f>AND(Data!L130,"AAAAAH//dnQ=")</f>
        <v>#VALUE!</v>
      </c>
      <c r="DN80" t="e">
        <f>AND(Data!M130,"AAAAAH//dnU=")</f>
        <v>#VALUE!</v>
      </c>
      <c r="DO80" t="e">
        <f>AND(Data!N130,"AAAAAH//dnY=")</f>
        <v>#VALUE!</v>
      </c>
      <c r="DP80" t="e">
        <f>AND(Data!O130,"AAAAAH//dnc=")</f>
        <v>#VALUE!</v>
      </c>
      <c r="DQ80" t="e">
        <f>AND(Data!P130,"AAAAAH//dng=")</f>
        <v>#VALUE!</v>
      </c>
      <c r="DR80" t="e">
        <f>AND(Data!Q130,"AAAAAH//dnk=")</f>
        <v>#VALUE!</v>
      </c>
      <c r="DS80" t="e">
        <f>AND(Data!R130,"AAAAAH//dno=")</f>
        <v>#VALUE!</v>
      </c>
      <c r="DT80" t="e">
        <f>AND(Data!S130,"AAAAAH//dns=")</f>
        <v>#VALUE!</v>
      </c>
      <c r="DU80" t="e">
        <f>AND(Data!T130,"AAAAAH//dnw=")</f>
        <v>#VALUE!</v>
      </c>
      <c r="DV80" t="e">
        <f>AND(Data!U130,"AAAAAH//dn0=")</f>
        <v>#VALUE!</v>
      </c>
      <c r="DW80" t="e">
        <f>AND(Data!V130,"AAAAAH//dn4=")</f>
        <v>#VALUE!</v>
      </c>
      <c r="DX80" t="e">
        <f>AND(Data!W130,"AAAAAH//dn8=")</f>
        <v>#VALUE!</v>
      </c>
      <c r="DY80" t="e">
        <f>AND(Data!X130,"AAAAAH//doA=")</f>
        <v>#VALUE!</v>
      </c>
      <c r="DZ80">
        <f>IF(Data!131:131,"AAAAAH//doE=",0)</f>
        <v>0</v>
      </c>
      <c r="EA80" t="e">
        <f>AND(Data!A131,"AAAAAH//doI=")</f>
        <v>#VALUE!</v>
      </c>
      <c r="EB80" t="e">
        <f>AND(Data!B131,"AAAAAH//doM=")</f>
        <v>#VALUE!</v>
      </c>
      <c r="EC80" t="e">
        <f>AND(Data!C131,"AAAAAH//doQ=")</f>
        <v>#VALUE!</v>
      </c>
      <c r="ED80" t="e">
        <f>AND(Data!D131,"AAAAAH//doU=")</f>
        <v>#VALUE!</v>
      </c>
      <c r="EE80" t="e">
        <f>AND(Data!E131,"AAAAAH//doY=")</f>
        <v>#VALUE!</v>
      </c>
      <c r="EF80" t="e">
        <f>AND(Data!F131,"AAAAAH//doc=")</f>
        <v>#VALUE!</v>
      </c>
      <c r="EG80" t="e">
        <f>AND(Data!G131,"AAAAAH//dog=")</f>
        <v>#VALUE!</v>
      </c>
      <c r="EH80" t="e">
        <f>AND(Data!H131,"AAAAAH//dok=")</f>
        <v>#VALUE!</v>
      </c>
      <c r="EI80" t="e">
        <f>AND(Data!I131,"AAAAAH//doo=")</f>
        <v>#VALUE!</v>
      </c>
      <c r="EJ80" t="e">
        <f>AND(Data!J131,"AAAAAH//dos=")</f>
        <v>#VALUE!</v>
      </c>
      <c r="EK80" t="e">
        <f>AND(Data!K131,"AAAAAH//dow=")</f>
        <v>#VALUE!</v>
      </c>
      <c r="EL80" t="e">
        <f>AND(Data!L131,"AAAAAH//do0=")</f>
        <v>#VALUE!</v>
      </c>
      <c r="EM80" t="e">
        <f>AND(Data!M131,"AAAAAH//do4=")</f>
        <v>#VALUE!</v>
      </c>
      <c r="EN80" t="e">
        <f>AND(Data!N131,"AAAAAH//do8=")</f>
        <v>#VALUE!</v>
      </c>
      <c r="EO80" t="e">
        <f>AND(Data!O131,"AAAAAH//dpA=")</f>
        <v>#VALUE!</v>
      </c>
      <c r="EP80" t="e">
        <f>AND(Data!P131,"AAAAAH//dpE=")</f>
        <v>#VALUE!</v>
      </c>
      <c r="EQ80" t="e">
        <f>AND(Data!Q131,"AAAAAH//dpI=")</f>
        <v>#VALUE!</v>
      </c>
      <c r="ER80" t="e">
        <f>AND(Data!R131,"AAAAAH//dpM=")</f>
        <v>#VALUE!</v>
      </c>
      <c r="ES80" t="e">
        <f>AND(Data!S131,"AAAAAH//dpQ=")</f>
        <v>#VALUE!</v>
      </c>
      <c r="ET80" t="e">
        <f>AND(Data!T131,"AAAAAH//dpU=")</f>
        <v>#VALUE!</v>
      </c>
      <c r="EU80" t="e">
        <f>AND(Data!U131,"AAAAAH//dpY=")</f>
        <v>#VALUE!</v>
      </c>
      <c r="EV80" t="e">
        <f>AND(Data!V131,"AAAAAH//dpc=")</f>
        <v>#VALUE!</v>
      </c>
      <c r="EW80" t="e">
        <f>AND(Data!W131,"AAAAAH//dpg=")</f>
        <v>#VALUE!</v>
      </c>
      <c r="EX80" t="e">
        <f>AND(Data!X131,"AAAAAH//dpk=")</f>
        <v>#VALUE!</v>
      </c>
      <c r="EY80">
        <f>IF(Data!132:132,"AAAAAH//dpo=",0)</f>
        <v>0</v>
      </c>
      <c r="EZ80" t="e">
        <f>AND(Data!A132,"AAAAAH//dps=")</f>
        <v>#VALUE!</v>
      </c>
      <c r="FA80" t="e">
        <f>AND(Data!B132,"AAAAAH//dpw=")</f>
        <v>#VALUE!</v>
      </c>
      <c r="FB80" t="e">
        <f>AND(Data!C132,"AAAAAH//dp0=")</f>
        <v>#VALUE!</v>
      </c>
      <c r="FC80" t="e">
        <f>AND(Data!D132,"AAAAAH//dp4=")</f>
        <v>#VALUE!</v>
      </c>
      <c r="FD80" t="e">
        <f>AND(Data!E132,"AAAAAH//dp8=")</f>
        <v>#VALUE!</v>
      </c>
      <c r="FE80" t="e">
        <f>AND(Data!F132,"AAAAAH//dqA=")</f>
        <v>#VALUE!</v>
      </c>
      <c r="FF80" t="e">
        <f>AND(Data!G132,"AAAAAH//dqE=")</f>
        <v>#VALUE!</v>
      </c>
      <c r="FG80" t="e">
        <f>AND(Data!H132,"AAAAAH//dqI=")</f>
        <v>#VALUE!</v>
      </c>
      <c r="FH80" t="e">
        <f>AND(Data!I132,"AAAAAH//dqM=")</f>
        <v>#VALUE!</v>
      </c>
      <c r="FI80" t="e">
        <f>AND(Data!J132,"AAAAAH//dqQ=")</f>
        <v>#VALUE!</v>
      </c>
      <c r="FJ80" t="e">
        <f>AND(Data!K132,"AAAAAH//dqU=")</f>
        <v>#VALUE!</v>
      </c>
      <c r="FK80" t="e">
        <f>AND(Data!L132,"AAAAAH//dqY=")</f>
        <v>#VALUE!</v>
      </c>
      <c r="FL80" t="e">
        <f>AND(Data!M132,"AAAAAH//dqc=")</f>
        <v>#VALUE!</v>
      </c>
      <c r="FM80" t="e">
        <f>AND(Data!N132,"AAAAAH//dqg=")</f>
        <v>#VALUE!</v>
      </c>
      <c r="FN80" t="e">
        <f>AND(Data!O132,"AAAAAH//dqk=")</f>
        <v>#VALUE!</v>
      </c>
      <c r="FO80" t="e">
        <f>AND(Data!P132,"AAAAAH//dqo=")</f>
        <v>#VALUE!</v>
      </c>
      <c r="FP80" t="e">
        <f>AND(Data!Q132,"AAAAAH//dqs=")</f>
        <v>#VALUE!</v>
      </c>
      <c r="FQ80" t="e">
        <f>AND(Data!R132,"AAAAAH//dqw=")</f>
        <v>#VALUE!</v>
      </c>
      <c r="FR80" t="e">
        <f>AND(Data!S132,"AAAAAH//dq0=")</f>
        <v>#VALUE!</v>
      </c>
      <c r="FS80" t="e">
        <f>AND(Data!T132,"AAAAAH//dq4=")</f>
        <v>#VALUE!</v>
      </c>
      <c r="FT80" t="e">
        <f>AND(Data!U132,"AAAAAH//dq8=")</f>
        <v>#VALUE!</v>
      </c>
      <c r="FU80" t="e">
        <f>AND(Data!V132,"AAAAAH//drA=")</f>
        <v>#VALUE!</v>
      </c>
      <c r="FV80" t="e">
        <f>AND(Data!W132,"AAAAAH//drE=")</f>
        <v>#VALUE!</v>
      </c>
      <c r="FW80" t="e">
        <f>AND(Data!X132,"AAAAAH//drI=")</f>
        <v>#VALUE!</v>
      </c>
      <c r="FX80">
        <f>IF(Data!133:133,"AAAAAH//drM=",0)</f>
        <v>0</v>
      </c>
      <c r="FY80" t="e">
        <f>AND(Data!A133,"AAAAAH//drQ=")</f>
        <v>#VALUE!</v>
      </c>
      <c r="FZ80" t="e">
        <f>AND(Data!B133,"AAAAAH//drU=")</f>
        <v>#VALUE!</v>
      </c>
      <c r="GA80" t="e">
        <f>AND(Data!C133,"AAAAAH//drY=")</f>
        <v>#VALUE!</v>
      </c>
      <c r="GB80" t="e">
        <f>AND(Data!D133,"AAAAAH//drc=")</f>
        <v>#VALUE!</v>
      </c>
      <c r="GC80" t="e">
        <f>AND(Data!E133,"AAAAAH//drg=")</f>
        <v>#VALUE!</v>
      </c>
      <c r="GD80" t="e">
        <f>AND(Data!F133,"AAAAAH//drk=")</f>
        <v>#VALUE!</v>
      </c>
      <c r="GE80" t="e">
        <f>AND(Data!G133,"AAAAAH//dro=")</f>
        <v>#VALUE!</v>
      </c>
      <c r="GF80" t="e">
        <f>AND(Data!H133,"AAAAAH//drs=")</f>
        <v>#VALUE!</v>
      </c>
      <c r="GG80" t="e">
        <f>AND(Data!I133,"AAAAAH//drw=")</f>
        <v>#VALUE!</v>
      </c>
      <c r="GH80" t="e">
        <f>AND(Data!J133,"AAAAAH//dr0=")</f>
        <v>#VALUE!</v>
      </c>
      <c r="GI80" t="e">
        <f>AND(Data!K133,"AAAAAH//dr4=")</f>
        <v>#VALUE!</v>
      </c>
      <c r="GJ80" t="e">
        <f>AND(Data!L133,"AAAAAH//dr8=")</f>
        <v>#VALUE!</v>
      </c>
      <c r="GK80" t="e">
        <f>AND(Data!M133,"AAAAAH//dsA=")</f>
        <v>#VALUE!</v>
      </c>
      <c r="GL80" t="e">
        <f>AND(Data!N133,"AAAAAH//dsE=")</f>
        <v>#VALUE!</v>
      </c>
      <c r="GM80" t="e">
        <f>AND(Data!O133,"AAAAAH//dsI=")</f>
        <v>#VALUE!</v>
      </c>
      <c r="GN80" t="e">
        <f>AND(Data!P133,"AAAAAH//dsM=")</f>
        <v>#VALUE!</v>
      </c>
      <c r="GO80" t="e">
        <f>AND(Data!Q133,"AAAAAH//dsQ=")</f>
        <v>#VALUE!</v>
      </c>
      <c r="GP80" t="e">
        <f>AND(Data!R133,"AAAAAH//dsU=")</f>
        <v>#VALUE!</v>
      </c>
      <c r="GQ80" t="e">
        <f>AND(Data!S133,"AAAAAH//dsY=")</f>
        <v>#VALUE!</v>
      </c>
      <c r="GR80" t="e">
        <f>AND(Data!T133,"AAAAAH//dsc=")</f>
        <v>#VALUE!</v>
      </c>
      <c r="GS80" t="e">
        <f>AND(Data!U133,"AAAAAH//dsg=")</f>
        <v>#VALUE!</v>
      </c>
      <c r="GT80" t="e">
        <f>AND(Data!V133,"AAAAAH//dsk=")</f>
        <v>#VALUE!</v>
      </c>
      <c r="GU80" t="e">
        <f>AND(Data!W133,"AAAAAH//dso=")</f>
        <v>#VALUE!</v>
      </c>
      <c r="GV80" t="e">
        <f>AND(Data!X133,"AAAAAH//dss=")</f>
        <v>#VALUE!</v>
      </c>
      <c r="GW80">
        <f>IF(Data!134:134,"AAAAAH//dsw=",0)</f>
        <v>0</v>
      </c>
      <c r="GX80" t="e">
        <f>AND(Data!A134,"AAAAAH//ds0=")</f>
        <v>#VALUE!</v>
      </c>
      <c r="GY80" t="e">
        <f>AND(Data!B134,"AAAAAH//ds4=")</f>
        <v>#VALUE!</v>
      </c>
      <c r="GZ80" t="e">
        <f>AND(Data!C134,"AAAAAH//ds8=")</f>
        <v>#VALUE!</v>
      </c>
      <c r="HA80" t="e">
        <f>AND(Data!D134,"AAAAAH//dtA=")</f>
        <v>#VALUE!</v>
      </c>
      <c r="HB80" t="e">
        <f>AND(Data!E134,"AAAAAH//dtE=")</f>
        <v>#VALUE!</v>
      </c>
      <c r="HC80" t="e">
        <f>AND(Data!F134,"AAAAAH//dtI=")</f>
        <v>#VALUE!</v>
      </c>
      <c r="HD80" t="e">
        <f>AND(Data!G134,"AAAAAH//dtM=")</f>
        <v>#VALUE!</v>
      </c>
      <c r="HE80" t="e">
        <f>AND(Data!H134,"AAAAAH//dtQ=")</f>
        <v>#VALUE!</v>
      </c>
      <c r="HF80" t="e">
        <f>AND(Data!I134,"AAAAAH//dtU=")</f>
        <v>#VALUE!</v>
      </c>
      <c r="HG80" t="e">
        <f>AND(Data!J134,"AAAAAH//dtY=")</f>
        <v>#VALUE!</v>
      </c>
      <c r="HH80" t="e">
        <f>AND(Data!K134,"AAAAAH//dtc=")</f>
        <v>#VALUE!</v>
      </c>
      <c r="HI80" t="e">
        <f>AND(Data!L134,"AAAAAH//dtg=")</f>
        <v>#VALUE!</v>
      </c>
      <c r="HJ80" t="e">
        <f>AND(Data!M134,"AAAAAH//dtk=")</f>
        <v>#VALUE!</v>
      </c>
      <c r="HK80" t="e">
        <f>AND(Data!N134,"AAAAAH//dto=")</f>
        <v>#VALUE!</v>
      </c>
      <c r="HL80" t="e">
        <f>AND(Data!O134,"AAAAAH//dts=")</f>
        <v>#VALUE!</v>
      </c>
      <c r="HM80" t="e">
        <f>AND(Data!P134,"AAAAAH//dtw=")</f>
        <v>#VALUE!</v>
      </c>
      <c r="HN80" t="e">
        <f>AND(Data!Q134,"AAAAAH//dt0=")</f>
        <v>#VALUE!</v>
      </c>
      <c r="HO80" t="e">
        <f>AND(Data!R134,"AAAAAH//dt4=")</f>
        <v>#VALUE!</v>
      </c>
      <c r="HP80" t="e">
        <f>AND(Data!S134,"AAAAAH//dt8=")</f>
        <v>#VALUE!</v>
      </c>
      <c r="HQ80" t="e">
        <f>AND(Data!T134,"AAAAAH//duA=")</f>
        <v>#VALUE!</v>
      </c>
      <c r="HR80" t="e">
        <f>AND(Data!U134,"AAAAAH//duE=")</f>
        <v>#VALUE!</v>
      </c>
      <c r="HS80" t="e">
        <f>AND(Data!V134,"AAAAAH//duI=")</f>
        <v>#VALUE!</v>
      </c>
      <c r="HT80" t="e">
        <f>AND(Data!W134,"AAAAAH//duM=")</f>
        <v>#VALUE!</v>
      </c>
      <c r="HU80" t="e">
        <f>AND(Data!X134,"AAAAAH//duQ=")</f>
        <v>#VALUE!</v>
      </c>
      <c r="HV80">
        <f>IF(Data!135:135,"AAAAAH//duU=",0)</f>
        <v>0</v>
      </c>
      <c r="HW80" t="e">
        <f>AND(Data!A135,"AAAAAH//duY=")</f>
        <v>#VALUE!</v>
      </c>
      <c r="HX80" t="e">
        <f>AND(Data!B135,"AAAAAH//duc=")</f>
        <v>#VALUE!</v>
      </c>
      <c r="HY80" t="e">
        <f>AND(Data!C135,"AAAAAH//dug=")</f>
        <v>#VALUE!</v>
      </c>
      <c r="HZ80" t="e">
        <f>AND(Data!D135,"AAAAAH//duk=")</f>
        <v>#VALUE!</v>
      </c>
      <c r="IA80" t="e">
        <f>AND(Data!E135,"AAAAAH//duo=")</f>
        <v>#VALUE!</v>
      </c>
      <c r="IB80" t="e">
        <f>AND(Data!F135,"AAAAAH//dus=")</f>
        <v>#VALUE!</v>
      </c>
      <c r="IC80" t="e">
        <f>AND(Data!G135,"AAAAAH//duw=")</f>
        <v>#VALUE!</v>
      </c>
      <c r="ID80" t="e">
        <f>AND(Data!H135,"AAAAAH//du0=")</f>
        <v>#VALUE!</v>
      </c>
      <c r="IE80" t="e">
        <f>AND(Data!I135,"AAAAAH//du4=")</f>
        <v>#VALUE!</v>
      </c>
      <c r="IF80" t="e">
        <f>AND(Data!J135,"AAAAAH//du8=")</f>
        <v>#VALUE!</v>
      </c>
      <c r="IG80" t="e">
        <f>AND(Data!K135,"AAAAAH//dvA=")</f>
        <v>#VALUE!</v>
      </c>
      <c r="IH80" t="e">
        <f>AND(Data!L135,"AAAAAH//dvE=")</f>
        <v>#VALUE!</v>
      </c>
      <c r="II80" t="e">
        <f>AND(Data!M135,"AAAAAH//dvI=")</f>
        <v>#VALUE!</v>
      </c>
      <c r="IJ80" t="e">
        <f>AND(Data!N135,"AAAAAH//dvM=")</f>
        <v>#VALUE!</v>
      </c>
      <c r="IK80" t="e">
        <f>AND(Data!O135,"AAAAAH//dvQ=")</f>
        <v>#VALUE!</v>
      </c>
      <c r="IL80" t="e">
        <f>AND(Data!P135,"AAAAAH//dvU=")</f>
        <v>#VALUE!</v>
      </c>
      <c r="IM80" t="e">
        <f>AND(Data!Q135,"AAAAAH//dvY=")</f>
        <v>#VALUE!</v>
      </c>
      <c r="IN80" t="e">
        <f>AND(Data!R135,"AAAAAH//dvc=")</f>
        <v>#VALUE!</v>
      </c>
      <c r="IO80" t="e">
        <f>AND(Data!S135,"AAAAAH//dvg=")</f>
        <v>#VALUE!</v>
      </c>
      <c r="IP80" t="e">
        <f>AND(Data!T135,"AAAAAH//dvk=")</f>
        <v>#VALUE!</v>
      </c>
      <c r="IQ80" t="e">
        <f>AND(Data!U135,"AAAAAH//dvo=")</f>
        <v>#VALUE!</v>
      </c>
      <c r="IR80" t="e">
        <f>AND(Data!V135,"AAAAAH//dvs=")</f>
        <v>#VALUE!</v>
      </c>
      <c r="IS80" t="e">
        <f>AND(Data!W135,"AAAAAH//dvw=")</f>
        <v>#VALUE!</v>
      </c>
      <c r="IT80" t="e">
        <f>AND(Data!X135,"AAAAAH//dv0=")</f>
        <v>#VALUE!</v>
      </c>
      <c r="IU80">
        <f>IF(Data!136:136,"AAAAAH//dv4=",0)</f>
        <v>0</v>
      </c>
      <c r="IV80" t="e">
        <f>AND(Data!A136,"AAAAAH//dv8=")</f>
        <v>#VALUE!</v>
      </c>
    </row>
    <row r="81" spans="1:256" x14ac:dyDescent="0.2">
      <c r="A81" t="e">
        <f>AND(Data!B136,"AAAAAHYy/wA=")</f>
        <v>#VALUE!</v>
      </c>
      <c r="B81" t="e">
        <f>AND(Data!C136,"AAAAAHYy/wE=")</f>
        <v>#VALUE!</v>
      </c>
      <c r="C81" t="e">
        <f>AND(Data!D136,"AAAAAHYy/wI=")</f>
        <v>#VALUE!</v>
      </c>
      <c r="D81" t="e">
        <f>AND(Data!E136,"AAAAAHYy/wM=")</f>
        <v>#VALUE!</v>
      </c>
      <c r="E81" t="e">
        <f>AND(Data!F136,"AAAAAHYy/wQ=")</f>
        <v>#VALUE!</v>
      </c>
      <c r="F81" t="e">
        <f>AND(Data!G136,"AAAAAHYy/wU=")</f>
        <v>#VALUE!</v>
      </c>
      <c r="G81" t="e">
        <f>AND(Data!H136,"AAAAAHYy/wY=")</f>
        <v>#VALUE!</v>
      </c>
      <c r="H81" t="e">
        <f>AND(Data!I136,"AAAAAHYy/wc=")</f>
        <v>#VALUE!</v>
      </c>
      <c r="I81" t="e">
        <f>AND(Data!J136,"AAAAAHYy/wg=")</f>
        <v>#VALUE!</v>
      </c>
      <c r="J81" t="e">
        <f>AND(Data!K136,"AAAAAHYy/wk=")</f>
        <v>#VALUE!</v>
      </c>
      <c r="K81" t="e">
        <f>AND(Data!L136,"AAAAAHYy/wo=")</f>
        <v>#VALUE!</v>
      </c>
      <c r="L81" t="e">
        <f>AND(Data!M136,"AAAAAHYy/ws=")</f>
        <v>#VALUE!</v>
      </c>
      <c r="M81" t="e">
        <f>AND(Data!N136,"AAAAAHYy/ww=")</f>
        <v>#VALUE!</v>
      </c>
      <c r="N81" t="e">
        <f>AND(Data!O136,"AAAAAHYy/w0=")</f>
        <v>#VALUE!</v>
      </c>
      <c r="O81" t="e">
        <f>AND(Data!P136,"AAAAAHYy/w4=")</f>
        <v>#VALUE!</v>
      </c>
      <c r="P81" t="e">
        <f>AND(Data!Q136,"AAAAAHYy/w8=")</f>
        <v>#VALUE!</v>
      </c>
      <c r="Q81" t="e">
        <f>AND(Data!R136,"AAAAAHYy/xA=")</f>
        <v>#VALUE!</v>
      </c>
      <c r="R81" t="e">
        <f>AND(Data!S136,"AAAAAHYy/xE=")</f>
        <v>#VALUE!</v>
      </c>
      <c r="S81" t="e">
        <f>AND(Data!T136,"AAAAAHYy/xI=")</f>
        <v>#VALUE!</v>
      </c>
      <c r="T81" t="e">
        <f>AND(Data!U136,"AAAAAHYy/xM=")</f>
        <v>#VALUE!</v>
      </c>
      <c r="U81" t="e">
        <f>AND(Data!V136,"AAAAAHYy/xQ=")</f>
        <v>#VALUE!</v>
      </c>
      <c r="V81" t="e">
        <f>AND(Data!W136,"AAAAAHYy/xU=")</f>
        <v>#VALUE!</v>
      </c>
      <c r="W81" t="e">
        <f>AND(Data!X136,"AAAAAHYy/xY=")</f>
        <v>#VALUE!</v>
      </c>
      <c r="X81">
        <f>IF(Data!137:137,"AAAAAHYy/xc=",0)</f>
        <v>0</v>
      </c>
      <c r="Y81" t="e">
        <f>AND(Data!A137,"AAAAAHYy/xg=")</f>
        <v>#VALUE!</v>
      </c>
      <c r="Z81" t="e">
        <f>AND(Data!B137,"AAAAAHYy/xk=")</f>
        <v>#VALUE!</v>
      </c>
      <c r="AA81" t="e">
        <f>AND(Data!C137,"AAAAAHYy/xo=")</f>
        <v>#VALUE!</v>
      </c>
      <c r="AB81" t="e">
        <f>AND(Data!D137,"AAAAAHYy/xs=")</f>
        <v>#VALUE!</v>
      </c>
      <c r="AC81" t="e">
        <f>AND(Data!E137,"AAAAAHYy/xw=")</f>
        <v>#VALUE!</v>
      </c>
      <c r="AD81" t="e">
        <f>AND(Data!F137,"AAAAAHYy/x0=")</f>
        <v>#VALUE!</v>
      </c>
      <c r="AE81" t="e">
        <f>AND(Data!G137,"AAAAAHYy/x4=")</f>
        <v>#VALUE!</v>
      </c>
      <c r="AF81" t="e">
        <f>AND(Data!H137,"AAAAAHYy/x8=")</f>
        <v>#VALUE!</v>
      </c>
      <c r="AG81" t="e">
        <f>AND(Data!I137,"AAAAAHYy/yA=")</f>
        <v>#VALUE!</v>
      </c>
      <c r="AH81" t="e">
        <f>AND(Data!J137,"AAAAAHYy/yE=")</f>
        <v>#VALUE!</v>
      </c>
      <c r="AI81" t="e">
        <f>AND(Data!K137,"AAAAAHYy/yI=")</f>
        <v>#VALUE!</v>
      </c>
      <c r="AJ81" t="e">
        <f>AND(Data!L137,"AAAAAHYy/yM=")</f>
        <v>#VALUE!</v>
      </c>
      <c r="AK81" t="e">
        <f>AND(Data!M137,"AAAAAHYy/yQ=")</f>
        <v>#VALUE!</v>
      </c>
      <c r="AL81" t="e">
        <f>AND(Data!N137,"AAAAAHYy/yU=")</f>
        <v>#VALUE!</v>
      </c>
      <c r="AM81" t="e">
        <f>AND(Data!O137,"AAAAAHYy/yY=")</f>
        <v>#VALUE!</v>
      </c>
      <c r="AN81" t="e">
        <f>AND(Data!P137,"AAAAAHYy/yc=")</f>
        <v>#VALUE!</v>
      </c>
      <c r="AO81" t="e">
        <f>AND(Data!Q137,"AAAAAHYy/yg=")</f>
        <v>#VALUE!</v>
      </c>
      <c r="AP81" t="e">
        <f>AND(Data!R137,"AAAAAHYy/yk=")</f>
        <v>#VALUE!</v>
      </c>
      <c r="AQ81" t="e">
        <f>AND(Data!S137,"AAAAAHYy/yo=")</f>
        <v>#VALUE!</v>
      </c>
      <c r="AR81" t="e">
        <f>AND(Data!T137,"AAAAAHYy/ys=")</f>
        <v>#VALUE!</v>
      </c>
      <c r="AS81" t="e">
        <f>AND(Data!U137,"AAAAAHYy/yw=")</f>
        <v>#VALUE!</v>
      </c>
      <c r="AT81" t="e">
        <f>AND(Data!V137,"AAAAAHYy/y0=")</f>
        <v>#VALUE!</v>
      </c>
      <c r="AU81" t="e">
        <f>AND(Data!W137,"AAAAAHYy/y4=")</f>
        <v>#VALUE!</v>
      </c>
      <c r="AV81" t="e">
        <f>AND(Data!X137,"AAAAAHYy/y8=")</f>
        <v>#VALUE!</v>
      </c>
      <c r="AW81">
        <f>IF(Data!138:138,"AAAAAHYy/zA=",0)</f>
        <v>0</v>
      </c>
      <c r="AX81" t="e">
        <f>AND(Data!A138,"AAAAAHYy/zE=")</f>
        <v>#VALUE!</v>
      </c>
      <c r="AY81" t="e">
        <f>AND(Data!B138,"AAAAAHYy/zI=")</f>
        <v>#VALUE!</v>
      </c>
      <c r="AZ81" t="e">
        <f>AND(Data!C138,"AAAAAHYy/zM=")</f>
        <v>#VALUE!</v>
      </c>
      <c r="BA81" t="e">
        <f>AND(Data!D138,"AAAAAHYy/zQ=")</f>
        <v>#VALUE!</v>
      </c>
      <c r="BB81" t="e">
        <f>AND(Data!E138,"AAAAAHYy/zU=")</f>
        <v>#VALUE!</v>
      </c>
      <c r="BC81" t="e">
        <f>AND(Data!F138,"AAAAAHYy/zY=")</f>
        <v>#VALUE!</v>
      </c>
      <c r="BD81" t="e">
        <f>AND(Data!G138,"AAAAAHYy/zc=")</f>
        <v>#VALUE!</v>
      </c>
      <c r="BE81" t="e">
        <f>AND(Data!H138,"AAAAAHYy/zg=")</f>
        <v>#VALUE!</v>
      </c>
      <c r="BF81" t="e">
        <f>AND(Data!I138,"AAAAAHYy/zk=")</f>
        <v>#VALUE!</v>
      </c>
      <c r="BG81" t="e">
        <f>AND(Data!J138,"AAAAAHYy/zo=")</f>
        <v>#VALUE!</v>
      </c>
      <c r="BH81" t="e">
        <f>AND(Data!K138,"AAAAAHYy/zs=")</f>
        <v>#VALUE!</v>
      </c>
      <c r="BI81" t="e">
        <f>AND(Data!L138,"AAAAAHYy/zw=")</f>
        <v>#VALUE!</v>
      </c>
      <c r="BJ81" t="e">
        <f>AND(Data!M138,"AAAAAHYy/z0=")</f>
        <v>#VALUE!</v>
      </c>
      <c r="BK81" t="e">
        <f>AND(Data!N138,"AAAAAHYy/z4=")</f>
        <v>#VALUE!</v>
      </c>
      <c r="BL81" t="e">
        <f>AND(Data!O138,"AAAAAHYy/z8=")</f>
        <v>#VALUE!</v>
      </c>
      <c r="BM81" t="e">
        <f>AND(Data!P138,"AAAAAHYy/0A=")</f>
        <v>#VALUE!</v>
      </c>
      <c r="BN81" t="e">
        <f>AND(Data!Q138,"AAAAAHYy/0E=")</f>
        <v>#VALUE!</v>
      </c>
      <c r="BO81" t="e">
        <f>AND(Data!R138,"AAAAAHYy/0I=")</f>
        <v>#VALUE!</v>
      </c>
      <c r="BP81" t="e">
        <f>AND(Data!S138,"AAAAAHYy/0M=")</f>
        <v>#VALUE!</v>
      </c>
      <c r="BQ81" t="e">
        <f>AND(Data!T138,"AAAAAHYy/0Q=")</f>
        <v>#VALUE!</v>
      </c>
      <c r="BR81" t="e">
        <f>AND(Data!U138,"AAAAAHYy/0U=")</f>
        <v>#VALUE!</v>
      </c>
      <c r="BS81" t="e">
        <f>AND(Data!V138,"AAAAAHYy/0Y=")</f>
        <v>#VALUE!</v>
      </c>
      <c r="BT81" t="e">
        <f>AND(Data!W138,"AAAAAHYy/0c=")</f>
        <v>#VALUE!</v>
      </c>
      <c r="BU81" t="e">
        <f>AND(Data!X138,"AAAAAHYy/0g=")</f>
        <v>#VALUE!</v>
      </c>
      <c r="BV81">
        <f>IF(Data!139:139,"AAAAAHYy/0k=",0)</f>
        <v>0</v>
      </c>
      <c r="BW81" t="e">
        <f>AND(Data!A139,"AAAAAHYy/0o=")</f>
        <v>#VALUE!</v>
      </c>
      <c r="BX81" t="e">
        <f>AND(Data!B139,"AAAAAHYy/0s=")</f>
        <v>#VALUE!</v>
      </c>
      <c r="BY81" t="e">
        <f>AND(Data!C139,"AAAAAHYy/0w=")</f>
        <v>#VALUE!</v>
      </c>
      <c r="BZ81" t="e">
        <f>AND(Data!D139,"AAAAAHYy/00=")</f>
        <v>#VALUE!</v>
      </c>
      <c r="CA81" t="e">
        <f>AND(Data!E139,"AAAAAHYy/04=")</f>
        <v>#VALUE!</v>
      </c>
      <c r="CB81" t="e">
        <f>AND(Data!F139,"AAAAAHYy/08=")</f>
        <v>#VALUE!</v>
      </c>
      <c r="CC81" t="e">
        <f>AND(Data!G139,"AAAAAHYy/1A=")</f>
        <v>#VALUE!</v>
      </c>
      <c r="CD81" t="e">
        <f>AND(Data!H139,"AAAAAHYy/1E=")</f>
        <v>#VALUE!</v>
      </c>
      <c r="CE81" t="e">
        <f>AND(Data!I139,"AAAAAHYy/1I=")</f>
        <v>#VALUE!</v>
      </c>
      <c r="CF81" t="e">
        <f>AND(Data!J139,"AAAAAHYy/1M=")</f>
        <v>#VALUE!</v>
      </c>
      <c r="CG81" t="e">
        <f>AND(Data!K139,"AAAAAHYy/1Q=")</f>
        <v>#VALUE!</v>
      </c>
      <c r="CH81" t="e">
        <f>AND(Data!L139,"AAAAAHYy/1U=")</f>
        <v>#VALUE!</v>
      </c>
      <c r="CI81" t="e">
        <f>AND(Data!M139,"AAAAAHYy/1Y=")</f>
        <v>#VALUE!</v>
      </c>
      <c r="CJ81" t="e">
        <f>AND(Data!N139,"AAAAAHYy/1c=")</f>
        <v>#VALUE!</v>
      </c>
      <c r="CK81" t="e">
        <f>AND(Data!O139,"AAAAAHYy/1g=")</f>
        <v>#VALUE!</v>
      </c>
      <c r="CL81" t="e">
        <f>AND(Data!P139,"AAAAAHYy/1k=")</f>
        <v>#VALUE!</v>
      </c>
      <c r="CM81" t="e">
        <f>AND(Data!Q139,"AAAAAHYy/1o=")</f>
        <v>#VALUE!</v>
      </c>
      <c r="CN81" t="e">
        <f>AND(Data!R139,"AAAAAHYy/1s=")</f>
        <v>#VALUE!</v>
      </c>
      <c r="CO81" t="e">
        <f>AND(Data!S139,"AAAAAHYy/1w=")</f>
        <v>#VALUE!</v>
      </c>
      <c r="CP81" t="e">
        <f>AND(Data!T139,"AAAAAHYy/10=")</f>
        <v>#VALUE!</v>
      </c>
      <c r="CQ81" t="e">
        <f>AND(Data!U139,"AAAAAHYy/14=")</f>
        <v>#VALUE!</v>
      </c>
      <c r="CR81" t="e">
        <f>AND(Data!V139,"AAAAAHYy/18=")</f>
        <v>#VALUE!</v>
      </c>
      <c r="CS81" t="e">
        <f>AND(Data!W139,"AAAAAHYy/2A=")</f>
        <v>#VALUE!</v>
      </c>
      <c r="CT81" t="e">
        <f>AND(Data!X139,"AAAAAHYy/2E=")</f>
        <v>#VALUE!</v>
      </c>
      <c r="CU81">
        <f>IF(Data!140:140,"AAAAAHYy/2I=",0)</f>
        <v>0</v>
      </c>
      <c r="CV81" t="e">
        <f>AND(Data!A140,"AAAAAHYy/2M=")</f>
        <v>#VALUE!</v>
      </c>
      <c r="CW81" t="e">
        <f>AND(Data!B140,"AAAAAHYy/2Q=")</f>
        <v>#VALUE!</v>
      </c>
      <c r="CX81" t="e">
        <f>AND(Data!C140,"AAAAAHYy/2U=")</f>
        <v>#VALUE!</v>
      </c>
      <c r="CY81" t="e">
        <f>AND(Data!D140,"AAAAAHYy/2Y=")</f>
        <v>#VALUE!</v>
      </c>
      <c r="CZ81" t="e">
        <f>AND(Data!E140,"AAAAAHYy/2c=")</f>
        <v>#VALUE!</v>
      </c>
      <c r="DA81" t="e">
        <f>AND(Data!F140,"AAAAAHYy/2g=")</f>
        <v>#VALUE!</v>
      </c>
      <c r="DB81" t="e">
        <f>AND(Data!G140,"AAAAAHYy/2k=")</f>
        <v>#VALUE!</v>
      </c>
      <c r="DC81" t="e">
        <f>AND(Data!H140,"AAAAAHYy/2o=")</f>
        <v>#VALUE!</v>
      </c>
      <c r="DD81" t="e">
        <f>AND(Data!I140,"AAAAAHYy/2s=")</f>
        <v>#VALUE!</v>
      </c>
      <c r="DE81" t="e">
        <f>AND(Data!J140,"AAAAAHYy/2w=")</f>
        <v>#VALUE!</v>
      </c>
      <c r="DF81" t="e">
        <f>AND(Data!K140,"AAAAAHYy/20=")</f>
        <v>#VALUE!</v>
      </c>
      <c r="DG81" t="e">
        <f>AND(Data!L140,"AAAAAHYy/24=")</f>
        <v>#VALUE!</v>
      </c>
      <c r="DH81" t="e">
        <f>AND(Data!M140,"AAAAAHYy/28=")</f>
        <v>#VALUE!</v>
      </c>
      <c r="DI81" t="e">
        <f>AND(Data!N140,"AAAAAHYy/3A=")</f>
        <v>#VALUE!</v>
      </c>
      <c r="DJ81" t="e">
        <f>AND(Data!O140,"AAAAAHYy/3E=")</f>
        <v>#VALUE!</v>
      </c>
      <c r="DK81" t="e">
        <f>AND(Data!P140,"AAAAAHYy/3I=")</f>
        <v>#VALUE!</v>
      </c>
      <c r="DL81" t="e">
        <f>AND(Data!Q140,"AAAAAHYy/3M=")</f>
        <v>#VALUE!</v>
      </c>
      <c r="DM81" t="e">
        <f>AND(Data!R140,"AAAAAHYy/3Q=")</f>
        <v>#VALUE!</v>
      </c>
      <c r="DN81" t="e">
        <f>AND(Data!S140,"AAAAAHYy/3U=")</f>
        <v>#VALUE!</v>
      </c>
      <c r="DO81" t="e">
        <f>AND(Data!T140,"AAAAAHYy/3Y=")</f>
        <v>#VALUE!</v>
      </c>
      <c r="DP81" t="e">
        <f>AND(Data!U140,"AAAAAHYy/3c=")</f>
        <v>#VALUE!</v>
      </c>
      <c r="DQ81" t="e">
        <f>AND(Data!V140,"AAAAAHYy/3g=")</f>
        <v>#VALUE!</v>
      </c>
      <c r="DR81" t="e">
        <f>AND(Data!W140,"AAAAAHYy/3k=")</f>
        <v>#VALUE!</v>
      </c>
      <c r="DS81" t="e">
        <f>AND(Data!X140,"AAAAAHYy/3o=")</f>
        <v>#VALUE!</v>
      </c>
      <c r="DT81">
        <f>IF(Data!141:141,"AAAAAHYy/3s=",0)</f>
        <v>0</v>
      </c>
      <c r="DU81" t="e">
        <f>AND(Data!A141,"AAAAAHYy/3w=")</f>
        <v>#VALUE!</v>
      </c>
      <c r="DV81" t="e">
        <f>AND(Data!B141,"AAAAAHYy/30=")</f>
        <v>#VALUE!</v>
      </c>
      <c r="DW81" t="e">
        <f>AND(Data!C141,"AAAAAHYy/34=")</f>
        <v>#VALUE!</v>
      </c>
      <c r="DX81" t="e">
        <f>AND(Data!D141,"AAAAAHYy/38=")</f>
        <v>#VALUE!</v>
      </c>
      <c r="DY81" t="e">
        <f>AND(Data!E141,"AAAAAHYy/4A=")</f>
        <v>#VALUE!</v>
      </c>
      <c r="DZ81" t="e">
        <f>AND(Data!F141,"AAAAAHYy/4E=")</f>
        <v>#VALUE!</v>
      </c>
      <c r="EA81" t="e">
        <f>AND(Data!G141,"AAAAAHYy/4I=")</f>
        <v>#VALUE!</v>
      </c>
      <c r="EB81" t="e">
        <f>AND(Data!H141,"AAAAAHYy/4M=")</f>
        <v>#VALUE!</v>
      </c>
      <c r="EC81" t="e">
        <f>AND(Data!I141,"AAAAAHYy/4Q=")</f>
        <v>#VALUE!</v>
      </c>
      <c r="ED81" t="e">
        <f>AND(Data!J141,"AAAAAHYy/4U=")</f>
        <v>#VALUE!</v>
      </c>
      <c r="EE81" t="e">
        <f>AND(Data!K141,"AAAAAHYy/4Y=")</f>
        <v>#VALUE!</v>
      </c>
      <c r="EF81" t="e">
        <f>AND(Data!L141,"AAAAAHYy/4c=")</f>
        <v>#VALUE!</v>
      </c>
      <c r="EG81" t="e">
        <f>AND(Data!M141,"AAAAAHYy/4g=")</f>
        <v>#VALUE!</v>
      </c>
      <c r="EH81" t="e">
        <f>AND(Data!N141,"AAAAAHYy/4k=")</f>
        <v>#VALUE!</v>
      </c>
      <c r="EI81" t="e">
        <f>AND(Data!O141,"AAAAAHYy/4o=")</f>
        <v>#VALUE!</v>
      </c>
      <c r="EJ81" t="e">
        <f>AND(Data!P141,"AAAAAHYy/4s=")</f>
        <v>#VALUE!</v>
      </c>
      <c r="EK81" t="e">
        <f>AND(Data!Q141,"AAAAAHYy/4w=")</f>
        <v>#VALUE!</v>
      </c>
      <c r="EL81" t="e">
        <f>AND(Data!R141,"AAAAAHYy/40=")</f>
        <v>#VALUE!</v>
      </c>
      <c r="EM81" t="e">
        <f>AND(Data!S141,"AAAAAHYy/44=")</f>
        <v>#VALUE!</v>
      </c>
      <c r="EN81" t="e">
        <f>AND(Data!T141,"AAAAAHYy/48=")</f>
        <v>#VALUE!</v>
      </c>
      <c r="EO81" t="e">
        <f>AND(Data!U141,"AAAAAHYy/5A=")</f>
        <v>#VALUE!</v>
      </c>
      <c r="EP81" t="e">
        <f>AND(Data!V141,"AAAAAHYy/5E=")</f>
        <v>#VALUE!</v>
      </c>
      <c r="EQ81" t="e">
        <f>AND(Data!W141,"AAAAAHYy/5I=")</f>
        <v>#VALUE!</v>
      </c>
      <c r="ER81" t="e">
        <f>AND(Data!X141,"AAAAAHYy/5M=")</f>
        <v>#VALUE!</v>
      </c>
      <c r="ES81">
        <f>IF(Data!142:142,"AAAAAHYy/5Q=",0)</f>
        <v>0</v>
      </c>
      <c r="ET81" t="e">
        <f>AND(Data!A142,"AAAAAHYy/5U=")</f>
        <v>#VALUE!</v>
      </c>
      <c r="EU81" t="e">
        <f>AND(Data!B142,"AAAAAHYy/5Y=")</f>
        <v>#VALUE!</v>
      </c>
      <c r="EV81" t="e">
        <f>AND(Data!C142,"AAAAAHYy/5c=")</f>
        <v>#VALUE!</v>
      </c>
      <c r="EW81" t="e">
        <f>AND(Data!D142,"AAAAAHYy/5g=")</f>
        <v>#VALUE!</v>
      </c>
      <c r="EX81" t="e">
        <f>AND(Data!E142,"AAAAAHYy/5k=")</f>
        <v>#VALUE!</v>
      </c>
      <c r="EY81" t="e">
        <f>AND(Data!F142,"AAAAAHYy/5o=")</f>
        <v>#VALUE!</v>
      </c>
      <c r="EZ81" t="e">
        <f>AND(Data!G142,"AAAAAHYy/5s=")</f>
        <v>#VALUE!</v>
      </c>
      <c r="FA81" t="e">
        <f>AND(Data!H142,"AAAAAHYy/5w=")</f>
        <v>#VALUE!</v>
      </c>
      <c r="FB81" t="e">
        <f>AND(Data!I142,"AAAAAHYy/50=")</f>
        <v>#VALUE!</v>
      </c>
      <c r="FC81" t="e">
        <f>AND(Data!J142,"AAAAAHYy/54=")</f>
        <v>#VALUE!</v>
      </c>
      <c r="FD81" t="e">
        <f>AND(Data!K142,"AAAAAHYy/58=")</f>
        <v>#VALUE!</v>
      </c>
      <c r="FE81" t="e">
        <f>AND(Data!L142,"AAAAAHYy/6A=")</f>
        <v>#VALUE!</v>
      </c>
      <c r="FF81" t="e">
        <f>AND(Data!M142,"AAAAAHYy/6E=")</f>
        <v>#VALUE!</v>
      </c>
      <c r="FG81" t="e">
        <f>AND(Data!N142,"AAAAAHYy/6I=")</f>
        <v>#VALUE!</v>
      </c>
      <c r="FH81" t="e">
        <f>AND(Data!O142,"AAAAAHYy/6M=")</f>
        <v>#VALUE!</v>
      </c>
      <c r="FI81" t="e">
        <f>AND(Data!P142,"AAAAAHYy/6Q=")</f>
        <v>#VALUE!</v>
      </c>
      <c r="FJ81" t="e">
        <f>AND(Data!Q142,"AAAAAHYy/6U=")</f>
        <v>#VALUE!</v>
      </c>
      <c r="FK81" t="e">
        <f>AND(Data!R142,"AAAAAHYy/6Y=")</f>
        <v>#VALUE!</v>
      </c>
      <c r="FL81" t="e">
        <f>AND(Data!S142,"AAAAAHYy/6c=")</f>
        <v>#VALUE!</v>
      </c>
      <c r="FM81" t="e">
        <f>AND(Data!T142,"AAAAAHYy/6g=")</f>
        <v>#VALUE!</v>
      </c>
      <c r="FN81" t="e">
        <f>AND(Data!U142,"AAAAAHYy/6k=")</f>
        <v>#VALUE!</v>
      </c>
      <c r="FO81" t="e">
        <f>AND(Data!V142,"AAAAAHYy/6o=")</f>
        <v>#VALUE!</v>
      </c>
      <c r="FP81" t="e">
        <f>AND(Data!W142,"AAAAAHYy/6s=")</f>
        <v>#VALUE!</v>
      </c>
      <c r="FQ81" t="e">
        <f>AND(Data!X142,"AAAAAHYy/6w=")</f>
        <v>#VALUE!</v>
      </c>
      <c r="FR81">
        <f>IF(Data!143:143,"AAAAAHYy/60=",0)</f>
        <v>0</v>
      </c>
      <c r="FS81" t="e">
        <f>AND(Data!A143,"AAAAAHYy/64=")</f>
        <v>#VALUE!</v>
      </c>
      <c r="FT81" t="e">
        <f>AND(Data!B143,"AAAAAHYy/68=")</f>
        <v>#VALUE!</v>
      </c>
      <c r="FU81" t="e">
        <f>AND(Data!C143,"AAAAAHYy/7A=")</f>
        <v>#VALUE!</v>
      </c>
      <c r="FV81" t="e">
        <f>AND(Data!D143,"AAAAAHYy/7E=")</f>
        <v>#VALUE!</v>
      </c>
      <c r="FW81" t="e">
        <f>AND(Data!E143,"AAAAAHYy/7I=")</f>
        <v>#VALUE!</v>
      </c>
      <c r="FX81" t="e">
        <f>AND(Data!F143,"AAAAAHYy/7M=")</f>
        <v>#VALUE!</v>
      </c>
      <c r="FY81" t="e">
        <f>AND(Data!G143,"AAAAAHYy/7Q=")</f>
        <v>#VALUE!</v>
      </c>
      <c r="FZ81" t="e">
        <f>AND(Data!H143,"AAAAAHYy/7U=")</f>
        <v>#VALUE!</v>
      </c>
      <c r="GA81" t="e">
        <f>AND(Data!I143,"AAAAAHYy/7Y=")</f>
        <v>#VALUE!</v>
      </c>
      <c r="GB81" t="e">
        <f>AND(Data!J143,"AAAAAHYy/7c=")</f>
        <v>#VALUE!</v>
      </c>
      <c r="GC81" t="e">
        <f>AND(Data!K143,"AAAAAHYy/7g=")</f>
        <v>#VALUE!</v>
      </c>
      <c r="GD81" t="e">
        <f>AND(Data!L143,"AAAAAHYy/7k=")</f>
        <v>#VALUE!</v>
      </c>
      <c r="GE81" t="e">
        <f>AND(Data!M143,"AAAAAHYy/7o=")</f>
        <v>#VALUE!</v>
      </c>
      <c r="GF81" t="e">
        <f>AND(Data!N143,"AAAAAHYy/7s=")</f>
        <v>#VALUE!</v>
      </c>
      <c r="GG81" t="e">
        <f>AND(Data!O143,"AAAAAHYy/7w=")</f>
        <v>#VALUE!</v>
      </c>
      <c r="GH81" t="e">
        <f>AND(Data!P143,"AAAAAHYy/70=")</f>
        <v>#VALUE!</v>
      </c>
      <c r="GI81" t="e">
        <f>AND(Data!Q143,"AAAAAHYy/74=")</f>
        <v>#VALUE!</v>
      </c>
      <c r="GJ81" t="e">
        <f>AND(Data!R143,"AAAAAHYy/78=")</f>
        <v>#VALUE!</v>
      </c>
      <c r="GK81" t="e">
        <f>AND(Data!S143,"AAAAAHYy/8A=")</f>
        <v>#VALUE!</v>
      </c>
      <c r="GL81" t="e">
        <f>AND(Data!T143,"AAAAAHYy/8E=")</f>
        <v>#VALUE!</v>
      </c>
      <c r="GM81" t="e">
        <f>AND(Data!U143,"AAAAAHYy/8I=")</f>
        <v>#VALUE!</v>
      </c>
      <c r="GN81" t="e">
        <f>AND(Data!V143,"AAAAAHYy/8M=")</f>
        <v>#VALUE!</v>
      </c>
      <c r="GO81" t="e">
        <f>AND(Data!W143,"AAAAAHYy/8Q=")</f>
        <v>#VALUE!</v>
      </c>
      <c r="GP81" t="e">
        <f>AND(Data!X143,"AAAAAHYy/8U=")</f>
        <v>#VALUE!</v>
      </c>
      <c r="GQ81">
        <f>IF(Data!144:144,"AAAAAHYy/8Y=",0)</f>
        <v>0</v>
      </c>
      <c r="GR81" t="e">
        <f>AND(Data!A144,"AAAAAHYy/8c=")</f>
        <v>#VALUE!</v>
      </c>
      <c r="GS81" t="e">
        <f>AND(Data!B144,"AAAAAHYy/8g=")</f>
        <v>#VALUE!</v>
      </c>
      <c r="GT81" t="e">
        <f>AND(Data!C144,"AAAAAHYy/8k=")</f>
        <v>#VALUE!</v>
      </c>
      <c r="GU81" t="e">
        <f>AND(Data!D144,"AAAAAHYy/8o=")</f>
        <v>#VALUE!</v>
      </c>
      <c r="GV81" t="e">
        <f>AND(Data!E144,"AAAAAHYy/8s=")</f>
        <v>#VALUE!</v>
      </c>
      <c r="GW81" t="e">
        <f>AND(Data!F144,"AAAAAHYy/8w=")</f>
        <v>#VALUE!</v>
      </c>
      <c r="GX81" t="e">
        <f>AND(Data!G144,"AAAAAHYy/80=")</f>
        <v>#VALUE!</v>
      </c>
      <c r="GY81" t="e">
        <f>AND(Data!H144,"AAAAAHYy/84=")</f>
        <v>#VALUE!</v>
      </c>
      <c r="GZ81" t="e">
        <f>AND(Data!I144,"AAAAAHYy/88=")</f>
        <v>#VALUE!</v>
      </c>
      <c r="HA81" t="e">
        <f>AND(Data!J144,"AAAAAHYy/9A=")</f>
        <v>#VALUE!</v>
      </c>
      <c r="HB81" t="e">
        <f>AND(Data!K144,"AAAAAHYy/9E=")</f>
        <v>#VALUE!</v>
      </c>
      <c r="HC81" t="e">
        <f>AND(Data!L144,"AAAAAHYy/9I=")</f>
        <v>#VALUE!</v>
      </c>
      <c r="HD81" t="e">
        <f>AND(Data!M144,"AAAAAHYy/9M=")</f>
        <v>#VALUE!</v>
      </c>
      <c r="HE81" t="e">
        <f>AND(Data!N144,"AAAAAHYy/9Q=")</f>
        <v>#VALUE!</v>
      </c>
      <c r="HF81" t="e">
        <f>AND(Data!O144,"AAAAAHYy/9U=")</f>
        <v>#VALUE!</v>
      </c>
      <c r="HG81" t="e">
        <f>AND(Data!P144,"AAAAAHYy/9Y=")</f>
        <v>#VALUE!</v>
      </c>
      <c r="HH81" t="e">
        <f>AND(Data!Q144,"AAAAAHYy/9c=")</f>
        <v>#VALUE!</v>
      </c>
      <c r="HI81" t="e">
        <f>AND(Data!R144,"AAAAAHYy/9g=")</f>
        <v>#VALUE!</v>
      </c>
      <c r="HJ81" t="e">
        <f>AND(Data!S144,"AAAAAHYy/9k=")</f>
        <v>#VALUE!</v>
      </c>
      <c r="HK81" t="e">
        <f>AND(Data!T144,"AAAAAHYy/9o=")</f>
        <v>#VALUE!</v>
      </c>
      <c r="HL81" t="e">
        <f>AND(Data!U144,"AAAAAHYy/9s=")</f>
        <v>#VALUE!</v>
      </c>
      <c r="HM81" t="e">
        <f>AND(Data!V144,"AAAAAHYy/9w=")</f>
        <v>#VALUE!</v>
      </c>
      <c r="HN81" t="e">
        <f>AND(Data!W144,"AAAAAHYy/90=")</f>
        <v>#VALUE!</v>
      </c>
      <c r="HO81" t="e">
        <f>AND(Data!X144,"AAAAAHYy/94=")</f>
        <v>#VALUE!</v>
      </c>
      <c r="HP81">
        <f>IF(Data!145:145,"AAAAAHYy/98=",0)</f>
        <v>0</v>
      </c>
      <c r="HQ81" t="e">
        <f>AND(Data!A145,"AAAAAHYy/+A=")</f>
        <v>#VALUE!</v>
      </c>
      <c r="HR81" t="e">
        <f>AND(Data!B145,"AAAAAHYy/+E=")</f>
        <v>#VALUE!</v>
      </c>
      <c r="HS81" t="e">
        <f>AND(Data!C145,"AAAAAHYy/+I=")</f>
        <v>#VALUE!</v>
      </c>
      <c r="HT81" t="e">
        <f>AND(Data!D145,"AAAAAHYy/+M=")</f>
        <v>#VALUE!</v>
      </c>
      <c r="HU81" t="e">
        <f>AND(Data!E145,"AAAAAHYy/+Q=")</f>
        <v>#VALUE!</v>
      </c>
      <c r="HV81" t="e">
        <f>AND(Data!F145,"AAAAAHYy/+U=")</f>
        <v>#VALUE!</v>
      </c>
      <c r="HW81" t="e">
        <f>AND(Data!G145,"AAAAAHYy/+Y=")</f>
        <v>#VALUE!</v>
      </c>
      <c r="HX81" t="e">
        <f>AND(Data!H145,"AAAAAHYy/+c=")</f>
        <v>#VALUE!</v>
      </c>
      <c r="HY81" t="e">
        <f>AND(Data!I145,"AAAAAHYy/+g=")</f>
        <v>#VALUE!</v>
      </c>
      <c r="HZ81" t="e">
        <f>AND(Data!J145,"AAAAAHYy/+k=")</f>
        <v>#VALUE!</v>
      </c>
      <c r="IA81" t="e">
        <f>AND(Data!K145,"AAAAAHYy/+o=")</f>
        <v>#VALUE!</v>
      </c>
      <c r="IB81" t="e">
        <f>AND(Data!L145,"AAAAAHYy/+s=")</f>
        <v>#VALUE!</v>
      </c>
      <c r="IC81" t="e">
        <f>AND(Data!M145,"AAAAAHYy/+w=")</f>
        <v>#VALUE!</v>
      </c>
      <c r="ID81" t="e">
        <f>AND(Data!N145,"AAAAAHYy/+0=")</f>
        <v>#VALUE!</v>
      </c>
      <c r="IE81" t="e">
        <f>AND(Data!O145,"AAAAAHYy/+4=")</f>
        <v>#VALUE!</v>
      </c>
      <c r="IF81" t="e">
        <f>AND(Data!P145,"AAAAAHYy/+8=")</f>
        <v>#VALUE!</v>
      </c>
      <c r="IG81" t="e">
        <f>AND(Data!Q145,"AAAAAHYy//A=")</f>
        <v>#VALUE!</v>
      </c>
      <c r="IH81" t="e">
        <f>AND(Data!R145,"AAAAAHYy//E=")</f>
        <v>#VALUE!</v>
      </c>
      <c r="II81" t="e">
        <f>AND(Data!S145,"AAAAAHYy//I=")</f>
        <v>#VALUE!</v>
      </c>
      <c r="IJ81" t="e">
        <f>AND(Data!T145,"AAAAAHYy//M=")</f>
        <v>#VALUE!</v>
      </c>
      <c r="IK81" t="e">
        <f>AND(Data!U145,"AAAAAHYy//Q=")</f>
        <v>#VALUE!</v>
      </c>
      <c r="IL81" t="e">
        <f>AND(Data!V145,"AAAAAHYy//U=")</f>
        <v>#VALUE!</v>
      </c>
      <c r="IM81" t="e">
        <f>AND(Data!W145,"AAAAAHYy//Y=")</f>
        <v>#VALUE!</v>
      </c>
      <c r="IN81" t="e">
        <f>AND(Data!X145,"AAAAAHYy//c=")</f>
        <v>#VALUE!</v>
      </c>
      <c r="IO81">
        <f>IF(Data!146:146,"AAAAAHYy//g=",0)</f>
        <v>0</v>
      </c>
      <c r="IP81" t="e">
        <f>AND(Data!A146,"AAAAAHYy//k=")</f>
        <v>#VALUE!</v>
      </c>
      <c r="IQ81" t="e">
        <f>AND(Data!B146,"AAAAAHYy//o=")</f>
        <v>#VALUE!</v>
      </c>
      <c r="IR81" t="e">
        <f>AND(Data!C146,"AAAAAHYy//s=")</f>
        <v>#VALUE!</v>
      </c>
      <c r="IS81" t="e">
        <f>AND(Data!D146,"AAAAAHYy//w=")</f>
        <v>#VALUE!</v>
      </c>
      <c r="IT81" t="e">
        <f>AND(Data!E146,"AAAAAHYy//0=")</f>
        <v>#VALUE!</v>
      </c>
      <c r="IU81" t="e">
        <f>AND(Data!F146,"AAAAAHYy//4=")</f>
        <v>#VALUE!</v>
      </c>
      <c r="IV81" t="e">
        <f>AND(Data!G146,"AAAAAHYy//8=")</f>
        <v>#VALUE!</v>
      </c>
    </row>
    <row r="82" spans="1:256" x14ac:dyDescent="0.2">
      <c r="A82" t="e">
        <f>AND(Data!H146,"AAAAAD/3tgA=")</f>
        <v>#VALUE!</v>
      </c>
      <c r="B82" t="e">
        <f>AND(Data!I146,"AAAAAD/3tgE=")</f>
        <v>#VALUE!</v>
      </c>
      <c r="C82" t="e">
        <f>AND(Data!J146,"AAAAAD/3tgI=")</f>
        <v>#VALUE!</v>
      </c>
      <c r="D82" t="e">
        <f>AND(Data!K146,"AAAAAD/3tgM=")</f>
        <v>#VALUE!</v>
      </c>
      <c r="E82" t="e">
        <f>AND(Data!L146,"AAAAAD/3tgQ=")</f>
        <v>#VALUE!</v>
      </c>
      <c r="F82" t="e">
        <f>AND(Data!M146,"AAAAAD/3tgU=")</f>
        <v>#VALUE!</v>
      </c>
      <c r="G82" t="e">
        <f>AND(Data!N146,"AAAAAD/3tgY=")</f>
        <v>#VALUE!</v>
      </c>
      <c r="H82" t="e">
        <f>AND(Data!O146,"AAAAAD/3tgc=")</f>
        <v>#VALUE!</v>
      </c>
      <c r="I82" t="e">
        <f>AND(Data!P146,"AAAAAD/3tgg=")</f>
        <v>#VALUE!</v>
      </c>
      <c r="J82" t="e">
        <f>AND(Data!Q146,"AAAAAD/3tgk=")</f>
        <v>#VALUE!</v>
      </c>
      <c r="K82" t="e">
        <f>AND(Data!R146,"AAAAAD/3tgo=")</f>
        <v>#VALUE!</v>
      </c>
      <c r="L82" t="e">
        <f>AND(Data!S146,"AAAAAD/3tgs=")</f>
        <v>#VALUE!</v>
      </c>
      <c r="M82" t="e">
        <f>AND(Data!T146,"AAAAAD/3tgw=")</f>
        <v>#VALUE!</v>
      </c>
      <c r="N82" t="e">
        <f>AND(Data!U146,"AAAAAD/3tg0=")</f>
        <v>#VALUE!</v>
      </c>
      <c r="O82" t="e">
        <f>AND(Data!V146,"AAAAAD/3tg4=")</f>
        <v>#VALUE!</v>
      </c>
      <c r="P82" t="e">
        <f>AND(Data!W146,"AAAAAD/3tg8=")</f>
        <v>#VALUE!</v>
      </c>
      <c r="Q82" t="e">
        <f>AND(Data!X146,"AAAAAD/3thA=")</f>
        <v>#VALUE!</v>
      </c>
      <c r="R82" t="e">
        <f>IF(Data!147:147,"AAAAAD/3thE=",0)</f>
        <v>#VALUE!</v>
      </c>
      <c r="S82" t="e">
        <f>AND(Data!A147,"AAAAAD/3thI=")</f>
        <v>#VALUE!</v>
      </c>
      <c r="T82" t="e">
        <f>AND(Data!B147,"AAAAAD/3thM=")</f>
        <v>#VALUE!</v>
      </c>
      <c r="U82" t="e">
        <f>AND(Data!C147,"AAAAAD/3thQ=")</f>
        <v>#VALUE!</v>
      </c>
      <c r="V82" t="e">
        <f>AND(Data!D147,"AAAAAD/3thU=")</f>
        <v>#VALUE!</v>
      </c>
      <c r="W82" t="e">
        <f>AND(Data!E147,"AAAAAD/3thY=")</f>
        <v>#VALUE!</v>
      </c>
      <c r="X82" t="e">
        <f>AND(Data!F147,"AAAAAD/3thc=")</f>
        <v>#VALUE!</v>
      </c>
      <c r="Y82" t="e">
        <f>AND(Data!G147,"AAAAAD/3thg=")</f>
        <v>#VALUE!</v>
      </c>
      <c r="Z82" t="e">
        <f>AND(Data!H147,"AAAAAD/3thk=")</f>
        <v>#VALUE!</v>
      </c>
      <c r="AA82" t="e">
        <f>AND(Data!I147,"AAAAAD/3tho=")</f>
        <v>#VALUE!</v>
      </c>
      <c r="AB82" t="e">
        <f>AND(Data!J147,"AAAAAD/3ths=")</f>
        <v>#VALUE!</v>
      </c>
      <c r="AC82" t="e">
        <f>AND(Data!K147,"AAAAAD/3thw=")</f>
        <v>#VALUE!</v>
      </c>
      <c r="AD82" t="e">
        <f>AND(Data!L147,"AAAAAD/3th0=")</f>
        <v>#VALUE!</v>
      </c>
      <c r="AE82" t="e">
        <f>AND(Data!M147,"AAAAAD/3th4=")</f>
        <v>#VALUE!</v>
      </c>
      <c r="AF82" t="e">
        <f>AND(Data!N147,"AAAAAD/3th8=")</f>
        <v>#VALUE!</v>
      </c>
      <c r="AG82" t="e">
        <f>AND(Data!O147,"AAAAAD/3tiA=")</f>
        <v>#VALUE!</v>
      </c>
      <c r="AH82" t="e">
        <f>AND(Data!P147,"AAAAAD/3tiE=")</f>
        <v>#VALUE!</v>
      </c>
      <c r="AI82" t="e">
        <f>AND(Data!Q147,"AAAAAD/3tiI=")</f>
        <v>#VALUE!</v>
      </c>
      <c r="AJ82" t="e">
        <f>AND(Data!R147,"AAAAAD/3tiM=")</f>
        <v>#VALUE!</v>
      </c>
      <c r="AK82" t="e">
        <f>AND(Data!S147,"AAAAAD/3tiQ=")</f>
        <v>#VALUE!</v>
      </c>
      <c r="AL82" t="e">
        <f>AND(Data!T147,"AAAAAD/3tiU=")</f>
        <v>#VALUE!</v>
      </c>
      <c r="AM82" t="e">
        <f>AND(Data!U147,"AAAAAD/3tiY=")</f>
        <v>#VALUE!</v>
      </c>
      <c r="AN82" t="e">
        <f>AND(Data!V147,"AAAAAD/3tic=")</f>
        <v>#VALUE!</v>
      </c>
      <c r="AO82" t="e">
        <f>AND(Data!W147,"AAAAAD/3tig=")</f>
        <v>#VALUE!</v>
      </c>
      <c r="AP82" t="e">
        <f>AND(Data!X147,"AAAAAD/3tik=")</f>
        <v>#VALUE!</v>
      </c>
      <c r="AQ82">
        <f>IF(Data!148:148,"AAAAAD/3tio=",0)</f>
        <v>0</v>
      </c>
      <c r="AR82" t="e">
        <f>AND(Data!A148,"AAAAAD/3tis=")</f>
        <v>#VALUE!</v>
      </c>
      <c r="AS82" t="e">
        <f>AND(Data!B148,"AAAAAD/3tiw=")</f>
        <v>#VALUE!</v>
      </c>
      <c r="AT82" t="e">
        <f>AND(Data!C148,"AAAAAD/3ti0=")</f>
        <v>#VALUE!</v>
      </c>
      <c r="AU82" t="e">
        <f>AND(Data!D148,"AAAAAD/3ti4=")</f>
        <v>#VALUE!</v>
      </c>
      <c r="AV82" t="e">
        <f>AND(Data!E148,"AAAAAD/3ti8=")</f>
        <v>#VALUE!</v>
      </c>
      <c r="AW82" t="e">
        <f>AND(Data!F148,"AAAAAD/3tjA=")</f>
        <v>#VALUE!</v>
      </c>
      <c r="AX82" t="e">
        <f>AND(Data!G148,"AAAAAD/3tjE=")</f>
        <v>#VALUE!</v>
      </c>
      <c r="AY82" t="e">
        <f>AND(Data!H148,"AAAAAD/3tjI=")</f>
        <v>#VALUE!</v>
      </c>
      <c r="AZ82" t="e">
        <f>AND(Data!I148,"AAAAAD/3tjM=")</f>
        <v>#VALUE!</v>
      </c>
      <c r="BA82" t="e">
        <f>AND(Data!J148,"AAAAAD/3tjQ=")</f>
        <v>#VALUE!</v>
      </c>
      <c r="BB82" t="e">
        <f>AND(Data!K148,"AAAAAD/3tjU=")</f>
        <v>#VALUE!</v>
      </c>
      <c r="BC82" t="e">
        <f>AND(Data!L148,"AAAAAD/3tjY=")</f>
        <v>#VALUE!</v>
      </c>
      <c r="BD82" t="e">
        <f>AND(Data!M148,"AAAAAD/3tjc=")</f>
        <v>#VALUE!</v>
      </c>
      <c r="BE82" t="e">
        <f>AND(Data!N148,"AAAAAD/3tjg=")</f>
        <v>#VALUE!</v>
      </c>
      <c r="BF82" t="e">
        <f>AND(Data!O148,"AAAAAD/3tjk=")</f>
        <v>#VALUE!</v>
      </c>
      <c r="BG82" t="e">
        <f>AND(Data!P148,"AAAAAD/3tjo=")</f>
        <v>#VALUE!</v>
      </c>
      <c r="BH82" t="e">
        <f>AND(Data!Q148,"AAAAAD/3tjs=")</f>
        <v>#VALUE!</v>
      </c>
      <c r="BI82" t="e">
        <f>AND(Data!R148,"AAAAAD/3tjw=")</f>
        <v>#VALUE!</v>
      </c>
      <c r="BJ82" t="e">
        <f>AND(Data!S148,"AAAAAD/3tj0=")</f>
        <v>#VALUE!</v>
      </c>
      <c r="BK82" t="e">
        <f>AND(Data!T148,"AAAAAD/3tj4=")</f>
        <v>#VALUE!</v>
      </c>
      <c r="BL82" t="e">
        <f>AND(Data!U148,"AAAAAD/3tj8=")</f>
        <v>#VALUE!</v>
      </c>
      <c r="BM82" t="e">
        <f>AND(Data!V148,"AAAAAD/3tkA=")</f>
        <v>#VALUE!</v>
      </c>
      <c r="BN82" t="e">
        <f>AND(Data!W148,"AAAAAD/3tkE=")</f>
        <v>#VALUE!</v>
      </c>
      <c r="BO82" t="e">
        <f>AND(Data!X148,"AAAAAD/3tkI=")</f>
        <v>#VALUE!</v>
      </c>
      <c r="BP82">
        <f>IF(Data!149:149,"AAAAAD/3tkM=",0)</f>
        <v>0</v>
      </c>
      <c r="BQ82" t="e">
        <f>AND(Data!A149,"AAAAAD/3tkQ=")</f>
        <v>#VALUE!</v>
      </c>
      <c r="BR82" t="e">
        <f>AND(Data!B149,"AAAAAD/3tkU=")</f>
        <v>#VALUE!</v>
      </c>
      <c r="BS82" t="e">
        <f>AND(Data!C149,"AAAAAD/3tkY=")</f>
        <v>#VALUE!</v>
      </c>
      <c r="BT82" t="e">
        <f>AND(Data!D149,"AAAAAD/3tkc=")</f>
        <v>#VALUE!</v>
      </c>
      <c r="BU82" t="e">
        <f>AND(Data!E149,"AAAAAD/3tkg=")</f>
        <v>#VALUE!</v>
      </c>
      <c r="BV82" t="e">
        <f>AND(Data!F149,"AAAAAD/3tkk=")</f>
        <v>#VALUE!</v>
      </c>
      <c r="BW82" t="e">
        <f>AND(Data!G149,"AAAAAD/3tko=")</f>
        <v>#VALUE!</v>
      </c>
      <c r="BX82" t="e">
        <f>AND(Data!H149,"AAAAAD/3tks=")</f>
        <v>#VALUE!</v>
      </c>
      <c r="BY82" t="e">
        <f>AND(Data!I149,"AAAAAD/3tkw=")</f>
        <v>#VALUE!</v>
      </c>
      <c r="BZ82" t="e">
        <f>AND(Data!J149,"AAAAAD/3tk0=")</f>
        <v>#VALUE!</v>
      </c>
      <c r="CA82" t="e">
        <f>AND(Data!K149,"AAAAAD/3tk4=")</f>
        <v>#VALUE!</v>
      </c>
      <c r="CB82" t="e">
        <f>AND(Data!L149,"AAAAAD/3tk8=")</f>
        <v>#VALUE!</v>
      </c>
      <c r="CC82" t="e">
        <f>AND(Data!M149,"AAAAAD/3tlA=")</f>
        <v>#VALUE!</v>
      </c>
      <c r="CD82" t="e">
        <f>AND(Data!N149,"AAAAAD/3tlE=")</f>
        <v>#VALUE!</v>
      </c>
      <c r="CE82" t="e">
        <f>AND(Data!O149,"AAAAAD/3tlI=")</f>
        <v>#VALUE!</v>
      </c>
      <c r="CF82" t="e">
        <f>AND(Data!P149,"AAAAAD/3tlM=")</f>
        <v>#VALUE!</v>
      </c>
      <c r="CG82" t="e">
        <f>AND(Data!Q149,"AAAAAD/3tlQ=")</f>
        <v>#VALUE!</v>
      </c>
      <c r="CH82" t="e">
        <f>AND(Data!R149,"AAAAAD/3tlU=")</f>
        <v>#VALUE!</v>
      </c>
      <c r="CI82" t="e">
        <f>AND(Data!S149,"AAAAAD/3tlY=")</f>
        <v>#VALUE!</v>
      </c>
      <c r="CJ82" t="e">
        <f>AND(Data!T149,"AAAAAD/3tlc=")</f>
        <v>#VALUE!</v>
      </c>
      <c r="CK82" t="e">
        <f>AND(Data!U149,"AAAAAD/3tlg=")</f>
        <v>#VALUE!</v>
      </c>
      <c r="CL82" t="e">
        <f>AND(Data!V149,"AAAAAD/3tlk=")</f>
        <v>#VALUE!</v>
      </c>
      <c r="CM82" t="e">
        <f>AND(Data!W149,"AAAAAD/3tlo=")</f>
        <v>#VALUE!</v>
      </c>
      <c r="CN82" t="e">
        <f>AND(Data!X149,"AAAAAD/3tls=")</f>
        <v>#VALUE!</v>
      </c>
      <c r="CO82">
        <f>IF(Data!150:150,"AAAAAD/3tlw=",0)</f>
        <v>0</v>
      </c>
      <c r="CP82" t="e">
        <f>AND(Data!A150,"AAAAAD/3tl0=")</f>
        <v>#VALUE!</v>
      </c>
      <c r="CQ82" t="e">
        <f>AND(Data!B150,"AAAAAD/3tl4=")</f>
        <v>#VALUE!</v>
      </c>
      <c r="CR82" t="e">
        <f>AND(Data!C150,"AAAAAD/3tl8=")</f>
        <v>#VALUE!</v>
      </c>
      <c r="CS82" t="e">
        <f>AND(Data!D150,"AAAAAD/3tmA=")</f>
        <v>#VALUE!</v>
      </c>
      <c r="CT82" t="e">
        <f>AND(Data!E150,"AAAAAD/3tmE=")</f>
        <v>#VALUE!</v>
      </c>
      <c r="CU82" t="e">
        <f>AND(Data!F150,"AAAAAD/3tmI=")</f>
        <v>#VALUE!</v>
      </c>
      <c r="CV82" t="e">
        <f>AND(Data!G150,"AAAAAD/3tmM=")</f>
        <v>#VALUE!</v>
      </c>
      <c r="CW82" t="e">
        <f>AND(Data!H150,"AAAAAD/3tmQ=")</f>
        <v>#VALUE!</v>
      </c>
      <c r="CX82" t="e">
        <f>AND(Data!I150,"AAAAAD/3tmU=")</f>
        <v>#VALUE!</v>
      </c>
      <c r="CY82" t="e">
        <f>AND(Data!J150,"AAAAAD/3tmY=")</f>
        <v>#VALUE!</v>
      </c>
      <c r="CZ82" t="e">
        <f>AND(Data!K150,"AAAAAD/3tmc=")</f>
        <v>#VALUE!</v>
      </c>
      <c r="DA82" t="e">
        <f>AND(Data!L150,"AAAAAD/3tmg=")</f>
        <v>#VALUE!</v>
      </c>
      <c r="DB82" t="e">
        <f>AND(Data!M150,"AAAAAD/3tmk=")</f>
        <v>#VALUE!</v>
      </c>
      <c r="DC82" t="e">
        <f>AND(Data!N150,"AAAAAD/3tmo=")</f>
        <v>#VALUE!</v>
      </c>
      <c r="DD82" t="e">
        <f>AND(Data!O150,"AAAAAD/3tms=")</f>
        <v>#VALUE!</v>
      </c>
      <c r="DE82" t="e">
        <f>AND(Data!P150,"AAAAAD/3tmw=")</f>
        <v>#VALUE!</v>
      </c>
      <c r="DF82" t="e">
        <f>AND(Data!Q150,"AAAAAD/3tm0=")</f>
        <v>#VALUE!</v>
      </c>
      <c r="DG82" t="e">
        <f>AND(Data!R150,"AAAAAD/3tm4=")</f>
        <v>#VALUE!</v>
      </c>
      <c r="DH82" t="e">
        <f>AND(Data!S150,"AAAAAD/3tm8=")</f>
        <v>#VALUE!</v>
      </c>
      <c r="DI82" t="e">
        <f>AND(Data!T150,"AAAAAD/3tnA=")</f>
        <v>#VALUE!</v>
      </c>
      <c r="DJ82" t="e">
        <f>AND(Data!U150,"AAAAAD/3tnE=")</f>
        <v>#VALUE!</v>
      </c>
      <c r="DK82" t="e">
        <f>AND(Data!V150,"AAAAAD/3tnI=")</f>
        <v>#VALUE!</v>
      </c>
      <c r="DL82" t="e">
        <f>AND(Data!W150,"AAAAAD/3tnM=")</f>
        <v>#VALUE!</v>
      </c>
      <c r="DM82" t="e">
        <f>AND(Data!X150,"AAAAAD/3tnQ=")</f>
        <v>#VALUE!</v>
      </c>
      <c r="DN82">
        <f>IF(Data!151:151,"AAAAAD/3tnU=",0)</f>
        <v>0</v>
      </c>
      <c r="DO82" t="e">
        <f>AND(Data!A151,"AAAAAD/3tnY=")</f>
        <v>#VALUE!</v>
      </c>
      <c r="DP82" t="e">
        <f>AND(Data!B151,"AAAAAD/3tnc=")</f>
        <v>#VALUE!</v>
      </c>
      <c r="DQ82" t="e">
        <f>AND(Data!C151,"AAAAAD/3tng=")</f>
        <v>#VALUE!</v>
      </c>
      <c r="DR82" t="e">
        <f>AND(Data!D151,"AAAAAD/3tnk=")</f>
        <v>#VALUE!</v>
      </c>
      <c r="DS82" t="e">
        <f>AND(Data!E151,"AAAAAD/3tno=")</f>
        <v>#VALUE!</v>
      </c>
      <c r="DT82" t="e">
        <f>AND(Data!F151,"AAAAAD/3tns=")</f>
        <v>#VALUE!</v>
      </c>
      <c r="DU82" t="e">
        <f>AND(Data!G151,"AAAAAD/3tnw=")</f>
        <v>#VALUE!</v>
      </c>
      <c r="DV82" t="e">
        <f>AND(Data!H151,"AAAAAD/3tn0=")</f>
        <v>#VALUE!</v>
      </c>
      <c r="DW82" t="e">
        <f>AND(Data!I151,"AAAAAD/3tn4=")</f>
        <v>#VALUE!</v>
      </c>
      <c r="DX82" t="e">
        <f>AND(Data!J151,"AAAAAD/3tn8=")</f>
        <v>#VALUE!</v>
      </c>
      <c r="DY82" t="e">
        <f>AND(Data!K151,"AAAAAD/3toA=")</f>
        <v>#VALUE!</v>
      </c>
      <c r="DZ82" t="e">
        <f>AND(Data!L151,"AAAAAD/3toE=")</f>
        <v>#VALUE!</v>
      </c>
      <c r="EA82" t="e">
        <f>AND(Data!M151,"AAAAAD/3toI=")</f>
        <v>#VALUE!</v>
      </c>
      <c r="EB82" t="e">
        <f>AND(Data!N151,"AAAAAD/3toM=")</f>
        <v>#VALUE!</v>
      </c>
      <c r="EC82" t="e">
        <f>AND(Data!O151,"AAAAAD/3toQ=")</f>
        <v>#VALUE!</v>
      </c>
      <c r="ED82" t="e">
        <f>AND(Data!P151,"AAAAAD/3toU=")</f>
        <v>#VALUE!</v>
      </c>
      <c r="EE82" t="e">
        <f>AND(Data!Q151,"AAAAAD/3toY=")</f>
        <v>#VALUE!</v>
      </c>
      <c r="EF82" t="e">
        <f>AND(Data!R151,"AAAAAD/3toc=")</f>
        <v>#VALUE!</v>
      </c>
      <c r="EG82" t="e">
        <f>AND(Data!S151,"AAAAAD/3tog=")</f>
        <v>#VALUE!</v>
      </c>
      <c r="EH82" t="e">
        <f>AND(Data!T151,"AAAAAD/3tok=")</f>
        <v>#VALUE!</v>
      </c>
      <c r="EI82" t="e">
        <f>AND(Data!U151,"AAAAAD/3too=")</f>
        <v>#VALUE!</v>
      </c>
      <c r="EJ82" t="e">
        <f>AND(Data!V151,"AAAAAD/3tos=")</f>
        <v>#VALUE!</v>
      </c>
      <c r="EK82" t="e">
        <f>AND(Data!W151,"AAAAAD/3tow=")</f>
        <v>#VALUE!</v>
      </c>
      <c r="EL82" t="e">
        <f>AND(Data!X151,"AAAAAD/3to0=")</f>
        <v>#VALUE!</v>
      </c>
      <c r="EM82">
        <f>IF(Data!152:152,"AAAAAD/3to4=",0)</f>
        <v>0</v>
      </c>
      <c r="EN82" t="e">
        <f>AND(Data!A152,"AAAAAD/3to8=")</f>
        <v>#VALUE!</v>
      </c>
      <c r="EO82" t="e">
        <f>AND(Data!B152,"AAAAAD/3tpA=")</f>
        <v>#VALUE!</v>
      </c>
      <c r="EP82" t="e">
        <f>AND(Data!C152,"AAAAAD/3tpE=")</f>
        <v>#VALUE!</v>
      </c>
      <c r="EQ82" t="e">
        <f>AND(Data!D152,"AAAAAD/3tpI=")</f>
        <v>#VALUE!</v>
      </c>
      <c r="ER82" t="e">
        <f>AND(Data!E152,"AAAAAD/3tpM=")</f>
        <v>#VALUE!</v>
      </c>
      <c r="ES82" t="e">
        <f>AND(Data!F152,"AAAAAD/3tpQ=")</f>
        <v>#VALUE!</v>
      </c>
      <c r="ET82" t="e">
        <f>AND(Data!G152,"AAAAAD/3tpU=")</f>
        <v>#VALUE!</v>
      </c>
      <c r="EU82" t="e">
        <f>AND(Data!H152,"AAAAAD/3tpY=")</f>
        <v>#VALUE!</v>
      </c>
      <c r="EV82" t="e">
        <f>AND(Data!I152,"AAAAAD/3tpc=")</f>
        <v>#VALUE!</v>
      </c>
      <c r="EW82" t="e">
        <f>AND(Data!J152,"AAAAAD/3tpg=")</f>
        <v>#VALUE!</v>
      </c>
      <c r="EX82" t="e">
        <f>AND(Data!K152,"AAAAAD/3tpk=")</f>
        <v>#VALUE!</v>
      </c>
      <c r="EY82" t="e">
        <f>AND(Data!L152,"AAAAAD/3tpo=")</f>
        <v>#VALUE!</v>
      </c>
      <c r="EZ82" t="e">
        <f>AND(Data!M152,"AAAAAD/3tps=")</f>
        <v>#VALUE!</v>
      </c>
      <c r="FA82" t="e">
        <f>AND(Data!N152,"AAAAAD/3tpw=")</f>
        <v>#VALUE!</v>
      </c>
      <c r="FB82" t="e">
        <f>AND(Data!O152,"AAAAAD/3tp0=")</f>
        <v>#VALUE!</v>
      </c>
      <c r="FC82" t="e">
        <f>AND(Data!P152,"AAAAAD/3tp4=")</f>
        <v>#VALUE!</v>
      </c>
      <c r="FD82" t="e">
        <f>AND(Data!Q152,"AAAAAD/3tp8=")</f>
        <v>#VALUE!</v>
      </c>
      <c r="FE82" t="e">
        <f>AND(Data!R152,"AAAAAD/3tqA=")</f>
        <v>#VALUE!</v>
      </c>
      <c r="FF82" t="e">
        <f>AND(Data!S152,"AAAAAD/3tqE=")</f>
        <v>#VALUE!</v>
      </c>
      <c r="FG82" t="e">
        <f>AND(Data!T152,"AAAAAD/3tqI=")</f>
        <v>#VALUE!</v>
      </c>
      <c r="FH82" t="e">
        <f>AND(Data!U152,"AAAAAD/3tqM=")</f>
        <v>#VALUE!</v>
      </c>
      <c r="FI82" t="e">
        <f>AND(Data!V152,"AAAAAD/3tqQ=")</f>
        <v>#VALUE!</v>
      </c>
      <c r="FJ82" t="e">
        <f>AND(Data!W152,"AAAAAD/3tqU=")</f>
        <v>#VALUE!</v>
      </c>
      <c r="FK82" t="e">
        <f>AND(Data!X152,"AAAAAD/3tqY=")</f>
        <v>#VALUE!</v>
      </c>
      <c r="FL82">
        <f>IF(Data!153:153,"AAAAAD/3tqc=",0)</f>
        <v>0</v>
      </c>
      <c r="FM82" t="e">
        <f>AND(Data!A153,"AAAAAD/3tqg=")</f>
        <v>#VALUE!</v>
      </c>
      <c r="FN82" t="e">
        <f>AND(Data!B153,"AAAAAD/3tqk=")</f>
        <v>#VALUE!</v>
      </c>
      <c r="FO82" t="e">
        <f>AND(Data!C153,"AAAAAD/3tqo=")</f>
        <v>#VALUE!</v>
      </c>
      <c r="FP82" t="e">
        <f>AND(Data!D153,"AAAAAD/3tqs=")</f>
        <v>#VALUE!</v>
      </c>
      <c r="FQ82" t="e">
        <f>AND(Data!E153,"AAAAAD/3tqw=")</f>
        <v>#VALUE!</v>
      </c>
      <c r="FR82" t="e">
        <f>AND(Data!F153,"AAAAAD/3tq0=")</f>
        <v>#VALUE!</v>
      </c>
      <c r="FS82" t="e">
        <f>AND(Data!G153,"AAAAAD/3tq4=")</f>
        <v>#VALUE!</v>
      </c>
      <c r="FT82" t="e">
        <f>AND(Data!H153,"AAAAAD/3tq8=")</f>
        <v>#VALUE!</v>
      </c>
      <c r="FU82" t="e">
        <f>AND(Data!I153,"AAAAAD/3trA=")</f>
        <v>#VALUE!</v>
      </c>
      <c r="FV82" t="e">
        <f>AND(Data!J153,"AAAAAD/3trE=")</f>
        <v>#VALUE!</v>
      </c>
      <c r="FW82" t="e">
        <f>AND(Data!K153,"AAAAAD/3trI=")</f>
        <v>#VALUE!</v>
      </c>
      <c r="FX82" t="e">
        <f>AND(Data!L153,"AAAAAD/3trM=")</f>
        <v>#VALUE!</v>
      </c>
      <c r="FY82" t="e">
        <f>AND(Data!M153,"AAAAAD/3trQ=")</f>
        <v>#VALUE!</v>
      </c>
      <c r="FZ82" t="e">
        <f>AND(Data!N153,"AAAAAD/3trU=")</f>
        <v>#VALUE!</v>
      </c>
      <c r="GA82" t="e">
        <f>AND(Data!O153,"AAAAAD/3trY=")</f>
        <v>#VALUE!</v>
      </c>
      <c r="GB82" t="e">
        <f>AND(Data!P153,"AAAAAD/3trc=")</f>
        <v>#VALUE!</v>
      </c>
      <c r="GC82" t="e">
        <f>AND(Data!Q153,"AAAAAD/3trg=")</f>
        <v>#VALUE!</v>
      </c>
      <c r="GD82" t="e">
        <f>AND(Data!R153,"AAAAAD/3trk=")</f>
        <v>#VALUE!</v>
      </c>
      <c r="GE82" t="e">
        <f>AND(Data!S153,"AAAAAD/3tro=")</f>
        <v>#VALUE!</v>
      </c>
      <c r="GF82" t="e">
        <f>AND(Data!T153,"AAAAAD/3trs=")</f>
        <v>#VALUE!</v>
      </c>
      <c r="GG82" t="e">
        <f>AND(Data!U153,"AAAAAD/3trw=")</f>
        <v>#VALUE!</v>
      </c>
      <c r="GH82" t="e">
        <f>AND(Data!V153,"AAAAAD/3tr0=")</f>
        <v>#VALUE!</v>
      </c>
      <c r="GI82" t="e">
        <f>AND(Data!W153,"AAAAAD/3tr4=")</f>
        <v>#VALUE!</v>
      </c>
      <c r="GJ82" t="e">
        <f>AND(Data!X153,"AAAAAD/3tr8=")</f>
        <v>#VALUE!</v>
      </c>
      <c r="GK82">
        <f>IF(Data!154:154,"AAAAAD/3tsA=",0)</f>
        <v>0</v>
      </c>
      <c r="GL82" t="e">
        <f>AND(Data!A154,"AAAAAD/3tsE=")</f>
        <v>#VALUE!</v>
      </c>
      <c r="GM82" t="e">
        <f>AND(Data!B154,"AAAAAD/3tsI=")</f>
        <v>#VALUE!</v>
      </c>
      <c r="GN82" t="e">
        <f>AND(Data!C154,"AAAAAD/3tsM=")</f>
        <v>#VALUE!</v>
      </c>
      <c r="GO82" t="e">
        <f>AND(Data!D154,"AAAAAD/3tsQ=")</f>
        <v>#VALUE!</v>
      </c>
      <c r="GP82" t="e">
        <f>AND(Data!E154,"AAAAAD/3tsU=")</f>
        <v>#VALUE!</v>
      </c>
      <c r="GQ82" t="e">
        <f>AND(Data!F154,"AAAAAD/3tsY=")</f>
        <v>#VALUE!</v>
      </c>
      <c r="GR82" t="e">
        <f>AND(Data!G154,"AAAAAD/3tsc=")</f>
        <v>#VALUE!</v>
      </c>
      <c r="GS82" t="e">
        <f>AND(Data!H154,"AAAAAD/3tsg=")</f>
        <v>#VALUE!</v>
      </c>
      <c r="GT82" t="e">
        <f>AND(Data!I154,"AAAAAD/3tsk=")</f>
        <v>#VALUE!</v>
      </c>
      <c r="GU82" t="e">
        <f>AND(Data!J154,"AAAAAD/3tso=")</f>
        <v>#VALUE!</v>
      </c>
      <c r="GV82" t="e">
        <f>AND(Data!K154,"AAAAAD/3tss=")</f>
        <v>#VALUE!</v>
      </c>
      <c r="GW82" t="e">
        <f>AND(Data!L154,"AAAAAD/3tsw=")</f>
        <v>#VALUE!</v>
      </c>
      <c r="GX82" t="e">
        <f>AND(Data!M154,"AAAAAD/3ts0=")</f>
        <v>#VALUE!</v>
      </c>
      <c r="GY82" t="e">
        <f>AND(Data!N154,"AAAAAD/3ts4=")</f>
        <v>#VALUE!</v>
      </c>
      <c r="GZ82" t="e">
        <f>AND(Data!O154,"AAAAAD/3ts8=")</f>
        <v>#VALUE!</v>
      </c>
      <c r="HA82" t="e">
        <f>AND(Data!P154,"AAAAAD/3ttA=")</f>
        <v>#VALUE!</v>
      </c>
      <c r="HB82" t="e">
        <f>AND(Data!Q154,"AAAAAD/3ttE=")</f>
        <v>#VALUE!</v>
      </c>
      <c r="HC82" t="e">
        <f>AND(Data!R154,"AAAAAD/3ttI=")</f>
        <v>#VALUE!</v>
      </c>
      <c r="HD82" t="e">
        <f>AND(Data!S154,"AAAAAD/3ttM=")</f>
        <v>#VALUE!</v>
      </c>
      <c r="HE82" t="e">
        <f>AND(Data!T154,"AAAAAD/3ttQ=")</f>
        <v>#VALUE!</v>
      </c>
      <c r="HF82" t="e">
        <f>AND(Data!U154,"AAAAAD/3ttU=")</f>
        <v>#VALUE!</v>
      </c>
      <c r="HG82" t="e">
        <f>AND(Data!V154,"AAAAAD/3ttY=")</f>
        <v>#VALUE!</v>
      </c>
      <c r="HH82" t="e">
        <f>AND(Data!W154,"AAAAAD/3ttc=")</f>
        <v>#VALUE!</v>
      </c>
      <c r="HI82" t="e">
        <f>AND(Data!X154,"AAAAAD/3ttg=")</f>
        <v>#VALUE!</v>
      </c>
      <c r="HJ82">
        <f>IF(Data!155:155,"AAAAAD/3ttk=",0)</f>
        <v>0</v>
      </c>
      <c r="HK82" t="e">
        <f>AND(Data!A155,"AAAAAD/3tto=")</f>
        <v>#VALUE!</v>
      </c>
      <c r="HL82" t="e">
        <f>AND(Data!B155,"AAAAAD/3tts=")</f>
        <v>#VALUE!</v>
      </c>
      <c r="HM82" t="e">
        <f>AND(Data!C155,"AAAAAD/3ttw=")</f>
        <v>#VALUE!</v>
      </c>
      <c r="HN82" t="e">
        <f>AND(Data!D155,"AAAAAD/3tt0=")</f>
        <v>#VALUE!</v>
      </c>
      <c r="HO82" t="e">
        <f>AND(Data!E155,"AAAAAD/3tt4=")</f>
        <v>#VALUE!</v>
      </c>
      <c r="HP82" t="e">
        <f>AND(Data!F155,"AAAAAD/3tt8=")</f>
        <v>#VALUE!</v>
      </c>
      <c r="HQ82" t="e">
        <f>AND(Data!G155,"AAAAAD/3tuA=")</f>
        <v>#VALUE!</v>
      </c>
      <c r="HR82" t="e">
        <f>AND(Data!H155,"AAAAAD/3tuE=")</f>
        <v>#VALUE!</v>
      </c>
      <c r="HS82" t="e">
        <f>AND(Data!I155,"AAAAAD/3tuI=")</f>
        <v>#VALUE!</v>
      </c>
      <c r="HT82" t="e">
        <f>AND(Data!J155,"AAAAAD/3tuM=")</f>
        <v>#VALUE!</v>
      </c>
      <c r="HU82" t="e">
        <f>AND(Data!K155,"AAAAAD/3tuQ=")</f>
        <v>#VALUE!</v>
      </c>
      <c r="HV82" t="e">
        <f>AND(Data!L155,"AAAAAD/3tuU=")</f>
        <v>#VALUE!</v>
      </c>
      <c r="HW82" t="e">
        <f>AND(Data!M155,"AAAAAD/3tuY=")</f>
        <v>#VALUE!</v>
      </c>
      <c r="HX82" t="e">
        <f>AND(Data!N155,"AAAAAD/3tuc=")</f>
        <v>#VALUE!</v>
      </c>
      <c r="HY82" t="e">
        <f>AND(Data!O155,"AAAAAD/3tug=")</f>
        <v>#VALUE!</v>
      </c>
      <c r="HZ82" t="e">
        <f>AND(Data!P155,"AAAAAD/3tuk=")</f>
        <v>#VALUE!</v>
      </c>
      <c r="IA82" t="e">
        <f>AND(Data!Q155,"AAAAAD/3tuo=")</f>
        <v>#VALUE!</v>
      </c>
      <c r="IB82" t="e">
        <f>AND(Data!R155,"AAAAAD/3tus=")</f>
        <v>#VALUE!</v>
      </c>
      <c r="IC82" t="e">
        <f>AND(Data!S155,"AAAAAD/3tuw=")</f>
        <v>#VALUE!</v>
      </c>
      <c r="ID82" t="e">
        <f>AND(Data!T155,"AAAAAD/3tu0=")</f>
        <v>#VALUE!</v>
      </c>
      <c r="IE82" t="e">
        <f>AND(Data!U155,"AAAAAD/3tu4=")</f>
        <v>#VALUE!</v>
      </c>
      <c r="IF82" t="e">
        <f>AND(Data!V155,"AAAAAD/3tu8=")</f>
        <v>#VALUE!</v>
      </c>
      <c r="IG82" t="e">
        <f>AND(Data!W155,"AAAAAD/3tvA=")</f>
        <v>#VALUE!</v>
      </c>
      <c r="IH82" t="e">
        <f>AND(Data!X155,"AAAAAD/3tvE=")</f>
        <v>#VALUE!</v>
      </c>
      <c r="II82">
        <f>IF(Data!156:156,"AAAAAD/3tvI=",0)</f>
        <v>0</v>
      </c>
      <c r="IJ82" t="e">
        <f>AND(Data!A156,"AAAAAD/3tvM=")</f>
        <v>#VALUE!</v>
      </c>
      <c r="IK82" t="e">
        <f>AND(Data!B156,"AAAAAD/3tvQ=")</f>
        <v>#VALUE!</v>
      </c>
      <c r="IL82" t="e">
        <f>AND(Data!C156,"AAAAAD/3tvU=")</f>
        <v>#VALUE!</v>
      </c>
      <c r="IM82" t="e">
        <f>AND(Data!D156,"AAAAAD/3tvY=")</f>
        <v>#VALUE!</v>
      </c>
      <c r="IN82" t="e">
        <f>AND(Data!E156,"AAAAAD/3tvc=")</f>
        <v>#VALUE!</v>
      </c>
      <c r="IO82" t="e">
        <f>AND(Data!F156,"AAAAAD/3tvg=")</f>
        <v>#VALUE!</v>
      </c>
      <c r="IP82" t="e">
        <f>AND(Data!G156,"AAAAAD/3tvk=")</f>
        <v>#VALUE!</v>
      </c>
      <c r="IQ82" t="e">
        <f>AND(Data!H156,"AAAAAD/3tvo=")</f>
        <v>#VALUE!</v>
      </c>
      <c r="IR82" t="e">
        <f>AND(Data!I156,"AAAAAD/3tvs=")</f>
        <v>#VALUE!</v>
      </c>
      <c r="IS82" t="e">
        <f>AND(Data!J156,"AAAAAD/3tvw=")</f>
        <v>#VALUE!</v>
      </c>
      <c r="IT82" t="e">
        <f>AND(Data!K156,"AAAAAD/3tv0=")</f>
        <v>#VALUE!</v>
      </c>
      <c r="IU82" t="e">
        <f>AND(Data!L156,"AAAAAD/3tv4=")</f>
        <v>#VALUE!</v>
      </c>
      <c r="IV82" t="e">
        <f>AND(Data!M156,"AAAAAD/3tv8=")</f>
        <v>#VALUE!</v>
      </c>
    </row>
    <row r="83" spans="1:256" x14ac:dyDescent="0.2">
      <c r="A83" t="e">
        <f>AND(Data!N156,"AAAAAH+9vAA=")</f>
        <v>#VALUE!</v>
      </c>
      <c r="B83" t="e">
        <f>AND(Data!O156,"AAAAAH+9vAE=")</f>
        <v>#VALUE!</v>
      </c>
      <c r="C83" t="e">
        <f>AND(Data!P156,"AAAAAH+9vAI=")</f>
        <v>#VALUE!</v>
      </c>
      <c r="D83" t="e">
        <f>AND(Data!Q156,"AAAAAH+9vAM=")</f>
        <v>#VALUE!</v>
      </c>
      <c r="E83" t="e">
        <f>AND(Data!R156,"AAAAAH+9vAQ=")</f>
        <v>#VALUE!</v>
      </c>
      <c r="F83" t="e">
        <f>AND(Data!S156,"AAAAAH+9vAU=")</f>
        <v>#VALUE!</v>
      </c>
      <c r="G83" t="e">
        <f>AND(Data!T156,"AAAAAH+9vAY=")</f>
        <v>#VALUE!</v>
      </c>
      <c r="H83" t="e">
        <f>AND(Data!U156,"AAAAAH+9vAc=")</f>
        <v>#VALUE!</v>
      </c>
      <c r="I83" t="e">
        <f>AND(Data!V156,"AAAAAH+9vAg=")</f>
        <v>#VALUE!</v>
      </c>
      <c r="J83" t="e">
        <f>AND(Data!W156,"AAAAAH+9vAk=")</f>
        <v>#VALUE!</v>
      </c>
      <c r="K83" t="e">
        <f>AND(Data!X156,"AAAAAH+9vAo=")</f>
        <v>#VALUE!</v>
      </c>
      <c r="L83">
        <f>IF(Data!157:157,"AAAAAH+9vAs=",0)</f>
        <v>0</v>
      </c>
      <c r="M83" t="e">
        <f>AND(Data!A157,"AAAAAH+9vAw=")</f>
        <v>#VALUE!</v>
      </c>
      <c r="N83" t="e">
        <f>AND(Data!B157,"AAAAAH+9vA0=")</f>
        <v>#VALUE!</v>
      </c>
      <c r="O83" t="e">
        <f>AND(Data!C157,"AAAAAH+9vA4=")</f>
        <v>#VALUE!</v>
      </c>
      <c r="P83" t="e">
        <f>AND(Data!D157,"AAAAAH+9vA8=")</f>
        <v>#VALUE!</v>
      </c>
      <c r="Q83" t="e">
        <f>AND(Data!E157,"AAAAAH+9vBA=")</f>
        <v>#VALUE!</v>
      </c>
      <c r="R83" t="e">
        <f>AND(Data!F157,"AAAAAH+9vBE=")</f>
        <v>#VALUE!</v>
      </c>
      <c r="S83" t="e">
        <f>AND(Data!G157,"AAAAAH+9vBI=")</f>
        <v>#VALUE!</v>
      </c>
      <c r="T83" t="e">
        <f>AND(Data!H157,"AAAAAH+9vBM=")</f>
        <v>#VALUE!</v>
      </c>
      <c r="U83" t="e">
        <f>AND(Data!I157,"AAAAAH+9vBQ=")</f>
        <v>#VALUE!</v>
      </c>
      <c r="V83" t="e">
        <f>AND(Data!J157,"AAAAAH+9vBU=")</f>
        <v>#VALUE!</v>
      </c>
      <c r="W83" t="e">
        <f>AND(Data!K157,"AAAAAH+9vBY=")</f>
        <v>#VALUE!</v>
      </c>
      <c r="X83" t="e">
        <f>AND(Data!L157,"AAAAAH+9vBc=")</f>
        <v>#VALUE!</v>
      </c>
      <c r="Y83" t="e">
        <f>AND(Data!M157,"AAAAAH+9vBg=")</f>
        <v>#VALUE!</v>
      </c>
      <c r="Z83" t="e">
        <f>AND(Data!N157,"AAAAAH+9vBk=")</f>
        <v>#VALUE!</v>
      </c>
      <c r="AA83" t="e">
        <f>AND(Data!O157,"AAAAAH+9vBo=")</f>
        <v>#VALUE!</v>
      </c>
      <c r="AB83" t="e">
        <f>AND(Data!P157,"AAAAAH+9vBs=")</f>
        <v>#VALUE!</v>
      </c>
      <c r="AC83" t="e">
        <f>AND(Data!Q157,"AAAAAH+9vBw=")</f>
        <v>#VALUE!</v>
      </c>
      <c r="AD83" t="e">
        <f>AND(Data!R157,"AAAAAH+9vB0=")</f>
        <v>#VALUE!</v>
      </c>
      <c r="AE83" t="e">
        <f>AND(Data!S157,"AAAAAH+9vB4=")</f>
        <v>#VALUE!</v>
      </c>
      <c r="AF83" t="e">
        <f>AND(Data!T157,"AAAAAH+9vB8=")</f>
        <v>#VALUE!</v>
      </c>
      <c r="AG83" t="e">
        <f>AND(Data!U157,"AAAAAH+9vCA=")</f>
        <v>#VALUE!</v>
      </c>
      <c r="AH83" t="e">
        <f>AND(Data!V157,"AAAAAH+9vCE=")</f>
        <v>#VALUE!</v>
      </c>
      <c r="AI83" t="e">
        <f>AND(Data!W157,"AAAAAH+9vCI=")</f>
        <v>#VALUE!</v>
      </c>
      <c r="AJ83" t="e">
        <f>AND(Data!X157,"AAAAAH+9vCM=")</f>
        <v>#VALUE!</v>
      </c>
      <c r="AK83">
        <f>IF(Data!158:158,"AAAAAH+9vCQ=",0)</f>
        <v>0</v>
      </c>
      <c r="AL83" t="e">
        <f>AND(Data!A158,"AAAAAH+9vCU=")</f>
        <v>#VALUE!</v>
      </c>
      <c r="AM83" t="e">
        <f>AND(Data!B158,"AAAAAH+9vCY=")</f>
        <v>#VALUE!</v>
      </c>
      <c r="AN83" t="e">
        <f>AND(Data!C158,"AAAAAH+9vCc=")</f>
        <v>#VALUE!</v>
      </c>
      <c r="AO83" t="e">
        <f>AND(Data!D158,"AAAAAH+9vCg=")</f>
        <v>#VALUE!</v>
      </c>
      <c r="AP83" t="e">
        <f>AND(Data!E158,"AAAAAH+9vCk=")</f>
        <v>#VALUE!</v>
      </c>
      <c r="AQ83" t="e">
        <f>AND(Data!F158,"AAAAAH+9vCo=")</f>
        <v>#VALUE!</v>
      </c>
      <c r="AR83" t="e">
        <f>AND(Data!G158,"AAAAAH+9vCs=")</f>
        <v>#VALUE!</v>
      </c>
      <c r="AS83" t="e">
        <f>AND(Data!H158,"AAAAAH+9vCw=")</f>
        <v>#VALUE!</v>
      </c>
      <c r="AT83" t="e">
        <f>AND(Data!I158,"AAAAAH+9vC0=")</f>
        <v>#VALUE!</v>
      </c>
      <c r="AU83" t="e">
        <f>AND(Data!J158,"AAAAAH+9vC4=")</f>
        <v>#VALUE!</v>
      </c>
      <c r="AV83" t="e">
        <f>AND(Data!K158,"AAAAAH+9vC8=")</f>
        <v>#VALUE!</v>
      </c>
      <c r="AW83" t="e">
        <f>AND(Data!L158,"AAAAAH+9vDA=")</f>
        <v>#VALUE!</v>
      </c>
      <c r="AX83" t="e">
        <f>AND(Data!M158,"AAAAAH+9vDE=")</f>
        <v>#VALUE!</v>
      </c>
      <c r="AY83" t="e">
        <f>AND(Data!N158,"AAAAAH+9vDI=")</f>
        <v>#VALUE!</v>
      </c>
      <c r="AZ83" t="e">
        <f>AND(Data!O158,"AAAAAH+9vDM=")</f>
        <v>#VALUE!</v>
      </c>
      <c r="BA83" t="e">
        <f>AND(Data!P158,"AAAAAH+9vDQ=")</f>
        <v>#VALUE!</v>
      </c>
      <c r="BB83" t="e">
        <f>AND(Data!Q158,"AAAAAH+9vDU=")</f>
        <v>#VALUE!</v>
      </c>
      <c r="BC83" t="e">
        <f>AND(Data!R158,"AAAAAH+9vDY=")</f>
        <v>#VALUE!</v>
      </c>
      <c r="BD83" t="e">
        <f>AND(Data!S158,"AAAAAH+9vDc=")</f>
        <v>#VALUE!</v>
      </c>
      <c r="BE83" t="e">
        <f>AND(Data!T158,"AAAAAH+9vDg=")</f>
        <v>#VALUE!</v>
      </c>
      <c r="BF83" t="e">
        <f>AND(Data!U158,"AAAAAH+9vDk=")</f>
        <v>#VALUE!</v>
      </c>
      <c r="BG83" t="e">
        <f>AND(Data!V158,"AAAAAH+9vDo=")</f>
        <v>#VALUE!</v>
      </c>
      <c r="BH83" t="e">
        <f>AND(Data!W158,"AAAAAH+9vDs=")</f>
        <v>#VALUE!</v>
      </c>
      <c r="BI83" t="e">
        <f>AND(Data!X158,"AAAAAH+9vDw=")</f>
        <v>#VALUE!</v>
      </c>
      <c r="BJ83">
        <f>IF(Data!159:159,"AAAAAH+9vD0=",0)</f>
        <v>0</v>
      </c>
      <c r="BK83" t="e">
        <f>AND(Data!A159,"AAAAAH+9vD4=")</f>
        <v>#VALUE!</v>
      </c>
      <c r="BL83" t="e">
        <f>AND(Data!B159,"AAAAAH+9vD8=")</f>
        <v>#VALUE!</v>
      </c>
      <c r="BM83" t="e">
        <f>AND(Data!C159,"AAAAAH+9vEA=")</f>
        <v>#VALUE!</v>
      </c>
      <c r="BN83" t="e">
        <f>AND(Data!D159,"AAAAAH+9vEE=")</f>
        <v>#VALUE!</v>
      </c>
      <c r="BO83" t="e">
        <f>AND(Data!E159,"AAAAAH+9vEI=")</f>
        <v>#VALUE!</v>
      </c>
      <c r="BP83" t="e">
        <f>AND(Data!F159,"AAAAAH+9vEM=")</f>
        <v>#VALUE!</v>
      </c>
      <c r="BQ83" t="e">
        <f>AND(Data!G159,"AAAAAH+9vEQ=")</f>
        <v>#VALUE!</v>
      </c>
      <c r="BR83" t="e">
        <f>AND(Data!H159,"AAAAAH+9vEU=")</f>
        <v>#VALUE!</v>
      </c>
      <c r="BS83" t="e">
        <f>AND(Data!I159,"AAAAAH+9vEY=")</f>
        <v>#VALUE!</v>
      </c>
      <c r="BT83" t="e">
        <f>AND(Data!J159,"AAAAAH+9vEc=")</f>
        <v>#VALUE!</v>
      </c>
      <c r="BU83" t="e">
        <f>AND(Data!K159,"AAAAAH+9vEg=")</f>
        <v>#VALUE!</v>
      </c>
      <c r="BV83" t="e">
        <f>AND(Data!L159,"AAAAAH+9vEk=")</f>
        <v>#VALUE!</v>
      </c>
      <c r="BW83" t="e">
        <f>AND(Data!M159,"AAAAAH+9vEo=")</f>
        <v>#VALUE!</v>
      </c>
      <c r="BX83" t="e">
        <f>AND(Data!N159,"AAAAAH+9vEs=")</f>
        <v>#VALUE!</v>
      </c>
      <c r="BY83" t="e">
        <f>AND(Data!O159,"AAAAAH+9vEw=")</f>
        <v>#VALUE!</v>
      </c>
      <c r="BZ83" t="e">
        <f>AND(Data!P159,"AAAAAH+9vE0=")</f>
        <v>#VALUE!</v>
      </c>
      <c r="CA83" t="e">
        <f>AND(Data!Q159,"AAAAAH+9vE4=")</f>
        <v>#VALUE!</v>
      </c>
      <c r="CB83" t="e">
        <f>AND(Data!R159,"AAAAAH+9vE8=")</f>
        <v>#VALUE!</v>
      </c>
      <c r="CC83" t="e">
        <f>AND(Data!S159,"AAAAAH+9vFA=")</f>
        <v>#VALUE!</v>
      </c>
      <c r="CD83" t="e">
        <f>AND(Data!T159,"AAAAAH+9vFE=")</f>
        <v>#VALUE!</v>
      </c>
      <c r="CE83" t="e">
        <f>AND(Data!U159,"AAAAAH+9vFI=")</f>
        <v>#VALUE!</v>
      </c>
      <c r="CF83" t="e">
        <f>AND(Data!V159,"AAAAAH+9vFM=")</f>
        <v>#VALUE!</v>
      </c>
      <c r="CG83" t="e">
        <f>AND(Data!W159,"AAAAAH+9vFQ=")</f>
        <v>#VALUE!</v>
      </c>
      <c r="CH83" t="e">
        <f>AND(Data!X159,"AAAAAH+9vFU=")</f>
        <v>#VALUE!</v>
      </c>
      <c r="CI83">
        <f>IF(Data!160:160,"AAAAAH+9vFY=",0)</f>
        <v>0</v>
      </c>
      <c r="CJ83" t="e">
        <f>AND(Data!A160,"AAAAAH+9vFc=")</f>
        <v>#VALUE!</v>
      </c>
      <c r="CK83" t="e">
        <f>AND(Data!B160,"AAAAAH+9vFg=")</f>
        <v>#VALUE!</v>
      </c>
      <c r="CL83" t="e">
        <f>AND(Data!C160,"AAAAAH+9vFk=")</f>
        <v>#VALUE!</v>
      </c>
      <c r="CM83" t="e">
        <f>AND(Data!D160,"AAAAAH+9vFo=")</f>
        <v>#VALUE!</v>
      </c>
      <c r="CN83" t="e">
        <f>AND(Data!E160,"AAAAAH+9vFs=")</f>
        <v>#VALUE!</v>
      </c>
      <c r="CO83" t="e">
        <f>AND(Data!F160,"AAAAAH+9vFw=")</f>
        <v>#VALUE!</v>
      </c>
      <c r="CP83" t="e">
        <f>AND(Data!G160,"AAAAAH+9vF0=")</f>
        <v>#VALUE!</v>
      </c>
      <c r="CQ83" t="e">
        <f>AND(Data!H160,"AAAAAH+9vF4=")</f>
        <v>#VALUE!</v>
      </c>
      <c r="CR83" t="e">
        <f>AND(Data!I160,"AAAAAH+9vF8=")</f>
        <v>#VALUE!</v>
      </c>
      <c r="CS83" t="e">
        <f>AND(Data!J160,"AAAAAH+9vGA=")</f>
        <v>#VALUE!</v>
      </c>
      <c r="CT83" t="e">
        <f>AND(Data!K160,"AAAAAH+9vGE=")</f>
        <v>#VALUE!</v>
      </c>
      <c r="CU83" t="e">
        <f>AND(Data!L160,"AAAAAH+9vGI=")</f>
        <v>#VALUE!</v>
      </c>
      <c r="CV83" t="e">
        <f>AND(Data!M160,"AAAAAH+9vGM=")</f>
        <v>#VALUE!</v>
      </c>
      <c r="CW83" t="e">
        <f>AND(Data!N160,"AAAAAH+9vGQ=")</f>
        <v>#VALUE!</v>
      </c>
      <c r="CX83" t="e">
        <f>AND(Data!O160,"AAAAAH+9vGU=")</f>
        <v>#VALUE!</v>
      </c>
      <c r="CY83" t="e">
        <f>AND(Data!P160,"AAAAAH+9vGY=")</f>
        <v>#VALUE!</v>
      </c>
      <c r="CZ83" t="e">
        <f>AND(Data!Q160,"AAAAAH+9vGc=")</f>
        <v>#VALUE!</v>
      </c>
      <c r="DA83" t="e">
        <f>AND(Data!R160,"AAAAAH+9vGg=")</f>
        <v>#VALUE!</v>
      </c>
      <c r="DB83" t="e">
        <f>AND(Data!S160,"AAAAAH+9vGk=")</f>
        <v>#VALUE!</v>
      </c>
      <c r="DC83" t="e">
        <f>AND(Data!T160,"AAAAAH+9vGo=")</f>
        <v>#VALUE!</v>
      </c>
      <c r="DD83" t="e">
        <f>AND(Data!U160,"AAAAAH+9vGs=")</f>
        <v>#VALUE!</v>
      </c>
      <c r="DE83" t="e">
        <f>AND(Data!V160,"AAAAAH+9vGw=")</f>
        <v>#VALUE!</v>
      </c>
      <c r="DF83" t="e">
        <f>AND(Data!W160,"AAAAAH+9vG0=")</f>
        <v>#VALUE!</v>
      </c>
      <c r="DG83" t="e">
        <f>AND(Data!X160,"AAAAAH+9vG4=")</f>
        <v>#VALUE!</v>
      </c>
      <c r="DH83">
        <f>IF(Data!161:161,"AAAAAH+9vG8=",0)</f>
        <v>0</v>
      </c>
      <c r="DI83" t="e">
        <f>AND(Data!A161,"AAAAAH+9vHA=")</f>
        <v>#VALUE!</v>
      </c>
      <c r="DJ83" t="e">
        <f>AND(Data!B161,"AAAAAH+9vHE=")</f>
        <v>#VALUE!</v>
      </c>
      <c r="DK83" t="e">
        <f>AND(Data!C161,"AAAAAH+9vHI=")</f>
        <v>#VALUE!</v>
      </c>
      <c r="DL83" t="e">
        <f>AND(Data!D161,"AAAAAH+9vHM=")</f>
        <v>#VALUE!</v>
      </c>
      <c r="DM83" t="e">
        <f>AND(Data!E161,"AAAAAH+9vHQ=")</f>
        <v>#VALUE!</v>
      </c>
      <c r="DN83" t="e">
        <f>AND(Data!F161,"AAAAAH+9vHU=")</f>
        <v>#VALUE!</v>
      </c>
      <c r="DO83" t="e">
        <f>AND(Data!G161,"AAAAAH+9vHY=")</f>
        <v>#VALUE!</v>
      </c>
      <c r="DP83" t="e">
        <f>AND(Data!H161,"AAAAAH+9vHc=")</f>
        <v>#VALUE!</v>
      </c>
      <c r="DQ83" t="e">
        <f>AND(Data!I161,"AAAAAH+9vHg=")</f>
        <v>#VALUE!</v>
      </c>
      <c r="DR83" t="e">
        <f>AND(Data!J161,"AAAAAH+9vHk=")</f>
        <v>#VALUE!</v>
      </c>
      <c r="DS83" t="e">
        <f>AND(Data!K161,"AAAAAH+9vHo=")</f>
        <v>#VALUE!</v>
      </c>
      <c r="DT83" t="e">
        <f>AND(Data!L161,"AAAAAH+9vHs=")</f>
        <v>#VALUE!</v>
      </c>
      <c r="DU83" t="e">
        <f>AND(Data!M161,"AAAAAH+9vHw=")</f>
        <v>#VALUE!</v>
      </c>
      <c r="DV83" t="e">
        <f>AND(Data!N161,"AAAAAH+9vH0=")</f>
        <v>#VALUE!</v>
      </c>
      <c r="DW83" t="e">
        <f>AND(Data!O161,"AAAAAH+9vH4=")</f>
        <v>#VALUE!</v>
      </c>
      <c r="DX83" t="e">
        <f>AND(Data!P161,"AAAAAH+9vH8=")</f>
        <v>#VALUE!</v>
      </c>
      <c r="DY83" t="e">
        <f>AND(Data!Q161,"AAAAAH+9vIA=")</f>
        <v>#VALUE!</v>
      </c>
      <c r="DZ83" t="e">
        <f>AND(Data!R161,"AAAAAH+9vIE=")</f>
        <v>#VALUE!</v>
      </c>
      <c r="EA83" t="e">
        <f>AND(Data!S161,"AAAAAH+9vII=")</f>
        <v>#VALUE!</v>
      </c>
      <c r="EB83" t="e">
        <f>AND(Data!T161,"AAAAAH+9vIM=")</f>
        <v>#VALUE!</v>
      </c>
      <c r="EC83" t="e">
        <f>AND(Data!U161,"AAAAAH+9vIQ=")</f>
        <v>#VALUE!</v>
      </c>
      <c r="ED83" t="e">
        <f>AND(Data!V161,"AAAAAH+9vIU=")</f>
        <v>#VALUE!</v>
      </c>
      <c r="EE83" t="e">
        <f>AND(Data!W161,"AAAAAH+9vIY=")</f>
        <v>#VALUE!</v>
      </c>
      <c r="EF83" t="e">
        <f>AND(Data!X161,"AAAAAH+9vIc=")</f>
        <v>#VALUE!</v>
      </c>
      <c r="EG83">
        <f>IF(Data!162:162,"AAAAAH+9vIg=",0)</f>
        <v>0</v>
      </c>
      <c r="EH83" t="e">
        <f>AND(Data!A162,"AAAAAH+9vIk=")</f>
        <v>#VALUE!</v>
      </c>
      <c r="EI83" t="e">
        <f>AND(Data!B162,"AAAAAH+9vIo=")</f>
        <v>#VALUE!</v>
      </c>
      <c r="EJ83" t="e">
        <f>AND(Data!C162,"AAAAAH+9vIs=")</f>
        <v>#VALUE!</v>
      </c>
      <c r="EK83" t="e">
        <f>AND(Data!D162,"AAAAAH+9vIw=")</f>
        <v>#VALUE!</v>
      </c>
      <c r="EL83" t="e">
        <f>AND(Data!E162,"AAAAAH+9vI0=")</f>
        <v>#VALUE!</v>
      </c>
      <c r="EM83" t="e">
        <f>AND(Data!F162,"AAAAAH+9vI4=")</f>
        <v>#VALUE!</v>
      </c>
      <c r="EN83" t="e">
        <f>AND(Data!G162,"AAAAAH+9vI8=")</f>
        <v>#VALUE!</v>
      </c>
      <c r="EO83" t="e">
        <f>AND(Data!H162,"AAAAAH+9vJA=")</f>
        <v>#VALUE!</v>
      </c>
      <c r="EP83" t="e">
        <f>AND(Data!I162,"AAAAAH+9vJE=")</f>
        <v>#VALUE!</v>
      </c>
      <c r="EQ83" t="e">
        <f>AND(Data!J162,"AAAAAH+9vJI=")</f>
        <v>#VALUE!</v>
      </c>
      <c r="ER83" t="e">
        <f>AND(Data!K162,"AAAAAH+9vJM=")</f>
        <v>#VALUE!</v>
      </c>
      <c r="ES83" t="e">
        <f>AND(Data!L162,"AAAAAH+9vJQ=")</f>
        <v>#VALUE!</v>
      </c>
      <c r="ET83" t="e">
        <f>AND(Data!M162,"AAAAAH+9vJU=")</f>
        <v>#VALUE!</v>
      </c>
      <c r="EU83" t="e">
        <f>AND(Data!N162,"AAAAAH+9vJY=")</f>
        <v>#VALUE!</v>
      </c>
      <c r="EV83" t="e">
        <f>AND(Data!O162,"AAAAAH+9vJc=")</f>
        <v>#VALUE!</v>
      </c>
      <c r="EW83" t="e">
        <f>AND(Data!P162,"AAAAAH+9vJg=")</f>
        <v>#VALUE!</v>
      </c>
      <c r="EX83" t="e">
        <f>AND(Data!Q162,"AAAAAH+9vJk=")</f>
        <v>#VALUE!</v>
      </c>
      <c r="EY83" t="e">
        <f>AND(Data!R162,"AAAAAH+9vJo=")</f>
        <v>#VALUE!</v>
      </c>
      <c r="EZ83" t="e">
        <f>AND(Data!S162,"AAAAAH+9vJs=")</f>
        <v>#VALUE!</v>
      </c>
      <c r="FA83" t="e">
        <f>AND(Data!T162,"AAAAAH+9vJw=")</f>
        <v>#VALUE!</v>
      </c>
      <c r="FB83" t="e">
        <f>AND(Data!U162,"AAAAAH+9vJ0=")</f>
        <v>#VALUE!</v>
      </c>
      <c r="FC83" t="e">
        <f>AND(Data!V162,"AAAAAH+9vJ4=")</f>
        <v>#VALUE!</v>
      </c>
      <c r="FD83" t="e">
        <f>AND(Data!W162,"AAAAAH+9vJ8=")</f>
        <v>#VALUE!</v>
      </c>
      <c r="FE83" t="e">
        <f>AND(Data!X162,"AAAAAH+9vKA=")</f>
        <v>#VALUE!</v>
      </c>
      <c r="FF83">
        <f>IF(Data!163:163,"AAAAAH+9vKE=",0)</f>
        <v>0</v>
      </c>
      <c r="FG83" t="e">
        <f>AND(Data!A163,"AAAAAH+9vKI=")</f>
        <v>#VALUE!</v>
      </c>
      <c r="FH83" t="e">
        <f>AND(Data!B163,"AAAAAH+9vKM=")</f>
        <v>#VALUE!</v>
      </c>
      <c r="FI83" t="e">
        <f>AND(Data!C163,"AAAAAH+9vKQ=")</f>
        <v>#VALUE!</v>
      </c>
      <c r="FJ83" t="e">
        <f>AND(Data!D163,"AAAAAH+9vKU=")</f>
        <v>#VALUE!</v>
      </c>
      <c r="FK83" t="e">
        <f>AND(Data!E163,"AAAAAH+9vKY=")</f>
        <v>#VALUE!</v>
      </c>
      <c r="FL83" t="e">
        <f>AND(Data!F163,"AAAAAH+9vKc=")</f>
        <v>#VALUE!</v>
      </c>
      <c r="FM83" t="e">
        <f>AND(Data!G163,"AAAAAH+9vKg=")</f>
        <v>#VALUE!</v>
      </c>
      <c r="FN83" t="e">
        <f>AND(Data!H163,"AAAAAH+9vKk=")</f>
        <v>#VALUE!</v>
      </c>
      <c r="FO83" t="e">
        <f>AND(Data!I163,"AAAAAH+9vKo=")</f>
        <v>#VALUE!</v>
      </c>
      <c r="FP83" t="e">
        <f>AND(Data!J163,"AAAAAH+9vKs=")</f>
        <v>#VALUE!</v>
      </c>
      <c r="FQ83" t="e">
        <f>AND(Data!K163,"AAAAAH+9vKw=")</f>
        <v>#VALUE!</v>
      </c>
      <c r="FR83" t="e">
        <f>AND(Data!L163,"AAAAAH+9vK0=")</f>
        <v>#VALUE!</v>
      </c>
      <c r="FS83" t="e">
        <f>AND(Data!M163,"AAAAAH+9vK4=")</f>
        <v>#VALUE!</v>
      </c>
      <c r="FT83" t="e">
        <f>AND(Data!N163,"AAAAAH+9vK8=")</f>
        <v>#VALUE!</v>
      </c>
      <c r="FU83" t="e">
        <f>AND(Data!O163,"AAAAAH+9vLA=")</f>
        <v>#VALUE!</v>
      </c>
      <c r="FV83" t="e">
        <f>AND(Data!P163,"AAAAAH+9vLE=")</f>
        <v>#VALUE!</v>
      </c>
      <c r="FW83" t="e">
        <f>AND(Data!Q163,"AAAAAH+9vLI=")</f>
        <v>#VALUE!</v>
      </c>
      <c r="FX83" t="e">
        <f>AND(Data!R163,"AAAAAH+9vLM=")</f>
        <v>#VALUE!</v>
      </c>
      <c r="FY83" t="e">
        <f>AND(Data!S163,"AAAAAH+9vLQ=")</f>
        <v>#VALUE!</v>
      </c>
      <c r="FZ83" t="e">
        <f>AND(Data!T163,"AAAAAH+9vLU=")</f>
        <v>#VALUE!</v>
      </c>
      <c r="GA83" t="e">
        <f>AND(Data!U163,"AAAAAH+9vLY=")</f>
        <v>#VALUE!</v>
      </c>
      <c r="GB83" t="e">
        <f>AND(Data!V163,"AAAAAH+9vLc=")</f>
        <v>#VALUE!</v>
      </c>
      <c r="GC83" t="e">
        <f>AND(Data!W163,"AAAAAH+9vLg=")</f>
        <v>#VALUE!</v>
      </c>
      <c r="GD83" t="e">
        <f>AND(Data!X163,"AAAAAH+9vLk=")</f>
        <v>#VALUE!</v>
      </c>
      <c r="GE83">
        <f>IF(Data!164:164,"AAAAAH+9vLo=",0)</f>
        <v>0</v>
      </c>
      <c r="GF83" t="e">
        <f>AND(Data!A164,"AAAAAH+9vLs=")</f>
        <v>#VALUE!</v>
      </c>
      <c r="GG83" t="e">
        <f>AND(Data!B164,"AAAAAH+9vLw=")</f>
        <v>#VALUE!</v>
      </c>
      <c r="GH83" t="e">
        <f>AND(Data!C164,"AAAAAH+9vL0=")</f>
        <v>#VALUE!</v>
      </c>
      <c r="GI83" t="e">
        <f>AND(Data!D164,"AAAAAH+9vL4=")</f>
        <v>#VALUE!</v>
      </c>
      <c r="GJ83" t="e">
        <f>AND(Data!E164,"AAAAAH+9vL8=")</f>
        <v>#VALUE!</v>
      </c>
      <c r="GK83" t="e">
        <f>AND(Data!F164,"AAAAAH+9vMA=")</f>
        <v>#VALUE!</v>
      </c>
      <c r="GL83" t="e">
        <f>AND(Data!G164,"AAAAAH+9vME=")</f>
        <v>#VALUE!</v>
      </c>
      <c r="GM83" t="e">
        <f>AND(Data!H164,"AAAAAH+9vMI=")</f>
        <v>#VALUE!</v>
      </c>
      <c r="GN83" t="e">
        <f>AND(Data!I164,"AAAAAH+9vMM=")</f>
        <v>#VALUE!</v>
      </c>
      <c r="GO83" t="e">
        <f>AND(Data!J164,"AAAAAH+9vMQ=")</f>
        <v>#VALUE!</v>
      </c>
      <c r="GP83" t="e">
        <f>AND(Data!K164,"AAAAAH+9vMU=")</f>
        <v>#VALUE!</v>
      </c>
      <c r="GQ83" t="e">
        <f>AND(Data!L164,"AAAAAH+9vMY=")</f>
        <v>#VALUE!</v>
      </c>
      <c r="GR83" t="e">
        <f>AND(Data!M164,"AAAAAH+9vMc=")</f>
        <v>#VALUE!</v>
      </c>
      <c r="GS83" t="e">
        <f>AND(Data!N164,"AAAAAH+9vMg=")</f>
        <v>#VALUE!</v>
      </c>
      <c r="GT83" t="e">
        <f>AND(Data!O164,"AAAAAH+9vMk=")</f>
        <v>#VALUE!</v>
      </c>
      <c r="GU83" t="e">
        <f>AND(Data!P164,"AAAAAH+9vMo=")</f>
        <v>#VALUE!</v>
      </c>
      <c r="GV83" t="e">
        <f>AND(Data!Q164,"AAAAAH+9vMs=")</f>
        <v>#VALUE!</v>
      </c>
      <c r="GW83" t="e">
        <f>AND(Data!R164,"AAAAAH+9vMw=")</f>
        <v>#VALUE!</v>
      </c>
      <c r="GX83" t="e">
        <f>AND(Data!S164,"AAAAAH+9vM0=")</f>
        <v>#VALUE!</v>
      </c>
      <c r="GY83" t="e">
        <f>AND(Data!T164,"AAAAAH+9vM4=")</f>
        <v>#VALUE!</v>
      </c>
      <c r="GZ83" t="e">
        <f>AND(Data!U164,"AAAAAH+9vM8=")</f>
        <v>#VALUE!</v>
      </c>
      <c r="HA83" t="e">
        <f>AND(Data!V164,"AAAAAH+9vNA=")</f>
        <v>#VALUE!</v>
      </c>
      <c r="HB83" t="e">
        <f>AND(Data!W164,"AAAAAH+9vNE=")</f>
        <v>#VALUE!</v>
      </c>
      <c r="HC83" t="e">
        <f>AND(Data!X164,"AAAAAH+9vNI=")</f>
        <v>#VALUE!</v>
      </c>
      <c r="HD83">
        <f>IF(Data!165:165,"AAAAAH+9vNM=",0)</f>
        <v>0</v>
      </c>
      <c r="HE83" t="e">
        <f>AND(Data!A165,"AAAAAH+9vNQ=")</f>
        <v>#VALUE!</v>
      </c>
      <c r="HF83" t="e">
        <f>AND(Data!B165,"AAAAAH+9vNU=")</f>
        <v>#VALUE!</v>
      </c>
      <c r="HG83" t="e">
        <f>AND(Data!C165,"AAAAAH+9vNY=")</f>
        <v>#VALUE!</v>
      </c>
      <c r="HH83" t="e">
        <f>AND(Data!D165,"AAAAAH+9vNc=")</f>
        <v>#VALUE!</v>
      </c>
      <c r="HI83" t="e">
        <f>AND(Data!E165,"AAAAAH+9vNg=")</f>
        <v>#VALUE!</v>
      </c>
      <c r="HJ83" t="e">
        <f>AND(Data!F165,"AAAAAH+9vNk=")</f>
        <v>#VALUE!</v>
      </c>
      <c r="HK83" t="e">
        <f>AND(Data!G165,"AAAAAH+9vNo=")</f>
        <v>#VALUE!</v>
      </c>
      <c r="HL83" t="e">
        <f>AND(Data!H165,"AAAAAH+9vNs=")</f>
        <v>#VALUE!</v>
      </c>
      <c r="HM83" t="e">
        <f>AND(Data!I165,"AAAAAH+9vNw=")</f>
        <v>#VALUE!</v>
      </c>
      <c r="HN83" t="e">
        <f>AND(Data!J165,"AAAAAH+9vN0=")</f>
        <v>#VALUE!</v>
      </c>
      <c r="HO83" t="e">
        <f>AND(Data!K165,"AAAAAH+9vN4=")</f>
        <v>#VALUE!</v>
      </c>
      <c r="HP83" t="e">
        <f>AND(Data!L165,"AAAAAH+9vN8=")</f>
        <v>#VALUE!</v>
      </c>
      <c r="HQ83" t="e">
        <f>AND(Data!M165,"AAAAAH+9vOA=")</f>
        <v>#VALUE!</v>
      </c>
      <c r="HR83" t="e">
        <f>AND(Data!N165,"AAAAAH+9vOE=")</f>
        <v>#VALUE!</v>
      </c>
      <c r="HS83" t="e">
        <f>AND(Data!O165,"AAAAAH+9vOI=")</f>
        <v>#VALUE!</v>
      </c>
      <c r="HT83" t="e">
        <f>AND(Data!P165,"AAAAAH+9vOM=")</f>
        <v>#VALUE!</v>
      </c>
      <c r="HU83" t="e">
        <f>AND(Data!Q165,"AAAAAH+9vOQ=")</f>
        <v>#VALUE!</v>
      </c>
      <c r="HV83" t="e">
        <f>AND(Data!R165,"AAAAAH+9vOU=")</f>
        <v>#VALUE!</v>
      </c>
      <c r="HW83" t="e">
        <f>AND(Data!S165,"AAAAAH+9vOY=")</f>
        <v>#VALUE!</v>
      </c>
      <c r="HX83" t="e">
        <f>AND(Data!T165,"AAAAAH+9vOc=")</f>
        <v>#VALUE!</v>
      </c>
      <c r="HY83" t="e">
        <f>AND(Data!U165,"AAAAAH+9vOg=")</f>
        <v>#VALUE!</v>
      </c>
      <c r="HZ83" t="e">
        <f>AND(Data!V165,"AAAAAH+9vOk=")</f>
        <v>#VALUE!</v>
      </c>
      <c r="IA83" t="e">
        <f>AND(Data!W165,"AAAAAH+9vOo=")</f>
        <v>#VALUE!</v>
      </c>
      <c r="IB83" t="e">
        <f>AND(Data!X165,"AAAAAH+9vOs=")</f>
        <v>#VALUE!</v>
      </c>
      <c r="IC83">
        <f>IF(Data!166:166,"AAAAAH+9vOw=",0)</f>
        <v>0</v>
      </c>
      <c r="ID83" t="e">
        <f>AND(Data!A166,"AAAAAH+9vO0=")</f>
        <v>#VALUE!</v>
      </c>
      <c r="IE83" t="e">
        <f>AND(Data!B166,"AAAAAH+9vO4=")</f>
        <v>#VALUE!</v>
      </c>
      <c r="IF83" t="e">
        <f>AND(Data!C166,"AAAAAH+9vO8=")</f>
        <v>#VALUE!</v>
      </c>
      <c r="IG83" t="e">
        <f>AND(Data!D166,"AAAAAH+9vPA=")</f>
        <v>#VALUE!</v>
      </c>
      <c r="IH83" t="e">
        <f>AND(Data!E166,"AAAAAH+9vPE=")</f>
        <v>#VALUE!</v>
      </c>
      <c r="II83" t="e">
        <f>AND(Data!F166,"AAAAAH+9vPI=")</f>
        <v>#VALUE!</v>
      </c>
      <c r="IJ83" t="e">
        <f>AND(Data!G166,"AAAAAH+9vPM=")</f>
        <v>#VALUE!</v>
      </c>
      <c r="IK83" t="e">
        <f>AND(Data!H166,"AAAAAH+9vPQ=")</f>
        <v>#VALUE!</v>
      </c>
      <c r="IL83" t="e">
        <f>AND(Data!I166,"AAAAAH+9vPU=")</f>
        <v>#VALUE!</v>
      </c>
      <c r="IM83" t="e">
        <f>AND(Data!J166,"AAAAAH+9vPY=")</f>
        <v>#VALUE!</v>
      </c>
      <c r="IN83" t="e">
        <f>AND(Data!K166,"AAAAAH+9vPc=")</f>
        <v>#VALUE!</v>
      </c>
      <c r="IO83" t="e">
        <f>AND(Data!L166,"AAAAAH+9vPg=")</f>
        <v>#VALUE!</v>
      </c>
      <c r="IP83" t="e">
        <f>AND(Data!M166,"AAAAAH+9vPk=")</f>
        <v>#VALUE!</v>
      </c>
      <c r="IQ83" t="e">
        <f>AND(Data!N166,"AAAAAH+9vPo=")</f>
        <v>#VALUE!</v>
      </c>
      <c r="IR83" t="e">
        <f>AND(Data!O166,"AAAAAH+9vPs=")</f>
        <v>#VALUE!</v>
      </c>
      <c r="IS83" t="e">
        <f>AND(Data!P166,"AAAAAH+9vPw=")</f>
        <v>#VALUE!</v>
      </c>
      <c r="IT83" t="e">
        <f>AND(Data!Q166,"AAAAAH+9vP0=")</f>
        <v>#VALUE!</v>
      </c>
      <c r="IU83" t="e">
        <f>AND(Data!R166,"AAAAAH+9vP4=")</f>
        <v>#VALUE!</v>
      </c>
      <c r="IV83" t="e">
        <f>AND(Data!S166,"AAAAAH+9vP8=")</f>
        <v>#VALUE!</v>
      </c>
    </row>
    <row r="84" spans="1:256" x14ac:dyDescent="0.2">
      <c r="A84" t="e">
        <f>AND(Data!T166,"AAAAAHf2dwA=")</f>
        <v>#VALUE!</v>
      </c>
      <c r="B84" t="e">
        <f>AND(Data!U166,"AAAAAHf2dwE=")</f>
        <v>#VALUE!</v>
      </c>
      <c r="C84" t="e">
        <f>AND(Data!V166,"AAAAAHf2dwI=")</f>
        <v>#VALUE!</v>
      </c>
      <c r="D84" t="e">
        <f>AND(Data!W166,"AAAAAHf2dwM=")</f>
        <v>#VALUE!</v>
      </c>
      <c r="E84" t="e">
        <f>AND(Data!X166,"AAAAAHf2dwQ=")</f>
        <v>#VALUE!</v>
      </c>
      <c r="F84">
        <f>IF(Data!167:167,"AAAAAHf2dwU=",0)</f>
        <v>0</v>
      </c>
      <c r="G84" t="e">
        <f>AND(Data!A167,"AAAAAHf2dwY=")</f>
        <v>#VALUE!</v>
      </c>
      <c r="H84" t="e">
        <f>AND(Data!B167,"AAAAAHf2dwc=")</f>
        <v>#VALUE!</v>
      </c>
      <c r="I84" t="e">
        <f>AND(Data!C167,"AAAAAHf2dwg=")</f>
        <v>#VALUE!</v>
      </c>
      <c r="J84" t="e">
        <f>AND(Data!D167,"AAAAAHf2dwk=")</f>
        <v>#VALUE!</v>
      </c>
      <c r="K84" t="e">
        <f>AND(Data!E167,"AAAAAHf2dwo=")</f>
        <v>#VALUE!</v>
      </c>
      <c r="L84" t="e">
        <f>AND(Data!F167,"AAAAAHf2dws=")</f>
        <v>#VALUE!</v>
      </c>
      <c r="M84" t="e">
        <f>AND(Data!G167,"AAAAAHf2dww=")</f>
        <v>#VALUE!</v>
      </c>
      <c r="N84" t="e">
        <f>AND(Data!H167,"AAAAAHf2dw0=")</f>
        <v>#VALUE!</v>
      </c>
      <c r="O84" t="e">
        <f>AND(Data!I167,"AAAAAHf2dw4=")</f>
        <v>#VALUE!</v>
      </c>
      <c r="P84" t="e">
        <f>AND(Data!J167,"AAAAAHf2dw8=")</f>
        <v>#VALUE!</v>
      </c>
      <c r="Q84" t="e">
        <f>AND(Data!K167,"AAAAAHf2dxA=")</f>
        <v>#VALUE!</v>
      </c>
      <c r="R84" t="e">
        <f>AND(Data!L167,"AAAAAHf2dxE=")</f>
        <v>#VALUE!</v>
      </c>
      <c r="S84" t="e">
        <f>AND(Data!M167,"AAAAAHf2dxI=")</f>
        <v>#VALUE!</v>
      </c>
      <c r="T84" t="e">
        <f>AND(Data!N167,"AAAAAHf2dxM=")</f>
        <v>#VALUE!</v>
      </c>
      <c r="U84" t="e">
        <f>AND(Data!O167,"AAAAAHf2dxQ=")</f>
        <v>#VALUE!</v>
      </c>
      <c r="V84" t="e">
        <f>AND(Data!P167,"AAAAAHf2dxU=")</f>
        <v>#VALUE!</v>
      </c>
      <c r="W84" t="e">
        <f>AND(Data!Q167,"AAAAAHf2dxY=")</f>
        <v>#VALUE!</v>
      </c>
      <c r="X84" t="e">
        <f>AND(Data!R167,"AAAAAHf2dxc=")</f>
        <v>#VALUE!</v>
      </c>
      <c r="Y84" t="e">
        <f>AND(Data!S167,"AAAAAHf2dxg=")</f>
        <v>#VALUE!</v>
      </c>
      <c r="Z84" t="e">
        <f>AND(Data!T167,"AAAAAHf2dxk=")</f>
        <v>#VALUE!</v>
      </c>
      <c r="AA84" t="e">
        <f>AND(Data!U167,"AAAAAHf2dxo=")</f>
        <v>#VALUE!</v>
      </c>
      <c r="AB84" t="e">
        <f>AND(Data!V167,"AAAAAHf2dxs=")</f>
        <v>#VALUE!</v>
      </c>
      <c r="AC84" t="e">
        <f>AND(Data!W167,"AAAAAHf2dxw=")</f>
        <v>#VALUE!</v>
      </c>
      <c r="AD84" t="e">
        <f>AND(Data!X167,"AAAAAHf2dx0=")</f>
        <v>#VALUE!</v>
      </c>
      <c r="AE84">
        <f>IF(Data!168:168,"AAAAAHf2dx4=",0)</f>
        <v>0</v>
      </c>
      <c r="AF84" t="e">
        <f>AND(Data!A168,"AAAAAHf2dx8=")</f>
        <v>#VALUE!</v>
      </c>
      <c r="AG84" t="e">
        <f>AND(Data!B168,"AAAAAHf2dyA=")</f>
        <v>#VALUE!</v>
      </c>
      <c r="AH84" t="e">
        <f>AND(Data!C168,"AAAAAHf2dyE=")</f>
        <v>#VALUE!</v>
      </c>
      <c r="AI84" t="e">
        <f>AND(Data!D168,"AAAAAHf2dyI=")</f>
        <v>#VALUE!</v>
      </c>
      <c r="AJ84" t="e">
        <f>AND(Data!E168,"AAAAAHf2dyM=")</f>
        <v>#VALUE!</v>
      </c>
      <c r="AK84" t="e">
        <f>AND(Data!F168,"AAAAAHf2dyQ=")</f>
        <v>#VALUE!</v>
      </c>
      <c r="AL84" t="e">
        <f>AND(Data!G168,"AAAAAHf2dyU=")</f>
        <v>#VALUE!</v>
      </c>
      <c r="AM84" t="e">
        <f>AND(Data!H168,"AAAAAHf2dyY=")</f>
        <v>#VALUE!</v>
      </c>
      <c r="AN84" t="e">
        <f>AND(Data!I168,"AAAAAHf2dyc=")</f>
        <v>#VALUE!</v>
      </c>
      <c r="AO84" t="e">
        <f>AND(Data!J168,"AAAAAHf2dyg=")</f>
        <v>#VALUE!</v>
      </c>
      <c r="AP84" t="e">
        <f>AND(Data!K168,"AAAAAHf2dyk=")</f>
        <v>#VALUE!</v>
      </c>
      <c r="AQ84" t="e">
        <f>AND(Data!L168,"AAAAAHf2dyo=")</f>
        <v>#VALUE!</v>
      </c>
      <c r="AR84" t="e">
        <f>AND(Data!M168,"AAAAAHf2dys=")</f>
        <v>#VALUE!</v>
      </c>
      <c r="AS84" t="e">
        <f>AND(Data!N168,"AAAAAHf2dyw=")</f>
        <v>#VALUE!</v>
      </c>
      <c r="AT84" t="e">
        <f>AND(Data!O168,"AAAAAHf2dy0=")</f>
        <v>#VALUE!</v>
      </c>
      <c r="AU84" t="e">
        <f>AND(Data!P168,"AAAAAHf2dy4=")</f>
        <v>#VALUE!</v>
      </c>
      <c r="AV84" t="e">
        <f>AND(Data!Q168,"AAAAAHf2dy8=")</f>
        <v>#VALUE!</v>
      </c>
      <c r="AW84" t="e">
        <f>AND(Data!R168,"AAAAAHf2dzA=")</f>
        <v>#VALUE!</v>
      </c>
      <c r="AX84" t="e">
        <f>AND(Data!S168,"AAAAAHf2dzE=")</f>
        <v>#VALUE!</v>
      </c>
      <c r="AY84" t="e">
        <f>AND(Data!T168,"AAAAAHf2dzI=")</f>
        <v>#VALUE!</v>
      </c>
      <c r="AZ84" t="e">
        <f>AND(Data!U168,"AAAAAHf2dzM=")</f>
        <v>#VALUE!</v>
      </c>
      <c r="BA84" t="e">
        <f>AND(Data!V168,"AAAAAHf2dzQ=")</f>
        <v>#VALUE!</v>
      </c>
      <c r="BB84" t="e">
        <f>AND(Data!W168,"AAAAAHf2dzU=")</f>
        <v>#VALUE!</v>
      </c>
      <c r="BC84" t="e">
        <f>AND(Data!X168,"AAAAAHf2dzY=")</f>
        <v>#VALUE!</v>
      </c>
      <c r="BD84">
        <f>IF(Data!169:169,"AAAAAHf2dzc=",0)</f>
        <v>0</v>
      </c>
      <c r="BE84" t="e">
        <f>AND(Data!A169,"AAAAAHf2dzg=")</f>
        <v>#VALUE!</v>
      </c>
      <c r="BF84" t="e">
        <f>AND(Data!B169,"AAAAAHf2dzk=")</f>
        <v>#VALUE!</v>
      </c>
      <c r="BG84" t="e">
        <f>AND(Data!C169,"AAAAAHf2dzo=")</f>
        <v>#VALUE!</v>
      </c>
      <c r="BH84" t="e">
        <f>AND(Data!D169,"AAAAAHf2dzs=")</f>
        <v>#VALUE!</v>
      </c>
      <c r="BI84" t="e">
        <f>AND(Data!E169,"AAAAAHf2dzw=")</f>
        <v>#VALUE!</v>
      </c>
      <c r="BJ84" t="e">
        <f>AND(Data!F169,"AAAAAHf2dz0=")</f>
        <v>#VALUE!</v>
      </c>
      <c r="BK84" t="e">
        <f>AND(Data!G169,"AAAAAHf2dz4=")</f>
        <v>#VALUE!</v>
      </c>
      <c r="BL84" t="e">
        <f>AND(Data!H169,"AAAAAHf2dz8=")</f>
        <v>#VALUE!</v>
      </c>
      <c r="BM84" t="e">
        <f>AND(Data!I169,"AAAAAHf2d0A=")</f>
        <v>#VALUE!</v>
      </c>
      <c r="BN84" t="e">
        <f>AND(Data!J169,"AAAAAHf2d0E=")</f>
        <v>#VALUE!</v>
      </c>
      <c r="BO84" t="e">
        <f>AND(Data!K169,"AAAAAHf2d0I=")</f>
        <v>#VALUE!</v>
      </c>
      <c r="BP84" t="e">
        <f>AND(Data!L169,"AAAAAHf2d0M=")</f>
        <v>#VALUE!</v>
      </c>
      <c r="BQ84" t="e">
        <f>AND(Data!M169,"AAAAAHf2d0Q=")</f>
        <v>#VALUE!</v>
      </c>
      <c r="BR84" t="e">
        <f>AND(Data!N169,"AAAAAHf2d0U=")</f>
        <v>#VALUE!</v>
      </c>
      <c r="BS84" t="e">
        <f>AND(Data!O169,"AAAAAHf2d0Y=")</f>
        <v>#VALUE!</v>
      </c>
      <c r="BT84" t="e">
        <f>AND(Data!P169,"AAAAAHf2d0c=")</f>
        <v>#VALUE!</v>
      </c>
      <c r="BU84" t="e">
        <f>AND(Data!Q169,"AAAAAHf2d0g=")</f>
        <v>#VALUE!</v>
      </c>
      <c r="BV84" t="e">
        <f>AND(Data!R169,"AAAAAHf2d0k=")</f>
        <v>#VALUE!</v>
      </c>
      <c r="BW84" t="e">
        <f>AND(Data!S169,"AAAAAHf2d0o=")</f>
        <v>#VALUE!</v>
      </c>
      <c r="BX84" t="e">
        <f>AND(Data!T169,"AAAAAHf2d0s=")</f>
        <v>#VALUE!</v>
      </c>
      <c r="BY84" t="e">
        <f>AND(Data!U169,"AAAAAHf2d0w=")</f>
        <v>#VALUE!</v>
      </c>
      <c r="BZ84" t="e">
        <f>AND(Data!V169,"AAAAAHf2d00=")</f>
        <v>#VALUE!</v>
      </c>
      <c r="CA84" t="e">
        <f>AND(Data!W169,"AAAAAHf2d04=")</f>
        <v>#VALUE!</v>
      </c>
      <c r="CB84" t="e">
        <f>AND(Data!X169,"AAAAAHf2d08=")</f>
        <v>#VALUE!</v>
      </c>
      <c r="CC84">
        <f>IF(Data!170:170,"AAAAAHf2d1A=",0)</f>
        <v>0</v>
      </c>
      <c r="CD84" t="e">
        <f>AND(Data!A170,"AAAAAHf2d1E=")</f>
        <v>#VALUE!</v>
      </c>
      <c r="CE84" t="e">
        <f>AND(Data!B170,"AAAAAHf2d1I=")</f>
        <v>#VALUE!</v>
      </c>
      <c r="CF84" t="e">
        <f>AND(Data!C170,"AAAAAHf2d1M=")</f>
        <v>#VALUE!</v>
      </c>
      <c r="CG84" t="e">
        <f>AND(Data!D170,"AAAAAHf2d1Q=")</f>
        <v>#VALUE!</v>
      </c>
      <c r="CH84" t="e">
        <f>AND(Data!E170,"AAAAAHf2d1U=")</f>
        <v>#VALUE!</v>
      </c>
      <c r="CI84" t="e">
        <f>AND(Data!F170,"AAAAAHf2d1Y=")</f>
        <v>#VALUE!</v>
      </c>
      <c r="CJ84" t="e">
        <f>AND(Data!G170,"AAAAAHf2d1c=")</f>
        <v>#VALUE!</v>
      </c>
      <c r="CK84" t="e">
        <f>AND(Data!H170,"AAAAAHf2d1g=")</f>
        <v>#VALUE!</v>
      </c>
      <c r="CL84" t="e">
        <f>AND(Data!I170,"AAAAAHf2d1k=")</f>
        <v>#VALUE!</v>
      </c>
      <c r="CM84" t="e">
        <f>AND(Data!J170,"AAAAAHf2d1o=")</f>
        <v>#VALUE!</v>
      </c>
      <c r="CN84" t="e">
        <f>AND(Data!K170,"AAAAAHf2d1s=")</f>
        <v>#VALUE!</v>
      </c>
      <c r="CO84" t="e">
        <f>AND(Data!L170,"AAAAAHf2d1w=")</f>
        <v>#VALUE!</v>
      </c>
      <c r="CP84" t="e">
        <f>AND(Data!M170,"AAAAAHf2d10=")</f>
        <v>#VALUE!</v>
      </c>
      <c r="CQ84" t="e">
        <f>AND(Data!N170,"AAAAAHf2d14=")</f>
        <v>#VALUE!</v>
      </c>
      <c r="CR84" t="e">
        <f>AND(Data!O170,"AAAAAHf2d18=")</f>
        <v>#VALUE!</v>
      </c>
      <c r="CS84" t="e">
        <f>AND(Data!P170,"AAAAAHf2d2A=")</f>
        <v>#VALUE!</v>
      </c>
      <c r="CT84" t="e">
        <f>AND(Data!Q170,"AAAAAHf2d2E=")</f>
        <v>#VALUE!</v>
      </c>
      <c r="CU84" t="e">
        <f>AND(Data!R170,"AAAAAHf2d2I=")</f>
        <v>#VALUE!</v>
      </c>
      <c r="CV84" t="e">
        <f>AND(Data!S170,"AAAAAHf2d2M=")</f>
        <v>#VALUE!</v>
      </c>
      <c r="CW84" t="e">
        <f>AND(Data!T170,"AAAAAHf2d2Q=")</f>
        <v>#VALUE!</v>
      </c>
      <c r="CX84" t="e">
        <f>AND(Data!U170,"AAAAAHf2d2U=")</f>
        <v>#VALUE!</v>
      </c>
      <c r="CY84" t="e">
        <f>AND(Data!V170,"AAAAAHf2d2Y=")</f>
        <v>#VALUE!</v>
      </c>
      <c r="CZ84" t="e">
        <f>AND(Data!W170,"AAAAAHf2d2c=")</f>
        <v>#VALUE!</v>
      </c>
      <c r="DA84" t="e">
        <f>AND(Data!X170,"AAAAAHf2d2g=")</f>
        <v>#VALUE!</v>
      </c>
      <c r="DB84">
        <f>IF(Data!171:171,"AAAAAHf2d2k=",0)</f>
        <v>0</v>
      </c>
      <c r="DC84" t="e">
        <f>AND(Data!A171,"AAAAAHf2d2o=")</f>
        <v>#VALUE!</v>
      </c>
      <c r="DD84" t="e">
        <f>AND(Data!B171,"AAAAAHf2d2s=")</f>
        <v>#VALUE!</v>
      </c>
      <c r="DE84" t="e">
        <f>AND(Data!C171,"AAAAAHf2d2w=")</f>
        <v>#VALUE!</v>
      </c>
      <c r="DF84" t="e">
        <f>AND(Data!D171,"AAAAAHf2d20=")</f>
        <v>#VALUE!</v>
      </c>
      <c r="DG84" t="e">
        <f>AND(Data!E171,"AAAAAHf2d24=")</f>
        <v>#VALUE!</v>
      </c>
      <c r="DH84" t="e">
        <f>AND(Data!F171,"AAAAAHf2d28=")</f>
        <v>#VALUE!</v>
      </c>
      <c r="DI84" t="e">
        <f>AND(Data!G171,"AAAAAHf2d3A=")</f>
        <v>#VALUE!</v>
      </c>
      <c r="DJ84" t="e">
        <f>AND(Data!H171,"AAAAAHf2d3E=")</f>
        <v>#VALUE!</v>
      </c>
      <c r="DK84" t="e">
        <f>AND(Data!I171,"AAAAAHf2d3I=")</f>
        <v>#VALUE!</v>
      </c>
      <c r="DL84" t="e">
        <f>AND(Data!J171,"AAAAAHf2d3M=")</f>
        <v>#VALUE!</v>
      </c>
      <c r="DM84" t="e">
        <f>AND(Data!K171,"AAAAAHf2d3Q=")</f>
        <v>#VALUE!</v>
      </c>
      <c r="DN84" t="e">
        <f>AND(Data!L171,"AAAAAHf2d3U=")</f>
        <v>#VALUE!</v>
      </c>
      <c r="DO84" t="e">
        <f>AND(Data!M171,"AAAAAHf2d3Y=")</f>
        <v>#VALUE!</v>
      </c>
      <c r="DP84" t="e">
        <f>AND(Data!N171,"AAAAAHf2d3c=")</f>
        <v>#VALUE!</v>
      </c>
      <c r="DQ84" t="e">
        <f>AND(Data!O171,"AAAAAHf2d3g=")</f>
        <v>#VALUE!</v>
      </c>
      <c r="DR84" t="e">
        <f>AND(Data!P171,"AAAAAHf2d3k=")</f>
        <v>#VALUE!</v>
      </c>
      <c r="DS84" t="e">
        <f>AND(Data!Q171,"AAAAAHf2d3o=")</f>
        <v>#VALUE!</v>
      </c>
      <c r="DT84" t="e">
        <f>AND(Data!R171,"AAAAAHf2d3s=")</f>
        <v>#VALUE!</v>
      </c>
      <c r="DU84" t="e">
        <f>AND(Data!S171,"AAAAAHf2d3w=")</f>
        <v>#VALUE!</v>
      </c>
      <c r="DV84" t="e">
        <f>AND(Data!T171,"AAAAAHf2d30=")</f>
        <v>#VALUE!</v>
      </c>
      <c r="DW84" t="e">
        <f>AND(Data!U171,"AAAAAHf2d34=")</f>
        <v>#VALUE!</v>
      </c>
      <c r="DX84" t="e">
        <f>AND(Data!V171,"AAAAAHf2d38=")</f>
        <v>#VALUE!</v>
      </c>
      <c r="DY84" t="e">
        <f>AND(Data!W171,"AAAAAHf2d4A=")</f>
        <v>#VALUE!</v>
      </c>
      <c r="DZ84" t="e">
        <f>AND(Data!X171,"AAAAAHf2d4E=")</f>
        <v>#VALUE!</v>
      </c>
      <c r="EA84">
        <f>IF(Data!172:172,"AAAAAHf2d4I=",0)</f>
        <v>0</v>
      </c>
      <c r="EB84" t="e">
        <f>AND(Data!A172,"AAAAAHf2d4M=")</f>
        <v>#VALUE!</v>
      </c>
      <c r="EC84" t="e">
        <f>AND(Data!B172,"AAAAAHf2d4Q=")</f>
        <v>#VALUE!</v>
      </c>
      <c r="ED84" t="e">
        <f>AND(Data!C172,"AAAAAHf2d4U=")</f>
        <v>#VALUE!</v>
      </c>
      <c r="EE84" t="e">
        <f>AND(Data!D172,"AAAAAHf2d4Y=")</f>
        <v>#VALUE!</v>
      </c>
      <c r="EF84" t="e">
        <f>AND(Data!E172,"AAAAAHf2d4c=")</f>
        <v>#VALUE!</v>
      </c>
      <c r="EG84" t="e">
        <f>AND(Data!F172,"AAAAAHf2d4g=")</f>
        <v>#VALUE!</v>
      </c>
      <c r="EH84" t="e">
        <f>AND(Data!G172,"AAAAAHf2d4k=")</f>
        <v>#VALUE!</v>
      </c>
      <c r="EI84" t="e">
        <f>AND(Data!H172,"AAAAAHf2d4o=")</f>
        <v>#VALUE!</v>
      </c>
      <c r="EJ84" t="e">
        <f>AND(Data!I172,"AAAAAHf2d4s=")</f>
        <v>#VALUE!</v>
      </c>
      <c r="EK84" t="e">
        <f>AND(Data!J172,"AAAAAHf2d4w=")</f>
        <v>#VALUE!</v>
      </c>
      <c r="EL84" t="e">
        <f>AND(Data!K172,"AAAAAHf2d40=")</f>
        <v>#VALUE!</v>
      </c>
      <c r="EM84" t="e">
        <f>AND(Data!L172,"AAAAAHf2d44=")</f>
        <v>#VALUE!</v>
      </c>
      <c r="EN84" t="e">
        <f>AND(Data!M172,"AAAAAHf2d48=")</f>
        <v>#VALUE!</v>
      </c>
      <c r="EO84" t="e">
        <f>AND(Data!N172,"AAAAAHf2d5A=")</f>
        <v>#VALUE!</v>
      </c>
      <c r="EP84" t="e">
        <f>AND(Data!O172,"AAAAAHf2d5E=")</f>
        <v>#VALUE!</v>
      </c>
      <c r="EQ84" t="e">
        <f>AND(Data!P172,"AAAAAHf2d5I=")</f>
        <v>#VALUE!</v>
      </c>
      <c r="ER84" t="e">
        <f>AND(Data!Q172,"AAAAAHf2d5M=")</f>
        <v>#VALUE!</v>
      </c>
      <c r="ES84" t="e">
        <f>AND(Data!R172,"AAAAAHf2d5Q=")</f>
        <v>#VALUE!</v>
      </c>
      <c r="ET84" t="e">
        <f>AND(Data!S172,"AAAAAHf2d5U=")</f>
        <v>#VALUE!</v>
      </c>
      <c r="EU84" t="e">
        <f>AND(Data!T172,"AAAAAHf2d5Y=")</f>
        <v>#VALUE!</v>
      </c>
      <c r="EV84" t="e">
        <f>AND(Data!U172,"AAAAAHf2d5c=")</f>
        <v>#VALUE!</v>
      </c>
      <c r="EW84" t="e">
        <f>AND(Data!V172,"AAAAAHf2d5g=")</f>
        <v>#VALUE!</v>
      </c>
      <c r="EX84" t="e">
        <f>AND(Data!W172,"AAAAAHf2d5k=")</f>
        <v>#VALUE!</v>
      </c>
      <c r="EY84" t="e">
        <f>AND(Data!X172,"AAAAAHf2d5o=")</f>
        <v>#VALUE!</v>
      </c>
      <c r="EZ84">
        <f>IF(Data!173:173,"AAAAAHf2d5s=",0)</f>
        <v>0</v>
      </c>
      <c r="FA84" t="e">
        <f>AND(Data!A173,"AAAAAHf2d5w=")</f>
        <v>#VALUE!</v>
      </c>
      <c r="FB84" t="e">
        <f>AND(Data!B173,"AAAAAHf2d50=")</f>
        <v>#VALUE!</v>
      </c>
      <c r="FC84" t="e">
        <f>AND(Data!C173,"AAAAAHf2d54=")</f>
        <v>#VALUE!</v>
      </c>
      <c r="FD84" t="e">
        <f>AND(Data!D173,"AAAAAHf2d58=")</f>
        <v>#VALUE!</v>
      </c>
      <c r="FE84" t="e">
        <f>AND(Data!E173,"AAAAAHf2d6A=")</f>
        <v>#VALUE!</v>
      </c>
      <c r="FF84" t="e">
        <f>AND(Data!F173,"AAAAAHf2d6E=")</f>
        <v>#VALUE!</v>
      </c>
      <c r="FG84" t="e">
        <f>AND(Data!G173,"AAAAAHf2d6I=")</f>
        <v>#VALUE!</v>
      </c>
      <c r="FH84" t="e">
        <f>AND(Data!H173,"AAAAAHf2d6M=")</f>
        <v>#VALUE!</v>
      </c>
      <c r="FI84" t="e">
        <f>AND(Data!I173,"AAAAAHf2d6Q=")</f>
        <v>#VALUE!</v>
      </c>
      <c r="FJ84" t="e">
        <f>AND(Data!J173,"AAAAAHf2d6U=")</f>
        <v>#VALUE!</v>
      </c>
      <c r="FK84" t="e">
        <f>AND(Data!K173,"AAAAAHf2d6Y=")</f>
        <v>#VALUE!</v>
      </c>
      <c r="FL84" t="e">
        <f>AND(Data!L173,"AAAAAHf2d6c=")</f>
        <v>#VALUE!</v>
      </c>
      <c r="FM84" t="e">
        <f>AND(Data!M173,"AAAAAHf2d6g=")</f>
        <v>#VALUE!</v>
      </c>
      <c r="FN84" t="e">
        <f>AND(Data!N173,"AAAAAHf2d6k=")</f>
        <v>#VALUE!</v>
      </c>
      <c r="FO84" t="e">
        <f>AND(Data!O173,"AAAAAHf2d6o=")</f>
        <v>#VALUE!</v>
      </c>
      <c r="FP84" t="e">
        <f>AND(Data!P173,"AAAAAHf2d6s=")</f>
        <v>#VALUE!</v>
      </c>
      <c r="FQ84" t="e">
        <f>AND(Data!Q173,"AAAAAHf2d6w=")</f>
        <v>#VALUE!</v>
      </c>
      <c r="FR84" t="e">
        <f>AND(Data!R173,"AAAAAHf2d60=")</f>
        <v>#VALUE!</v>
      </c>
      <c r="FS84" t="e">
        <f>AND(Data!S173,"AAAAAHf2d64=")</f>
        <v>#VALUE!</v>
      </c>
      <c r="FT84" t="e">
        <f>AND(Data!T173,"AAAAAHf2d68=")</f>
        <v>#VALUE!</v>
      </c>
      <c r="FU84" t="e">
        <f>AND(Data!U173,"AAAAAHf2d7A=")</f>
        <v>#VALUE!</v>
      </c>
      <c r="FV84" t="e">
        <f>AND(Data!V173,"AAAAAHf2d7E=")</f>
        <v>#VALUE!</v>
      </c>
      <c r="FW84" t="e">
        <f>AND(Data!W173,"AAAAAHf2d7I=")</f>
        <v>#VALUE!</v>
      </c>
      <c r="FX84" t="e">
        <f>AND(Data!X173,"AAAAAHf2d7M=")</f>
        <v>#VALUE!</v>
      </c>
      <c r="FY84">
        <f>IF(Data!174:174,"AAAAAHf2d7Q=",0)</f>
        <v>0</v>
      </c>
      <c r="FZ84" t="e">
        <f>AND(Data!A174,"AAAAAHf2d7U=")</f>
        <v>#VALUE!</v>
      </c>
      <c r="GA84" t="e">
        <f>AND(Data!B174,"AAAAAHf2d7Y=")</f>
        <v>#VALUE!</v>
      </c>
      <c r="GB84" t="e">
        <f>AND(Data!C174,"AAAAAHf2d7c=")</f>
        <v>#VALUE!</v>
      </c>
      <c r="GC84" t="e">
        <f>AND(Data!D174,"AAAAAHf2d7g=")</f>
        <v>#VALUE!</v>
      </c>
      <c r="GD84" t="e">
        <f>AND(Data!E174,"AAAAAHf2d7k=")</f>
        <v>#VALUE!</v>
      </c>
      <c r="GE84" t="e">
        <f>AND(Data!F174,"AAAAAHf2d7o=")</f>
        <v>#VALUE!</v>
      </c>
      <c r="GF84" t="e">
        <f>AND(Data!G174,"AAAAAHf2d7s=")</f>
        <v>#VALUE!</v>
      </c>
      <c r="GG84" t="e">
        <f>AND(Data!H174,"AAAAAHf2d7w=")</f>
        <v>#VALUE!</v>
      </c>
      <c r="GH84" t="e">
        <f>AND(Data!I174,"AAAAAHf2d70=")</f>
        <v>#VALUE!</v>
      </c>
      <c r="GI84" t="e">
        <f>AND(Data!J174,"AAAAAHf2d74=")</f>
        <v>#VALUE!</v>
      </c>
      <c r="GJ84" t="e">
        <f>AND(Data!K174,"AAAAAHf2d78=")</f>
        <v>#VALUE!</v>
      </c>
      <c r="GK84" t="e">
        <f>AND(Data!L174,"AAAAAHf2d8A=")</f>
        <v>#VALUE!</v>
      </c>
      <c r="GL84" t="e">
        <f>AND(Data!M174,"AAAAAHf2d8E=")</f>
        <v>#VALUE!</v>
      </c>
      <c r="GM84" t="e">
        <f>AND(Data!N174,"AAAAAHf2d8I=")</f>
        <v>#VALUE!</v>
      </c>
      <c r="GN84" t="e">
        <f>AND(Data!O174,"AAAAAHf2d8M=")</f>
        <v>#VALUE!</v>
      </c>
      <c r="GO84" t="e">
        <f>AND(Data!P174,"AAAAAHf2d8Q=")</f>
        <v>#VALUE!</v>
      </c>
      <c r="GP84" t="e">
        <f>AND(Data!Q174,"AAAAAHf2d8U=")</f>
        <v>#VALUE!</v>
      </c>
      <c r="GQ84" t="e">
        <f>AND(Data!R174,"AAAAAHf2d8Y=")</f>
        <v>#VALUE!</v>
      </c>
      <c r="GR84" t="e">
        <f>AND(Data!S174,"AAAAAHf2d8c=")</f>
        <v>#VALUE!</v>
      </c>
      <c r="GS84" t="e">
        <f>AND(Data!T174,"AAAAAHf2d8g=")</f>
        <v>#VALUE!</v>
      </c>
      <c r="GT84" t="e">
        <f>AND(Data!U174,"AAAAAHf2d8k=")</f>
        <v>#VALUE!</v>
      </c>
      <c r="GU84" t="e">
        <f>AND(Data!V174,"AAAAAHf2d8o=")</f>
        <v>#VALUE!</v>
      </c>
      <c r="GV84" t="e">
        <f>AND(Data!W174,"AAAAAHf2d8s=")</f>
        <v>#VALUE!</v>
      </c>
      <c r="GW84" t="e">
        <f>AND(Data!X174,"AAAAAHf2d8w=")</f>
        <v>#VALUE!</v>
      </c>
      <c r="GX84">
        <f>IF(Data!175:175,"AAAAAHf2d80=",0)</f>
        <v>0</v>
      </c>
      <c r="GY84" t="e">
        <f>AND(Data!A175,"AAAAAHf2d84=")</f>
        <v>#VALUE!</v>
      </c>
      <c r="GZ84" t="e">
        <f>AND(Data!B175,"AAAAAHf2d88=")</f>
        <v>#VALUE!</v>
      </c>
      <c r="HA84" t="e">
        <f>AND(Data!C175,"AAAAAHf2d9A=")</f>
        <v>#VALUE!</v>
      </c>
      <c r="HB84" t="e">
        <f>AND(Data!D175,"AAAAAHf2d9E=")</f>
        <v>#VALUE!</v>
      </c>
      <c r="HC84" t="e">
        <f>AND(Data!E175,"AAAAAHf2d9I=")</f>
        <v>#VALUE!</v>
      </c>
      <c r="HD84" t="e">
        <f>AND(Data!F175,"AAAAAHf2d9M=")</f>
        <v>#VALUE!</v>
      </c>
      <c r="HE84" t="e">
        <f>AND(Data!G175,"AAAAAHf2d9Q=")</f>
        <v>#VALUE!</v>
      </c>
      <c r="HF84" t="e">
        <f>AND(Data!H175,"AAAAAHf2d9U=")</f>
        <v>#VALUE!</v>
      </c>
      <c r="HG84" t="e">
        <f>AND(Data!I175,"AAAAAHf2d9Y=")</f>
        <v>#VALUE!</v>
      </c>
      <c r="HH84" t="e">
        <f>AND(Data!J175,"AAAAAHf2d9c=")</f>
        <v>#VALUE!</v>
      </c>
      <c r="HI84" t="e">
        <f>AND(Data!K175,"AAAAAHf2d9g=")</f>
        <v>#VALUE!</v>
      </c>
      <c r="HJ84" t="e">
        <f>AND(Data!L175,"AAAAAHf2d9k=")</f>
        <v>#VALUE!</v>
      </c>
      <c r="HK84" t="e">
        <f>AND(Data!M175,"AAAAAHf2d9o=")</f>
        <v>#VALUE!</v>
      </c>
      <c r="HL84" t="e">
        <f>AND(Data!N175,"AAAAAHf2d9s=")</f>
        <v>#VALUE!</v>
      </c>
      <c r="HM84" t="e">
        <f>AND(Data!O175,"AAAAAHf2d9w=")</f>
        <v>#VALUE!</v>
      </c>
      <c r="HN84" t="e">
        <f>AND(Data!P175,"AAAAAHf2d90=")</f>
        <v>#VALUE!</v>
      </c>
      <c r="HO84" t="e">
        <f>AND(Data!Q175,"AAAAAHf2d94=")</f>
        <v>#VALUE!</v>
      </c>
      <c r="HP84" t="e">
        <f>AND(Data!R175,"AAAAAHf2d98=")</f>
        <v>#VALUE!</v>
      </c>
      <c r="HQ84" t="e">
        <f>AND(Data!S175,"AAAAAHf2d+A=")</f>
        <v>#VALUE!</v>
      </c>
      <c r="HR84" t="e">
        <f>AND(Data!T175,"AAAAAHf2d+E=")</f>
        <v>#VALUE!</v>
      </c>
      <c r="HS84" t="e">
        <f>AND(Data!U175,"AAAAAHf2d+I=")</f>
        <v>#VALUE!</v>
      </c>
      <c r="HT84" t="e">
        <f>AND(Data!V175,"AAAAAHf2d+M=")</f>
        <v>#VALUE!</v>
      </c>
      <c r="HU84" t="e">
        <f>AND(Data!W175,"AAAAAHf2d+Q=")</f>
        <v>#VALUE!</v>
      </c>
      <c r="HV84" t="e">
        <f>AND(Data!X175,"AAAAAHf2d+U=")</f>
        <v>#VALUE!</v>
      </c>
      <c r="HW84">
        <f>IF(Data!176:176,"AAAAAHf2d+Y=",0)</f>
        <v>0</v>
      </c>
      <c r="HX84" t="e">
        <f>AND(Data!A176,"AAAAAHf2d+c=")</f>
        <v>#VALUE!</v>
      </c>
      <c r="HY84" t="e">
        <f>AND(Data!B176,"AAAAAHf2d+g=")</f>
        <v>#VALUE!</v>
      </c>
      <c r="HZ84" t="e">
        <f>AND(Data!C176,"AAAAAHf2d+k=")</f>
        <v>#VALUE!</v>
      </c>
      <c r="IA84" t="e">
        <f>AND(Data!D176,"AAAAAHf2d+o=")</f>
        <v>#VALUE!</v>
      </c>
      <c r="IB84" t="e">
        <f>AND(Data!E176,"AAAAAHf2d+s=")</f>
        <v>#VALUE!</v>
      </c>
      <c r="IC84" t="e">
        <f>AND(Data!F176,"AAAAAHf2d+w=")</f>
        <v>#VALUE!</v>
      </c>
      <c r="ID84" t="e">
        <f>AND(Data!G176,"AAAAAHf2d+0=")</f>
        <v>#VALUE!</v>
      </c>
      <c r="IE84" t="e">
        <f>AND(Data!H176,"AAAAAHf2d+4=")</f>
        <v>#VALUE!</v>
      </c>
      <c r="IF84" t="e">
        <f>AND(Data!I176,"AAAAAHf2d+8=")</f>
        <v>#VALUE!</v>
      </c>
      <c r="IG84" t="e">
        <f>AND(Data!J176,"AAAAAHf2d/A=")</f>
        <v>#VALUE!</v>
      </c>
      <c r="IH84" t="e">
        <f>AND(Data!K176,"AAAAAHf2d/E=")</f>
        <v>#VALUE!</v>
      </c>
      <c r="II84" t="e">
        <f>AND(Data!L176,"AAAAAHf2d/I=")</f>
        <v>#VALUE!</v>
      </c>
      <c r="IJ84" t="e">
        <f>AND(Data!M176,"AAAAAHf2d/M=")</f>
        <v>#VALUE!</v>
      </c>
      <c r="IK84" t="e">
        <f>AND(Data!N176,"AAAAAHf2d/Q=")</f>
        <v>#VALUE!</v>
      </c>
      <c r="IL84" t="e">
        <f>AND(Data!O176,"AAAAAHf2d/U=")</f>
        <v>#VALUE!</v>
      </c>
      <c r="IM84" t="e">
        <f>AND(Data!P176,"AAAAAHf2d/Y=")</f>
        <v>#VALUE!</v>
      </c>
      <c r="IN84" t="e">
        <f>AND(Data!Q176,"AAAAAHf2d/c=")</f>
        <v>#VALUE!</v>
      </c>
      <c r="IO84" t="e">
        <f>AND(Data!R176,"AAAAAHf2d/g=")</f>
        <v>#VALUE!</v>
      </c>
      <c r="IP84" t="e">
        <f>AND(Data!S176,"AAAAAHf2d/k=")</f>
        <v>#VALUE!</v>
      </c>
      <c r="IQ84" t="e">
        <f>AND(Data!T176,"AAAAAHf2d/o=")</f>
        <v>#VALUE!</v>
      </c>
      <c r="IR84" t="e">
        <f>AND(Data!U176,"AAAAAHf2d/s=")</f>
        <v>#VALUE!</v>
      </c>
      <c r="IS84" t="e">
        <f>AND(Data!V176,"AAAAAHf2d/w=")</f>
        <v>#VALUE!</v>
      </c>
      <c r="IT84" t="e">
        <f>AND(Data!W176,"AAAAAHf2d/0=")</f>
        <v>#VALUE!</v>
      </c>
      <c r="IU84" t="e">
        <f>AND(Data!X176,"AAAAAHf2d/4=")</f>
        <v>#VALUE!</v>
      </c>
      <c r="IV84">
        <f>IF(Data!177:177,"AAAAAHf2d/8=",0)</f>
        <v>0</v>
      </c>
    </row>
    <row r="85" spans="1:256" x14ac:dyDescent="0.2">
      <c r="A85" t="e">
        <f>AND(Data!A177,"AAAAAFP1fwA=")</f>
        <v>#VALUE!</v>
      </c>
      <c r="B85" t="e">
        <f>AND(Data!B177,"AAAAAFP1fwE=")</f>
        <v>#VALUE!</v>
      </c>
      <c r="C85" t="e">
        <f>AND(Data!C177,"AAAAAFP1fwI=")</f>
        <v>#VALUE!</v>
      </c>
      <c r="D85" t="e">
        <f>AND(Data!D177,"AAAAAFP1fwM=")</f>
        <v>#VALUE!</v>
      </c>
      <c r="E85" t="e">
        <f>AND(Data!E177,"AAAAAFP1fwQ=")</f>
        <v>#VALUE!</v>
      </c>
      <c r="F85" t="e">
        <f>AND(Data!F177,"AAAAAFP1fwU=")</f>
        <v>#VALUE!</v>
      </c>
      <c r="G85" t="e">
        <f>AND(Data!G177,"AAAAAFP1fwY=")</f>
        <v>#VALUE!</v>
      </c>
      <c r="H85" t="e">
        <f>AND(Data!H177,"AAAAAFP1fwc=")</f>
        <v>#VALUE!</v>
      </c>
      <c r="I85" t="e">
        <f>AND(Data!I177,"AAAAAFP1fwg=")</f>
        <v>#VALUE!</v>
      </c>
      <c r="J85" t="e">
        <f>AND(Data!J177,"AAAAAFP1fwk=")</f>
        <v>#VALUE!</v>
      </c>
      <c r="K85" t="e">
        <f>AND(Data!K177,"AAAAAFP1fwo=")</f>
        <v>#VALUE!</v>
      </c>
      <c r="L85" t="e">
        <f>AND(Data!L177,"AAAAAFP1fws=")</f>
        <v>#VALUE!</v>
      </c>
      <c r="M85" t="e">
        <f>AND(Data!M177,"AAAAAFP1fww=")</f>
        <v>#VALUE!</v>
      </c>
      <c r="N85" t="e">
        <f>AND(Data!N177,"AAAAAFP1fw0=")</f>
        <v>#VALUE!</v>
      </c>
      <c r="O85" t="e">
        <f>AND(Data!O177,"AAAAAFP1fw4=")</f>
        <v>#VALUE!</v>
      </c>
      <c r="P85" t="e">
        <f>AND(Data!P177,"AAAAAFP1fw8=")</f>
        <v>#VALUE!</v>
      </c>
      <c r="Q85" t="e">
        <f>AND(Data!Q177,"AAAAAFP1fxA=")</f>
        <v>#VALUE!</v>
      </c>
      <c r="R85" t="e">
        <f>AND(Data!R177,"AAAAAFP1fxE=")</f>
        <v>#VALUE!</v>
      </c>
      <c r="S85" t="e">
        <f>AND(Data!S177,"AAAAAFP1fxI=")</f>
        <v>#VALUE!</v>
      </c>
      <c r="T85" t="e">
        <f>AND(Data!T177,"AAAAAFP1fxM=")</f>
        <v>#VALUE!</v>
      </c>
      <c r="U85" t="e">
        <f>AND(Data!U177,"AAAAAFP1fxQ=")</f>
        <v>#VALUE!</v>
      </c>
      <c r="V85" t="e">
        <f>AND(Data!V177,"AAAAAFP1fxU=")</f>
        <v>#VALUE!</v>
      </c>
      <c r="W85" t="e">
        <f>AND(Data!W177,"AAAAAFP1fxY=")</f>
        <v>#VALUE!</v>
      </c>
      <c r="X85" t="e">
        <f>AND(Data!X177,"AAAAAFP1fxc=")</f>
        <v>#VALUE!</v>
      </c>
      <c r="Y85">
        <f>IF(Data!178:178,"AAAAAFP1fxg=",0)</f>
        <v>0</v>
      </c>
      <c r="Z85" t="e">
        <f>AND(Data!A178,"AAAAAFP1fxk=")</f>
        <v>#VALUE!</v>
      </c>
      <c r="AA85" t="e">
        <f>AND(Data!B178,"AAAAAFP1fxo=")</f>
        <v>#VALUE!</v>
      </c>
      <c r="AB85" t="e">
        <f>AND(Data!C178,"AAAAAFP1fxs=")</f>
        <v>#VALUE!</v>
      </c>
      <c r="AC85" t="e">
        <f>AND(Data!D178,"AAAAAFP1fxw=")</f>
        <v>#VALUE!</v>
      </c>
      <c r="AD85" t="e">
        <f>AND(Data!E178,"AAAAAFP1fx0=")</f>
        <v>#VALUE!</v>
      </c>
      <c r="AE85" t="e">
        <f>AND(Data!F178,"AAAAAFP1fx4=")</f>
        <v>#VALUE!</v>
      </c>
      <c r="AF85" t="e">
        <f>AND(Data!G178,"AAAAAFP1fx8=")</f>
        <v>#VALUE!</v>
      </c>
      <c r="AG85" t="e">
        <f>AND(Data!H178,"AAAAAFP1fyA=")</f>
        <v>#VALUE!</v>
      </c>
      <c r="AH85" t="e">
        <f>AND(Data!I178,"AAAAAFP1fyE=")</f>
        <v>#VALUE!</v>
      </c>
      <c r="AI85" t="e">
        <f>AND(Data!J178,"AAAAAFP1fyI=")</f>
        <v>#VALUE!</v>
      </c>
      <c r="AJ85" t="e">
        <f>AND(Data!K178,"AAAAAFP1fyM=")</f>
        <v>#VALUE!</v>
      </c>
      <c r="AK85" t="e">
        <f>AND(Data!L178,"AAAAAFP1fyQ=")</f>
        <v>#VALUE!</v>
      </c>
      <c r="AL85" t="e">
        <f>AND(Data!M178,"AAAAAFP1fyU=")</f>
        <v>#VALUE!</v>
      </c>
      <c r="AM85" t="e">
        <f>AND(Data!N178,"AAAAAFP1fyY=")</f>
        <v>#VALUE!</v>
      </c>
      <c r="AN85" t="e">
        <f>AND(Data!O178,"AAAAAFP1fyc=")</f>
        <v>#VALUE!</v>
      </c>
      <c r="AO85" t="e">
        <f>AND(Data!P178,"AAAAAFP1fyg=")</f>
        <v>#VALUE!</v>
      </c>
      <c r="AP85" t="e">
        <f>AND(Data!Q178,"AAAAAFP1fyk=")</f>
        <v>#VALUE!</v>
      </c>
      <c r="AQ85" t="e">
        <f>AND(Data!R178,"AAAAAFP1fyo=")</f>
        <v>#VALUE!</v>
      </c>
      <c r="AR85" t="e">
        <f>AND(Data!S178,"AAAAAFP1fys=")</f>
        <v>#VALUE!</v>
      </c>
      <c r="AS85" t="e">
        <f>AND(Data!T178,"AAAAAFP1fyw=")</f>
        <v>#VALUE!</v>
      </c>
      <c r="AT85" t="e">
        <f>AND(Data!U178,"AAAAAFP1fy0=")</f>
        <v>#VALUE!</v>
      </c>
      <c r="AU85" t="e">
        <f>AND(Data!V178,"AAAAAFP1fy4=")</f>
        <v>#VALUE!</v>
      </c>
      <c r="AV85" t="e">
        <f>AND(Data!W178,"AAAAAFP1fy8=")</f>
        <v>#VALUE!</v>
      </c>
      <c r="AW85" t="e">
        <f>AND(Data!X178,"AAAAAFP1fzA=")</f>
        <v>#VALUE!</v>
      </c>
      <c r="AX85">
        <f>IF(Data!179:179,"AAAAAFP1fzE=",0)</f>
        <v>0</v>
      </c>
      <c r="AY85" t="e">
        <f>AND(Data!A179,"AAAAAFP1fzI=")</f>
        <v>#VALUE!</v>
      </c>
      <c r="AZ85" t="e">
        <f>AND(Data!B179,"AAAAAFP1fzM=")</f>
        <v>#VALUE!</v>
      </c>
      <c r="BA85" t="e">
        <f>AND(Data!C179,"AAAAAFP1fzQ=")</f>
        <v>#VALUE!</v>
      </c>
      <c r="BB85" t="e">
        <f>AND(Data!D179,"AAAAAFP1fzU=")</f>
        <v>#VALUE!</v>
      </c>
      <c r="BC85" t="e">
        <f>AND(Data!E179,"AAAAAFP1fzY=")</f>
        <v>#VALUE!</v>
      </c>
      <c r="BD85" t="e">
        <f>AND(Data!F179,"AAAAAFP1fzc=")</f>
        <v>#VALUE!</v>
      </c>
      <c r="BE85" t="e">
        <f>AND(Data!G179,"AAAAAFP1fzg=")</f>
        <v>#VALUE!</v>
      </c>
      <c r="BF85" t="e">
        <f>AND(Data!H179,"AAAAAFP1fzk=")</f>
        <v>#VALUE!</v>
      </c>
      <c r="BG85" t="e">
        <f>AND(Data!I179,"AAAAAFP1fzo=")</f>
        <v>#VALUE!</v>
      </c>
      <c r="BH85" t="e">
        <f>AND(Data!J179,"AAAAAFP1fzs=")</f>
        <v>#VALUE!</v>
      </c>
      <c r="BI85" t="e">
        <f>AND(Data!K179,"AAAAAFP1fzw=")</f>
        <v>#VALUE!</v>
      </c>
      <c r="BJ85" t="e">
        <f>AND(Data!L179,"AAAAAFP1fz0=")</f>
        <v>#VALUE!</v>
      </c>
      <c r="BK85" t="e">
        <f>AND(Data!M179,"AAAAAFP1fz4=")</f>
        <v>#VALUE!</v>
      </c>
      <c r="BL85" t="e">
        <f>AND(Data!N179,"AAAAAFP1fz8=")</f>
        <v>#VALUE!</v>
      </c>
      <c r="BM85" t="e">
        <f>AND(Data!O179,"AAAAAFP1f0A=")</f>
        <v>#VALUE!</v>
      </c>
      <c r="BN85" t="e">
        <f>AND(Data!P179,"AAAAAFP1f0E=")</f>
        <v>#VALUE!</v>
      </c>
      <c r="BO85" t="e">
        <f>AND(Data!Q179,"AAAAAFP1f0I=")</f>
        <v>#VALUE!</v>
      </c>
      <c r="BP85" t="e">
        <f>AND(Data!R179,"AAAAAFP1f0M=")</f>
        <v>#VALUE!</v>
      </c>
      <c r="BQ85" t="e">
        <f>AND(Data!S179,"AAAAAFP1f0Q=")</f>
        <v>#VALUE!</v>
      </c>
      <c r="BR85" t="e">
        <f>AND(Data!T179,"AAAAAFP1f0U=")</f>
        <v>#VALUE!</v>
      </c>
      <c r="BS85" t="e">
        <f>AND(Data!U179,"AAAAAFP1f0Y=")</f>
        <v>#VALUE!</v>
      </c>
      <c r="BT85" t="e">
        <f>AND(Data!V179,"AAAAAFP1f0c=")</f>
        <v>#VALUE!</v>
      </c>
      <c r="BU85" t="e">
        <f>AND(Data!W179,"AAAAAFP1f0g=")</f>
        <v>#VALUE!</v>
      </c>
      <c r="BV85" t="e">
        <f>AND(Data!X179,"AAAAAFP1f0k=")</f>
        <v>#VALUE!</v>
      </c>
      <c r="BW85">
        <f>IF(Data!180:180,"AAAAAFP1f0o=",0)</f>
        <v>0</v>
      </c>
      <c r="BX85" t="e">
        <f>AND(Data!A180,"AAAAAFP1f0s=")</f>
        <v>#VALUE!</v>
      </c>
      <c r="BY85" t="e">
        <f>AND(Data!B180,"AAAAAFP1f0w=")</f>
        <v>#VALUE!</v>
      </c>
      <c r="BZ85" t="e">
        <f>AND(Data!C180,"AAAAAFP1f00=")</f>
        <v>#VALUE!</v>
      </c>
      <c r="CA85" t="e">
        <f>AND(Data!D180,"AAAAAFP1f04=")</f>
        <v>#VALUE!</v>
      </c>
      <c r="CB85" t="e">
        <f>AND(Data!E180,"AAAAAFP1f08=")</f>
        <v>#VALUE!</v>
      </c>
      <c r="CC85" t="e">
        <f>AND(Data!F180,"AAAAAFP1f1A=")</f>
        <v>#VALUE!</v>
      </c>
      <c r="CD85" t="e">
        <f>AND(Data!G180,"AAAAAFP1f1E=")</f>
        <v>#VALUE!</v>
      </c>
      <c r="CE85" t="e">
        <f>AND(Data!H180,"AAAAAFP1f1I=")</f>
        <v>#VALUE!</v>
      </c>
      <c r="CF85" t="e">
        <f>AND(Data!I180,"AAAAAFP1f1M=")</f>
        <v>#VALUE!</v>
      </c>
      <c r="CG85" t="e">
        <f>AND(Data!J180,"AAAAAFP1f1Q=")</f>
        <v>#VALUE!</v>
      </c>
      <c r="CH85" t="e">
        <f>AND(Data!K180,"AAAAAFP1f1U=")</f>
        <v>#VALUE!</v>
      </c>
      <c r="CI85" t="e">
        <f>AND(Data!L180,"AAAAAFP1f1Y=")</f>
        <v>#VALUE!</v>
      </c>
      <c r="CJ85" t="e">
        <f>AND(Data!M180,"AAAAAFP1f1c=")</f>
        <v>#VALUE!</v>
      </c>
      <c r="CK85" t="e">
        <f>AND(Data!N180,"AAAAAFP1f1g=")</f>
        <v>#VALUE!</v>
      </c>
      <c r="CL85" t="e">
        <f>AND(Data!O180,"AAAAAFP1f1k=")</f>
        <v>#VALUE!</v>
      </c>
      <c r="CM85" t="e">
        <f>AND(Data!P180,"AAAAAFP1f1o=")</f>
        <v>#VALUE!</v>
      </c>
      <c r="CN85" t="e">
        <f>AND(Data!Q180,"AAAAAFP1f1s=")</f>
        <v>#VALUE!</v>
      </c>
      <c r="CO85" t="e">
        <f>AND(Data!R180,"AAAAAFP1f1w=")</f>
        <v>#VALUE!</v>
      </c>
      <c r="CP85" t="e">
        <f>AND(Data!S180,"AAAAAFP1f10=")</f>
        <v>#VALUE!</v>
      </c>
      <c r="CQ85" t="e">
        <f>AND(Data!T180,"AAAAAFP1f14=")</f>
        <v>#VALUE!</v>
      </c>
      <c r="CR85" t="e">
        <f>AND(Data!U180,"AAAAAFP1f18=")</f>
        <v>#VALUE!</v>
      </c>
      <c r="CS85" t="e">
        <f>AND(Data!V180,"AAAAAFP1f2A=")</f>
        <v>#VALUE!</v>
      </c>
      <c r="CT85" t="e">
        <f>AND(Data!W180,"AAAAAFP1f2E=")</f>
        <v>#VALUE!</v>
      </c>
      <c r="CU85" t="e">
        <f>AND(Data!X180,"AAAAAFP1f2I=")</f>
        <v>#VALUE!</v>
      </c>
      <c r="CV85">
        <f>IF(Data!181:181,"AAAAAFP1f2M=",0)</f>
        <v>0</v>
      </c>
      <c r="CW85" t="e">
        <f>AND(Data!A181,"AAAAAFP1f2Q=")</f>
        <v>#VALUE!</v>
      </c>
      <c r="CX85" t="e">
        <f>AND(Data!B181,"AAAAAFP1f2U=")</f>
        <v>#VALUE!</v>
      </c>
      <c r="CY85" t="e">
        <f>AND(Data!C181,"AAAAAFP1f2Y=")</f>
        <v>#VALUE!</v>
      </c>
      <c r="CZ85" t="e">
        <f>AND(Data!D181,"AAAAAFP1f2c=")</f>
        <v>#VALUE!</v>
      </c>
      <c r="DA85" t="e">
        <f>AND(Data!E181,"AAAAAFP1f2g=")</f>
        <v>#VALUE!</v>
      </c>
      <c r="DB85" t="e">
        <f>AND(Data!F181,"AAAAAFP1f2k=")</f>
        <v>#VALUE!</v>
      </c>
      <c r="DC85" t="e">
        <f>AND(Data!G181,"AAAAAFP1f2o=")</f>
        <v>#VALUE!</v>
      </c>
      <c r="DD85" t="e">
        <f>AND(Data!H181,"AAAAAFP1f2s=")</f>
        <v>#VALUE!</v>
      </c>
      <c r="DE85" t="e">
        <f>AND(Data!I181,"AAAAAFP1f2w=")</f>
        <v>#VALUE!</v>
      </c>
      <c r="DF85" t="e">
        <f>AND(Data!J181,"AAAAAFP1f20=")</f>
        <v>#VALUE!</v>
      </c>
      <c r="DG85" t="e">
        <f>AND(Data!K181,"AAAAAFP1f24=")</f>
        <v>#VALUE!</v>
      </c>
      <c r="DH85" t="e">
        <f>AND(Data!L181,"AAAAAFP1f28=")</f>
        <v>#VALUE!</v>
      </c>
      <c r="DI85" t="e">
        <f>AND(Data!M181,"AAAAAFP1f3A=")</f>
        <v>#VALUE!</v>
      </c>
      <c r="DJ85" t="e">
        <f>AND(Data!N181,"AAAAAFP1f3E=")</f>
        <v>#VALUE!</v>
      </c>
      <c r="DK85" t="e">
        <f>AND(Data!O181,"AAAAAFP1f3I=")</f>
        <v>#VALUE!</v>
      </c>
      <c r="DL85" t="e">
        <f>AND(Data!P181,"AAAAAFP1f3M=")</f>
        <v>#VALUE!</v>
      </c>
      <c r="DM85" t="e">
        <f>AND(Data!Q181,"AAAAAFP1f3Q=")</f>
        <v>#VALUE!</v>
      </c>
      <c r="DN85" t="e">
        <f>AND(Data!R181,"AAAAAFP1f3U=")</f>
        <v>#VALUE!</v>
      </c>
      <c r="DO85" t="e">
        <f>AND(Data!S181,"AAAAAFP1f3Y=")</f>
        <v>#VALUE!</v>
      </c>
      <c r="DP85" t="e">
        <f>AND(Data!T181,"AAAAAFP1f3c=")</f>
        <v>#VALUE!</v>
      </c>
      <c r="DQ85" t="e">
        <f>AND(Data!U181,"AAAAAFP1f3g=")</f>
        <v>#VALUE!</v>
      </c>
      <c r="DR85" t="e">
        <f>AND(Data!V181,"AAAAAFP1f3k=")</f>
        <v>#VALUE!</v>
      </c>
      <c r="DS85" t="e">
        <f>AND(Data!W181,"AAAAAFP1f3o=")</f>
        <v>#VALUE!</v>
      </c>
      <c r="DT85" t="e">
        <f>AND(Data!X181,"AAAAAFP1f3s=")</f>
        <v>#VALUE!</v>
      </c>
      <c r="DU85">
        <f>IF(Data!182:182,"AAAAAFP1f3w=",0)</f>
        <v>0</v>
      </c>
      <c r="DV85" t="e">
        <f>AND(Data!A182,"AAAAAFP1f30=")</f>
        <v>#VALUE!</v>
      </c>
      <c r="DW85" t="e">
        <f>AND(Data!B182,"AAAAAFP1f34=")</f>
        <v>#VALUE!</v>
      </c>
      <c r="DX85" t="e">
        <f>AND(Data!C182,"AAAAAFP1f38=")</f>
        <v>#VALUE!</v>
      </c>
      <c r="DY85" t="e">
        <f>AND(Data!D182,"AAAAAFP1f4A=")</f>
        <v>#VALUE!</v>
      </c>
      <c r="DZ85" t="e">
        <f>AND(Data!E182,"AAAAAFP1f4E=")</f>
        <v>#VALUE!</v>
      </c>
      <c r="EA85" t="e">
        <f>AND(Data!F182,"AAAAAFP1f4I=")</f>
        <v>#VALUE!</v>
      </c>
      <c r="EB85" t="e">
        <f>AND(Data!G182,"AAAAAFP1f4M=")</f>
        <v>#VALUE!</v>
      </c>
      <c r="EC85" t="e">
        <f>AND(Data!H182,"AAAAAFP1f4Q=")</f>
        <v>#VALUE!</v>
      </c>
      <c r="ED85" t="e">
        <f>AND(Data!I182,"AAAAAFP1f4U=")</f>
        <v>#VALUE!</v>
      </c>
      <c r="EE85" t="e">
        <f>AND(Data!J182,"AAAAAFP1f4Y=")</f>
        <v>#VALUE!</v>
      </c>
      <c r="EF85" t="e">
        <f>AND(Data!K182,"AAAAAFP1f4c=")</f>
        <v>#VALUE!</v>
      </c>
      <c r="EG85" t="e">
        <f>AND(Data!L182,"AAAAAFP1f4g=")</f>
        <v>#VALUE!</v>
      </c>
      <c r="EH85" t="e">
        <f>AND(Data!M182,"AAAAAFP1f4k=")</f>
        <v>#VALUE!</v>
      </c>
      <c r="EI85" t="e">
        <f>AND(Data!N182,"AAAAAFP1f4o=")</f>
        <v>#VALUE!</v>
      </c>
      <c r="EJ85" t="e">
        <f>AND(Data!O182,"AAAAAFP1f4s=")</f>
        <v>#VALUE!</v>
      </c>
      <c r="EK85" t="e">
        <f>AND(Data!P182,"AAAAAFP1f4w=")</f>
        <v>#VALUE!</v>
      </c>
      <c r="EL85" t="e">
        <f>AND(Data!Q182,"AAAAAFP1f40=")</f>
        <v>#VALUE!</v>
      </c>
      <c r="EM85" t="e">
        <f>AND(Data!R182,"AAAAAFP1f44=")</f>
        <v>#VALUE!</v>
      </c>
      <c r="EN85" t="e">
        <f>AND(Data!S182,"AAAAAFP1f48=")</f>
        <v>#VALUE!</v>
      </c>
      <c r="EO85" t="e">
        <f>AND(Data!T182,"AAAAAFP1f5A=")</f>
        <v>#VALUE!</v>
      </c>
      <c r="EP85" t="e">
        <f>AND(Data!U182,"AAAAAFP1f5E=")</f>
        <v>#VALUE!</v>
      </c>
      <c r="EQ85" t="e">
        <f>AND(Data!V182,"AAAAAFP1f5I=")</f>
        <v>#VALUE!</v>
      </c>
      <c r="ER85" t="e">
        <f>AND(Data!W182,"AAAAAFP1f5M=")</f>
        <v>#VALUE!</v>
      </c>
      <c r="ES85" t="e">
        <f>AND(Data!X182,"AAAAAFP1f5Q=")</f>
        <v>#VALUE!</v>
      </c>
      <c r="ET85">
        <f>IF(Data!183:183,"AAAAAFP1f5U=",0)</f>
        <v>0</v>
      </c>
      <c r="EU85" t="e">
        <f>AND(Data!A183,"AAAAAFP1f5Y=")</f>
        <v>#VALUE!</v>
      </c>
      <c r="EV85" t="e">
        <f>AND(Data!B183,"AAAAAFP1f5c=")</f>
        <v>#VALUE!</v>
      </c>
      <c r="EW85" t="e">
        <f>AND(Data!C183,"AAAAAFP1f5g=")</f>
        <v>#VALUE!</v>
      </c>
      <c r="EX85" t="e">
        <f>AND(Data!D183,"AAAAAFP1f5k=")</f>
        <v>#VALUE!</v>
      </c>
      <c r="EY85" t="e">
        <f>AND(Data!E183,"AAAAAFP1f5o=")</f>
        <v>#VALUE!</v>
      </c>
      <c r="EZ85" t="e">
        <f>AND(Data!F183,"AAAAAFP1f5s=")</f>
        <v>#VALUE!</v>
      </c>
      <c r="FA85" t="e">
        <f>AND(Data!G183,"AAAAAFP1f5w=")</f>
        <v>#VALUE!</v>
      </c>
      <c r="FB85" t="e">
        <f>AND(Data!H183,"AAAAAFP1f50=")</f>
        <v>#VALUE!</v>
      </c>
      <c r="FC85" t="e">
        <f>AND(Data!I183,"AAAAAFP1f54=")</f>
        <v>#VALUE!</v>
      </c>
      <c r="FD85" t="e">
        <f>AND(Data!J183,"AAAAAFP1f58=")</f>
        <v>#VALUE!</v>
      </c>
      <c r="FE85" t="e">
        <f>AND(Data!K183,"AAAAAFP1f6A=")</f>
        <v>#VALUE!</v>
      </c>
      <c r="FF85" t="e">
        <f>AND(Data!L183,"AAAAAFP1f6E=")</f>
        <v>#VALUE!</v>
      </c>
      <c r="FG85" t="e">
        <f>AND(Data!M183,"AAAAAFP1f6I=")</f>
        <v>#VALUE!</v>
      </c>
      <c r="FH85" t="e">
        <f>AND(Data!N183,"AAAAAFP1f6M=")</f>
        <v>#VALUE!</v>
      </c>
      <c r="FI85" t="e">
        <f>AND(Data!O183,"AAAAAFP1f6Q=")</f>
        <v>#VALUE!</v>
      </c>
      <c r="FJ85" t="e">
        <f>AND(Data!P183,"AAAAAFP1f6U=")</f>
        <v>#VALUE!</v>
      </c>
      <c r="FK85" t="e">
        <f>AND(Data!Q183,"AAAAAFP1f6Y=")</f>
        <v>#VALUE!</v>
      </c>
      <c r="FL85" t="e">
        <f>AND(Data!R183,"AAAAAFP1f6c=")</f>
        <v>#VALUE!</v>
      </c>
      <c r="FM85" t="e">
        <f>AND(Data!S183,"AAAAAFP1f6g=")</f>
        <v>#VALUE!</v>
      </c>
      <c r="FN85" t="e">
        <f>AND(Data!T183,"AAAAAFP1f6k=")</f>
        <v>#VALUE!</v>
      </c>
      <c r="FO85" t="e">
        <f>AND(Data!U183,"AAAAAFP1f6o=")</f>
        <v>#VALUE!</v>
      </c>
      <c r="FP85" t="e">
        <f>AND(Data!V183,"AAAAAFP1f6s=")</f>
        <v>#VALUE!</v>
      </c>
      <c r="FQ85" t="e">
        <f>AND(Data!W183,"AAAAAFP1f6w=")</f>
        <v>#VALUE!</v>
      </c>
      <c r="FR85" t="e">
        <f>AND(Data!X183,"AAAAAFP1f60=")</f>
        <v>#VALUE!</v>
      </c>
      <c r="FS85">
        <f>IF(Data!184:184,"AAAAAFP1f64=",0)</f>
        <v>0</v>
      </c>
      <c r="FT85" t="e">
        <f>AND(Data!A184,"AAAAAFP1f68=")</f>
        <v>#VALUE!</v>
      </c>
      <c r="FU85" t="e">
        <f>AND(Data!B184,"AAAAAFP1f7A=")</f>
        <v>#VALUE!</v>
      </c>
      <c r="FV85" t="e">
        <f>AND(Data!C184,"AAAAAFP1f7E=")</f>
        <v>#VALUE!</v>
      </c>
      <c r="FW85" t="e">
        <f>AND(Data!D184,"AAAAAFP1f7I=")</f>
        <v>#VALUE!</v>
      </c>
      <c r="FX85" t="e">
        <f>AND(Data!E184,"AAAAAFP1f7M=")</f>
        <v>#VALUE!</v>
      </c>
      <c r="FY85" t="e">
        <f>AND(Data!F184,"AAAAAFP1f7Q=")</f>
        <v>#VALUE!</v>
      </c>
      <c r="FZ85" t="e">
        <f>AND(Data!G184,"AAAAAFP1f7U=")</f>
        <v>#VALUE!</v>
      </c>
      <c r="GA85" t="e">
        <f>AND(Data!H184,"AAAAAFP1f7Y=")</f>
        <v>#VALUE!</v>
      </c>
      <c r="GB85" t="e">
        <f>AND(Data!I184,"AAAAAFP1f7c=")</f>
        <v>#VALUE!</v>
      </c>
      <c r="GC85" t="e">
        <f>AND(Data!J184,"AAAAAFP1f7g=")</f>
        <v>#VALUE!</v>
      </c>
      <c r="GD85" t="e">
        <f>AND(Data!K184,"AAAAAFP1f7k=")</f>
        <v>#VALUE!</v>
      </c>
      <c r="GE85" t="e">
        <f>AND(Data!L184,"AAAAAFP1f7o=")</f>
        <v>#VALUE!</v>
      </c>
      <c r="GF85" t="e">
        <f>AND(Data!M184,"AAAAAFP1f7s=")</f>
        <v>#VALUE!</v>
      </c>
      <c r="GG85" t="e">
        <f>AND(Data!N184,"AAAAAFP1f7w=")</f>
        <v>#VALUE!</v>
      </c>
      <c r="GH85" t="e">
        <f>AND(Data!O184,"AAAAAFP1f70=")</f>
        <v>#VALUE!</v>
      </c>
      <c r="GI85" t="e">
        <f>AND(Data!P184,"AAAAAFP1f74=")</f>
        <v>#VALUE!</v>
      </c>
      <c r="GJ85" t="e">
        <f>AND(Data!Q184,"AAAAAFP1f78=")</f>
        <v>#VALUE!</v>
      </c>
      <c r="GK85" t="e">
        <f>AND(Data!R184,"AAAAAFP1f8A=")</f>
        <v>#VALUE!</v>
      </c>
      <c r="GL85" t="e">
        <f>AND(Data!S184,"AAAAAFP1f8E=")</f>
        <v>#VALUE!</v>
      </c>
      <c r="GM85" t="e">
        <f>AND(Data!T184,"AAAAAFP1f8I=")</f>
        <v>#VALUE!</v>
      </c>
      <c r="GN85" t="e">
        <f>AND(Data!U184,"AAAAAFP1f8M=")</f>
        <v>#VALUE!</v>
      </c>
      <c r="GO85" t="e">
        <f>AND(Data!V184,"AAAAAFP1f8Q=")</f>
        <v>#VALUE!</v>
      </c>
      <c r="GP85" t="e">
        <f>AND(Data!W184,"AAAAAFP1f8U=")</f>
        <v>#VALUE!</v>
      </c>
      <c r="GQ85" t="e">
        <f>AND(Data!X184,"AAAAAFP1f8Y=")</f>
        <v>#VALUE!</v>
      </c>
      <c r="GR85">
        <f>IF(Data!185:185,"AAAAAFP1f8c=",0)</f>
        <v>0</v>
      </c>
      <c r="GS85" t="e">
        <f>AND(Data!A185,"AAAAAFP1f8g=")</f>
        <v>#VALUE!</v>
      </c>
      <c r="GT85" t="e">
        <f>AND(Data!B185,"AAAAAFP1f8k=")</f>
        <v>#VALUE!</v>
      </c>
      <c r="GU85" t="e">
        <f>AND(Data!C185,"AAAAAFP1f8o=")</f>
        <v>#VALUE!</v>
      </c>
      <c r="GV85" t="e">
        <f>AND(Data!D185,"AAAAAFP1f8s=")</f>
        <v>#VALUE!</v>
      </c>
      <c r="GW85" t="e">
        <f>AND(Data!E185,"AAAAAFP1f8w=")</f>
        <v>#VALUE!</v>
      </c>
      <c r="GX85" t="e">
        <f>AND(Data!F185,"AAAAAFP1f80=")</f>
        <v>#VALUE!</v>
      </c>
      <c r="GY85" t="e">
        <f>AND(Data!G185,"AAAAAFP1f84=")</f>
        <v>#VALUE!</v>
      </c>
      <c r="GZ85" t="e">
        <f>AND(Data!H185,"AAAAAFP1f88=")</f>
        <v>#VALUE!</v>
      </c>
      <c r="HA85" t="e">
        <f>AND(Data!I185,"AAAAAFP1f9A=")</f>
        <v>#VALUE!</v>
      </c>
      <c r="HB85" t="e">
        <f>AND(Data!J185,"AAAAAFP1f9E=")</f>
        <v>#VALUE!</v>
      </c>
      <c r="HC85" t="e">
        <f>AND(Data!K185,"AAAAAFP1f9I=")</f>
        <v>#VALUE!</v>
      </c>
      <c r="HD85" t="e">
        <f>AND(Data!L185,"AAAAAFP1f9M=")</f>
        <v>#VALUE!</v>
      </c>
      <c r="HE85" t="e">
        <f>AND(Data!M185,"AAAAAFP1f9Q=")</f>
        <v>#VALUE!</v>
      </c>
      <c r="HF85" t="e">
        <f>AND(Data!N185,"AAAAAFP1f9U=")</f>
        <v>#VALUE!</v>
      </c>
      <c r="HG85" t="e">
        <f>AND(Data!O185,"AAAAAFP1f9Y=")</f>
        <v>#VALUE!</v>
      </c>
      <c r="HH85" t="e">
        <f>AND(Data!P185,"AAAAAFP1f9c=")</f>
        <v>#VALUE!</v>
      </c>
      <c r="HI85" t="e">
        <f>AND(Data!Q185,"AAAAAFP1f9g=")</f>
        <v>#VALUE!</v>
      </c>
      <c r="HJ85" t="e">
        <f>AND(Data!R185,"AAAAAFP1f9k=")</f>
        <v>#VALUE!</v>
      </c>
      <c r="HK85" t="e">
        <f>AND(Data!S185,"AAAAAFP1f9o=")</f>
        <v>#VALUE!</v>
      </c>
      <c r="HL85" t="e">
        <f>AND(Data!T185,"AAAAAFP1f9s=")</f>
        <v>#VALUE!</v>
      </c>
      <c r="HM85" t="e">
        <f>AND(Data!U185,"AAAAAFP1f9w=")</f>
        <v>#VALUE!</v>
      </c>
      <c r="HN85" t="e">
        <f>AND(Data!V185,"AAAAAFP1f90=")</f>
        <v>#VALUE!</v>
      </c>
      <c r="HO85" t="e">
        <f>AND(Data!W185,"AAAAAFP1f94=")</f>
        <v>#VALUE!</v>
      </c>
      <c r="HP85" t="e">
        <f>AND(Data!X185,"AAAAAFP1f98=")</f>
        <v>#VALUE!</v>
      </c>
      <c r="HQ85">
        <f>IF(Data!186:186,"AAAAAFP1f+A=",0)</f>
        <v>0</v>
      </c>
      <c r="HR85" t="e">
        <f>AND(Data!A186,"AAAAAFP1f+E=")</f>
        <v>#VALUE!</v>
      </c>
      <c r="HS85" t="e">
        <f>AND(Data!B186,"AAAAAFP1f+I=")</f>
        <v>#VALUE!</v>
      </c>
      <c r="HT85" t="e">
        <f>AND(Data!C186,"AAAAAFP1f+M=")</f>
        <v>#VALUE!</v>
      </c>
      <c r="HU85" t="e">
        <f>AND(Data!D186,"AAAAAFP1f+Q=")</f>
        <v>#VALUE!</v>
      </c>
      <c r="HV85" t="e">
        <f>AND(Data!E186,"AAAAAFP1f+U=")</f>
        <v>#VALUE!</v>
      </c>
      <c r="HW85" t="e">
        <f>AND(Data!F186,"AAAAAFP1f+Y=")</f>
        <v>#VALUE!</v>
      </c>
      <c r="HX85" t="e">
        <f>AND(Data!G186,"AAAAAFP1f+c=")</f>
        <v>#VALUE!</v>
      </c>
      <c r="HY85" t="e">
        <f>AND(Data!H186,"AAAAAFP1f+g=")</f>
        <v>#VALUE!</v>
      </c>
      <c r="HZ85" t="e">
        <f>AND(Data!I186,"AAAAAFP1f+k=")</f>
        <v>#VALUE!</v>
      </c>
      <c r="IA85" t="e">
        <f>AND(Data!J186,"AAAAAFP1f+o=")</f>
        <v>#VALUE!</v>
      </c>
      <c r="IB85" t="e">
        <f>AND(Data!K186,"AAAAAFP1f+s=")</f>
        <v>#VALUE!</v>
      </c>
      <c r="IC85" t="e">
        <f>AND(Data!L186,"AAAAAFP1f+w=")</f>
        <v>#VALUE!</v>
      </c>
      <c r="ID85" t="e">
        <f>AND(Data!M186,"AAAAAFP1f+0=")</f>
        <v>#VALUE!</v>
      </c>
      <c r="IE85" t="e">
        <f>AND(Data!N186,"AAAAAFP1f+4=")</f>
        <v>#VALUE!</v>
      </c>
      <c r="IF85" t="e">
        <f>AND(Data!O186,"AAAAAFP1f+8=")</f>
        <v>#VALUE!</v>
      </c>
      <c r="IG85" t="e">
        <f>AND(Data!P186,"AAAAAFP1f/A=")</f>
        <v>#VALUE!</v>
      </c>
      <c r="IH85" t="e">
        <f>AND(Data!Q186,"AAAAAFP1f/E=")</f>
        <v>#VALUE!</v>
      </c>
      <c r="II85" t="e">
        <f>AND(Data!R186,"AAAAAFP1f/I=")</f>
        <v>#VALUE!</v>
      </c>
      <c r="IJ85" t="e">
        <f>AND(Data!S186,"AAAAAFP1f/M=")</f>
        <v>#VALUE!</v>
      </c>
      <c r="IK85" t="e">
        <f>AND(Data!T186,"AAAAAFP1f/Q=")</f>
        <v>#VALUE!</v>
      </c>
      <c r="IL85" t="e">
        <f>AND(Data!U186,"AAAAAFP1f/U=")</f>
        <v>#VALUE!</v>
      </c>
      <c r="IM85" t="e">
        <f>AND(Data!V186,"AAAAAFP1f/Y=")</f>
        <v>#VALUE!</v>
      </c>
      <c r="IN85" t="e">
        <f>AND(Data!W186,"AAAAAFP1f/c=")</f>
        <v>#VALUE!</v>
      </c>
      <c r="IO85" t="e">
        <f>AND(Data!X186,"AAAAAFP1f/g=")</f>
        <v>#VALUE!</v>
      </c>
      <c r="IP85">
        <f>IF(Data!187:187,"AAAAAFP1f/k=",0)</f>
        <v>0</v>
      </c>
      <c r="IQ85" t="e">
        <f>AND(Data!A187,"AAAAAFP1f/o=")</f>
        <v>#VALUE!</v>
      </c>
      <c r="IR85" t="e">
        <f>AND(Data!B187,"AAAAAFP1f/s=")</f>
        <v>#VALUE!</v>
      </c>
      <c r="IS85" t="e">
        <f>AND(Data!C187,"AAAAAFP1f/w=")</f>
        <v>#VALUE!</v>
      </c>
      <c r="IT85" t="e">
        <f>AND(Data!D187,"AAAAAFP1f/0=")</f>
        <v>#VALUE!</v>
      </c>
      <c r="IU85" t="e">
        <f>AND(Data!E187,"AAAAAFP1f/4=")</f>
        <v>#VALUE!</v>
      </c>
      <c r="IV85" t="e">
        <f>AND(Data!F187,"AAAAAFP1f/8=")</f>
        <v>#VALUE!</v>
      </c>
    </row>
    <row r="86" spans="1:256" x14ac:dyDescent="0.2">
      <c r="A86" t="e">
        <f>AND(Data!G187,"AAAAAHPnvQA=")</f>
        <v>#VALUE!</v>
      </c>
      <c r="B86" t="e">
        <f>AND(Data!H187,"AAAAAHPnvQE=")</f>
        <v>#VALUE!</v>
      </c>
      <c r="C86" t="e">
        <f>AND(Data!I187,"AAAAAHPnvQI=")</f>
        <v>#VALUE!</v>
      </c>
      <c r="D86" t="e">
        <f>AND(Data!J187,"AAAAAHPnvQM=")</f>
        <v>#VALUE!</v>
      </c>
      <c r="E86" t="e">
        <f>AND(Data!K187,"AAAAAHPnvQQ=")</f>
        <v>#VALUE!</v>
      </c>
      <c r="F86" t="e">
        <f>AND(Data!L187,"AAAAAHPnvQU=")</f>
        <v>#VALUE!</v>
      </c>
      <c r="G86" t="e">
        <f>AND(Data!M187,"AAAAAHPnvQY=")</f>
        <v>#VALUE!</v>
      </c>
      <c r="H86" t="e">
        <f>AND(Data!N187,"AAAAAHPnvQc=")</f>
        <v>#VALUE!</v>
      </c>
      <c r="I86" t="e">
        <f>AND(Data!O187,"AAAAAHPnvQg=")</f>
        <v>#VALUE!</v>
      </c>
      <c r="J86" t="e">
        <f>AND(Data!P187,"AAAAAHPnvQk=")</f>
        <v>#VALUE!</v>
      </c>
      <c r="K86" t="e">
        <f>AND(Data!Q187,"AAAAAHPnvQo=")</f>
        <v>#VALUE!</v>
      </c>
      <c r="L86" t="e">
        <f>AND(Data!R187,"AAAAAHPnvQs=")</f>
        <v>#VALUE!</v>
      </c>
      <c r="M86" t="e">
        <f>AND(Data!S187,"AAAAAHPnvQw=")</f>
        <v>#VALUE!</v>
      </c>
      <c r="N86" t="e">
        <f>AND(Data!T187,"AAAAAHPnvQ0=")</f>
        <v>#VALUE!</v>
      </c>
      <c r="O86" t="e">
        <f>AND(Data!U187,"AAAAAHPnvQ4=")</f>
        <v>#VALUE!</v>
      </c>
      <c r="P86" t="e">
        <f>AND(Data!V187,"AAAAAHPnvQ8=")</f>
        <v>#VALUE!</v>
      </c>
      <c r="Q86" t="e">
        <f>AND(Data!W187,"AAAAAHPnvRA=")</f>
        <v>#VALUE!</v>
      </c>
      <c r="R86" t="e">
        <f>AND(Data!X187,"AAAAAHPnvRE=")</f>
        <v>#VALUE!</v>
      </c>
      <c r="S86" t="e">
        <f>IF(Data!188:188,"AAAAAHPnvRI=",0)</f>
        <v>#VALUE!</v>
      </c>
      <c r="T86" t="e">
        <f>AND(Data!A188,"AAAAAHPnvRM=")</f>
        <v>#VALUE!</v>
      </c>
      <c r="U86" t="e">
        <f>AND(Data!B188,"AAAAAHPnvRQ=")</f>
        <v>#VALUE!</v>
      </c>
      <c r="V86" t="e">
        <f>AND(Data!C188,"AAAAAHPnvRU=")</f>
        <v>#VALUE!</v>
      </c>
      <c r="W86" t="e">
        <f>AND(Data!D188,"AAAAAHPnvRY=")</f>
        <v>#VALUE!</v>
      </c>
      <c r="X86" t="e">
        <f>AND(Data!E188,"AAAAAHPnvRc=")</f>
        <v>#VALUE!</v>
      </c>
      <c r="Y86" t="e">
        <f>AND(Data!F188,"AAAAAHPnvRg=")</f>
        <v>#VALUE!</v>
      </c>
      <c r="Z86" t="e">
        <f>AND(Data!G188,"AAAAAHPnvRk=")</f>
        <v>#VALUE!</v>
      </c>
      <c r="AA86" t="e">
        <f>AND(Data!H188,"AAAAAHPnvRo=")</f>
        <v>#VALUE!</v>
      </c>
      <c r="AB86" t="e">
        <f>AND(Data!I188,"AAAAAHPnvRs=")</f>
        <v>#VALUE!</v>
      </c>
      <c r="AC86" t="e">
        <f>AND(Data!J188,"AAAAAHPnvRw=")</f>
        <v>#VALUE!</v>
      </c>
      <c r="AD86" t="e">
        <f>AND(Data!K188,"AAAAAHPnvR0=")</f>
        <v>#VALUE!</v>
      </c>
      <c r="AE86" t="e">
        <f>AND(Data!L188,"AAAAAHPnvR4=")</f>
        <v>#VALUE!</v>
      </c>
      <c r="AF86" t="e">
        <f>AND(Data!M188,"AAAAAHPnvR8=")</f>
        <v>#VALUE!</v>
      </c>
      <c r="AG86" t="e">
        <f>AND(Data!N188,"AAAAAHPnvSA=")</f>
        <v>#VALUE!</v>
      </c>
      <c r="AH86" t="e">
        <f>AND(Data!O188,"AAAAAHPnvSE=")</f>
        <v>#VALUE!</v>
      </c>
      <c r="AI86" t="e">
        <f>AND(Data!P188,"AAAAAHPnvSI=")</f>
        <v>#VALUE!</v>
      </c>
      <c r="AJ86" t="e">
        <f>AND(Data!Q188,"AAAAAHPnvSM=")</f>
        <v>#VALUE!</v>
      </c>
      <c r="AK86" t="e">
        <f>AND(Data!R188,"AAAAAHPnvSQ=")</f>
        <v>#VALUE!</v>
      </c>
      <c r="AL86" t="e">
        <f>AND(Data!S188,"AAAAAHPnvSU=")</f>
        <v>#VALUE!</v>
      </c>
      <c r="AM86" t="e">
        <f>AND(Data!T188,"AAAAAHPnvSY=")</f>
        <v>#VALUE!</v>
      </c>
      <c r="AN86" t="e">
        <f>AND(Data!U188,"AAAAAHPnvSc=")</f>
        <v>#VALUE!</v>
      </c>
      <c r="AO86" t="e">
        <f>AND(Data!V188,"AAAAAHPnvSg=")</f>
        <v>#VALUE!</v>
      </c>
      <c r="AP86" t="e">
        <f>AND(Data!W188,"AAAAAHPnvSk=")</f>
        <v>#VALUE!</v>
      </c>
      <c r="AQ86" t="e">
        <f>AND(Data!X188,"AAAAAHPnvSo=")</f>
        <v>#VALUE!</v>
      </c>
      <c r="AR86">
        <f>IF(Data!189:189,"AAAAAHPnvSs=",0)</f>
        <v>0</v>
      </c>
      <c r="AS86" t="e">
        <f>AND(Data!A189,"AAAAAHPnvSw=")</f>
        <v>#VALUE!</v>
      </c>
      <c r="AT86" t="e">
        <f>AND(Data!B189,"AAAAAHPnvS0=")</f>
        <v>#VALUE!</v>
      </c>
      <c r="AU86" t="e">
        <f>AND(Data!C189,"AAAAAHPnvS4=")</f>
        <v>#VALUE!</v>
      </c>
      <c r="AV86" t="e">
        <f>AND(Data!D189,"AAAAAHPnvS8=")</f>
        <v>#VALUE!</v>
      </c>
      <c r="AW86" t="e">
        <f>AND(Data!E189,"AAAAAHPnvTA=")</f>
        <v>#VALUE!</v>
      </c>
      <c r="AX86" t="e">
        <f>AND(Data!F189,"AAAAAHPnvTE=")</f>
        <v>#VALUE!</v>
      </c>
      <c r="AY86" t="e">
        <f>AND(Data!G189,"AAAAAHPnvTI=")</f>
        <v>#VALUE!</v>
      </c>
      <c r="AZ86" t="e">
        <f>AND(Data!H189,"AAAAAHPnvTM=")</f>
        <v>#VALUE!</v>
      </c>
      <c r="BA86" t="e">
        <f>AND(Data!I189,"AAAAAHPnvTQ=")</f>
        <v>#VALUE!</v>
      </c>
      <c r="BB86" t="e">
        <f>AND(Data!J189,"AAAAAHPnvTU=")</f>
        <v>#VALUE!</v>
      </c>
      <c r="BC86" t="e">
        <f>AND(Data!K189,"AAAAAHPnvTY=")</f>
        <v>#VALUE!</v>
      </c>
      <c r="BD86" t="e">
        <f>AND(Data!L189,"AAAAAHPnvTc=")</f>
        <v>#VALUE!</v>
      </c>
      <c r="BE86" t="e">
        <f>AND(Data!M189,"AAAAAHPnvTg=")</f>
        <v>#VALUE!</v>
      </c>
      <c r="BF86" t="e">
        <f>AND(Data!N189,"AAAAAHPnvTk=")</f>
        <v>#VALUE!</v>
      </c>
      <c r="BG86" t="e">
        <f>AND(Data!O189,"AAAAAHPnvTo=")</f>
        <v>#VALUE!</v>
      </c>
      <c r="BH86" t="e">
        <f>AND(Data!P189,"AAAAAHPnvTs=")</f>
        <v>#VALUE!</v>
      </c>
      <c r="BI86" t="e">
        <f>AND(Data!Q189,"AAAAAHPnvTw=")</f>
        <v>#VALUE!</v>
      </c>
      <c r="BJ86" t="e">
        <f>AND(Data!R189,"AAAAAHPnvT0=")</f>
        <v>#VALUE!</v>
      </c>
      <c r="BK86" t="e">
        <f>AND(Data!S189,"AAAAAHPnvT4=")</f>
        <v>#VALUE!</v>
      </c>
      <c r="BL86" t="e">
        <f>AND(Data!T189,"AAAAAHPnvT8=")</f>
        <v>#VALUE!</v>
      </c>
      <c r="BM86" t="e">
        <f>AND(Data!U189,"AAAAAHPnvUA=")</f>
        <v>#VALUE!</v>
      </c>
      <c r="BN86" t="e">
        <f>AND(Data!V189,"AAAAAHPnvUE=")</f>
        <v>#VALUE!</v>
      </c>
      <c r="BO86" t="e">
        <f>AND(Data!W189,"AAAAAHPnvUI=")</f>
        <v>#VALUE!</v>
      </c>
      <c r="BP86" t="e">
        <f>AND(Data!X189,"AAAAAHPnvUM=")</f>
        <v>#VALUE!</v>
      </c>
      <c r="BQ86">
        <f>IF(Data!190:190,"AAAAAHPnvUQ=",0)</f>
        <v>0</v>
      </c>
      <c r="BR86" t="e">
        <f>AND(Data!A190,"AAAAAHPnvUU=")</f>
        <v>#VALUE!</v>
      </c>
      <c r="BS86" t="e">
        <f>AND(Data!B190,"AAAAAHPnvUY=")</f>
        <v>#VALUE!</v>
      </c>
      <c r="BT86" t="e">
        <f>AND(Data!C190,"AAAAAHPnvUc=")</f>
        <v>#VALUE!</v>
      </c>
      <c r="BU86" t="e">
        <f>AND(Data!D190,"AAAAAHPnvUg=")</f>
        <v>#VALUE!</v>
      </c>
      <c r="BV86" t="e">
        <f>AND(Data!E190,"AAAAAHPnvUk=")</f>
        <v>#VALUE!</v>
      </c>
      <c r="BW86" t="e">
        <f>AND(Data!F190,"AAAAAHPnvUo=")</f>
        <v>#VALUE!</v>
      </c>
      <c r="BX86" t="e">
        <f>AND(Data!G190,"AAAAAHPnvUs=")</f>
        <v>#VALUE!</v>
      </c>
      <c r="BY86" t="e">
        <f>AND(Data!H190,"AAAAAHPnvUw=")</f>
        <v>#VALUE!</v>
      </c>
      <c r="BZ86" t="e">
        <f>AND(Data!I190,"AAAAAHPnvU0=")</f>
        <v>#VALUE!</v>
      </c>
      <c r="CA86" t="e">
        <f>AND(Data!J190,"AAAAAHPnvU4=")</f>
        <v>#VALUE!</v>
      </c>
      <c r="CB86" t="e">
        <f>AND(Data!K190,"AAAAAHPnvU8=")</f>
        <v>#VALUE!</v>
      </c>
      <c r="CC86" t="e">
        <f>AND(Data!L190,"AAAAAHPnvVA=")</f>
        <v>#VALUE!</v>
      </c>
      <c r="CD86" t="e">
        <f>AND(Data!M190,"AAAAAHPnvVE=")</f>
        <v>#VALUE!</v>
      </c>
      <c r="CE86" t="e">
        <f>AND(Data!N190,"AAAAAHPnvVI=")</f>
        <v>#VALUE!</v>
      </c>
      <c r="CF86" t="e">
        <f>AND(Data!O190,"AAAAAHPnvVM=")</f>
        <v>#VALUE!</v>
      </c>
      <c r="CG86" t="e">
        <f>AND(Data!P190,"AAAAAHPnvVQ=")</f>
        <v>#VALUE!</v>
      </c>
      <c r="CH86" t="e">
        <f>AND(Data!Q190,"AAAAAHPnvVU=")</f>
        <v>#VALUE!</v>
      </c>
      <c r="CI86" t="e">
        <f>AND(Data!R190,"AAAAAHPnvVY=")</f>
        <v>#VALUE!</v>
      </c>
      <c r="CJ86" t="e">
        <f>AND(Data!S190,"AAAAAHPnvVc=")</f>
        <v>#VALUE!</v>
      </c>
      <c r="CK86" t="e">
        <f>AND(Data!T190,"AAAAAHPnvVg=")</f>
        <v>#VALUE!</v>
      </c>
      <c r="CL86" t="e">
        <f>AND(Data!U190,"AAAAAHPnvVk=")</f>
        <v>#VALUE!</v>
      </c>
      <c r="CM86" t="e">
        <f>AND(Data!V190,"AAAAAHPnvVo=")</f>
        <v>#VALUE!</v>
      </c>
      <c r="CN86" t="e">
        <f>AND(Data!W190,"AAAAAHPnvVs=")</f>
        <v>#VALUE!</v>
      </c>
      <c r="CO86" t="e">
        <f>AND(Data!X190,"AAAAAHPnvVw=")</f>
        <v>#VALUE!</v>
      </c>
      <c r="CP86">
        <f>IF(Data!191:191,"AAAAAHPnvV0=",0)</f>
        <v>0</v>
      </c>
      <c r="CQ86" t="e">
        <f>AND(Data!A191,"AAAAAHPnvV4=")</f>
        <v>#VALUE!</v>
      </c>
      <c r="CR86" t="e">
        <f>AND(Data!B191,"AAAAAHPnvV8=")</f>
        <v>#VALUE!</v>
      </c>
      <c r="CS86" t="e">
        <f>AND(Data!C191,"AAAAAHPnvWA=")</f>
        <v>#VALUE!</v>
      </c>
      <c r="CT86" t="e">
        <f>AND(Data!D191,"AAAAAHPnvWE=")</f>
        <v>#VALUE!</v>
      </c>
      <c r="CU86" t="e">
        <f>AND(Data!E191,"AAAAAHPnvWI=")</f>
        <v>#VALUE!</v>
      </c>
      <c r="CV86" t="e">
        <f>AND(Data!F191,"AAAAAHPnvWM=")</f>
        <v>#VALUE!</v>
      </c>
      <c r="CW86" t="e">
        <f>AND(Data!G191,"AAAAAHPnvWQ=")</f>
        <v>#VALUE!</v>
      </c>
      <c r="CX86" t="e">
        <f>AND(Data!H191,"AAAAAHPnvWU=")</f>
        <v>#VALUE!</v>
      </c>
      <c r="CY86" t="e">
        <f>AND(Data!I191,"AAAAAHPnvWY=")</f>
        <v>#VALUE!</v>
      </c>
      <c r="CZ86" t="e">
        <f>AND(Data!J191,"AAAAAHPnvWc=")</f>
        <v>#VALUE!</v>
      </c>
      <c r="DA86" t="e">
        <f>AND(Data!K191,"AAAAAHPnvWg=")</f>
        <v>#VALUE!</v>
      </c>
      <c r="DB86" t="e">
        <f>AND(Data!L191,"AAAAAHPnvWk=")</f>
        <v>#VALUE!</v>
      </c>
      <c r="DC86" t="e">
        <f>AND(Data!M191,"AAAAAHPnvWo=")</f>
        <v>#VALUE!</v>
      </c>
      <c r="DD86" t="e">
        <f>AND(Data!N191,"AAAAAHPnvWs=")</f>
        <v>#VALUE!</v>
      </c>
      <c r="DE86" t="e">
        <f>AND(Data!O191,"AAAAAHPnvWw=")</f>
        <v>#VALUE!</v>
      </c>
      <c r="DF86" t="e">
        <f>AND(Data!P191,"AAAAAHPnvW0=")</f>
        <v>#VALUE!</v>
      </c>
      <c r="DG86" t="e">
        <f>AND(Data!Q191,"AAAAAHPnvW4=")</f>
        <v>#VALUE!</v>
      </c>
      <c r="DH86" t="e">
        <f>AND(Data!R191,"AAAAAHPnvW8=")</f>
        <v>#VALUE!</v>
      </c>
      <c r="DI86" t="e">
        <f>AND(Data!S191,"AAAAAHPnvXA=")</f>
        <v>#VALUE!</v>
      </c>
      <c r="DJ86" t="e">
        <f>AND(Data!T191,"AAAAAHPnvXE=")</f>
        <v>#VALUE!</v>
      </c>
      <c r="DK86" t="e">
        <f>AND(Data!U191,"AAAAAHPnvXI=")</f>
        <v>#VALUE!</v>
      </c>
      <c r="DL86" t="e">
        <f>AND(Data!V191,"AAAAAHPnvXM=")</f>
        <v>#VALUE!</v>
      </c>
      <c r="DM86" t="e">
        <f>AND(Data!W191,"AAAAAHPnvXQ=")</f>
        <v>#VALUE!</v>
      </c>
      <c r="DN86" t="e">
        <f>AND(Data!X191,"AAAAAHPnvXU=")</f>
        <v>#VALUE!</v>
      </c>
      <c r="DO86">
        <f>IF(Data!192:192,"AAAAAHPnvXY=",0)</f>
        <v>0</v>
      </c>
      <c r="DP86" t="e">
        <f>AND(Data!A192,"AAAAAHPnvXc=")</f>
        <v>#VALUE!</v>
      </c>
      <c r="DQ86" t="e">
        <f>AND(Data!B192,"AAAAAHPnvXg=")</f>
        <v>#VALUE!</v>
      </c>
      <c r="DR86" t="e">
        <f>AND(Data!C192,"AAAAAHPnvXk=")</f>
        <v>#VALUE!</v>
      </c>
      <c r="DS86" t="e">
        <f>AND(Data!D192,"AAAAAHPnvXo=")</f>
        <v>#VALUE!</v>
      </c>
      <c r="DT86" t="e">
        <f>AND(Data!E192,"AAAAAHPnvXs=")</f>
        <v>#VALUE!</v>
      </c>
      <c r="DU86" t="e">
        <f>AND(Data!F192,"AAAAAHPnvXw=")</f>
        <v>#VALUE!</v>
      </c>
      <c r="DV86" t="e">
        <f>AND(Data!G192,"AAAAAHPnvX0=")</f>
        <v>#VALUE!</v>
      </c>
      <c r="DW86" t="e">
        <f>AND(Data!H192,"AAAAAHPnvX4=")</f>
        <v>#VALUE!</v>
      </c>
      <c r="DX86" t="e">
        <f>AND(Data!I192,"AAAAAHPnvX8=")</f>
        <v>#VALUE!</v>
      </c>
      <c r="DY86" t="e">
        <f>AND(Data!J192,"AAAAAHPnvYA=")</f>
        <v>#VALUE!</v>
      </c>
      <c r="DZ86" t="e">
        <f>AND(Data!K192,"AAAAAHPnvYE=")</f>
        <v>#VALUE!</v>
      </c>
      <c r="EA86" t="e">
        <f>AND(Data!L192,"AAAAAHPnvYI=")</f>
        <v>#VALUE!</v>
      </c>
      <c r="EB86" t="e">
        <f>AND(Data!M192,"AAAAAHPnvYM=")</f>
        <v>#VALUE!</v>
      </c>
      <c r="EC86" t="e">
        <f>AND(Data!N192,"AAAAAHPnvYQ=")</f>
        <v>#VALUE!</v>
      </c>
      <c r="ED86" t="e">
        <f>AND(Data!O192,"AAAAAHPnvYU=")</f>
        <v>#VALUE!</v>
      </c>
      <c r="EE86" t="e">
        <f>AND(Data!P192,"AAAAAHPnvYY=")</f>
        <v>#VALUE!</v>
      </c>
      <c r="EF86" t="e">
        <f>AND(Data!Q192,"AAAAAHPnvYc=")</f>
        <v>#VALUE!</v>
      </c>
      <c r="EG86" t="e">
        <f>AND(Data!R192,"AAAAAHPnvYg=")</f>
        <v>#VALUE!</v>
      </c>
      <c r="EH86" t="e">
        <f>AND(Data!S192,"AAAAAHPnvYk=")</f>
        <v>#VALUE!</v>
      </c>
      <c r="EI86" t="e">
        <f>AND(Data!T192,"AAAAAHPnvYo=")</f>
        <v>#VALUE!</v>
      </c>
      <c r="EJ86" t="e">
        <f>AND(Data!U192,"AAAAAHPnvYs=")</f>
        <v>#VALUE!</v>
      </c>
      <c r="EK86" t="e">
        <f>AND(Data!V192,"AAAAAHPnvYw=")</f>
        <v>#VALUE!</v>
      </c>
      <c r="EL86" t="e">
        <f>AND(Data!W192,"AAAAAHPnvY0=")</f>
        <v>#VALUE!</v>
      </c>
      <c r="EM86" t="e">
        <f>AND(Data!X192,"AAAAAHPnvY4=")</f>
        <v>#VALUE!</v>
      </c>
      <c r="EN86">
        <f>IF(Data!193:193,"AAAAAHPnvY8=",0)</f>
        <v>0</v>
      </c>
      <c r="EO86" t="e">
        <f>AND(Data!A193,"AAAAAHPnvZA=")</f>
        <v>#VALUE!</v>
      </c>
      <c r="EP86" t="e">
        <f>AND(Data!B193,"AAAAAHPnvZE=")</f>
        <v>#VALUE!</v>
      </c>
      <c r="EQ86" t="e">
        <f>AND(Data!C193,"AAAAAHPnvZI=")</f>
        <v>#VALUE!</v>
      </c>
      <c r="ER86" t="e">
        <f>AND(Data!D193,"AAAAAHPnvZM=")</f>
        <v>#VALUE!</v>
      </c>
      <c r="ES86" t="e">
        <f>AND(Data!E193,"AAAAAHPnvZQ=")</f>
        <v>#VALUE!</v>
      </c>
      <c r="ET86" t="e">
        <f>AND(Data!F193,"AAAAAHPnvZU=")</f>
        <v>#VALUE!</v>
      </c>
      <c r="EU86" t="e">
        <f>AND(Data!G193,"AAAAAHPnvZY=")</f>
        <v>#VALUE!</v>
      </c>
      <c r="EV86" t="e">
        <f>AND(Data!H193,"AAAAAHPnvZc=")</f>
        <v>#VALUE!</v>
      </c>
      <c r="EW86" t="e">
        <f>AND(Data!I193,"AAAAAHPnvZg=")</f>
        <v>#VALUE!</v>
      </c>
      <c r="EX86" t="e">
        <f>AND(Data!J193,"AAAAAHPnvZk=")</f>
        <v>#VALUE!</v>
      </c>
      <c r="EY86" t="e">
        <f>AND(Data!K193,"AAAAAHPnvZo=")</f>
        <v>#VALUE!</v>
      </c>
      <c r="EZ86" t="e">
        <f>AND(Data!L193,"AAAAAHPnvZs=")</f>
        <v>#VALUE!</v>
      </c>
      <c r="FA86" t="e">
        <f>AND(Data!M193,"AAAAAHPnvZw=")</f>
        <v>#VALUE!</v>
      </c>
      <c r="FB86" t="e">
        <f>AND(Data!N193,"AAAAAHPnvZ0=")</f>
        <v>#VALUE!</v>
      </c>
      <c r="FC86" t="e">
        <f>AND(Data!O193,"AAAAAHPnvZ4=")</f>
        <v>#VALUE!</v>
      </c>
      <c r="FD86" t="e">
        <f>AND(Data!P193,"AAAAAHPnvZ8=")</f>
        <v>#VALUE!</v>
      </c>
      <c r="FE86" t="e">
        <f>AND(Data!Q193,"AAAAAHPnvaA=")</f>
        <v>#VALUE!</v>
      </c>
      <c r="FF86" t="e">
        <f>AND(Data!R193,"AAAAAHPnvaE=")</f>
        <v>#VALUE!</v>
      </c>
      <c r="FG86" t="e">
        <f>AND(Data!S193,"AAAAAHPnvaI=")</f>
        <v>#VALUE!</v>
      </c>
      <c r="FH86" t="e">
        <f>AND(Data!T193,"AAAAAHPnvaM=")</f>
        <v>#VALUE!</v>
      </c>
      <c r="FI86" t="e">
        <f>AND(Data!U193,"AAAAAHPnvaQ=")</f>
        <v>#VALUE!</v>
      </c>
      <c r="FJ86" t="e">
        <f>AND(Data!V193,"AAAAAHPnvaU=")</f>
        <v>#VALUE!</v>
      </c>
      <c r="FK86" t="e">
        <f>AND(Data!W193,"AAAAAHPnvaY=")</f>
        <v>#VALUE!</v>
      </c>
      <c r="FL86" t="e">
        <f>AND(Data!X193,"AAAAAHPnvac=")</f>
        <v>#VALUE!</v>
      </c>
      <c r="FM86">
        <f>IF(Data!194:194,"AAAAAHPnvag=",0)</f>
        <v>0</v>
      </c>
      <c r="FN86" t="e">
        <f>AND(Data!A194,"AAAAAHPnvak=")</f>
        <v>#VALUE!</v>
      </c>
      <c r="FO86" t="e">
        <f>AND(Data!B194,"AAAAAHPnvao=")</f>
        <v>#VALUE!</v>
      </c>
      <c r="FP86" t="e">
        <f>AND(Data!C194,"AAAAAHPnvas=")</f>
        <v>#VALUE!</v>
      </c>
      <c r="FQ86" t="e">
        <f>AND(Data!D194,"AAAAAHPnvaw=")</f>
        <v>#VALUE!</v>
      </c>
      <c r="FR86" t="e">
        <f>AND(Data!E194,"AAAAAHPnva0=")</f>
        <v>#VALUE!</v>
      </c>
      <c r="FS86" t="e">
        <f>AND(Data!F194,"AAAAAHPnva4=")</f>
        <v>#VALUE!</v>
      </c>
      <c r="FT86" t="e">
        <f>AND(Data!G194,"AAAAAHPnva8=")</f>
        <v>#VALUE!</v>
      </c>
      <c r="FU86" t="e">
        <f>AND(Data!H194,"AAAAAHPnvbA=")</f>
        <v>#VALUE!</v>
      </c>
      <c r="FV86" t="e">
        <f>AND(Data!I194,"AAAAAHPnvbE=")</f>
        <v>#VALUE!</v>
      </c>
      <c r="FW86" t="e">
        <f>AND(Data!J194,"AAAAAHPnvbI=")</f>
        <v>#VALUE!</v>
      </c>
      <c r="FX86" t="e">
        <f>AND(Data!K194,"AAAAAHPnvbM=")</f>
        <v>#VALUE!</v>
      </c>
      <c r="FY86" t="e">
        <f>AND(Data!L194,"AAAAAHPnvbQ=")</f>
        <v>#VALUE!</v>
      </c>
      <c r="FZ86" t="e">
        <f>AND(Data!M194,"AAAAAHPnvbU=")</f>
        <v>#VALUE!</v>
      </c>
      <c r="GA86" t="e">
        <f>AND(Data!N194,"AAAAAHPnvbY=")</f>
        <v>#VALUE!</v>
      </c>
      <c r="GB86" t="e">
        <f>AND(Data!O194,"AAAAAHPnvbc=")</f>
        <v>#VALUE!</v>
      </c>
      <c r="GC86" t="e">
        <f>AND(Data!P194,"AAAAAHPnvbg=")</f>
        <v>#VALUE!</v>
      </c>
      <c r="GD86" t="e">
        <f>AND(Data!Q194,"AAAAAHPnvbk=")</f>
        <v>#VALUE!</v>
      </c>
      <c r="GE86" t="e">
        <f>AND(Data!R194,"AAAAAHPnvbo=")</f>
        <v>#VALUE!</v>
      </c>
      <c r="GF86" t="e">
        <f>AND(Data!S194,"AAAAAHPnvbs=")</f>
        <v>#VALUE!</v>
      </c>
      <c r="GG86" t="e">
        <f>AND(Data!T194,"AAAAAHPnvbw=")</f>
        <v>#VALUE!</v>
      </c>
      <c r="GH86" t="e">
        <f>AND(Data!U194,"AAAAAHPnvb0=")</f>
        <v>#VALUE!</v>
      </c>
      <c r="GI86" t="e">
        <f>AND(Data!V194,"AAAAAHPnvb4=")</f>
        <v>#VALUE!</v>
      </c>
      <c r="GJ86" t="e">
        <f>AND(Data!W194,"AAAAAHPnvb8=")</f>
        <v>#VALUE!</v>
      </c>
      <c r="GK86" t="e">
        <f>AND(Data!X194,"AAAAAHPnvcA=")</f>
        <v>#VALUE!</v>
      </c>
      <c r="GL86">
        <f>IF(Data!195:195,"AAAAAHPnvcE=",0)</f>
        <v>0</v>
      </c>
      <c r="GM86" t="e">
        <f>AND(Data!A195,"AAAAAHPnvcI=")</f>
        <v>#VALUE!</v>
      </c>
      <c r="GN86" t="e">
        <f>AND(Data!B195,"AAAAAHPnvcM=")</f>
        <v>#VALUE!</v>
      </c>
      <c r="GO86" t="e">
        <f>AND(Data!C195,"AAAAAHPnvcQ=")</f>
        <v>#VALUE!</v>
      </c>
      <c r="GP86" t="e">
        <f>AND(Data!D195,"AAAAAHPnvcU=")</f>
        <v>#VALUE!</v>
      </c>
      <c r="GQ86" t="e">
        <f>AND(Data!E195,"AAAAAHPnvcY=")</f>
        <v>#VALUE!</v>
      </c>
      <c r="GR86" t="e">
        <f>AND(Data!F195,"AAAAAHPnvcc=")</f>
        <v>#VALUE!</v>
      </c>
      <c r="GS86" t="e">
        <f>AND(Data!G195,"AAAAAHPnvcg=")</f>
        <v>#VALUE!</v>
      </c>
      <c r="GT86" t="e">
        <f>AND(Data!H195,"AAAAAHPnvck=")</f>
        <v>#VALUE!</v>
      </c>
      <c r="GU86" t="e">
        <f>AND(Data!I195,"AAAAAHPnvco=")</f>
        <v>#VALUE!</v>
      </c>
      <c r="GV86" t="e">
        <f>AND(Data!J195,"AAAAAHPnvcs=")</f>
        <v>#VALUE!</v>
      </c>
      <c r="GW86" t="e">
        <f>AND(Data!K195,"AAAAAHPnvcw=")</f>
        <v>#VALUE!</v>
      </c>
      <c r="GX86" t="e">
        <f>AND(Data!L195,"AAAAAHPnvc0=")</f>
        <v>#VALUE!</v>
      </c>
      <c r="GY86" t="e">
        <f>AND(Data!M195,"AAAAAHPnvc4=")</f>
        <v>#VALUE!</v>
      </c>
      <c r="GZ86" t="e">
        <f>AND(Data!N195,"AAAAAHPnvc8=")</f>
        <v>#VALUE!</v>
      </c>
      <c r="HA86" t="e">
        <f>AND(Data!O195,"AAAAAHPnvdA=")</f>
        <v>#VALUE!</v>
      </c>
      <c r="HB86" t="e">
        <f>AND(Data!P195,"AAAAAHPnvdE=")</f>
        <v>#VALUE!</v>
      </c>
      <c r="HC86" t="e">
        <f>AND(Data!Q195,"AAAAAHPnvdI=")</f>
        <v>#VALUE!</v>
      </c>
      <c r="HD86" t="e">
        <f>AND(Data!R195,"AAAAAHPnvdM=")</f>
        <v>#VALUE!</v>
      </c>
      <c r="HE86" t="e">
        <f>AND(Data!S195,"AAAAAHPnvdQ=")</f>
        <v>#VALUE!</v>
      </c>
      <c r="HF86" t="e">
        <f>AND(Data!T195,"AAAAAHPnvdU=")</f>
        <v>#VALUE!</v>
      </c>
      <c r="HG86" t="e">
        <f>AND(Data!U195,"AAAAAHPnvdY=")</f>
        <v>#VALUE!</v>
      </c>
      <c r="HH86" t="e">
        <f>AND(Data!V195,"AAAAAHPnvdc=")</f>
        <v>#VALUE!</v>
      </c>
      <c r="HI86" t="e">
        <f>AND(Data!W195,"AAAAAHPnvdg=")</f>
        <v>#VALUE!</v>
      </c>
      <c r="HJ86" t="e">
        <f>AND(Data!X195,"AAAAAHPnvdk=")</f>
        <v>#VALUE!</v>
      </c>
      <c r="HK86">
        <f>IF(Data!196:196,"AAAAAHPnvdo=",0)</f>
        <v>0</v>
      </c>
      <c r="HL86" t="e">
        <f>AND(Data!A196,"AAAAAHPnvds=")</f>
        <v>#VALUE!</v>
      </c>
      <c r="HM86" t="e">
        <f>AND(Data!B196,"AAAAAHPnvdw=")</f>
        <v>#VALUE!</v>
      </c>
      <c r="HN86" t="e">
        <f>AND(Data!C196,"AAAAAHPnvd0=")</f>
        <v>#VALUE!</v>
      </c>
      <c r="HO86" t="e">
        <f>AND(Data!D196,"AAAAAHPnvd4=")</f>
        <v>#VALUE!</v>
      </c>
      <c r="HP86" t="e">
        <f>AND(Data!E196,"AAAAAHPnvd8=")</f>
        <v>#VALUE!</v>
      </c>
      <c r="HQ86" t="e">
        <f>AND(Data!F196,"AAAAAHPnveA=")</f>
        <v>#VALUE!</v>
      </c>
      <c r="HR86" t="e">
        <f>AND(Data!G196,"AAAAAHPnveE=")</f>
        <v>#VALUE!</v>
      </c>
      <c r="HS86" t="e">
        <f>AND(Data!H196,"AAAAAHPnveI=")</f>
        <v>#VALUE!</v>
      </c>
      <c r="HT86" t="e">
        <f>AND(Data!I196,"AAAAAHPnveM=")</f>
        <v>#VALUE!</v>
      </c>
      <c r="HU86" t="e">
        <f>AND(Data!J196,"AAAAAHPnveQ=")</f>
        <v>#VALUE!</v>
      </c>
      <c r="HV86" t="e">
        <f>AND(Data!K196,"AAAAAHPnveU=")</f>
        <v>#VALUE!</v>
      </c>
      <c r="HW86" t="e">
        <f>AND(Data!L196,"AAAAAHPnveY=")</f>
        <v>#VALUE!</v>
      </c>
      <c r="HX86" t="e">
        <f>AND(Data!M196,"AAAAAHPnvec=")</f>
        <v>#VALUE!</v>
      </c>
      <c r="HY86" t="e">
        <f>AND(Data!N196,"AAAAAHPnveg=")</f>
        <v>#VALUE!</v>
      </c>
      <c r="HZ86" t="e">
        <f>AND(Data!O196,"AAAAAHPnvek=")</f>
        <v>#VALUE!</v>
      </c>
      <c r="IA86" t="e">
        <f>AND(Data!P196,"AAAAAHPnveo=")</f>
        <v>#VALUE!</v>
      </c>
      <c r="IB86" t="e">
        <f>AND(Data!Q196,"AAAAAHPnves=")</f>
        <v>#VALUE!</v>
      </c>
      <c r="IC86" t="e">
        <f>AND(Data!R196,"AAAAAHPnvew=")</f>
        <v>#VALUE!</v>
      </c>
      <c r="ID86" t="e">
        <f>AND(Data!S196,"AAAAAHPnve0=")</f>
        <v>#VALUE!</v>
      </c>
      <c r="IE86" t="e">
        <f>AND(Data!T196,"AAAAAHPnve4=")</f>
        <v>#VALUE!</v>
      </c>
      <c r="IF86" t="e">
        <f>AND(Data!U196,"AAAAAHPnve8=")</f>
        <v>#VALUE!</v>
      </c>
      <c r="IG86" t="e">
        <f>AND(Data!V196,"AAAAAHPnvfA=")</f>
        <v>#VALUE!</v>
      </c>
      <c r="IH86" t="e">
        <f>AND(Data!W196,"AAAAAHPnvfE=")</f>
        <v>#VALUE!</v>
      </c>
      <c r="II86" t="e">
        <f>AND(Data!X196,"AAAAAHPnvfI=")</f>
        <v>#VALUE!</v>
      </c>
      <c r="IJ86">
        <f>IF(Data!197:197,"AAAAAHPnvfM=",0)</f>
        <v>0</v>
      </c>
      <c r="IK86" t="e">
        <f>AND(Data!A197,"AAAAAHPnvfQ=")</f>
        <v>#VALUE!</v>
      </c>
      <c r="IL86" t="e">
        <f>AND(Data!B197,"AAAAAHPnvfU=")</f>
        <v>#VALUE!</v>
      </c>
      <c r="IM86" t="e">
        <f>AND(Data!C197,"AAAAAHPnvfY=")</f>
        <v>#VALUE!</v>
      </c>
      <c r="IN86" t="e">
        <f>AND(Data!D197,"AAAAAHPnvfc=")</f>
        <v>#VALUE!</v>
      </c>
      <c r="IO86" t="e">
        <f>AND(Data!E197,"AAAAAHPnvfg=")</f>
        <v>#VALUE!</v>
      </c>
      <c r="IP86" t="e">
        <f>AND(Data!F197,"AAAAAHPnvfk=")</f>
        <v>#VALUE!</v>
      </c>
      <c r="IQ86" t="e">
        <f>AND(Data!G197,"AAAAAHPnvfo=")</f>
        <v>#VALUE!</v>
      </c>
      <c r="IR86" t="e">
        <f>AND(Data!H197,"AAAAAHPnvfs=")</f>
        <v>#VALUE!</v>
      </c>
      <c r="IS86" t="e">
        <f>AND(Data!I197,"AAAAAHPnvfw=")</f>
        <v>#VALUE!</v>
      </c>
      <c r="IT86" t="e">
        <f>AND(Data!J197,"AAAAAHPnvf0=")</f>
        <v>#VALUE!</v>
      </c>
      <c r="IU86" t="e">
        <f>AND(Data!K197,"AAAAAHPnvf4=")</f>
        <v>#VALUE!</v>
      </c>
      <c r="IV86" t="e">
        <f>AND(Data!L197,"AAAAAHPnvf8=")</f>
        <v>#VALUE!</v>
      </c>
    </row>
    <row r="87" spans="1:256" x14ac:dyDescent="0.2">
      <c r="A87" t="e">
        <f>AND(Data!M197,"AAAAAD/m/wA=")</f>
        <v>#VALUE!</v>
      </c>
      <c r="B87" t="e">
        <f>AND(Data!N197,"AAAAAD/m/wE=")</f>
        <v>#VALUE!</v>
      </c>
      <c r="C87" t="e">
        <f>AND(Data!O197,"AAAAAD/m/wI=")</f>
        <v>#VALUE!</v>
      </c>
      <c r="D87" t="e">
        <f>AND(Data!P197,"AAAAAD/m/wM=")</f>
        <v>#VALUE!</v>
      </c>
      <c r="E87" t="e">
        <f>AND(Data!Q197,"AAAAAD/m/wQ=")</f>
        <v>#VALUE!</v>
      </c>
      <c r="F87" t="e">
        <f>AND(Data!R197,"AAAAAD/m/wU=")</f>
        <v>#VALUE!</v>
      </c>
      <c r="G87" t="e">
        <f>AND(Data!S197,"AAAAAD/m/wY=")</f>
        <v>#VALUE!</v>
      </c>
      <c r="H87" t="e">
        <f>AND(Data!T197,"AAAAAD/m/wc=")</f>
        <v>#VALUE!</v>
      </c>
      <c r="I87" t="e">
        <f>AND(Data!U197,"AAAAAD/m/wg=")</f>
        <v>#VALUE!</v>
      </c>
      <c r="J87" t="e">
        <f>AND(Data!V197,"AAAAAD/m/wk=")</f>
        <v>#VALUE!</v>
      </c>
      <c r="K87" t="e">
        <f>AND(Data!W197,"AAAAAD/m/wo=")</f>
        <v>#VALUE!</v>
      </c>
      <c r="L87" t="e">
        <f>AND(Data!X197,"AAAAAD/m/ws=")</f>
        <v>#VALUE!</v>
      </c>
      <c r="M87" t="e">
        <f>IF(Data!198:198,"AAAAAD/m/ww=",0)</f>
        <v>#VALUE!</v>
      </c>
      <c r="N87" t="e">
        <f>AND(Data!A198,"AAAAAD/m/w0=")</f>
        <v>#VALUE!</v>
      </c>
      <c r="O87" t="e">
        <f>AND(Data!B198,"AAAAAD/m/w4=")</f>
        <v>#VALUE!</v>
      </c>
      <c r="P87" t="e">
        <f>AND(Data!C198,"AAAAAD/m/w8=")</f>
        <v>#VALUE!</v>
      </c>
      <c r="Q87" t="e">
        <f>AND(Data!D198,"AAAAAD/m/xA=")</f>
        <v>#VALUE!</v>
      </c>
      <c r="R87" t="e">
        <f>AND(Data!E198,"AAAAAD/m/xE=")</f>
        <v>#VALUE!</v>
      </c>
      <c r="S87" t="e">
        <f>AND(Data!F198,"AAAAAD/m/xI=")</f>
        <v>#VALUE!</v>
      </c>
      <c r="T87" t="e">
        <f>AND(Data!G198,"AAAAAD/m/xM=")</f>
        <v>#VALUE!</v>
      </c>
      <c r="U87" t="e">
        <f>AND(Data!H198,"AAAAAD/m/xQ=")</f>
        <v>#VALUE!</v>
      </c>
      <c r="V87" t="e">
        <f>AND(Data!I198,"AAAAAD/m/xU=")</f>
        <v>#VALUE!</v>
      </c>
      <c r="W87" t="e">
        <f>AND(Data!J198,"AAAAAD/m/xY=")</f>
        <v>#VALUE!</v>
      </c>
      <c r="X87" t="e">
        <f>AND(Data!K198,"AAAAAD/m/xc=")</f>
        <v>#VALUE!</v>
      </c>
      <c r="Y87" t="e">
        <f>AND(Data!L198,"AAAAAD/m/xg=")</f>
        <v>#VALUE!</v>
      </c>
      <c r="Z87" t="e">
        <f>AND(Data!M198,"AAAAAD/m/xk=")</f>
        <v>#VALUE!</v>
      </c>
      <c r="AA87" t="e">
        <f>AND(Data!N198,"AAAAAD/m/xo=")</f>
        <v>#VALUE!</v>
      </c>
      <c r="AB87" t="e">
        <f>AND(Data!O198,"AAAAAD/m/xs=")</f>
        <v>#VALUE!</v>
      </c>
      <c r="AC87" t="e">
        <f>AND(Data!P198,"AAAAAD/m/xw=")</f>
        <v>#VALUE!</v>
      </c>
      <c r="AD87" t="e">
        <f>AND(Data!Q198,"AAAAAD/m/x0=")</f>
        <v>#VALUE!</v>
      </c>
      <c r="AE87" t="e">
        <f>AND(Data!R198,"AAAAAD/m/x4=")</f>
        <v>#VALUE!</v>
      </c>
      <c r="AF87" t="e">
        <f>AND(Data!S198,"AAAAAD/m/x8=")</f>
        <v>#VALUE!</v>
      </c>
      <c r="AG87" t="e">
        <f>AND(Data!T198,"AAAAAD/m/yA=")</f>
        <v>#VALUE!</v>
      </c>
      <c r="AH87" t="e">
        <f>AND(Data!U198,"AAAAAD/m/yE=")</f>
        <v>#VALUE!</v>
      </c>
      <c r="AI87" t="e">
        <f>AND(Data!V198,"AAAAAD/m/yI=")</f>
        <v>#VALUE!</v>
      </c>
      <c r="AJ87" t="e">
        <f>AND(Data!W198,"AAAAAD/m/yM=")</f>
        <v>#VALUE!</v>
      </c>
      <c r="AK87" t="e">
        <f>AND(Data!X198,"AAAAAD/m/yQ=")</f>
        <v>#VALUE!</v>
      </c>
      <c r="AL87">
        <f>IF(Data!199:199,"AAAAAD/m/yU=",0)</f>
        <v>0</v>
      </c>
      <c r="AM87" t="e">
        <f>AND(Data!A199,"AAAAAD/m/yY=")</f>
        <v>#VALUE!</v>
      </c>
      <c r="AN87" t="e">
        <f>AND(Data!B199,"AAAAAD/m/yc=")</f>
        <v>#VALUE!</v>
      </c>
      <c r="AO87" t="e">
        <f>AND(Data!C199,"AAAAAD/m/yg=")</f>
        <v>#VALUE!</v>
      </c>
      <c r="AP87" t="e">
        <f>AND(Data!D199,"AAAAAD/m/yk=")</f>
        <v>#VALUE!</v>
      </c>
      <c r="AQ87" t="e">
        <f>AND(Data!E199,"AAAAAD/m/yo=")</f>
        <v>#VALUE!</v>
      </c>
      <c r="AR87" t="e">
        <f>AND(Data!F199,"AAAAAD/m/ys=")</f>
        <v>#VALUE!</v>
      </c>
      <c r="AS87" t="e">
        <f>AND(Data!G199,"AAAAAD/m/yw=")</f>
        <v>#VALUE!</v>
      </c>
      <c r="AT87" t="e">
        <f>AND(Data!H199,"AAAAAD/m/y0=")</f>
        <v>#VALUE!</v>
      </c>
      <c r="AU87" t="e">
        <f>AND(Data!I199,"AAAAAD/m/y4=")</f>
        <v>#VALUE!</v>
      </c>
      <c r="AV87" t="e">
        <f>AND(Data!J199,"AAAAAD/m/y8=")</f>
        <v>#VALUE!</v>
      </c>
      <c r="AW87" t="e">
        <f>AND(Data!K199,"AAAAAD/m/zA=")</f>
        <v>#VALUE!</v>
      </c>
      <c r="AX87" t="e">
        <f>AND(Data!L199,"AAAAAD/m/zE=")</f>
        <v>#VALUE!</v>
      </c>
      <c r="AY87" t="e">
        <f>AND(Data!M199,"AAAAAD/m/zI=")</f>
        <v>#VALUE!</v>
      </c>
      <c r="AZ87" t="e">
        <f>AND(Data!N199,"AAAAAD/m/zM=")</f>
        <v>#VALUE!</v>
      </c>
      <c r="BA87" t="e">
        <f>AND(Data!O199,"AAAAAD/m/zQ=")</f>
        <v>#VALUE!</v>
      </c>
      <c r="BB87" t="e">
        <f>AND(Data!P199,"AAAAAD/m/zU=")</f>
        <v>#VALUE!</v>
      </c>
      <c r="BC87" t="e">
        <f>AND(Data!Q199,"AAAAAD/m/zY=")</f>
        <v>#VALUE!</v>
      </c>
      <c r="BD87" t="e">
        <f>AND(Data!R199,"AAAAAD/m/zc=")</f>
        <v>#VALUE!</v>
      </c>
      <c r="BE87" t="e">
        <f>AND(Data!S199,"AAAAAD/m/zg=")</f>
        <v>#VALUE!</v>
      </c>
      <c r="BF87" t="e">
        <f>AND(Data!T199,"AAAAAD/m/zk=")</f>
        <v>#VALUE!</v>
      </c>
      <c r="BG87" t="e">
        <f>AND(Data!U199,"AAAAAD/m/zo=")</f>
        <v>#VALUE!</v>
      </c>
      <c r="BH87" t="e">
        <f>AND(Data!V199,"AAAAAD/m/zs=")</f>
        <v>#VALUE!</v>
      </c>
      <c r="BI87" t="e">
        <f>AND(Data!W199,"AAAAAD/m/zw=")</f>
        <v>#VALUE!</v>
      </c>
      <c r="BJ87" t="e">
        <f>AND(Data!X199,"AAAAAD/m/z0=")</f>
        <v>#VALUE!</v>
      </c>
      <c r="BK87">
        <f>IF(Data!200:200,"AAAAAD/m/z4=",0)</f>
        <v>0</v>
      </c>
      <c r="BL87" t="e">
        <f>AND(Data!A200,"AAAAAD/m/z8=")</f>
        <v>#VALUE!</v>
      </c>
      <c r="BM87" t="e">
        <f>AND(Data!B200,"AAAAAD/m/0A=")</f>
        <v>#VALUE!</v>
      </c>
      <c r="BN87" t="e">
        <f>AND(Data!C200,"AAAAAD/m/0E=")</f>
        <v>#VALUE!</v>
      </c>
      <c r="BO87" t="e">
        <f>AND(Data!D200,"AAAAAD/m/0I=")</f>
        <v>#VALUE!</v>
      </c>
      <c r="BP87" t="e">
        <f>AND(Data!E200,"AAAAAD/m/0M=")</f>
        <v>#VALUE!</v>
      </c>
      <c r="BQ87" t="e">
        <f>AND(Data!F200,"AAAAAD/m/0Q=")</f>
        <v>#VALUE!</v>
      </c>
      <c r="BR87" t="e">
        <f>AND(Data!G200,"AAAAAD/m/0U=")</f>
        <v>#VALUE!</v>
      </c>
      <c r="BS87" t="e">
        <f>AND(Data!H200,"AAAAAD/m/0Y=")</f>
        <v>#VALUE!</v>
      </c>
      <c r="BT87" t="e">
        <f>AND(Data!I200,"AAAAAD/m/0c=")</f>
        <v>#VALUE!</v>
      </c>
      <c r="BU87" t="e">
        <f>AND(Data!J200,"AAAAAD/m/0g=")</f>
        <v>#VALUE!</v>
      </c>
      <c r="BV87" t="e">
        <f>AND(Data!K200,"AAAAAD/m/0k=")</f>
        <v>#VALUE!</v>
      </c>
      <c r="BW87" t="e">
        <f>AND(Data!L200,"AAAAAD/m/0o=")</f>
        <v>#VALUE!</v>
      </c>
      <c r="BX87" t="e">
        <f>AND(Data!M200,"AAAAAD/m/0s=")</f>
        <v>#VALUE!</v>
      </c>
      <c r="BY87" t="e">
        <f>AND(Data!N200,"AAAAAD/m/0w=")</f>
        <v>#VALUE!</v>
      </c>
      <c r="BZ87" t="e">
        <f>AND(Data!O200,"AAAAAD/m/00=")</f>
        <v>#VALUE!</v>
      </c>
      <c r="CA87" t="e">
        <f>AND(Data!P200,"AAAAAD/m/04=")</f>
        <v>#VALUE!</v>
      </c>
      <c r="CB87" t="e">
        <f>AND(Data!Q200,"AAAAAD/m/08=")</f>
        <v>#VALUE!</v>
      </c>
      <c r="CC87" t="e">
        <f>AND(Data!R200,"AAAAAD/m/1A=")</f>
        <v>#VALUE!</v>
      </c>
      <c r="CD87" t="e">
        <f>AND(Data!S200,"AAAAAD/m/1E=")</f>
        <v>#VALUE!</v>
      </c>
      <c r="CE87" t="e">
        <f>AND(Data!T200,"AAAAAD/m/1I=")</f>
        <v>#VALUE!</v>
      </c>
      <c r="CF87" t="e">
        <f>AND(Data!U200,"AAAAAD/m/1M=")</f>
        <v>#VALUE!</v>
      </c>
      <c r="CG87" t="e">
        <f>AND(Data!V200,"AAAAAD/m/1Q=")</f>
        <v>#VALUE!</v>
      </c>
      <c r="CH87" t="e">
        <f>AND(Data!W200,"AAAAAD/m/1U=")</f>
        <v>#VALUE!</v>
      </c>
      <c r="CI87" t="e">
        <f>AND(Data!X200,"AAAAAD/m/1Y=")</f>
        <v>#VALUE!</v>
      </c>
      <c r="CJ87">
        <f>IF(Data!201:201,"AAAAAD/m/1c=",0)</f>
        <v>0</v>
      </c>
      <c r="CK87" t="e">
        <f>AND(Data!A201,"AAAAAD/m/1g=")</f>
        <v>#VALUE!</v>
      </c>
      <c r="CL87" t="e">
        <f>AND(Data!B201,"AAAAAD/m/1k=")</f>
        <v>#VALUE!</v>
      </c>
      <c r="CM87" t="e">
        <f>AND(Data!C201,"AAAAAD/m/1o=")</f>
        <v>#VALUE!</v>
      </c>
      <c r="CN87" t="e">
        <f>AND(Data!D201,"AAAAAD/m/1s=")</f>
        <v>#VALUE!</v>
      </c>
      <c r="CO87" t="e">
        <f>AND(Data!E201,"AAAAAD/m/1w=")</f>
        <v>#VALUE!</v>
      </c>
      <c r="CP87" t="e">
        <f>AND(Data!F201,"AAAAAD/m/10=")</f>
        <v>#VALUE!</v>
      </c>
      <c r="CQ87" t="e">
        <f>AND(Data!G201,"AAAAAD/m/14=")</f>
        <v>#VALUE!</v>
      </c>
      <c r="CR87" t="e">
        <f>AND(Data!H201,"AAAAAD/m/18=")</f>
        <v>#VALUE!</v>
      </c>
      <c r="CS87" t="e">
        <f>AND(Data!I201,"AAAAAD/m/2A=")</f>
        <v>#VALUE!</v>
      </c>
      <c r="CT87" t="e">
        <f>AND(Data!J201,"AAAAAD/m/2E=")</f>
        <v>#VALUE!</v>
      </c>
      <c r="CU87" t="e">
        <f>AND(Data!K201,"AAAAAD/m/2I=")</f>
        <v>#VALUE!</v>
      </c>
      <c r="CV87" t="e">
        <f>AND(Data!L201,"AAAAAD/m/2M=")</f>
        <v>#VALUE!</v>
      </c>
      <c r="CW87" t="e">
        <f>AND(Data!M201,"AAAAAD/m/2Q=")</f>
        <v>#VALUE!</v>
      </c>
      <c r="CX87" t="e">
        <f>AND(Data!N201,"AAAAAD/m/2U=")</f>
        <v>#VALUE!</v>
      </c>
      <c r="CY87" t="e">
        <f>AND(Data!O201,"AAAAAD/m/2Y=")</f>
        <v>#VALUE!</v>
      </c>
      <c r="CZ87" t="e">
        <f>AND(Data!P201,"AAAAAD/m/2c=")</f>
        <v>#VALUE!</v>
      </c>
      <c r="DA87" t="e">
        <f>AND(Data!Q201,"AAAAAD/m/2g=")</f>
        <v>#VALUE!</v>
      </c>
      <c r="DB87" t="e">
        <f>AND(Data!R201,"AAAAAD/m/2k=")</f>
        <v>#VALUE!</v>
      </c>
      <c r="DC87" t="e">
        <f>AND(Data!S201,"AAAAAD/m/2o=")</f>
        <v>#VALUE!</v>
      </c>
      <c r="DD87" t="e">
        <f>AND(Data!T201,"AAAAAD/m/2s=")</f>
        <v>#VALUE!</v>
      </c>
      <c r="DE87" t="e">
        <f>AND(Data!U201,"AAAAAD/m/2w=")</f>
        <v>#VALUE!</v>
      </c>
      <c r="DF87" t="e">
        <f>AND(Data!V201,"AAAAAD/m/20=")</f>
        <v>#VALUE!</v>
      </c>
      <c r="DG87" t="e">
        <f>AND(Data!W201,"AAAAAD/m/24=")</f>
        <v>#VALUE!</v>
      </c>
      <c r="DH87" t="e">
        <f>AND(Data!X201,"AAAAAD/m/28=")</f>
        <v>#VALUE!</v>
      </c>
      <c r="DI87">
        <f>IF(Data!202:202,"AAAAAD/m/3A=",0)</f>
        <v>0</v>
      </c>
      <c r="DJ87" t="e">
        <f>AND(Data!A202,"AAAAAD/m/3E=")</f>
        <v>#VALUE!</v>
      </c>
      <c r="DK87" t="e">
        <f>AND(Data!B202,"AAAAAD/m/3I=")</f>
        <v>#VALUE!</v>
      </c>
      <c r="DL87" t="e">
        <f>AND(Data!C202,"AAAAAD/m/3M=")</f>
        <v>#VALUE!</v>
      </c>
      <c r="DM87" t="e">
        <f>AND(Data!D202,"AAAAAD/m/3Q=")</f>
        <v>#VALUE!</v>
      </c>
      <c r="DN87" t="e">
        <f>AND(Data!E202,"AAAAAD/m/3U=")</f>
        <v>#VALUE!</v>
      </c>
      <c r="DO87" t="e">
        <f>AND(Data!F202,"AAAAAD/m/3Y=")</f>
        <v>#VALUE!</v>
      </c>
      <c r="DP87" t="e">
        <f>AND(Data!G202,"AAAAAD/m/3c=")</f>
        <v>#VALUE!</v>
      </c>
      <c r="DQ87" t="e">
        <f>AND(Data!H202,"AAAAAD/m/3g=")</f>
        <v>#VALUE!</v>
      </c>
      <c r="DR87" t="e">
        <f>AND(Data!I202,"AAAAAD/m/3k=")</f>
        <v>#VALUE!</v>
      </c>
      <c r="DS87" t="e">
        <f>AND(Data!J202,"AAAAAD/m/3o=")</f>
        <v>#VALUE!</v>
      </c>
      <c r="DT87" t="e">
        <f>AND(Data!K202,"AAAAAD/m/3s=")</f>
        <v>#VALUE!</v>
      </c>
      <c r="DU87" t="e">
        <f>AND(Data!L202,"AAAAAD/m/3w=")</f>
        <v>#VALUE!</v>
      </c>
      <c r="DV87" t="e">
        <f>AND(Data!M202,"AAAAAD/m/30=")</f>
        <v>#VALUE!</v>
      </c>
      <c r="DW87" t="e">
        <f>AND(Data!N202,"AAAAAD/m/34=")</f>
        <v>#VALUE!</v>
      </c>
      <c r="DX87" t="e">
        <f>AND(Data!O202,"AAAAAD/m/38=")</f>
        <v>#VALUE!</v>
      </c>
      <c r="DY87" t="e">
        <f>AND(Data!P202,"AAAAAD/m/4A=")</f>
        <v>#VALUE!</v>
      </c>
      <c r="DZ87" t="e">
        <f>AND(Data!Q202,"AAAAAD/m/4E=")</f>
        <v>#VALUE!</v>
      </c>
      <c r="EA87" t="e">
        <f>AND(Data!R202,"AAAAAD/m/4I=")</f>
        <v>#VALUE!</v>
      </c>
      <c r="EB87" t="e">
        <f>AND(Data!S202,"AAAAAD/m/4M=")</f>
        <v>#VALUE!</v>
      </c>
      <c r="EC87" t="e">
        <f>AND(Data!T202,"AAAAAD/m/4Q=")</f>
        <v>#VALUE!</v>
      </c>
      <c r="ED87" t="e">
        <f>AND(Data!U202,"AAAAAD/m/4U=")</f>
        <v>#VALUE!</v>
      </c>
      <c r="EE87" t="e">
        <f>AND(Data!V202,"AAAAAD/m/4Y=")</f>
        <v>#VALUE!</v>
      </c>
      <c r="EF87" t="e">
        <f>AND(Data!W202,"AAAAAD/m/4c=")</f>
        <v>#VALUE!</v>
      </c>
      <c r="EG87" t="e">
        <f>AND(Data!X202,"AAAAAD/m/4g=")</f>
        <v>#VALUE!</v>
      </c>
      <c r="EH87">
        <f>IF(Data!203:203,"AAAAAD/m/4k=",0)</f>
        <v>0</v>
      </c>
      <c r="EI87" t="e">
        <f>AND(Data!A203,"AAAAAD/m/4o=")</f>
        <v>#VALUE!</v>
      </c>
      <c r="EJ87" t="e">
        <f>AND(Data!B203,"AAAAAD/m/4s=")</f>
        <v>#VALUE!</v>
      </c>
      <c r="EK87" t="e">
        <f>AND(Data!C203,"AAAAAD/m/4w=")</f>
        <v>#VALUE!</v>
      </c>
      <c r="EL87" t="e">
        <f>AND(Data!D203,"AAAAAD/m/40=")</f>
        <v>#VALUE!</v>
      </c>
      <c r="EM87" t="e">
        <f>AND(Data!E203,"AAAAAD/m/44=")</f>
        <v>#VALUE!</v>
      </c>
      <c r="EN87" t="e">
        <f>AND(Data!F203,"AAAAAD/m/48=")</f>
        <v>#VALUE!</v>
      </c>
      <c r="EO87" t="e">
        <f>AND(Data!G203,"AAAAAD/m/5A=")</f>
        <v>#VALUE!</v>
      </c>
      <c r="EP87" t="e">
        <f>AND(Data!H203,"AAAAAD/m/5E=")</f>
        <v>#VALUE!</v>
      </c>
      <c r="EQ87" t="e">
        <f>AND(Data!I203,"AAAAAD/m/5I=")</f>
        <v>#VALUE!</v>
      </c>
      <c r="ER87" t="e">
        <f>AND(Data!J203,"AAAAAD/m/5M=")</f>
        <v>#VALUE!</v>
      </c>
      <c r="ES87" t="e">
        <f>AND(Data!K203,"AAAAAD/m/5Q=")</f>
        <v>#VALUE!</v>
      </c>
      <c r="ET87" t="e">
        <f>AND(Data!L203,"AAAAAD/m/5U=")</f>
        <v>#VALUE!</v>
      </c>
      <c r="EU87" t="e">
        <f>AND(Data!M203,"AAAAAD/m/5Y=")</f>
        <v>#VALUE!</v>
      </c>
      <c r="EV87" t="e">
        <f>AND(Data!N203,"AAAAAD/m/5c=")</f>
        <v>#VALUE!</v>
      </c>
      <c r="EW87" t="e">
        <f>AND(Data!O203,"AAAAAD/m/5g=")</f>
        <v>#VALUE!</v>
      </c>
      <c r="EX87" t="e">
        <f>AND(Data!P203,"AAAAAD/m/5k=")</f>
        <v>#VALUE!</v>
      </c>
      <c r="EY87" t="e">
        <f>AND(Data!Q203,"AAAAAD/m/5o=")</f>
        <v>#VALUE!</v>
      </c>
      <c r="EZ87" t="e">
        <f>AND(Data!R203,"AAAAAD/m/5s=")</f>
        <v>#VALUE!</v>
      </c>
      <c r="FA87" t="e">
        <f>AND(Data!S203,"AAAAAD/m/5w=")</f>
        <v>#VALUE!</v>
      </c>
      <c r="FB87" t="e">
        <f>AND(Data!T203,"AAAAAD/m/50=")</f>
        <v>#VALUE!</v>
      </c>
      <c r="FC87" t="e">
        <f>AND(Data!U203,"AAAAAD/m/54=")</f>
        <v>#VALUE!</v>
      </c>
      <c r="FD87" t="e">
        <f>AND(Data!V203,"AAAAAD/m/58=")</f>
        <v>#VALUE!</v>
      </c>
      <c r="FE87" t="e">
        <f>AND(Data!W203,"AAAAAD/m/6A=")</f>
        <v>#VALUE!</v>
      </c>
      <c r="FF87" t="e">
        <f>AND(Data!X203,"AAAAAD/m/6E=")</f>
        <v>#VALUE!</v>
      </c>
      <c r="FG87">
        <f>IF(Data!204:204,"AAAAAD/m/6I=",0)</f>
        <v>0</v>
      </c>
      <c r="FH87" t="e">
        <f>AND(Data!A204,"AAAAAD/m/6M=")</f>
        <v>#VALUE!</v>
      </c>
      <c r="FI87" t="e">
        <f>AND(Data!B204,"AAAAAD/m/6Q=")</f>
        <v>#VALUE!</v>
      </c>
      <c r="FJ87" t="e">
        <f>AND(Data!C204,"AAAAAD/m/6U=")</f>
        <v>#VALUE!</v>
      </c>
      <c r="FK87" t="e">
        <f>AND(Data!D204,"AAAAAD/m/6Y=")</f>
        <v>#VALUE!</v>
      </c>
      <c r="FL87" t="e">
        <f>AND(Data!E204,"AAAAAD/m/6c=")</f>
        <v>#VALUE!</v>
      </c>
      <c r="FM87" t="e">
        <f>AND(Data!F204,"AAAAAD/m/6g=")</f>
        <v>#VALUE!</v>
      </c>
      <c r="FN87" t="e">
        <f>AND(Data!G204,"AAAAAD/m/6k=")</f>
        <v>#VALUE!</v>
      </c>
      <c r="FO87" t="e">
        <f>AND(Data!H204,"AAAAAD/m/6o=")</f>
        <v>#VALUE!</v>
      </c>
      <c r="FP87" t="e">
        <f>AND(Data!I204,"AAAAAD/m/6s=")</f>
        <v>#VALUE!</v>
      </c>
      <c r="FQ87" t="e">
        <f>AND(Data!J204,"AAAAAD/m/6w=")</f>
        <v>#VALUE!</v>
      </c>
      <c r="FR87" t="e">
        <f>AND(Data!K204,"AAAAAD/m/60=")</f>
        <v>#VALUE!</v>
      </c>
      <c r="FS87" t="e">
        <f>AND(Data!L204,"AAAAAD/m/64=")</f>
        <v>#VALUE!</v>
      </c>
      <c r="FT87" t="e">
        <f>AND(Data!M204,"AAAAAD/m/68=")</f>
        <v>#VALUE!</v>
      </c>
      <c r="FU87" t="e">
        <f>AND(Data!N204,"AAAAAD/m/7A=")</f>
        <v>#VALUE!</v>
      </c>
      <c r="FV87" t="e">
        <f>AND(Data!O204,"AAAAAD/m/7E=")</f>
        <v>#VALUE!</v>
      </c>
      <c r="FW87" t="e">
        <f>AND(Data!P204,"AAAAAD/m/7I=")</f>
        <v>#VALUE!</v>
      </c>
      <c r="FX87" t="e">
        <f>AND(Data!Q204,"AAAAAD/m/7M=")</f>
        <v>#VALUE!</v>
      </c>
      <c r="FY87" t="e">
        <f>AND(Data!R204,"AAAAAD/m/7Q=")</f>
        <v>#VALUE!</v>
      </c>
      <c r="FZ87" t="e">
        <f>AND(Data!S204,"AAAAAD/m/7U=")</f>
        <v>#VALUE!</v>
      </c>
      <c r="GA87" t="e">
        <f>AND(Data!T204,"AAAAAD/m/7Y=")</f>
        <v>#VALUE!</v>
      </c>
      <c r="GB87" t="e">
        <f>AND(Data!U204,"AAAAAD/m/7c=")</f>
        <v>#VALUE!</v>
      </c>
      <c r="GC87" t="e">
        <f>AND(Data!V204,"AAAAAD/m/7g=")</f>
        <v>#VALUE!</v>
      </c>
      <c r="GD87" t="e">
        <f>AND(Data!W204,"AAAAAD/m/7k=")</f>
        <v>#VALUE!</v>
      </c>
      <c r="GE87" t="e">
        <f>AND(Data!X204,"AAAAAD/m/7o=")</f>
        <v>#VALUE!</v>
      </c>
      <c r="GF87">
        <f>IF(Data!205:205,"AAAAAD/m/7s=",0)</f>
        <v>0</v>
      </c>
      <c r="GG87" t="e">
        <f>AND(Data!A205,"AAAAAD/m/7w=")</f>
        <v>#VALUE!</v>
      </c>
      <c r="GH87" t="e">
        <f>AND(Data!B205,"AAAAAD/m/70=")</f>
        <v>#VALUE!</v>
      </c>
      <c r="GI87" t="e">
        <f>AND(Data!C205,"AAAAAD/m/74=")</f>
        <v>#VALUE!</v>
      </c>
      <c r="GJ87" t="e">
        <f>AND(Data!D205,"AAAAAD/m/78=")</f>
        <v>#VALUE!</v>
      </c>
      <c r="GK87" t="e">
        <f>AND(Data!E205,"AAAAAD/m/8A=")</f>
        <v>#VALUE!</v>
      </c>
      <c r="GL87" t="e">
        <f>AND(Data!F205,"AAAAAD/m/8E=")</f>
        <v>#VALUE!</v>
      </c>
      <c r="GM87" t="e">
        <f>AND(Data!G205,"AAAAAD/m/8I=")</f>
        <v>#VALUE!</v>
      </c>
      <c r="GN87" t="e">
        <f>AND(Data!H205,"AAAAAD/m/8M=")</f>
        <v>#VALUE!</v>
      </c>
      <c r="GO87" t="e">
        <f>AND(Data!I205,"AAAAAD/m/8Q=")</f>
        <v>#VALUE!</v>
      </c>
      <c r="GP87" t="e">
        <f>AND(Data!J205,"AAAAAD/m/8U=")</f>
        <v>#VALUE!</v>
      </c>
      <c r="GQ87" t="e">
        <f>AND(Data!K205,"AAAAAD/m/8Y=")</f>
        <v>#VALUE!</v>
      </c>
      <c r="GR87" t="e">
        <f>AND(Data!L205,"AAAAAD/m/8c=")</f>
        <v>#VALUE!</v>
      </c>
      <c r="GS87" t="e">
        <f>AND(Data!M205,"AAAAAD/m/8g=")</f>
        <v>#VALUE!</v>
      </c>
      <c r="GT87" t="e">
        <f>AND(Data!N205,"AAAAAD/m/8k=")</f>
        <v>#VALUE!</v>
      </c>
      <c r="GU87" t="e">
        <f>AND(Data!O205,"AAAAAD/m/8o=")</f>
        <v>#VALUE!</v>
      </c>
      <c r="GV87" t="e">
        <f>AND(Data!P205,"AAAAAD/m/8s=")</f>
        <v>#VALUE!</v>
      </c>
      <c r="GW87" t="e">
        <f>AND(Data!Q205,"AAAAAD/m/8w=")</f>
        <v>#VALUE!</v>
      </c>
      <c r="GX87" t="e">
        <f>AND(Data!R205,"AAAAAD/m/80=")</f>
        <v>#VALUE!</v>
      </c>
      <c r="GY87" t="e">
        <f>AND(Data!S205,"AAAAAD/m/84=")</f>
        <v>#VALUE!</v>
      </c>
      <c r="GZ87" t="e">
        <f>AND(Data!T205,"AAAAAD/m/88=")</f>
        <v>#VALUE!</v>
      </c>
      <c r="HA87" t="e">
        <f>AND(Data!U205,"AAAAAD/m/9A=")</f>
        <v>#VALUE!</v>
      </c>
      <c r="HB87" t="e">
        <f>AND(Data!V205,"AAAAAD/m/9E=")</f>
        <v>#VALUE!</v>
      </c>
      <c r="HC87" t="e">
        <f>AND(Data!W205,"AAAAAD/m/9I=")</f>
        <v>#VALUE!</v>
      </c>
      <c r="HD87" t="e">
        <f>AND(Data!X205,"AAAAAD/m/9M=")</f>
        <v>#VALUE!</v>
      </c>
      <c r="HE87">
        <f>IF(Data!206:206,"AAAAAD/m/9Q=",0)</f>
        <v>0</v>
      </c>
      <c r="HF87" t="e">
        <f>AND(Data!A206,"AAAAAD/m/9U=")</f>
        <v>#VALUE!</v>
      </c>
      <c r="HG87" t="e">
        <f>AND(Data!B206,"AAAAAD/m/9Y=")</f>
        <v>#VALUE!</v>
      </c>
      <c r="HH87" t="e">
        <f>AND(Data!C206,"AAAAAD/m/9c=")</f>
        <v>#VALUE!</v>
      </c>
      <c r="HI87" t="e">
        <f>AND(Data!D206,"AAAAAD/m/9g=")</f>
        <v>#VALUE!</v>
      </c>
      <c r="HJ87" t="e">
        <f>AND(Data!E206,"AAAAAD/m/9k=")</f>
        <v>#VALUE!</v>
      </c>
      <c r="HK87" t="e">
        <f>AND(Data!F206,"AAAAAD/m/9o=")</f>
        <v>#VALUE!</v>
      </c>
      <c r="HL87" t="e">
        <f>AND(Data!G206,"AAAAAD/m/9s=")</f>
        <v>#VALUE!</v>
      </c>
      <c r="HM87" t="e">
        <f>AND(Data!H206,"AAAAAD/m/9w=")</f>
        <v>#VALUE!</v>
      </c>
      <c r="HN87" t="e">
        <f>AND(Data!I206,"AAAAAD/m/90=")</f>
        <v>#VALUE!</v>
      </c>
      <c r="HO87" t="e">
        <f>AND(Data!J206,"AAAAAD/m/94=")</f>
        <v>#VALUE!</v>
      </c>
      <c r="HP87" t="e">
        <f>AND(Data!K206,"AAAAAD/m/98=")</f>
        <v>#VALUE!</v>
      </c>
      <c r="HQ87" t="e">
        <f>AND(Data!L206,"AAAAAD/m/+A=")</f>
        <v>#VALUE!</v>
      </c>
      <c r="HR87" t="e">
        <f>AND(Data!M206,"AAAAAD/m/+E=")</f>
        <v>#VALUE!</v>
      </c>
      <c r="HS87" t="e">
        <f>AND(Data!N206,"AAAAAD/m/+I=")</f>
        <v>#VALUE!</v>
      </c>
      <c r="HT87" t="e">
        <f>AND(Data!O206,"AAAAAD/m/+M=")</f>
        <v>#VALUE!</v>
      </c>
      <c r="HU87" t="e">
        <f>AND(Data!P206,"AAAAAD/m/+Q=")</f>
        <v>#VALUE!</v>
      </c>
      <c r="HV87" t="e">
        <f>AND(Data!Q206,"AAAAAD/m/+U=")</f>
        <v>#VALUE!</v>
      </c>
      <c r="HW87" t="e">
        <f>AND(Data!R206,"AAAAAD/m/+Y=")</f>
        <v>#VALUE!</v>
      </c>
      <c r="HX87" t="e">
        <f>AND(Data!S206,"AAAAAD/m/+c=")</f>
        <v>#VALUE!</v>
      </c>
      <c r="HY87" t="e">
        <f>AND(Data!T206,"AAAAAD/m/+g=")</f>
        <v>#VALUE!</v>
      </c>
      <c r="HZ87" t="e">
        <f>AND(Data!U206,"AAAAAD/m/+k=")</f>
        <v>#VALUE!</v>
      </c>
      <c r="IA87" t="e">
        <f>AND(Data!V206,"AAAAAD/m/+o=")</f>
        <v>#VALUE!</v>
      </c>
      <c r="IB87" t="e">
        <f>AND(Data!W206,"AAAAAD/m/+s=")</f>
        <v>#VALUE!</v>
      </c>
      <c r="IC87" t="e">
        <f>AND(Data!X206,"AAAAAD/m/+w=")</f>
        <v>#VALUE!</v>
      </c>
      <c r="ID87">
        <f>IF(Data!207:207,"AAAAAD/m/+0=",0)</f>
        <v>0</v>
      </c>
      <c r="IE87" t="e">
        <f>AND(Data!A207,"AAAAAD/m/+4=")</f>
        <v>#VALUE!</v>
      </c>
      <c r="IF87" t="e">
        <f>AND(Data!B207,"AAAAAD/m/+8=")</f>
        <v>#VALUE!</v>
      </c>
      <c r="IG87" t="e">
        <f>AND(Data!C207,"AAAAAD/m//A=")</f>
        <v>#VALUE!</v>
      </c>
      <c r="IH87" t="e">
        <f>AND(Data!D207,"AAAAAD/m//E=")</f>
        <v>#VALUE!</v>
      </c>
      <c r="II87" t="e">
        <f>AND(Data!E207,"AAAAAD/m//I=")</f>
        <v>#VALUE!</v>
      </c>
      <c r="IJ87" t="e">
        <f>AND(Data!F207,"AAAAAD/m//M=")</f>
        <v>#VALUE!</v>
      </c>
      <c r="IK87" t="e">
        <f>AND(Data!G207,"AAAAAD/m//Q=")</f>
        <v>#VALUE!</v>
      </c>
      <c r="IL87" t="e">
        <f>AND(Data!H207,"AAAAAD/m//U=")</f>
        <v>#VALUE!</v>
      </c>
      <c r="IM87" t="e">
        <f>AND(Data!I207,"AAAAAD/m//Y=")</f>
        <v>#VALUE!</v>
      </c>
      <c r="IN87" t="e">
        <f>AND(Data!J207,"AAAAAD/m//c=")</f>
        <v>#VALUE!</v>
      </c>
      <c r="IO87" t="e">
        <f>AND(Data!K207,"AAAAAD/m//g=")</f>
        <v>#VALUE!</v>
      </c>
      <c r="IP87" t="e">
        <f>AND(Data!L207,"AAAAAD/m//k=")</f>
        <v>#VALUE!</v>
      </c>
      <c r="IQ87" t="e">
        <f>AND(Data!M207,"AAAAAD/m//o=")</f>
        <v>#VALUE!</v>
      </c>
      <c r="IR87" t="e">
        <f>AND(Data!N207,"AAAAAD/m//s=")</f>
        <v>#VALUE!</v>
      </c>
      <c r="IS87" t="e">
        <f>AND(Data!O207,"AAAAAD/m//w=")</f>
        <v>#VALUE!</v>
      </c>
      <c r="IT87" t="e">
        <f>AND(Data!P207,"AAAAAD/m//0=")</f>
        <v>#VALUE!</v>
      </c>
      <c r="IU87" t="e">
        <f>AND(Data!Q207,"AAAAAD/m//4=")</f>
        <v>#VALUE!</v>
      </c>
      <c r="IV87" t="e">
        <f>AND(Data!R207,"AAAAAD/m//8=")</f>
        <v>#VALUE!</v>
      </c>
    </row>
    <row r="88" spans="1:256" x14ac:dyDescent="0.2">
      <c r="A88" t="e">
        <f>AND(Data!S207,"AAAAAFMp2wA=")</f>
        <v>#VALUE!</v>
      </c>
      <c r="B88" t="e">
        <f>AND(Data!T207,"AAAAAFMp2wE=")</f>
        <v>#VALUE!</v>
      </c>
      <c r="C88" t="e">
        <f>AND(Data!U207,"AAAAAFMp2wI=")</f>
        <v>#VALUE!</v>
      </c>
      <c r="D88" t="e">
        <f>AND(Data!V207,"AAAAAFMp2wM=")</f>
        <v>#VALUE!</v>
      </c>
      <c r="E88" t="e">
        <f>AND(Data!W207,"AAAAAFMp2wQ=")</f>
        <v>#VALUE!</v>
      </c>
      <c r="F88" t="e">
        <f>AND(Data!X207,"AAAAAFMp2wU=")</f>
        <v>#VALUE!</v>
      </c>
      <c r="G88" t="e">
        <f>IF(Data!208:208,"AAAAAFMp2wY=",0)</f>
        <v>#VALUE!</v>
      </c>
      <c r="H88" t="e">
        <f>AND(Data!A208,"AAAAAFMp2wc=")</f>
        <v>#VALUE!</v>
      </c>
      <c r="I88" t="e">
        <f>AND(Data!B208,"AAAAAFMp2wg=")</f>
        <v>#VALUE!</v>
      </c>
      <c r="J88" t="e">
        <f>AND(Data!C208,"AAAAAFMp2wk=")</f>
        <v>#VALUE!</v>
      </c>
      <c r="K88" t="e">
        <f>AND(Data!D208,"AAAAAFMp2wo=")</f>
        <v>#VALUE!</v>
      </c>
      <c r="L88" t="e">
        <f>AND(Data!E208,"AAAAAFMp2ws=")</f>
        <v>#VALUE!</v>
      </c>
      <c r="M88" t="e">
        <f>AND(Data!F208,"AAAAAFMp2ww=")</f>
        <v>#VALUE!</v>
      </c>
      <c r="N88" t="e">
        <f>AND(Data!G208,"AAAAAFMp2w0=")</f>
        <v>#VALUE!</v>
      </c>
      <c r="O88" t="e">
        <f>AND(Data!H208,"AAAAAFMp2w4=")</f>
        <v>#VALUE!</v>
      </c>
      <c r="P88" t="e">
        <f>AND(Data!I208,"AAAAAFMp2w8=")</f>
        <v>#VALUE!</v>
      </c>
      <c r="Q88" t="e">
        <f>AND(Data!J208,"AAAAAFMp2xA=")</f>
        <v>#VALUE!</v>
      </c>
      <c r="R88" t="e">
        <f>AND(Data!K208,"AAAAAFMp2xE=")</f>
        <v>#VALUE!</v>
      </c>
      <c r="S88" t="e">
        <f>AND(Data!L208,"AAAAAFMp2xI=")</f>
        <v>#VALUE!</v>
      </c>
      <c r="T88" t="e">
        <f>AND(Data!M208,"AAAAAFMp2xM=")</f>
        <v>#VALUE!</v>
      </c>
      <c r="U88" t="e">
        <f>AND(Data!N208,"AAAAAFMp2xQ=")</f>
        <v>#VALUE!</v>
      </c>
      <c r="V88" t="e">
        <f>AND(Data!O208,"AAAAAFMp2xU=")</f>
        <v>#VALUE!</v>
      </c>
      <c r="W88" t="e">
        <f>AND(Data!P208,"AAAAAFMp2xY=")</f>
        <v>#VALUE!</v>
      </c>
      <c r="X88" t="e">
        <f>AND(Data!Q208,"AAAAAFMp2xc=")</f>
        <v>#VALUE!</v>
      </c>
      <c r="Y88" t="e">
        <f>AND(Data!R208,"AAAAAFMp2xg=")</f>
        <v>#VALUE!</v>
      </c>
      <c r="Z88" t="e">
        <f>AND(Data!S208,"AAAAAFMp2xk=")</f>
        <v>#VALUE!</v>
      </c>
      <c r="AA88" t="e">
        <f>AND(Data!T208,"AAAAAFMp2xo=")</f>
        <v>#VALUE!</v>
      </c>
      <c r="AB88" t="e">
        <f>AND(Data!U208,"AAAAAFMp2xs=")</f>
        <v>#VALUE!</v>
      </c>
      <c r="AC88" t="e">
        <f>AND(Data!V208,"AAAAAFMp2xw=")</f>
        <v>#VALUE!</v>
      </c>
      <c r="AD88" t="e">
        <f>AND(Data!W208,"AAAAAFMp2x0=")</f>
        <v>#VALUE!</v>
      </c>
      <c r="AE88" t="e">
        <f>AND(Data!X208,"AAAAAFMp2x4=")</f>
        <v>#VALUE!</v>
      </c>
      <c r="AF88">
        <f>IF(Data!209:209,"AAAAAFMp2x8=",0)</f>
        <v>0</v>
      </c>
      <c r="AG88" t="e">
        <f>AND(Data!A209,"AAAAAFMp2yA=")</f>
        <v>#VALUE!</v>
      </c>
      <c r="AH88" t="e">
        <f>AND(Data!B209,"AAAAAFMp2yE=")</f>
        <v>#VALUE!</v>
      </c>
      <c r="AI88" t="e">
        <f>AND(Data!C209,"AAAAAFMp2yI=")</f>
        <v>#VALUE!</v>
      </c>
      <c r="AJ88" t="e">
        <f>AND(Data!D209,"AAAAAFMp2yM=")</f>
        <v>#VALUE!</v>
      </c>
      <c r="AK88" t="e">
        <f>AND(Data!E209,"AAAAAFMp2yQ=")</f>
        <v>#VALUE!</v>
      </c>
      <c r="AL88" t="e">
        <f>AND(Data!F209,"AAAAAFMp2yU=")</f>
        <v>#VALUE!</v>
      </c>
      <c r="AM88" t="e">
        <f>AND(Data!G209,"AAAAAFMp2yY=")</f>
        <v>#VALUE!</v>
      </c>
      <c r="AN88" t="e">
        <f>AND(Data!H209,"AAAAAFMp2yc=")</f>
        <v>#VALUE!</v>
      </c>
      <c r="AO88" t="e">
        <f>AND(Data!I209,"AAAAAFMp2yg=")</f>
        <v>#VALUE!</v>
      </c>
      <c r="AP88" t="e">
        <f>AND(Data!J209,"AAAAAFMp2yk=")</f>
        <v>#VALUE!</v>
      </c>
      <c r="AQ88" t="e">
        <f>AND(Data!K209,"AAAAAFMp2yo=")</f>
        <v>#VALUE!</v>
      </c>
      <c r="AR88" t="e">
        <f>AND(Data!L209,"AAAAAFMp2ys=")</f>
        <v>#VALUE!</v>
      </c>
      <c r="AS88" t="e">
        <f>AND(Data!M209,"AAAAAFMp2yw=")</f>
        <v>#VALUE!</v>
      </c>
      <c r="AT88" t="e">
        <f>AND(Data!N209,"AAAAAFMp2y0=")</f>
        <v>#VALUE!</v>
      </c>
      <c r="AU88" t="e">
        <f>AND(Data!O209,"AAAAAFMp2y4=")</f>
        <v>#VALUE!</v>
      </c>
      <c r="AV88" t="e">
        <f>AND(Data!P209,"AAAAAFMp2y8=")</f>
        <v>#VALUE!</v>
      </c>
      <c r="AW88" t="e">
        <f>AND(Data!Q209,"AAAAAFMp2zA=")</f>
        <v>#VALUE!</v>
      </c>
      <c r="AX88" t="e">
        <f>AND(Data!R209,"AAAAAFMp2zE=")</f>
        <v>#VALUE!</v>
      </c>
      <c r="AY88" t="e">
        <f>AND(Data!S209,"AAAAAFMp2zI=")</f>
        <v>#VALUE!</v>
      </c>
      <c r="AZ88" t="e">
        <f>AND(Data!T209,"AAAAAFMp2zM=")</f>
        <v>#VALUE!</v>
      </c>
      <c r="BA88" t="e">
        <f>AND(Data!U209,"AAAAAFMp2zQ=")</f>
        <v>#VALUE!</v>
      </c>
      <c r="BB88" t="e">
        <f>AND(Data!V209,"AAAAAFMp2zU=")</f>
        <v>#VALUE!</v>
      </c>
      <c r="BC88" t="e">
        <f>AND(Data!W209,"AAAAAFMp2zY=")</f>
        <v>#VALUE!</v>
      </c>
      <c r="BD88" t="e">
        <f>AND(Data!X209,"AAAAAFMp2zc=")</f>
        <v>#VALUE!</v>
      </c>
      <c r="BE88">
        <f>IF(Data!210:210,"AAAAAFMp2zg=",0)</f>
        <v>0</v>
      </c>
      <c r="BF88" t="e">
        <f>AND(Data!A210,"AAAAAFMp2zk=")</f>
        <v>#VALUE!</v>
      </c>
      <c r="BG88" t="e">
        <f>AND(Data!B210,"AAAAAFMp2zo=")</f>
        <v>#VALUE!</v>
      </c>
      <c r="BH88" t="e">
        <f>AND(Data!C210,"AAAAAFMp2zs=")</f>
        <v>#VALUE!</v>
      </c>
      <c r="BI88" t="e">
        <f>AND(Data!D210,"AAAAAFMp2zw=")</f>
        <v>#VALUE!</v>
      </c>
      <c r="BJ88" t="e">
        <f>AND(Data!E210,"AAAAAFMp2z0=")</f>
        <v>#VALUE!</v>
      </c>
      <c r="BK88" t="e">
        <f>AND(Data!F210,"AAAAAFMp2z4=")</f>
        <v>#VALUE!</v>
      </c>
      <c r="BL88" t="e">
        <f>AND(Data!G210,"AAAAAFMp2z8=")</f>
        <v>#VALUE!</v>
      </c>
      <c r="BM88" t="e">
        <f>AND(Data!H210,"AAAAAFMp20A=")</f>
        <v>#VALUE!</v>
      </c>
      <c r="BN88" t="e">
        <f>AND(Data!I210,"AAAAAFMp20E=")</f>
        <v>#VALUE!</v>
      </c>
      <c r="BO88" t="e">
        <f>AND(Data!J210,"AAAAAFMp20I=")</f>
        <v>#VALUE!</v>
      </c>
      <c r="BP88" t="e">
        <f>AND(Data!K210,"AAAAAFMp20M=")</f>
        <v>#VALUE!</v>
      </c>
      <c r="BQ88" t="e">
        <f>AND(Data!L210,"AAAAAFMp20Q=")</f>
        <v>#VALUE!</v>
      </c>
      <c r="BR88" t="e">
        <f>AND(Data!M210,"AAAAAFMp20U=")</f>
        <v>#VALUE!</v>
      </c>
      <c r="BS88" t="e">
        <f>AND(Data!N210,"AAAAAFMp20Y=")</f>
        <v>#VALUE!</v>
      </c>
      <c r="BT88" t="e">
        <f>AND(Data!O210,"AAAAAFMp20c=")</f>
        <v>#VALUE!</v>
      </c>
      <c r="BU88" t="e">
        <f>AND(Data!P210,"AAAAAFMp20g=")</f>
        <v>#VALUE!</v>
      </c>
      <c r="BV88" t="e">
        <f>AND(Data!Q210,"AAAAAFMp20k=")</f>
        <v>#VALUE!</v>
      </c>
      <c r="BW88" t="e">
        <f>AND(Data!R210,"AAAAAFMp20o=")</f>
        <v>#VALUE!</v>
      </c>
      <c r="BX88" t="e">
        <f>AND(Data!S210,"AAAAAFMp20s=")</f>
        <v>#VALUE!</v>
      </c>
      <c r="BY88" t="e">
        <f>AND(Data!T210,"AAAAAFMp20w=")</f>
        <v>#VALUE!</v>
      </c>
      <c r="BZ88" t="e">
        <f>AND(Data!U210,"AAAAAFMp200=")</f>
        <v>#VALUE!</v>
      </c>
      <c r="CA88" t="e">
        <f>AND(Data!V210,"AAAAAFMp204=")</f>
        <v>#VALUE!</v>
      </c>
      <c r="CB88" t="e">
        <f>AND(Data!W210,"AAAAAFMp208=")</f>
        <v>#VALUE!</v>
      </c>
      <c r="CC88" t="e">
        <f>AND(Data!X210,"AAAAAFMp21A=")</f>
        <v>#VALUE!</v>
      </c>
      <c r="CD88">
        <f>IF(Data!211:211,"AAAAAFMp21E=",0)</f>
        <v>0</v>
      </c>
      <c r="CE88" t="e">
        <f>AND(Data!A211,"AAAAAFMp21I=")</f>
        <v>#VALUE!</v>
      </c>
      <c r="CF88" t="e">
        <f>AND(Data!B211,"AAAAAFMp21M=")</f>
        <v>#VALUE!</v>
      </c>
      <c r="CG88" t="e">
        <f>AND(Data!C211,"AAAAAFMp21Q=")</f>
        <v>#VALUE!</v>
      </c>
      <c r="CH88" t="e">
        <f>AND(Data!D211,"AAAAAFMp21U=")</f>
        <v>#VALUE!</v>
      </c>
      <c r="CI88" t="e">
        <f>AND(Data!E211,"AAAAAFMp21Y=")</f>
        <v>#VALUE!</v>
      </c>
      <c r="CJ88" t="e">
        <f>AND(Data!F211,"AAAAAFMp21c=")</f>
        <v>#VALUE!</v>
      </c>
      <c r="CK88" t="e">
        <f>AND(Data!G211,"AAAAAFMp21g=")</f>
        <v>#VALUE!</v>
      </c>
      <c r="CL88" t="e">
        <f>AND(Data!H211,"AAAAAFMp21k=")</f>
        <v>#VALUE!</v>
      </c>
      <c r="CM88" t="e">
        <f>AND(Data!I211,"AAAAAFMp21o=")</f>
        <v>#VALUE!</v>
      </c>
      <c r="CN88" t="e">
        <f>AND(Data!J211,"AAAAAFMp21s=")</f>
        <v>#VALUE!</v>
      </c>
      <c r="CO88" t="e">
        <f>AND(Data!K211,"AAAAAFMp21w=")</f>
        <v>#VALUE!</v>
      </c>
      <c r="CP88" t="e">
        <f>AND(Data!L211,"AAAAAFMp210=")</f>
        <v>#VALUE!</v>
      </c>
      <c r="CQ88" t="e">
        <f>AND(Data!M211,"AAAAAFMp214=")</f>
        <v>#VALUE!</v>
      </c>
      <c r="CR88" t="e">
        <f>AND(Data!N211,"AAAAAFMp218=")</f>
        <v>#VALUE!</v>
      </c>
      <c r="CS88" t="e">
        <f>AND(Data!O211,"AAAAAFMp22A=")</f>
        <v>#VALUE!</v>
      </c>
      <c r="CT88" t="e">
        <f>AND(Data!P211,"AAAAAFMp22E=")</f>
        <v>#VALUE!</v>
      </c>
      <c r="CU88" t="e">
        <f>AND(Data!Q211,"AAAAAFMp22I=")</f>
        <v>#VALUE!</v>
      </c>
      <c r="CV88" t="e">
        <f>AND(Data!R211,"AAAAAFMp22M=")</f>
        <v>#VALUE!</v>
      </c>
      <c r="CW88" t="e">
        <f>AND(Data!S211,"AAAAAFMp22Q=")</f>
        <v>#VALUE!</v>
      </c>
      <c r="CX88" t="e">
        <f>AND(Data!T211,"AAAAAFMp22U=")</f>
        <v>#VALUE!</v>
      </c>
      <c r="CY88" t="e">
        <f>AND(Data!U211,"AAAAAFMp22Y=")</f>
        <v>#VALUE!</v>
      </c>
      <c r="CZ88" t="e">
        <f>AND(Data!V211,"AAAAAFMp22c=")</f>
        <v>#VALUE!</v>
      </c>
      <c r="DA88" t="e">
        <f>AND(Data!W211,"AAAAAFMp22g=")</f>
        <v>#VALUE!</v>
      </c>
      <c r="DB88" t="e">
        <f>AND(Data!X211,"AAAAAFMp22k=")</f>
        <v>#VALUE!</v>
      </c>
      <c r="DC88">
        <f>IF(Data!212:212,"AAAAAFMp22o=",0)</f>
        <v>0</v>
      </c>
      <c r="DD88" t="e">
        <f>AND(Data!A212,"AAAAAFMp22s=")</f>
        <v>#VALUE!</v>
      </c>
      <c r="DE88" t="e">
        <f>AND(Data!B212,"AAAAAFMp22w=")</f>
        <v>#VALUE!</v>
      </c>
      <c r="DF88" t="e">
        <f>AND(Data!C212,"AAAAAFMp220=")</f>
        <v>#VALUE!</v>
      </c>
      <c r="DG88" t="e">
        <f>AND(Data!D212,"AAAAAFMp224=")</f>
        <v>#VALUE!</v>
      </c>
      <c r="DH88" t="e">
        <f>AND(Data!E212,"AAAAAFMp228=")</f>
        <v>#VALUE!</v>
      </c>
      <c r="DI88" t="e">
        <f>AND(Data!F212,"AAAAAFMp23A=")</f>
        <v>#VALUE!</v>
      </c>
      <c r="DJ88" t="e">
        <f>AND(Data!G212,"AAAAAFMp23E=")</f>
        <v>#VALUE!</v>
      </c>
      <c r="DK88" t="e">
        <f>AND(Data!H212,"AAAAAFMp23I=")</f>
        <v>#VALUE!</v>
      </c>
      <c r="DL88" t="e">
        <f>AND(Data!I212,"AAAAAFMp23M=")</f>
        <v>#VALUE!</v>
      </c>
      <c r="DM88" t="e">
        <f>AND(Data!J212,"AAAAAFMp23Q=")</f>
        <v>#VALUE!</v>
      </c>
      <c r="DN88" t="e">
        <f>AND(Data!K212,"AAAAAFMp23U=")</f>
        <v>#VALUE!</v>
      </c>
      <c r="DO88" t="e">
        <f>AND(Data!L212,"AAAAAFMp23Y=")</f>
        <v>#VALUE!</v>
      </c>
      <c r="DP88" t="e">
        <f>AND(Data!M212,"AAAAAFMp23c=")</f>
        <v>#VALUE!</v>
      </c>
      <c r="DQ88" t="e">
        <f>AND(Data!N212,"AAAAAFMp23g=")</f>
        <v>#VALUE!</v>
      </c>
      <c r="DR88" t="e">
        <f>AND(Data!O212,"AAAAAFMp23k=")</f>
        <v>#VALUE!</v>
      </c>
      <c r="DS88" t="e">
        <f>AND(Data!P212,"AAAAAFMp23o=")</f>
        <v>#VALUE!</v>
      </c>
      <c r="DT88" t="e">
        <f>AND(Data!Q212,"AAAAAFMp23s=")</f>
        <v>#VALUE!</v>
      </c>
      <c r="DU88" t="e">
        <f>AND(Data!R212,"AAAAAFMp23w=")</f>
        <v>#VALUE!</v>
      </c>
      <c r="DV88" t="e">
        <f>AND(Data!S212,"AAAAAFMp230=")</f>
        <v>#VALUE!</v>
      </c>
      <c r="DW88" t="e">
        <f>AND(Data!T212,"AAAAAFMp234=")</f>
        <v>#VALUE!</v>
      </c>
      <c r="DX88" t="e">
        <f>AND(Data!U212,"AAAAAFMp238=")</f>
        <v>#VALUE!</v>
      </c>
      <c r="DY88" t="e">
        <f>AND(Data!V212,"AAAAAFMp24A=")</f>
        <v>#VALUE!</v>
      </c>
      <c r="DZ88" t="e">
        <f>AND(Data!W212,"AAAAAFMp24E=")</f>
        <v>#VALUE!</v>
      </c>
      <c r="EA88" t="e">
        <f>AND(Data!X212,"AAAAAFMp24I=")</f>
        <v>#VALUE!</v>
      </c>
      <c r="EB88">
        <f>IF(Data!213:213,"AAAAAFMp24M=",0)</f>
        <v>0</v>
      </c>
      <c r="EC88" t="e">
        <f>AND(Data!A213,"AAAAAFMp24Q=")</f>
        <v>#VALUE!</v>
      </c>
      <c r="ED88" t="e">
        <f>AND(Data!B213,"AAAAAFMp24U=")</f>
        <v>#VALUE!</v>
      </c>
      <c r="EE88" t="e">
        <f>AND(Data!C213,"AAAAAFMp24Y=")</f>
        <v>#VALUE!</v>
      </c>
      <c r="EF88" t="e">
        <f>AND(Data!D213,"AAAAAFMp24c=")</f>
        <v>#VALUE!</v>
      </c>
      <c r="EG88" t="e">
        <f>AND(Data!E213,"AAAAAFMp24g=")</f>
        <v>#VALUE!</v>
      </c>
      <c r="EH88" t="e">
        <f>AND(Data!F213,"AAAAAFMp24k=")</f>
        <v>#VALUE!</v>
      </c>
      <c r="EI88" t="e">
        <f>AND(Data!G213,"AAAAAFMp24o=")</f>
        <v>#VALUE!</v>
      </c>
      <c r="EJ88" t="e">
        <f>AND(Data!H213,"AAAAAFMp24s=")</f>
        <v>#VALUE!</v>
      </c>
      <c r="EK88" t="e">
        <f>AND(Data!I213,"AAAAAFMp24w=")</f>
        <v>#VALUE!</v>
      </c>
      <c r="EL88" t="e">
        <f>AND(Data!J213,"AAAAAFMp240=")</f>
        <v>#VALUE!</v>
      </c>
      <c r="EM88" t="e">
        <f>AND(Data!K213,"AAAAAFMp244=")</f>
        <v>#VALUE!</v>
      </c>
      <c r="EN88" t="e">
        <f>AND(Data!L213,"AAAAAFMp248=")</f>
        <v>#VALUE!</v>
      </c>
      <c r="EO88" t="e">
        <f>AND(Data!M213,"AAAAAFMp25A=")</f>
        <v>#VALUE!</v>
      </c>
      <c r="EP88" t="e">
        <f>AND(Data!N213,"AAAAAFMp25E=")</f>
        <v>#VALUE!</v>
      </c>
      <c r="EQ88" t="e">
        <f>AND(Data!O213,"AAAAAFMp25I=")</f>
        <v>#VALUE!</v>
      </c>
      <c r="ER88" t="e">
        <f>AND(Data!P213,"AAAAAFMp25M=")</f>
        <v>#VALUE!</v>
      </c>
      <c r="ES88" t="e">
        <f>AND(Data!Q213,"AAAAAFMp25Q=")</f>
        <v>#VALUE!</v>
      </c>
      <c r="ET88" t="e">
        <f>AND(Data!R213,"AAAAAFMp25U=")</f>
        <v>#VALUE!</v>
      </c>
      <c r="EU88" t="e">
        <f>AND(Data!S213,"AAAAAFMp25Y=")</f>
        <v>#VALUE!</v>
      </c>
      <c r="EV88" t="e">
        <f>AND(Data!T213,"AAAAAFMp25c=")</f>
        <v>#VALUE!</v>
      </c>
      <c r="EW88" t="e">
        <f>AND(Data!U213,"AAAAAFMp25g=")</f>
        <v>#VALUE!</v>
      </c>
      <c r="EX88" t="e">
        <f>AND(Data!V213,"AAAAAFMp25k=")</f>
        <v>#VALUE!</v>
      </c>
      <c r="EY88" t="e">
        <f>AND(Data!W213,"AAAAAFMp25o=")</f>
        <v>#VALUE!</v>
      </c>
      <c r="EZ88" t="e">
        <f>AND(Data!X213,"AAAAAFMp25s=")</f>
        <v>#VALUE!</v>
      </c>
      <c r="FA88">
        <f>IF(Data!214:214,"AAAAAFMp25w=",0)</f>
        <v>0</v>
      </c>
      <c r="FB88" t="e">
        <f>AND(Data!A214,"AAAAAFMp250=")</f>
        <v>#VALUE!</v>
      </c>
      <c r="FC88" t="e">
        <f>AND(Data!B214,"AAAAAFMp254=")</f>
        <v>#VALUE!</v>
      </c>
      <c r="FD88" t="e">
        <f>AND(Data!C214,"AAAAAFMp258=")</f>
        <v>#VALUE!</v>
      </c>
      <c r="FE88" t="e">
        <f>AND(Data!D214,"AAAAAFMp26A=")</f>
        <v>#VALUE!</v>
      </c>
      <c r="FF88" t="e">
        <f>AND(Data!E214,"AAAAAFMp26E=")</f>
        <v>#VALUE!</v>
      </c>
      <c r="FG88" t="e">
        <f>AND(Data!F214,"AAAAAFMp26I=")</f>
        <v>#VALUE!</v>
      </c>
      <c r="FH88" t="e">
        <f>AND(Data!G214,"AAAAAFMp26M=")</f>
        <v>#VALUE!</v>
      </c>
      <c r="FI88" t="e">
        <f>AND(Data!H214,"AAAAAFMp26Q=")</f>
        <v>#VALUE!</v>
      </c>
      <c r="FJ88" t="e">
        <f>AND(Data!I214,"AAAAAFMp26U=")</f>
        <v>#VALUE!</v>
      </c>
      <c r="FK88" t="e">
        <f>AND(Data!J214,"AAAAAFMp26Y=")</f>
        <v>#VALUE!</v>
      </c>
      <c r="FL88" t="e">
        <f>AND(Data!K214,"AAAAAFMp26c=")</f>
        <v>#VALUE!</v>
      </c>
      <c r="FM88" t="e">
        <f>AND(Data!L214,"AAAAAFMp26g=")</f>
        <v>#VALUE!</v>
      </c>
      <c r="FN88" t="e">
        <f>AND(Data!M214,"AAAAAFMp26k=")</f>
        <v>#VALUE!</v>
      </c>
      <c r="FO88" t="e">
        <f>AND(Data!N214,"AAAAAFMp26o=")</f>
        <v>#VALUE!</v>
      </c>
      <c r="FP88" t="e">
        <f>AND(Data!O214,"AAAAAFMp26s=")</f>
        <v>#VALUE!</v>
      </c>
      <c r="FQ88" t="e">
        <f>AND(Data!P214,"AAAAAFMp26w=")</f>
        <v>#VALUE!</v>
      </c>
      <c r="FR88" t="e">
        <f>AND(Data!Q214,"AAAAAFMp260=")</f>
        <v>#VALUE!</v>
      </c>
      <c r="FS88" t="e">
        <f>AND(Data!R214,"AAAAAFMp264=")</f>
        <v>#VALUE!</v>
      </c>
      <c r="FT88" t="e">
        <f>AND(Data!S214,"AAAAAFMp268=")</f>
        <v>#VALUE!</v>
      </c>
      <c r="FU88" t="e">
        <f>AND(Data!T214,"AAAAAFMp27A=")</f>
        <v>#VALUE!</v>
      </c>
      <c r="FV88" t="e">
        <f>AND(Data!U214,"AAAAAFMp27E=")</f>
        <v>#VALUE!</v>
      </c>
      <c r="FW88" t="e">
        <f>AND(Data!V214,"AAAAAFMp27I=")</f>
        <v>#VALUE!</v>
      </c>
      <c r="FX88" t="e">
        <f>AND(Data!W214,"AAAAAFMp27M=")</f>
        <v>#VALUE!</v>
      </c>
      <c r="FY88" t="e">
        <f>AND(Data!X214,"AAAAAFMp27Q=")</f>
        <v>#VALUE!</v>
      </c>
      <c r="FZ88">
        <f>IF(Data!215:215,"AAAAAFMp27U=",0)</f>
        <v>0</v>
      </c>
      <c r="GA88" t="e">
        <f>AND(Data!A215,"AAAAAFMp27Y=")</f>
        <v>#VALUE!</v>
      </c>
      <c r="GB88" t="e">
        <f>AND(Data!B215,"AAAAAFMp27c=")</f>
        <v>#VALUE!</v>
      </c>
      <c r="GC88" t="e">
        <f>AND(Data!C215,"AAAAAFMp27g=")</f>
        <v>#VALUE!</v>
      </c>
      <c r="GD88" t="e">
        <f>AND(Data!D215,"AAAAAFMp27k=")</f>
        <v>#VALUE!</v>
      </c>
      <c r="GE88" t="e">
        <f>AND(Data!E215,"AAAAAFMp27o=")</f>
        <v>#VALUE!</v>
      </c>
      <c r="GF88" t="e">
        <f>AND(Data!F215,"AAAAAFMp27s=")</f>
        <v>#VALUE!</v>
      </c>
      <c r="GG88" t="e">
        <f>AND(Data!G215,"AAAAAFMp27w=")</f>
        <v>#VALUE!</v>
      </c>
      <c r="GH88" t="e">
        <f>AND(Data!H215,"AAAAAFMp270=")</f>
        <v>#VALUE!</v>
      </c>
      <c r="GI88" t="e">
        <f>AND(Data!I215,"AAAAAFMp274=")</f>
        <v>#VALUE!</v>
      </c>
      <c r="GJ88" t="e">
        <f>AND(Data!J215,"AAAAAFMp278=")</f>
        <v>#VALUE!</v>
      </c>
      <c r="GK88" t="e">
        <f>AND(Data!K215,"AAAAAFMp28A=")</f>
        <v>#VALUE!</v>
      </c>
      <c r="GL88" t="e">
        <f>AND(Data!L215,"AAAAAFMp28E=")</f>
        <v>#VALUE!</v>
      </c>
      <c r="GM88" t="e">
        <f>AND(Data!M215,"AAAAAFMp28I=")</f>
        <v>#VALUE!</v>
      </c>
      <c r="GN88" t="e">
        <f>AND(Data!N215,"AAAAAFMp28M=")</f>
        <v>#VALUE!</v>
      </c>
      <c r="GO88" t="e">
        <f>AND(Data!O215,"AAAAAFMp28Q=")</f>
        <v>#VALUE!</v>
      </c>
      <c r="GP88" t="e">
        <f>AND(Data!P215,"AAAAAFMp28U=")</f>
        <v>#VALUE!</v>
      </c>
      <c r="GQ88" t="e">
        <f>AND(Data!Q215,"AAAAAFMp28Y=")</f>
        <v>#VALUE!</v>
      </c>
      <c r="GR88" t="e">
        <f>AND(Data!R215,"AAAAAFMp28c=")</f>
        <v>#VALUE!</v>
      </c>
      <c r="GS88" t="e">
        <f>AND(Data!S215,"AAAAAFMp28g=")</f>
        <v>#VALUE!</v>
      </c>
      <c r="GT88" t="e">
        <f>AND(Data!T215,"AAAAAFMp28k=")</f>
        <v>#VALUE!</v>
      </c>
      <c r="GU88" t="e">
        <f>AND(Data!U215,"AAAAAFMp28o=")</f>
        <v>#VALUE!</v>
      </c>
      <c r="GV88" t="e">
        <f>AND(Data!V215,"AAAAAFMp28s=")</f>
        <v>#VALUE!</v>
      </c>
      <c r="GW88" t="e">
        <f>AND(Data!W215,"AAAAAFMp28w=")</f>
        <v>#VALUE!</v>
      </c>
      <c r="GX88" t="e">
        <f>AND(Data!X215,"AAAAAFMp280=")</f>
        <v>#VALUE!</v>
      </c>
      <c r="GY88">
        <f>IF(Data!216:216,"AAAAAFMp284=",0)</f>
        <v>0</v>
      </c>
      <c r="GZ88" t="e">
        <f>AND(Data!A216,"AAAAAFMp288=")</f>
        <v>#VALUE!</v>
      </c>
      <c r="HA88" t="e">
        <f>AND(Data!B216,"AAAAAFMp29A=")</f>
        <v>#VALUE!</v>
      </c>
      <c r="HB88" t="e">
        <f>AND(Data!C216,"AAAAAFMp29E=")</f>
        <v>#VALUE!</v>
      </c>
      <c r="HC88" t="e">
        <f>AND(Data!D216,"AAAAAFMp29I=")</f>
        <v>#VALUE!</v>
      </c>
      <c r="HD88" t="e">
        <f>AND(Data!E216,"AAAAAFMp29M=")</f>
        <v>#VALUE!</v>
      </c>
      <c r="HE88" t="e">
        <f>AND(Data!F216,"AAAAAFMp29Q=")</f>
        <v>#VALUE!</v>
      </c>
      <c r="HF88" t="e">
        <f>AND(Data!G216,"AAAAAFMp29U=")</f>
        <v>#VALUE!</v>
      </c>
      <c r="HG88" t="e">
        <f>AND(Data!H216,"AAAAAFMp29Y=")</f>
        <v>#VALUE!</v>
      </c>
      <c r="HH88" t="e">
        <f>AND(Data!I216,"AAAAAFMp29c=")</f>
        <v>#VALUE!</v>
      </c>
      <c r="HI88" t="e">
        <f>AND(Data!J216,"AAAAAFMp29g=")</f>
        <v>#VALUE!</v>
      </c>
      <c r="HJ88" t="e">
        <f>AND(Data!K216,"AAAAAFMp29k=")</f>
        <v>#VALUE!</v>
      </c>
      <c r="HK88" t="e">
        <f>AND(Data!L216,"AAAAAFMp29o=")</f>
        <v>#VALUE!</v>
      </c>
      <c r="HL88" t="e">
        <f>AND(Data!M216,"AAAAAFMp29s=")</f>
        <v>#VALUE!</v>
      </c>
      <c r="HM88" t="e">
        <f>AND(Data!N216,"AAAAAFMp29w=")</f>
        <v>#VALUE!</v>
      </c>
      <c r="HN88" t="e">
        <f>AND(Data!O216,"AAAAAFMp290=")</f>
        <v>#VALUE!</v>
      </c>
      <c r="HO88" t="e">
        <f>AND(Data!P216,"AAAAAFMp294=")</f>
        <v>#VALUE!</v>
      </c>
      <c r="HP88" t="e">
        <f>AND(Data!Q216,"AAAAAFMp298=")</f>
        <v>#VALUE!</v>
      </c>
      <c r="HQ88" t="e">
        <f>AND(Data!R216,"AAAAAFMp2+A=")</f>
        <v>#VALUE!</v>
      </c>
      <c r="HR88" t="e">
        <f>AND(Data!S216,"AAAAAFMp2+E=")</f>
        <v>#VALUE!</v>
      </c>
      <c r="HS88" t="e">
        <f>AND(Data!T216,"AAAAAFMp2+I=")</f>
        <v>#VALUE!</v>
      </c>
      <c r="HT88" t="e">
        <f>AND(Data!U216,"AAAAAFMp2+M=")</f>
        <v>#VALUE!</v>
      </c>
      <c r="HU88" t="e">
        <f>AND(Data!V216,"AAAAAFMp2+Q=")</f>
        <v>#VALUE!</v>
      </c>
      <c r="HV88" t="e">
        <f>AND(Data!W216,"AAAAAFMp2+U=")</f>
        <v>#VALUE!</v>
      </c>
      <c r="HW88" t="e">
        <f>AND(Data!X216,"AAAAAFMp2+Y=")</f>
        <v>#VALUE!</v>
      </c>
      <c r="HX88">
        <f>IF(Data!217:217,"AAAAAFMp2+c=",0)</f>
        <v>0</v>
      </c>
      <c r="HY88" t="e">
        <f>AND(Data!A217,"AAAAAFMp2+g=")</f>
        <v>#VALUE!</v>
      </c>
      <c r="HZ88" t="e">
        <f>AND(Data!B217,"AAAAAFMp2+k=")</f>
        <v>#VALUE!</v>
      </c>
      <c r="IA88" t="e">
        <f>AND(Data!C217,"AAAAAFMp2+o=")</f>
        <v>#VALUE!</v>
      </c>
      <c r="IB88" t="e">
        <f>AND(Data!D217,"AAAAAFMp2+s=")</f>
        <v>#VALUE!</v>
      </c>
      <c r="IC88" t="e">
        <f>AND(Data!E217,"AAAAAFMp2+w=")</f>
        <v>#VALUE!</v>
      </c>
      <c r="ID88" t="e">
        <f>AND(Data!F217,"AAAAAFMp2+0=")</f>
        <v>#VALUE!</v>
      </c>
      <c r="IE88" t="e">
        <f>AND(Data!G217,"AAAAAFMp2+4=")</f>
        <v>#VALUE!</v>
      </c>
      <c r="IF88" t="e">
        <f>AND(Data!H217,"AAAAAFMp2+8=")</f>
        <v>#VALUE!</v>
      </c>
      <c r="IG88" t="e">
        <f>AND(Data!I217,"AAAAAFMp2/A=")</f>
        <v>#VALUE!</v>
      </c>
      <c r="IH88" t="e">
        <f>AND(Data!J217,"AAAAAFMp2/E=")</f>
        <v>#VALUE!</v>
      </c>
      <c r="II88" t="e">
        <f>AND(Data!K217,"AAAAAFMp2/I=")</f>
        <v>#VALUE!</v>
      </c>
      <c r="IJ88" t="e">
        <f>AND(Data!L217,"AAAAAFMp2/M=")</f>
        <v>#VALUE!</v>
      </c>
      <c r="IK88" t="e">
        <f>AND(Data!M217,"AAAAAFMp2/Q=")</f>
        <v>#VALUE!</v>
      </c>
      <c r="IL88" t="e">
        <f>AND(Data!N217,"AAAAAFMp2/U=")</f>
        <v>#VALUE!</v>
      </c>
      <c r="IM88" t="e">
        <f>AND(Data!O217,"AAAAAFMp2/Y=")</f>
        <v>#VALUE!</v>
      </c>
      <c r="IN88" t="e">
        <f>AND(Data!P217,"AAAAAFMp2/c=")</f>
        <v>#VALUE!</v>
      </c>
      <c r="IO88" t="e">
        <f>AND(Data!Q217,"AAAAAFMp2/g=")</f>
        <v>#VALUE!</v>
      </c>
      <c r="IP88" t="e">
        <f>AND(Data!R217,"AAAAAFMp2/k=")</f>
        <v>#VALUE!</v>
      </c>
      <c r="IQ88" t="e">
        <f>AND(Data!S217,"AAAAAFMp2/o=")</f>
        <v>#VALUE!</v>
      </c>
      <c r="IR88" t="e">
        <f>AND(Data!T217,"AAAAAFMp2/s=")</f>
        <v>#VALUE!</v>
      </c>
      <c r="IS88" t="e">
        <f>AND(Data!U217,"AAAAAFMp2/w=")</f>
        <v>#VALUE!</v>
      </c>
      <c r="IT88" t="e">
        <f>AND(Data!V217,"AAAAAFMp2/0=")</f>
        <v>#VALUE!</v>
      </c>
      <c r="IU88" t="e">
        <f>AND(Data!W217,"AAAAAFMp2/4=")</f>
        <v>#VALUE!</v>
      </c>
      <c r="IV88" t="e">
        <f>AND(Data!X217,"AAAAAFMp2/8=")</f>
        <v>#VALUE!</v>
      </c>
    </row>
    <row r="89" spans="1:256" x14ac:dyDescent="0.2">
      <c r="A89" t="str">
        <f>IF(Data!218:218,"AAAAAHO/GgA=",0)</f>
        <v>AAAAAHO/GgA=</v>
      </c>
      <c r="B89" t="e">
        <f>AND(Data!A218,"AAAAAHO/GgE=")</f>
        <v>#VALUE!</v>
      </c>
      <c r="C89" t="e">
        <f>AND(Data!B218,"AAAAAHO/GgI=")</f>
        <v>#VALUE!</v>
      </c>
      <c r="D89" t="e">
        <f>AND(Data!C218,"AAAAAHO/GgM=")</f>
        <v>#VALUE!</v>
      </c>
      <c r="E89" t="e">
        <f>AND(Data!D218,"AAAAAHO/GgQ=")</f>
        <v>#VALUE!</v>
      </c>
      <c r="F89" t="e">
        <f>AND(Data!E218,"AAAAAHO/GgU=")</f>
        <v>#VALUE!</v>
      </c>
      <c r="G89" t="e">
        <f>AND(Data!F218,"AAAAAHO/GgY=")</f>
        <v>#VALUE!</v>
      </c>
      <c r="H89" t="e">
        <f>AND(Data!G218,"AAAAAHO/Ggc=")</f>
        <v>#VALUE!</v>
      </c>
      <c r="I89" t="e">
        <f>AND(Data!H218,"AAAAAHO/Ggg=")</f>
        <v>#VALUE!</v>
      </c>
      <c r="J89" t="e">
        <f>AND(Data!I218,"AAAAAHO/Ggk=")</f>
        <v>#VALUE!</v>
      </c>
      <c r="K89" t="e">
        <f>AND(Data!J218,"AAAAAHO/Ggo=")</f>
        <v>#VALUE!</v>
      </c>
      <c r="L89" t="e">
        <f>AND(Data!K218,"AAAAAHO/Ggs=")</f>
        <v>#VALUE!</v>
      </c>
      <c r="M89" t="e">
        <f>AND(Data!L218,"AAAAAHO/Ggw=")</f>
        <v>#VALUE!</v>
      </c>
      <c r="N89" t="e">
        <f>AND(Data!M218,"AAAAAHO/Gg0=")</f>
        <v>#VALUE!</v>
      </c>
      <c r="O89" t="e">
        <f>AND(Data!N218,"AAAAAHO/Gg4=")</f>
        <v>#VALUE!</v>
      </c>
      <c r="P89" t="e">
        <f>AND(Data!O218,"AAAAAHO/Gg8=")</f>
        <v>#VALUE!</v>
      </c>
      <c r="Q89" t="e">
        <f>AND(Data!P218,"AAAAAHO/GhA=")</f>
        <v>#VALUE!</v>
      </c>
      <c r="R89" t="e">
        <f>AND(Data!Q218,"AAAAAHO/GhE=")</f>
        <v>#VALUE!</v>
      </c>
      <c r="S89" t="e">
        <f>AND(Data!R218,"AAAAAHO/GhI=")</f>
        <v>#VALUE!</v>
      </c>
      <c r="T89" t="e">
        <f>AND(Data!S218,"AAAAAHO/GhM=")</f>
        <v>#VALUE!</v>
      </c>
      <c r="U89" t="e">
        <f>AND(Data!T218,"AAAAAHO/GhQ=")</f>
        <v>#VALUE!</v>
      </c>
      <c r="V89" t="e">
        <f>AND(Data!U218,"AAAAAHO/GhU=")</f>
        <v>#VALUE!</v>
      </c>
      <c r="W89" t="e">
        <f>AND(Data!V218,"AAAAAHO/GhY=")</f>
        <v>#VALUE!</v>
      </c>
      <c r="X89" t="e">
        <f>AND(Data!W218,"AAAAAHO/Ghc=")</f>
        <v>#VALUE!</v>
      </c>
      <c r="Y89" t="e">
        <f>AND(Data!X218,"AAAAAHO/Ghg=")</f>
        <v>#VALUE!</v>
      </c>
      <c r="Z89">
        <f>IF(Data!219:219,"AAAAAHO/Ghk=",0)</f>
        <v>0</v>
      </c>
      <c r="AA89" t="e">
        <f>AND(Data!A219,"AAAAAHO/Gho=")</f>
        <v>#VALUE!</v>
      </c>
      <c r="AB89" t="e">
        <f>AND(Data!B219,"AAAAAHO/Ghs=")</f>
        <v>#VALUE!</v>
      </c>
      <c r="AC89" t="e">
        <f>AND(Data!C219,"AAAAAHO/Ghw=")</f>
        <v>#VALUE!</v>
      </c>
      <c r="AD89" t="e">
        <f>AND(Data!D219,"AAAAAHO/Gh0=")</f>
        <v>#VALUE!</v>
      </c>
      <c r="AE89" t="e">
        <f>AND(Data!E219,"AAAAAHO/Gh4=")</f>
        <v>#VALUE!</v>
      </c>
      <c r="AF89" t="e">
        <f>AND(Data!F219,"AAAAAHO/Gh8=")</f>
        <v>#VALUE!</v>
      </c>
      <c r="AG89" t="e">
        <f>AND(Data!G219,"AAAAAHO/GiA=")</f>
        <v>#VALUE!</v>
      </c>
      <c r="AH89" t="e">
        <f>AND(Data!H219,"AAAAAHO/GiE=")</f>
        <v>#VALUE!</v>
      </c>
      <c r="AI89" t="e">
        <f>AND(Data!I219,"AAAAAHO/GiI=")</f>
        <v>#VALUE!</v>
      </c>
      <c r="AJ89" t="e">
        <f>AND(Data!J219,"AAAAAHO/GiM=")</f>
        <v>#VALUE!</v>
      </c>
      <c r="AK89" t="e">
        <f>AND(Data!K219,"AAAAAHO/GiQ=")</f>
        <v>#VALUE!</v>
      </c>
      <c r="AL89" t="e">
        <f>AND(Data!L219,"AAAAAHO/GiU=")</f>
        <v>#VALUE!</v>
      </c>
      <c r="AM89" t="e">
        <f>AND(Data!M219,"AAAAAHO/GiY=")</f>
        <v>#VALUE!</v>
      </c>
      <c r="AN89" t="e">
        <f>AND(Data!N219,"AAAAAHO/Gic=")</f>
        <v>#VALUE!</v>
      </c>
      <c r="AO89" t="e">
        <f>AND(Data!O219,"AAAAAHO/Gig=")</f>
        <v>#VALUE!</v>
      </c>
      <c r="AP89" t="e">
        <f>AND(Data!P219,"AAAAAHO/Gik=")</f>
        <v>#VALUE!</v>
      </c>
      <c r="AQ89" t="e">
        <f>AND(Data!Q219,"AAAAAHO/Gio=")</f>
        <v>#VALUE!</v>
      </c>
      <c r="AR89" t="e">
        <f>AND(Data!R219,"AAAAAHO/Gis=")</f>
        <v>#VALUE!</v>
      </c>
      <c r="AS89" t="e">
        <f>AND(Data!S219,"AAAAAHO/Giw=")</f>
        <v>#VALUE!</v>
      </c>
      <c r="AT89" t="e">
        <f>AND(Data!T219,"AAAAAHO/Gi0=")</f>
        <v>#VALUE!</v>
      </c>
      <c r="AU89" t="e">
        <f>AND(Data!U219,"AAAAAHO/Gi4=")</f>
        <v>#VALUE!</v>
      </c>
      <c r="AV89" t="e">
        <f>AND(Data!V219,"AAAAAHO/Gi8=")</f>
        <v>#VALUE!</v>
      </c>
      <c r="AW89" t="e">
        <f>AND(Data!W219,"AAAAAHO/GjA=")</f>
        <v>#VALUE!</v>
      </c>
      <c r="AX89" t="e">
        <f>AND(Data!X219,"AAAAAHO/GjE=")</f>
        <v>#VALUE!</v>
      </c>
      <c r="AY89">
        <f>IF(Data!220:220,"AAAAAHO/GjI=",0)</f>
        <v>0</v>
      </c>
      <c r="AZ89" t="e">
        <f>AND(Data!A220,"AAAAAHO/GjM=")</f>
        <v>#VALUE!</v>
      </c>
      <c r="BA89" t="e">
        <f>AND(Data!B220,"AAAAAHO/GjQ=")</f>
        <v>#VALUE!</v>
      </c>
      <c r="BB89" t="e">
        <f>AND(Data!C220,"AAAAAHO/GjU=")</f>
        <v>#VALUE!</v>
      </c>
      <c r="BC89" t="e">
        <f>AND(Data!D220,"AAAAAHO/GjY=")</f>
        <v>#VALUE!</v>
      </c>
      <c r="BD89" t="e">
        <f>AND(Data!E220,"AAAAAHO/Gjc=")</f>
        <v>#VALUE!</v>
      </c>
      <c r="BE89" t="e">
        <f>AND(Data!F220,"AAAAAHO/Gjg=")</f>
        <v>#VALUE!</v>
      </c>
      <c r="BF89" t="e">
        <f>AND(Data!G220,"AAAAAHO/Gjk=")</f>
        <v>#VALUE!</v>
      </c>
      <c r="BG89" t="e">
        <f>AND(Data!H220,"AAAAAHO/Gjo=")</f>
        <v>#VALUE!</v>
      </c>
      <c r="BH89" t="e">
        <f>AND(Data!I220,"AAAAAHO/Gjs=")</f>
        <v>#VALUE!</v>
      </c>
      <c r="BI89" t="e">
        <f>AND(Data!J220,"AAAAAHO/Gjw=")</f>
        <v>#VALUE!</v>
      </c>
      <c r="BJ89" t="e">
        <f>AND(Data!K220,"AAAAAHO/Gj0=")</f>
        <v>#VALUE!</v>
      </c>
      <c r="BK89" t="e">
        <f>AND(Data!L220,"AAAAAHO/Gj4=")</f>
        <v>#VALUE!</v>
      </c>
      <c r="BL89" t="e">
        <f>AND(Data!M220,"AAAAAHO/Gj8=")</f>
        <v>#VALUE!</v>
      </c>
      <c r="BM89" t="e">
        <f>AND(Data!N220,"AAAAAHO/GkA=")</f>
        <v>#VALUE!</v>
      </c>
      <c r="BN89" t="e">
        <f>AND(Data!O220,"AAAAAHO/GkE=")</f>
        <v>#VALUE!</v>
      </c>
      <c r="BO89" t="e">
        <f>AND(Data!P220,"AAAAAHO/GkI=")</f>
        <v>#VALUE!</v>
      </c>
      <c r="BP89" t="e">
        <f>AND(Data!Q220,"AAAAAHO/GkM=")</f>
        <v>#VALUE!</v>
      </c>
      <c r="BQ89" t="e">
        <f>AND(Data!R220,"AAAAAHO/GkQ=")</f>
        <v>#VALUE!</v>
      </c>
      <c r="BR89" t="e">
        <f>AND(Data!S220,"AAAAAHO/GkU=")</f>
        <v>#VALUE!</v>
      </c>
      <c r="BS89" t="e">
        <f>AND(Data!T220,"AAAAAHO/GkY=")</f>
        <v>#VALUE!</v>
      </c>
      <c r="BT89" t="e">
        <f>AND(Data!U220,"AAAAAHO/Gkc=")</f>
        <v>#VALUE!</v>
      </c>
      <c r="BU89" t="e">
        <f>AND(Data!V220,"AAAAAHO/Gkg=")</f>
        <v>#VALUE!</v>
      </c>
      <c r="BV89" t="e">
        <f>AND(Data!W220,"AAAAAHO/Gkk=")</f>
        <v>#VALUE!</v>
      </c>
      <c r="BW89" t="e">
        <f>AND(Data!X220,"AAAAAHO/Gko=")</f>
        <v>#VALUE!</v>
      </c>
      <c r="BX89">
        <f>IF(Data!221:221,"AAAAAHO/Gks=",0)</f>
        <v>0</v>
      </c>
      <c r="BY89" t="e">
        <f>AND(Data!A221,"AAAAAHO/Gkw=")</f>
        <v>#VALUE!</v>
      </c>
      <c r="BZ89" t="e">
        <f>AND(Data!B221,"AAAAAHO/Gk0=")</f>
        <v>#VALUE!</v>
      </c>
      <c r="CA89" t="e">
        <f>AND(Data!C221,"AAAAAHO/Gk4=")</f>
        <v>#VALUE!</v>
      </c>
      <c r="CB89" t="e">
        <f>AND(Data!D221,"AAAAAHO/Gk8=")</f>
        <v>#VALUE!</v>
      </c>
      <c r="CC89" t="e">
        <f>AND(Data!E221,"AAAAAHO/GlA=")</f>
        <v>#VALUE!</v>
      </c>
      <c r="CD89" t="e">
        <f>AND(Data!F221,"AAAAAHO/GlE=")</f>
        <v>#VALUE!</v>
      </c>
      <c r="CE89" t="e">
        <f>AND(Data!G221,"AAAAAHO/GlI=")</f>
        <v>#VALUE!</v>
      </c>
      <c r="CF89" t="e">
        <f>AND(Data!H221,"AAAAAHO/GlM=")</f>
        <v>#VALUE!</v>
      </c>
      <c r="CG89" t="e">
        <f>AND(Data!I221,"AAAAAHO/GlQ=")</f>
        <v>#VALUE!</v>
      </c>
      <c r="CH89" t="e">
        <f>AND(Data!J221,"AAAAAHO/GlU=")</f>
        <v>#VALUE!</v>
      </c>
      <c r="CI89" t="e">
        <f>AND(Data!K221,"AAAAAHO/GlY=")</f>
        <v>#VALUE!</v>
      </c>
      <c r="CJ89" t="e">
        <f>AND(Data!L221,"AAAAAHO/Glc=")</f>
        <v>#VALUE!</v>
      </c>
      <c r="CK89" t="e">
        <f>AND(Data!M221,"AAAAAHO/Glg=")</f>
        <v>#VALUE!</v>
      </c>
      <c r="CL89" t="e">
        <f>AND(Data!N221,"AAAAAHO/Glk=")</f>
        <v>#VALUE!</v>
      </c>
      <c r="CM89" t="e">
        <f>AND(Data!O221,"AAAAAHO/Glo=")</f>
        <v>#VALUE!</v>
      </c>
      <c r="CN89" t="e">
        <f>AND(Data!P221,"AAAAAHO/Gls=")</f>
        <v>#VALUE!</v>
      </c>
      <c r="CO89" t="e">
        <f>AND(Data!Q221,"AAAAAHO/Glw=")</f>
        <v>#VALUE!</v>
      </c>
      <c r="CP89" t="e">
        <f>AND(Data!R221,"AAAAAHO/Gl0=")</f>
        <v>#VALUE!</v>
      </c>
      <c r="CQ89" t="e">
        <f>AND(Data!S221,"AAAAAHO/Gl4=")</f>
        <v>#VALUE!</v>
      </c>
      <c r="CR89" t="e">
        <f>AND(Data!T221,"AAAAAHO/Gl8=")</f>
        <v>#VALUE!</v>
      </c>
      <c r="CS89" t="e">
        <f>AND(Data!U221,"AAAAAHO/GmA=")</f>
        <v>#VALUE!</v>
      </c>
      <c r="CT89" t="e">
        <f>AND(Data!V221,"AAAAAHO/GmE=")</f>
        <v>#VALUE!</v>
      </c>
      <c r="CU89" t="e">
        <f>AND(Data!W221,"AAAAAHO/GmI=")</f>
        <v>#VALUE!</v>
      </c>
      <c r="CV89" t="e">
        <f>AND(Data!X221,"AAAAAHO/GmM=")</f>
        <v>#VALUE!</v>
      </c>
      <c r="CW89">
        <f>IF(Data!222:222,"AAAAAHO/GmQ=",0)</f>
        <v>0</v>
      </c>
      <c r="CX89" t="e">
        <f>AND(Data!A222,"AAAAAHO/GmU=")</f>
        <v>#VALUE!</v>
      </c>
      <c r="CY89" t="e">
        <f>AND(Data!B222,"AAAAAHO/GmY=")</f>
        <v>#VALUE!</v>
      </c>
      <c r="CZ89" t="e">
        <f>AND(Data!C222,"AAAAAHO/Gmc=")</f>
        <v>#VALUE!</v>
      </c>
      <c r="DA89" t="e">
        <f>AND(Data!D222,"AAAAAHO/Gmg=")</f>
        <v>#VALUE!</v>
      </c>
      <c r="DB89" t="e">
        <f>AND(Data!E222,"AAAAAHO/Gmk=")</f>
        <v>#VALUE!</v>
      </c>
      <c r="DC89" t="e">
        <f>AND(Data!F222,"AAAAAHO/Gmo=")</f>
        <v>#VALUE!</v>
      </c>
      <c r="DD89" t="e">
        <f>AND(Data!G222,"AAAAAHO/Gms=")</f>
        <v>#VALUE!</v>
      </c>
      <c r="DE89" t="e">
        <f>AND(Data!H222,"AAAAAHO/Gmw=")</f>
        <v>#VALUE!</v>
      </c>
      <c r="DF89" t="e">
        <f>AND(Data!I222,"AAAAAHO/Gm0=")</f>
        <v>#VALUE!</v>
      </c>
      <c r="DG89" t="e">
        <f>AND(Data!J222,"AAAAAHO/Gm4=")</f>
        <v>#VALUE!</v>
      </c>
      <c r="DH89" t="e">
        <f>AND(Data!K222,"AAAAAHO/Gm8=")</f>
        <v>#VALUE!</v>
      </c>
      <c r="DI89" t="e">
        <f>AND(Data!L222,"AAAAAHO/GnA=")</f>
        <v>#VALUE!</v>
      </c>
      <c r="DJ89" t="e">
        <f>AND(Data!M222,"AAAAAHO/GnE=")</f>
        <v>#VALUE!</v>
      </c>
      <c r="DK89" t="e">
        <f>AND(Data!N222,"AAAAAHO/GnI=")</f>
        <v>#VALUE!</v>
      </c>
      <c r="DL89" t="e">
        <f>AND(Data!O222,"AAAAAHO/GnM=")</f>
        <v>#VALUE!</v>
      </c>
      <c r="DM89" t="e">
        <f>AND(Data!P222,"AAAAAHO/GnQ=")</f>
        <v>#VALUE!</v>
      </c>
      <c r="DN89" t="e">
        <f>AND(Data!Q222,"AAAAAHO/GnU=")</f>
        <v>#VALUE!</v>
      </c>
      <c r="DO89" t="e">
        <f>AND(Data!R222,"AAAAAHO/GnY=")</f>
        <v>#VALUE!</v>
      </c>
      <c r="DP89" t="e">
        <f>AND(Data!S222,"AAAAAHO/Gnc=")</f>
        <v>#VALUE!</v>
      </c>
      <c r="DQ89" t="e">
        <f>AND(Data!T222,"AAAAAHO/Gng=")</f>
        <v>#VALUE!</v>
      </c>
      <c r="DR89" t="e">
        <f>AND(Data!U222,"AAAAAHO/Gnk=")</f>
        <v>#VALUE!</v>
      </c>
      <c r="DS89" t="e">
        <f>AND(Data!V222,"AAAAAHO/Gno=")</f>
        <v>#VALUE!</v>
      </c>
      <c r="DT89" t="e">
        <f>AND(Data!W222,"AAAAAHO/Gns=")</f>
        <v>#VALUE!</v>
      </c>
      <c r="DU89" t="e">
        <f>AND(Data!X222,"AAAAAHO/Gnw=")</f>
        <v>#VALUE!</v>
      </c>
      <c r="DV89">
        <f>IF(Data!223:223,"AAAAAHO/Gn0=",0)</f>
        <v>0</v>
      </c>
      <c r="DW89" t="e">
        <f>AND(Data!A223,"AAAAAHO/Gn4=")</f>
        <v>#VALUE!</v>
      </c>
      <c r="DX89" t="e">
        <f>AND(Data!B223,"AAAAAHO/Gn8=")</f>
        <v>#VALUE!</v>
      </c>
      <c r="DY89" t="e">
        <f>AND(Data!C223,"AAAAAHO/GoA=")</f>
        <v>#VALUE!</v>
      </c>
      <c r="DZ89" t="e">
        <f>AND(Data!D223,"AAAAAHO/GoE=")</f>
        <v>#VALUE!</v>
      </c>
      <c r="EA89" t="e">
        <f>AND(Data!E223,"AAAAAHO/GoI=")</f>
        <v>#VALUE!</v>
      </c>
      <c r="EB89" t="e">
        <f>AND(Data!F223,"AAAAAHO/GoM=")</f>
        <v>#VALUE!</v>
      </c>
      <c r="EC89" t="e">
        <f>AND(Data!G223,"AAAAAHO/GoQ=")</f>
        <v>#VALUE!</v>
      </c>
      <c r="ED89" t="e">
        <f>AND(Data!H223,"AAAAAHO/GoU=")</f>
        <v>#VALUE!</v>
      </c>
      <c r="EE89" t="e">
        <f>AND(Data!I223,"AAAAAHO/GoY=")</f>
        <v>#VALUE!</v>
      </c>
      <c r="EF89" t="e">
        <f>AND(Data!J223,"AAAAAHO/Goc=")</f>
        <v>#VALUE!</v>
      </c>
      <c r="EG89" t="e">
        <f>AND(Data!K223,"AAAAAHO/Gog=")</f>
        <v>#VALUE!</v>
      </c>
      <c r="EH89" t="e">
        <f>AND(Data!L223,"AAAAAHO/Gok=")</f>
        <v>#VALUE!</v>
      </c>
      <c r="EI89" t="e">
        <f>AND(Data!M223,"AAAAAHO/Goo=")</f>
        <v>#VALUE!</v>
      </c>
      <c r="EJ89" t="e">
        <f>AND(Data!N223,"AAAAAHO/Gos=")</f>
        <v>#VALUE!</v>
      </c>
      <c r="EK89" t="e">
        <f>AND(Data!O223,"AAAAAHO/Gow=")</f>
        <v>#VALUE!</v>
      </c>
      <c r="EL89" t="e">
        <f>AND(Data!P223,"AAAAAHO/Go0=")</f>
        <v>#VALUE!</v>
      </c>
      <c r="EM89" t="e">
        <f>AND(Data!Q223,"AAAAAHO/Go4=")</f>
        <v>#VALUE!</v>
      </c>
      <c r="EN89" t="e">
        <f>AND(Data!R223,"AAAAAHO/Go8=")</f>
        <v>#VALUE!</v>
      </c>
      <c r="EO89" t="e">
        <f>AND(Data!S223,"AAAAAHO/GpA=")</f>
        <v>#VALUE!</v>
      </c>
      <c r="EP89" t="e">
        <f>AND(Data!T223,"AAAAAHO/GpE=")</f>
        <v>#VALUE!</v>
      </c>
      <c r="EQ89" t="e">
        <f>AND(Data!U223,"AAAAAHO/GpI=")</f>
        <v>#VALUE!</v>
      </c>
      <c r="ER89" t="e">
        <f>AND(Data!V223,"AAAAAHO/GpM=")</f>
        <v>#VALUE!</v>
      </c>
      <c r="ES89" t="e">
        <f>AND(Data!W223,"AAAAAHO/GpQ=")</f>
        <v>#VALUE!</v>
      </c>
      <c r="ET89" t="e">
        <f>AND(Data!X223,"AAAAAHO/GpU=")</f>
        <v>#VALUE!</v>
      </c>
      <c r="EU89">
        <f>IF(Data!224:224,"AAAAAHO/GpY=",0)</f>
        <v>0</v>
      </c>
      <c r="EV89" t="e">
        <f>AND(Data!A224,"AAAAAHO/Gpc=")</f>
        <v>#VALUE!</v>
      </c>
      <c r="EW89" t="e">
        <f>AND(Data!B224,"AAAAAHO/Gpg=")</f>
        <v>#VALUE!</v>
      </c>
      <c r="EX89" t="e">
        <f>AND(Data!C224,"AAAAAHO/Gpk=")</f>
        <v>#VALUE!</v>
      </c>
      <c r="EY89" t="e">
        <f>AND(Data!D224,"AAAAAHO/Gpo=")</f>
        <v>#VALUE!</v>
      </c>
      <c r="EZ89" t="e">
        <f>AND(Data!E224,"AAAAAHO/Gps=")</f>
        <v>#VALUE!</v>
      </c>
      <c r="FA89" t="e">
        <f>AND(Data!F224,"AAAAAHO/Gpw=")</f>
        <v>#VALUE!</v>
      </c>
      <c r="FB89" t="e">
        <f>AND(Data!G224,"AAAAAHO/Gp0=")</f>
        <v>#VALUE!</v>
      </c>
      <c r="FC89" t="e">
        <f>AND(Data!H224,"AAAAAHO/Gp4=")</f>
        <v>#VALUE!</v>
      </c>
      <c r="FD89" t="e">
        <f>AND(Data!I224,"AAAAAHO/Gp8=")</f>
        <v>#VALUE!</v>
      </c>
      <c r="FE89" t="e">
        <f>AND(Data!J224,"AAAAAHO/GqA=")</f>
        <v>#VALUE!</v>
      </c>
      <c r="FF89" t="e">
        <f>AND(Data!K224,"AAAAAHO/GqE=")</f>
        <v>#VALUE!</v>
      </c>
      <c r="FG89" t="e">
        <f>AND(Data!L224,"AAAAAHO/GqI=")</f>
        <v>#VALUE!</v>
      </c>
      <c r="FH89" t="e">
        <f>AND(Data!M224,"AAAAAHO/GqM=")</f>
        <v>#VALUE!</v>
      </c>
      <c r="FI89" t="e">
        <f>AND(Data!N224,"AAAAAHO/GqQ=")</f>
        <v>#VALUE!</v>
      </c>
      <c r="FJ89" t="e">
        <f>AND(Data!O224,"AAAAAHO/GqU=")</f>
        <v>#VALUE!</v>
      </c>
      <c r="FK89" t="e">
        <f>AND(Data!P224,"AAAAAHO/GqY=")</f>
        <v>#VALUE!</v>
      </c>
      <c r="FL89" t="e">
        <f>AND(Data!Q224,"AAAAAHO/Gqc=")</f>
        <v>#VALUE!</v>
      </c>
      <c r="FM89" t="e">
        <f>AND(Data!R224,"AAAAAHO/Gqg=")</f>
        <v>#VALUE!</v>
      </c>
      <c r="FN89" t="e">
        <f>AND(Data!S224,"AAAAAHO/Gqk=")</f>
        <v>#VALUE!</v>
      </c>
      <c r="FO89" t="e">
        <f>AND(Data!T224,"AAAAAHO/Gqo=")</f>
        <v>#VALUE!</v>
      </c>
      <c r="FP89" t="e">
        <f>AND(Data!U224,"AAAAAHO/Gqs=")</f>
        <v>#VALUE!</v>
      </c>
      <c r="FQ89" t="e">
        <f>AND(Data!V224,"AAAAAHO/Gqw=")</f>
        <v>#VALUE!</v>
      </c>
      <c r="FR89" t="e">
        <f>AND(Data!W224,"AAAAAHO/Gq0=")</f>
        <v>#VALUE!</v>
      </c>
      <c r="FS89" t="e">
        <f>AND(Data!X224,"AAAAAHO/Gq4=")</f>
        <v>#VALUE!</v>
      </c>
      <c r="FT89">
        <f>IF(Data!225:225,"AAAAAHO/Gq8=",0)</f>
        <v>0</v>
      </c>
      <c r="FU89" t="e">
        <f>AND(Data!A225,"AAAAAHO/GrA=")</f>
        <v>#VALUE!</v>
      </c>
      <c r="FV89" t="e">
        <f>AND(Data!B225,"AAAAAHO/GrE=")</f>
        <v>#VALUE!</v>
      </c>
      <c r="FW89" t="e">
        <f>AND(Data!C225,"AAAAAHO/GrI=")</f>
        <v>#VALUE!</v>
      </c>
      <c r="FX89" t="e">
        <f>AND(Data!D225,"AAAAAHO/GrM=")</f>
        <v>#VALUE!</v>
      </c>
      <c r="FY89" t="e">
        <f>AND(Data!E225,"AAAAAHO/GrQ=")</f>
        <v>#VALUE!</v>
      </c>
      <c r="FZ89" t="e">
        <f>AND(Data!F225,"AAAAAHO/GrU=")</f>
        <v>#VALUE!</v>
      </c>
      <c r="GA89" t="e">
        <f>AND(Data!G225,"AAAAAHO/GrY=")</f>
        <v>#VALUE!</v>
      </c>
      <c r="GB89" t="e">
        <f>AND(Data!H225,"AAAAAHO/Grc=")</f>
        <v>#VALUE!</v>
      </c>
      <c r="GC89" t="e">
        <f>AND(Data!I225,"AAAAAHO/Grg=")</f>
        <v>#VALUE!</v>
      </c>
      <c r="GD89" t="e">
        <f>AND(Data!J225,"AAAAAHO/Grk=")</f>
        <v>#VALUE!</v>
      </c>
      <c r="GE89" t="e">
        <f>AND(Data!K225,"AAAAAHO/Gro=")</f>
        <v>#VALUE!</v>
      </c>
      <c r="GF89" t="e">
        <f>AND(Data!L225,"AAAAAHO/Grs=")</f>
        <v>#VALUE!</v>
      </c>
      <c r="GG89" t="e">
        <f>AND(Data!M225,"AAAAAHO/Grw=")</f>
        <v>#VALUE!</v>
      </c>
      <c r="GH89" t="e">
        <f>AND(Data!N225,"AAAAAHO/Gr0=")</f>
        <v>#VALUE!</v>
      </c>
      <c r="GI89" t="e">
        <f>AND(Data!O225,"AAAAAHO/Gr4=")</f>
        <v>#VALUE!</v>
      </c>
      <c r="GJ89" t="e">
        <f>AND(Data!P225,"AAAAAHO/Gr8=")</f>
        <v>#VALUE!</v>
      </c>
      <c r="GK89" t="e">
        <f>AND(Data!Q225,"AAAAAHO/GsA=")</f>
        <v>#VALUE!</v>
      </c>
      <c r="GL89" t="e">
        <f>AND(Data!R225,"AAAAAHO/GsE=")</f>
        <v>#VALUE!</v>
      </c>
      <c r="GM89" t="e">
        <f>AND(Data!S225,"AAAAAHO/GsI=")</f>
        <v>#VALUE!</v>
      </c>
      <c r="GN89" t="e">
        <f>AND(Data!T225,"AAAAAHO/GsM=")</f>
        <v>#VALUE!</v>
      </c>
      <c r="GO89" t="e">
        <f>AND(Data!U225,"AAAAAHO/GsQ=")</f>
        <v>#VALUE!</v>
      </c>
      <c r="GP89" t="e">
        <f>AND(Data!V225,"AAAAAHO/GsU=")</f>
        <v>#VALUE!</v>
      </c>
      <c r="GQ89" t="e">
        <f>AND(Data!W225,"AAAAAHO/GsY=")</f>
        <v>#VALUE!</v>
      </c>
      <c r="GR89" t="e">
        <f>AND(Data!X225,"AAAAAHO/Gsc=")</f>
        <v>#VALUE!</v>
      </c>
      <c r="GS89">
        <f>IF(Data!226:226,"AAAAAHO/Gsg=",0)</f>
        <v>0</v>
      </c>
      <c r="GT89" t="e">
        <f>AND(Data!A226,"AAAAAHO/Gsk=")</f>
        <v>#VALUE!</v>
      </c>
      <c r="GU89" t="e">
        <f>AND(Data!B226,"AAAAAHO/Gso=")</f>
        <v>#VALUE!</v>
      </c>
      <c r="GV89" t="e">
        <f>AND(Data!C226,"AAAAAHO/Gss=")</f>
        <v>#VALUE!</v>
      </c>
      <c r="GW89" t="e">
        <f>AND(Data!D226,"AAAAAHO/Gsw=")</f>
        <v>#VALUE!</v>
      </c>
      <c r="GX89" t="e">
        <f>AND(Data!E226,"AAAAAHO/Gs0=")</f>
        <v>#VALUE!</v>
      </c>
      <c r="GY89" t="e">
        <f>AND(Data!F226,"AAAAAHO/Gs4=")</f>
        <v>#VALUE!</v>
      </c>
      <c r="GZ89" t="e">
        <f>AND(Data!G226,"AAAAAHO/Gs8=")</f>
        <v>#VALUE!</v>
      </c>
      <c r="HA89" t="e">
        <f>AND(Data!H226,"AAAAAHO/GtA=")</f>
        <v>#VALUE!</v>
      </c>
      <c r="HB89" t="e">
        <f>AND(Data!I226,"AAAAAHO/GtE=")</f>
        <v>#VALUE!</v>
      </c>
      <c r="HC89" t="e">
        <f>AND(Data!J226,"AAAAAHO/GtI=")</f>
        <v>#VALUE!</v>
      </c>
      <c r="HD89" t="e">
        <f>AND(Data!K226,"AAAAAHO/GtM=")</f>
        <v>#VALUE!</v>
      </c>
      <c r="HE89" t="e">
        <f>AND(Data!L226,"AAAAAHO/GtQ=")</f>
        <v>#VALUE!</v>
      </c>
      <c r="HF89" t="e">
        <f>AND(Data!M226,"AAAAAHO/GtU=")</f>
        <v>#VALUE!</v>
      </c>
      <c r="HG89" t="e">
        <f>AND(Data!N226,"AAAAAHO/GtY=")</f>
        <v>#VALUE!</v>
      </c>
      <c r="HH89" t="e">
        <f>AND(Data!O226,"AAAAAHO/Gtc=")</f>
        <v>#VALUE!</v>
      </c>
      <c r="HI89" t="e">
        <f>AND(Data!P226,"AAAAAHO/Gtg=")</f>
        <v>#VALUE!</v>
      </c>
      <c r="HJ89" t="e">
        <f>AND(Data!Q226,"AAAAAHO/Gtk=")</f>
        <v>#VALUE!</v>
      </c>
      <c r="HK89" t="e">
        <f>AND(Data!R226,"AAAAAHO/Gto=")</f>
        <v>#VALUE!</v>
      </c>
      <c r="HL89" t="e">
        <f>AND(Data!S226,"AAAAAHO/Gts=")</f>
        <v>#VALUE!</v>
      </c>
      <c r="HM89" t="e">
        <f>AND(Data!T226,"AAAAAHO/Gtw=")</f>
        <v>#VALUE!</v>
      </c>
      <c r="HN89" t="e">
        <f>AND(Data!U226,"AAAAAHO/Gt0=")</f>
        <v>#VALUE!</v>
      </c>
      <c r="HO89" t="e">
        <f>AND(Data!V226,"AAAAAHO/Gt4=")</f>
        <v>#VALUE!</v>
      </c>
      <c r="HP89" t="e">
        <f>AND(Data!W226,"AAAAAHO/Gt8=")</f>
        <v>#VALUE!</v>
      </c>
      <c r="HQ89" t="e">
        <f>AND(Data!X226,"AAAAAHO/GuA=")</f>
        <v>#VALUE!</v>
      </c>
      <c r="HR89">
        <f>IF(Data!227:227,"AAAAAHO/GuE=",0)</f>
        <v>0</v>
      </c>
      <c r="HS89" t="e">
        <f>AND(Data!A227,"AAAAAHO/GuI=")</f>
        <v>#VALUE!</v>
      </c>
      <c r="HT89" t="e">
        <f>AND(Data!B227,"AAAAAHO/GuM=")</f>
        <v>#VALUE!</v>
      </c>
      <c r="HU89" t="e">
        <f>AND(Data!C227,"AAAAAHO/GuQ=")</f>
        <v>#VALUE!</v>
      </c>
      <c r="HV89" t="e">
        <f>AND(Data!D227,"AAAAAHO/GuU=")</f>
        <v>#VALUE!</v>
      </c>
      <c r="HW89" t="e">
        <f>AND(Data!E227,"AAAAAHO/GuY=")</f>
        <v>#VALUE!</v>
      </c>
      <c r="HX89" t="e">
        <f>AND(Data!F227,"AAAAAHO/Guc=")</f>
        <v>#VALUE!</v>
      </c>
      <c r="HY89" t="e">
        <f>AND(Data!G227,"AAAAAHO/Gug=")</f>
        <v>#VALUE!</v>
      </c>
      <c r="HZ89" t="e">
        <f>AND(Data!H227,"AAAAAHO/Guk=")</f>
        <v>#VALUE!</v>
      </c>
      <c r="IA89" t="e">
        <f>AND(Data!I227,"AAAAAHO/Guo=")</f>
        <v>#VALUE!</v>
      </c>
      <c r="IB89" t="e">
        <f>AND(Data!J227,"AAAAAHO/Gus=")</f>
        <v>#VALUE!</v>
      </c>
      <c r="IC89" t="e">
        <f>AND(Data!K227,"AAAAAHO/Guw=")</f>
        <v>#VALUE!</v>
      </c>
      <c r="ID89" t="e">
        <f>AND(Data!L227,"AAAAAHO/Gu0=")</f>
        <v>#VALUE!</v>
      </c>
      <c r="IE89" t="e">
        <f>AND(Data!M227,"AAAAAHO/Gu4=")</f>
        <v>#VALUE!</v>
      </c>
      <c r="IF89" t="e">
        <f>AND(Data!N227,"AAAAAHO/Gu8=")</f>
        <v>#VALUE!</v>
      </c>
      <c r="IG89" t="e">
        <f>AND(Data!O227,"AAAAAHO/GvA=")</f>
        <v>#VALUE!</v>
      </c>
      <c r="IH89" t="e">
        <f>AND(Data!P227,"AAAAAHO/GvE=")</f>
        <v>#VALUE!</v>
      </c>
      <c r="II89" t="e">
        <f>AND(Data!Q227,"AAAAAHO/GvI=")</f>
        <v>#VALUE!</v>
      </c>
      <c r="IJ89" t="e">
        <f>AND(Data!R227,"AAAAAHO/GvM=")</f>
        <v>#VALUE!</v>
      </c>
      <c r="IK89" t="e">
        <f>AND(Data!S227,"AAAAAHO/GvQ=")</f>
        <v>#VALUE!</v>
      </c>
      <c r="IL89" t="e">
        <f>AND(Data!T227,"AAAAAHO/GvU=")</f>
        <v>#VALUE!</v>
      </c>
      <c r="IM89" t="e">
        <f>AND(Data!U227,"AAAAAHO/GvY=")</f>
        <v>#VALUE!</v>
      </c>
      <c r="IN89" t="e">
        <f>AND(Data!V227,"AAAAAHO/Gvc=")</f>
        <v>#VALUE!</v>
      </c>
      <c r="IO89" t="e">
        <f>AND(Data!W227,"AAAAAHO/Gvg=")</f>
        <v>#VALUE!</v>
      </c>
      <c r="IP89" t="e">
        <f>AND(Data!X227,"AAAAAHO/Gvk=")</f>
        <v>#VALUE!</v>
      </c>
      <c r="IQ89">
        <f>IF(Data!228:228,"AAAAAHO/Gvo=",0)</f>
        <v>0</v>
      </c>
      <c r="IR89" t="e">
        <f>AND(Data!A228,"AAAAAHO/Gvs=")</f>
        <v>#VALUE!</v>
      </c>
      <c r="IS89" t="e">
        <f>AND(Data!B228,"AAAAAHO/Gvw=")</f>
        <v>#VALUE!</v>
      </c>
      <c r="IT89" t="e">
        <f>AND(Data!C228,"AAAAAHO/Gv0=")</f>
        <v>#VALUE!</v>
      </c>
      <c r="IU89" t="e">
        <f>AND(Data!D228,"AAAAAHO/Gv4=")</f>
        <v>#VALUE!</v>
      </c>
      <c r="IV89" t="e">
        <f>AND(Data!E228,"AAAAAHO/Gv8=")</f>
        <v>#VALUE!</v>
      </c>
    </row>
    <row r="90" spans="1:256" x14ac:dyDescent="0.2">
      <c r="A90" t="e">
        <f>AND(Data!F228,"AAAAAH5vvwA=")</f>
        <v>#VALUE!</v>
      </c>
      <c r="B90" t="e">
        <f>AND(Data!G228,"AAAAAH5vvwE=")</f>
        <v>#VALUE!</v>
      </c>
      <c r="C90" t="e">
        <f>AND(Data!H228,"AAAAAH5vvwI=")</f>
        <v>#VALUE!</v>
      </c>
      <c r="D90" t="e">
        <f>AND(Data!I228,"AAAAAH5vvwM=")</f>
        <v>#VALUE!</v>
      </c>
      <c r="E90" t="e">
        <f>AND(Data!J228,"AAAAAH5vvwQ=")</f>
        <v>#VALUE!</v>
      </c>
      <c r="F90" t="e">
        <f>AND(Data!K228,"AAAAAH5vvwU=")</f>
        <v>#VALUE!</v>
      </c>
      <c r="G90" t="e">
        <f>AND(Data!L228,"AAAAAH5vvwY=")</f>
        <v>#VALUE!</v>
      </c>
      <c r="H90" t="e">
        <f>AND(Data!M228,"AAAAAH5vvwc=")</f>
        <v>#VALUE!</v>
      </c>
      <c r="I90" t="e">
        <f>AND(Data!N228,"AAAAAH5vvwg=")</f>
        <v>#VALUE!</v>
      </c>
      <c r="J90" t="e">
        <f>AND(Data!O228,"AAAAAH5vvwk=")</f>
        <v>#VALUE!</v>
      </c>
      <c r="K90" t="e">
        <f>AND(Data!P228,"AAAAAH5vvwo=")</f>
        <v>#VALUE!</v>
      </c>
      <c r="L90" t="e">
        <f>AND(Data!Q228,"AAAAAH5vvws=")</f>
        <v>#VALUE!</v>
      </c>
      <c r="M90" t="e">
        <f>AND(Data!R228,"AAAAAH5vvww=")</f>
        <v>#VALUE!</v>
      </c>
      <c r="N90" t="e">
        <f>AND(Data!S228,"AAAAAH5vvw0=")</f>
        <v>#VALUE!</v>
      </c>
      <c r="O90" t="e">
        <f>AND(Data!T228,"AAAAAH5vvw4=")</f>
        <v>#VALUE!</v>
      </c>
      <c r="P90" t="e">
        <f>AND(Data!U228,"AAAAAH5vvw8=")</f>
        <v>#VALUE!</v>
      </c>
      <c r="Q90" t="e">
        <f>AND(Data!V228,"AAAAAH5vvxA=")</f>
        <v>#VALUE!</v>
      </c>
      <c r="R90" t="e">
        <f>AND(Data!W228,"AAAAAH5vvxE=")</f>
        <v>#VALUE!</v>
      </c>
      <c r="S90" t="e">
        <f>AND(Data!X228,"AAAAAH5vvxI=")</f>
        <v>#VALUE!</v>
      </c>
      <c r="T90">
        <f>IF(Data!229:229,"AAAAAH5vvxM=",0)</f>
        <v>0</v>
      </c>
      <c r="U90" t="e">
        <f>AND(Data!A229,"AAAAAH5vvxQ=")</f>
        <v>#VALUE!</v>
      </c>
      <c r="V90" t="e">
        <f>AND(Data!B229,"AAAAAH5vvxU=")</f>
        <v>#VALUE!</v>
      </c>
      <c r="W90" t="e">
        <f>AND(Data!C229,"AAAAAH5vvxY=")</f>
        <v>#VALUE!</v>
      </c>
      <c r="X90" t="e">
        <f>AND(Data!D229,"AAAAAH5vvxc=")</f>
        <v>#VALUE!</v>
      </c>
      <c r="Y90" t="e">
        <f>AND(Data!E229,"AAAAAH5vvxg=")</f>
        <v>#VALUE!</v>
      </c>
      <c r="Z90" t="e">
        <f>AND(Data!F229,"AAAAAH5vvxk=")</f>
        <v>#VALUE!</v>
      </c>
      <c r="AA90" t="e">
        <f>AND(Data!G229,"AAAAAH5vvxo=")</f>
        <v>#VALUE!</v>
      </c>
      <c r="AB90" t="e">
        <f>AND(Data!H229,"AAAAAH5vvxs=")</f>
        <v>#VALUE!</v>
      </c>
      <c r="AC90" t="e">
        <f>AND(Data!I229,"AAAAAH5vvxw=")</f>
        <v>#VALUE!</v>
      </c>
      <c r="AD90" t="e">
        <f>AND(Data!J229,"AAAAAH5vvx0=")</f>
        <v>#VALUE!</v>
      </c>
      <c r="AE90" t="e">
        <f>AND(Data!K229,"AAAAAH5vvx4=")</f>
        <v>#VALUE!</v>
      </c>
      <c r="AF90" t="e">
        <f>AND(Data!L229,"AAAAAH5vvx8=")</f>
        <v>#VALUE!</v>
      </c>
      <c r="AG90" t="e">
        <f>AND(Data!M229,"AAAAAH5vvyA=")</f>
        <v>#VALUE!</v>
      </c>
      <c r="AH90" t="e">
        <f>AND(Data!N229,"AAAAAH5vvyE=")</f>
        <v>#VALUE!</v>
      </c>
      <c r="AI90" t="e">
        <f>AND(Data!O229,"AAAAAH5vvyI=")</f>
        <v>#VALUE!</v>
      </c>
      <c r="AJ90" t="e">
        <f>AND(Data!P229,"AAAAAH5vvyM=")</f>
        <v>#VALUE!</v>
      </c>
      <c r="AK90" t="e">
        <f>AND(Data!Q229,"AAAAAH5vvyQ=")</f>
        <v>#VALUE!</v>
      </c>
      <c r="AL90" t="e">
        <f>AND(Data!R229,"AAAAAH5vvyU=")</f>
        <v>#VALUE!</v>
      </c>
      <c r="AM90" t="e">
        <f>AND(Data!S229,"AAAAAH5vvyY=")</f>
        <v>#VALUE!</v>
      </c>
      <c r="AN90" t="e">
        <f>AND(Data!T229,"AAAAAH5vvyc=")</f>
        <v>#VALUE!</v>
      </c>
      <c r="AO90" t="e">
        <f>AND(Data!U229,"AAAAAH5vvyg=")</f>
        <v>#VALUE!</v>
      </c>
      <c r="AP90" t="e">
        <f>AND(Data!V229,"AAAAAH5vvyk=")</f>
        <v>#VALUE!</v>
      </c>
      <c r="AQ90" t="e">
        <f>AND(Data!W229,"AAAAAH5vvyo=")</f>
        <v>#VALUE!</v>
      </c>
      <c r="AR90" t="e">
        <f>AND(Data!X229,"AAAAAH5vvys=")</f>
        <v>#VALUE!</v>
      </c>
      <c r="AS90">
        <f>IF(Data!230:230,"AAAAAH5vvyw=",0)</f>
        <v>0</v>
      </c>
      <c r="AT90" t="e">
        <f>AND(Data!A230,"AAAAAH5vvy0=")</f>
        <v>#VALUE!</v>
      </c>
      <c r="AU90" t="e">
        <f>AND(Data!B230,"AAAAAH5vvy4=")</f>
        <v>#VALUE!</v>
      </c>
      <c r="AV90" t="e">
        <f>AND(Data!C230,"AAAAAH5vvy8=")</f>
        <v>#VALUE!</v>
      </c>
      <c r="AW90" t="e">
        <f>AND(Data!D230,"AAAAAH5vvzA=")</f>
        <v>#VALUE!</v>
      </c>
      <c r="AX90" t="e">
        <f>AND(Data!E230,"AAAAAH5vvzE=")</f>
        <v>#VALUE!</v>
      </c>
      <c r="AY90" t="e">
        <f>AND(Data!F230,"AAAAAH5vvzI=")</f>
        <v>#VALUE!</v>
      </c>
      <c r="AZ90" t="e">
        <f>AND(Data!G230,"AAAAAH5vvzM=")</f>
        <v>#VALUE!</v>
      </c>
      <c r="BA90" t="e">
        <f>AND(Data!H230,"AAAAAH5vvzQ=")</f>
        <v>#VALUE!</v>
      </c>
      <c r="BB90" t="e">
        <f>AND(Data!I230,"AAAAAH5vvzU=")</f>
        <v>#VALUE!</v>
      </c>
      <c r="BC90" t="e">
        <f>AND(Data!J230,"AAAAAH5vvzY=")</f>
        <v>#VALUE!</v>
      </c>
      <c r="BD90" t="e">
        <f>AND(Data!K230,"AAAAAH5vvzc=")</f>
        <v>#VALUE!</v>
      </c>
      <c r="BE90" t="e">
        <f>AND(Data!L230,"AAAAAH5vvzg=")</f>
        <v>#VALUE!</v>
      </c>
      <c r="BF90" t="e">
        <f>AND(Data!M230,"AAAAAH5vvzk=")</f>
        <v>#VALUE!</v>
      </c>
      <c r="BG90" t="e">
        <f>AND(Data!N230,"AAAAAH5vvzo=")</f>
        <v>#VALUE!</v>
      </c>
      <c r="BH90" t="e">
        <f>AND(Data!O230,"AAAAAH5vvzs=")</f>
        <v>#VALUE!</v>
      </c>
      <c r="BI90" t="e">
        <f>AND(Data!P230,"AAAAAH5vvzw=")</f>
        <v>#VALUE!</v>
      </c>
      <c r="BJ90" t="e">
        <f>AND(Data!Q230,"AAAAAH5vvz0=")</f>
        <v>#VALUE!</v>
      </c>
      <c r="BK90" t="e">
        <f>AND(Data!R230,"AAAAAH5vvz4=")</f>
        <v>#VALUE!</v>
      </c>
      <c r="BL90" t="e">
        <f>AND(Data!S230,"AAAAAH5vvz8=")</f>
        <v>#VALUE!</v>
      </c>
      <c r="BM90" t="e">
        <f>AND(Data!T230,"AAAAAH5vv0A=")</f>
        <v>#VALUE!</v>
      </c>
      <c r="BN90" t="e">
        <f>AND(Data!U230,"AAAAAH5vv0E=")</f>
        <v>#VALUE!</v>
      </c>
      <c r="BO90" t="e">
        <f>AND(Data!V230,"AAAAAH5vv0I=")</f>
        <v>#VALUE!</v>
      </c>
      <c r="BP90" t="e">
        <f>AND(Data!W230,"AAAAAH5vv0M=")</f>
        <v>#VALUE!</v>
      </c>
      <c r="BQ90" t="e">
        <f>AND(Data!X230,"AAAAAH5vv0Q=")</f>
        <v>#VALUE!</v>
      </c>
      <c r="BR90">
        <f>IF(Data!231:231,"AAAAAH5vv0U=",0)</f>
        <v>0</v>
      </c>
      <c r="BS90" t="e">
        <f>AND(Data!A231,"AAAAAH5vv0Y=")</f>
        <v>#VALUE!</v>
      </c>
      <c r="BT90" t="e">
        <f>AND(Data!B231,"AAAAAH5vv0c=")</f>
        <v>#VALUE!</v>
      </c>
      <c r="BU90" t="e">
        <f>AND(Data!C231,"AAAAAH5vv0g=")</f>
        <v>#VALUE!</v>
      </c>
      <c r="BV90" t="e">
        <f>AND(Data!D231,"AAAAAH5vv0k=")</f>
        <v>#VALUE!</v>
      </c>
      <c r="BW90" t="e">
        <f>AND(Data!E231,"AAAAAH5vv0o=")</f>
        <v>#VALUE!</v>
      </c>
      <c r="BX90" t="e">
        <f>AND(Data!F231,"AAAAAH5vv0s=")</f>
        <v>#VALUE!</v>
      </c>
      <c r="BY90" t="e">
        <f>AND(Data!G231,"AAAAAH5vv0w=")</f>
        <v>#VALUE!</v>
      </c>
      <c r="BZ90" t="e">
        <f>AND(Data!H231,"AAAAAH5vv00=")</f>
        <v>#VALUE!</v>
      </c>
      <c r="CA90" t="e">
        <f>AND(Data!I231,"AAAAAH5vv04=")</f>
        <v>#VALUE!</v>
      </c>
      <c r="CB90" t="e">
        <f>AND(Data!J231,"AAAAAH5vv08=")</f>
        <v>#VALUE!</v>
      </c>
      <c r="CC90" t="e">
        <f>AND(Data!K231,"AAAAAH5vv1A=")</f>
        <v>#VALUE!</v>
      </c>
      <c r="CD90" t="e">
        <f>AND(Data!L231,"AAAAAH5vv1E=")</f>
        <v>#VALUE!</v>
      </c>
      <c r="CE90" t="e">
        <f>AND(Data!M231,"AAAAAH5vv1I=")</f>
        <v>#VALUE!</v>
      </c>
      <c r="CF90" t="e">
        <f>AND(Data!N231,"AAAAAH5vv1M=")</f>
        <v>#VALUE!</v>
      </c>
      <c r="CG90" t="e">
        <f>AND(Data!O231,"AAAAAH5vv1Q=")</f>
        <v>#VALUE!</v>
      </c>
      <c r="CH90" t="e">
        <f>AND(Data!P231,"AAAAAH5vv1U=")</f>
        <v>#VALUE!</v>
      </c>
      <c r="CI90" t="e">
        <f>AND(Data!Q231,"AAAAAH5vv1Y=")</f>
        <v>#VALUE!</v>
      </c>
      <c r="CJ90" t="e">
        <f>AND(Data!R231,"AAAAAH5vv1c=")</f>
        <v>#VALUE!</v>
      </c>
      <c r="CK90" t="e">
        <f>AND(Data!S231,"AAAAAH5vv1g=")</f>
        <v>#VALUE!</v>
      </c>
      <c r="CL90" t="e">
        <f>AND(Data!T231,"AAAAAH5vv1k=")</f>
        <v>#VALUE!</v>
      </c>
      <c r="CM90" t="e">
        <f>AND(Data!U231,"AAAAAH5vv1o=")</f>
        <v>#VALUE!</v>
      </c>
      <c r="CN90" t="e">
        <f>AND(Data!V231,"AAAAAH5vv1s=")</f>
        <v>#VALUE!</v>
      </c>
      <c r="CO90" t="e">
        <f>AND(Data!W231,"AAAAAH5vv1w=")</f>
        <v>#VALUE!</v>
      </c>
      <c r="CP90" t="e">
        <f>AND(Data!X231,"AAAAAH5vv10=")</f>
        <v>#VALUE!</v>
      </c>
      <c r="CQ90">
        <f>IF(Data!232:232,"AAAAAH5vv14=",0)</f>
        <v>0</v>
      </c>
      <c r="CR90" t="e">
        <f>AND(Data!A232,"AAAAAH5vv18=")</f>
        <v>#VALUE!</v>
      </c>
      <c r="CS90" t="e">
        <f>AND(Data!B232,"AAAAAH5vv2A=")</f>
        <v>#VALUE!</v>
      </c>
      <c r="CT90" t="e">
        <f>AND(Data!C232,"AAAAAH5vv2E=")</f>
        <v>#VALUE!</v>
      </c>
      <c r="CU90" t="e">
        <f>AND(Data!D232,"AAAAAH5vv2I=")</f>
        <v>#VALUE!</v>
      </c>
      <c r="CV90" t="e">
        <f>AND(Data!E232,"AAAAAH5vv2M=")</f>
        <v>#VALUE!</v>
      </c>
      <c r="CW90" t="e">
        <f>AND(Data!F232,"AAAAAH5vv2Q=")</f>
        <v>#VALUE!</v>
      </c>
      <c r="CX90" t="e">
        <f>AND(Data!G232,"AAAAAH5vv2U=")</f>
        <v>#VALUE!</v>
      </c>
      <c r="CY90" t="e">
        <f>AND(Data!H232,"AAAAAH5vv2Y=")</f>
        <v>#VALUE!</v>
      </c>
      <c r="CZ90" t="e">
        <f>AND(Data!I232,"AAAAAH5vv2c=")</f>
        <v>#VALUE!</v>
      </c>
      <c r="DA90" t="e">
        <f>AND(Data!J232,"AAAAAH5vv2g=")</f>
        <v>#VALUE!</v>
      </c>
      <c r="DB90" t="e">
        <f>AND(Data!K232,"AAAAAH5vv2k=")</f>
        <v>#VALUE!</v>
      </c>
      <c r="DC90" t="e">
        <f>AND(Data!L232,"AAAAAH5vv2o=")</f>
        <v>#VALUE!</v>
      </c>
      <c r="DD90" t="e">
        <f>AND(Data!M232,"AAAAAH5vv2s=")</f>
        <v>#VALUE!</v>
      </c>
      <c r="DE90" t="e">
        <f>AND(Data!N232,"AAAAAH5vv2w=")</f>
        <v>#VALUE!</v>
      </c>
      <c r="DF90" t="e">
        <f>AND(Data!O232,"AAAAAH5vv20=")</f>
        <v>#VALUE!</v>
      </c>
      <c r="DG90" t="e">
        <f>AND(Data!P232,"AAAAAH5vv24=")</f>
        <v>#VALUE!</v>
      </c>
      <c r="DH90" t="e">
        <f>AND(Data!Q232,"AAAAAH5vv28=")</f>
        <v>#VALUE!</v>
      </c>
      <c r="DI90" t="e">
        <f>AND(Data!R232,"AAAAAH5vv3A=")</f>
        <v>#VALUE!</v>
      </c>
      <c r="DJ90" t="e">
        <f>AND(Data!S232,"AAAAAH5vv3E=")</f>
        <v>#VALUE!</v>
      </c>
      <c r="DK90" t="e">
        <f>AND(Data!T232,"AAAAAH5vv3I=")</f>
        <v>#VALUE!</v>
      </c>
      <c r="DL90" t="e">
        <f>AND(Data!U232,"AAAAAH5vv3M=")</f>
        <v>#VALUE!</v>
      </c>
      <c r="DM90" t="e">
        <f>AND(Data!V232,"AAAAAH5vv3Q=")</f>
        <v>#VALUE!</v>
      </c>
      <c r="DN90" t="e">
        <f>AND(Data!W232,"AAAAAH5vv3U=")</f>
        <v>#VALUE!</v>
      </c>
      <c r="DO90" t="e">
        <f>AND(Data!X232,"AAAAAH5vv3Y=")</f>
        <v>#VALUE!</v>
      </c>
      <c r="DP90">
        <f>IF(Data!233:233,"AAAAAH5vv3c=",0)</f>
        <v>0</v>
      </c>
      <c r="DQ90" t="e">
        <f>AND(Data!A233,"AAAAAH5vv3g=")</f>
        <v>#VALUE!</v>
      </c>
      <c r="DR90" t="e">
        <f>AND(Data!B233,"AAAAAH5vv3k=")</f>
        <v>#VALUE!</v>
      </c>
      <c r="DS90" t="e">
        <f>AND(Data!C233,"AAAAAH5vv3o=")</f>
        <v>#VALUE!</v>
      </c>
      <c r="DT90" t="e">
        <f>AND(Data!D233,"AAAAAH5vv3s=")</f>
        <v>#VALUE!</v>
      </c>
      <c r="DU90" t="e">
        <f>AND(Data!E233,"AAAAAH5vv3w=")</f>
        <v>#VALUE!</v>
      </c>
      <c r="DV90" t="e">
        <f>AND(Data!F233,"AAAAAH5vv30=")</f>
        <v>#VALUE!</v>
      </c>
      <c r="DW90" t="e">
        <f>AND(Data!G233,"AAAAAH5vv34=")</f>
        <v>#VALUE!</v>
      </c>
      <c r="DX90" t="e">
        <f>AND(Data!H233,"AAAAAH5vv38=")</f>
        <v>#VALUE!</v>
      </c>
      <c r="DY90" t="e">
        <f>AND(Data!I233,"AAAAAH5vv4A=")</f>
        <v>#VALUE!</v>
      </c>
      <c r="DZ90" t="e">
        <f>AND(Data!J233,"AAAAAH5vv4E=")</f>
        <v>#VALUE!</v>
      </c>
      <c r="EA90" t="e">
        <f>AND(Data!K233,"AAAAAH5vv4I=")</f>
        <v>#VALUE!</v>
      </c>
      <c r="EB90" t="e">
        <f>AND(Data!L233,"AAAAAH5vv4M=")</f>
        <v>#VALUE!</v>
      </c>
      <c r="EC90" t="e">
        <f>AND(Data!M233,"AAAAAH5vv4Q=")</f>
        <v>#VALUE!</v>
      </c>
      <c r="ED90" t="e">
        <f>AND(Data!N233,"AAAAAH5vv4U=")</f>
        <v>#VALUE!</v>
      </c>
      <c r="EE90" t="e">
        <f>AND(Data!O233,"AAAAAH5vv4Y=")</f>
        <v>#VALUE!</v>
      </c>
      <c r="EF90" t="e">
        <f>AND(Data!P233,"AAAAAH5vv4c=")</f>
        <v>#VALUE!</v>
      </c>
      <c r="EG90" t="e">
        <f>AND(Data!Q233,"AAAAAH5vv4g=")</f>
        <v>#VALUE!</v>
      </c>
      <c r="EH90" t="e">
        <f>AND(Data!R233,"AAAAAH5vv4k=")</f>
        <v>#VALUE!</v>
      </c>
      <c r="EI90" t="e">
        <f>AND(Data!S233,"AAAAAH5vv4o=")</f>
        <v>#VALUE!</v>
      </c>
      <c r="EJ90" t="e">
        <f>AND(Data!T233,"AAAAAH5vv4s=")</f>
        <v>#VALUE!</v>
      </c>
      <c r="EK90" t="e">
        <f>AND(Data!U233,"AAAAAH5vv4w=")</f>
        <v>#VALUE!</v>
      </c>
      <c r="EL90" t="e">
        <f>AND(Data!V233,"AAAAAH5vv40=")</f>
        <v>#VALUE!</v>
      </c>
      <c r="EM90" t="e">
        <f>AND(Data!W233,"AAAAAH5vv44=")</f>
        <v>#VALUE!</v>
      </c>
      <c r="EN90" t="e">
        <f>AND(Data!X233,"AAAAAH5vv48=")</f>
        <v>#VALUE!</v>
      </c>
      <c r="EO90">
        <f>IF(Data!234:234,"AAAAAH5vv5A=",0)</f>
        <v>0</v>
      </c>
      <c r="EP90" t="e">
        <f>AND(Data!A234,"AAAAAH5vv5E=")</f>
        <v>#VALUE!</v>
      </c>
      <c r="EQ90" t="e">
        <f>AND(Data!B234,"AAAAAH5vv5I=")</f>
        <v>#VALUE!</v>
      </c>
      <c r="ER90" t="e">
        <f>AND(Data!C234,"AAAAAH5vv5M=")</f>
        <v>#VALUE!</v>
      </c>
      <c r="ES90" t="e">
        <f>AND(Data!D234,"AAAAAH5vv5Q=")</f>
        <v>#VALUE!</v>
      </c>
      <c r="ET90" t="e">
        <f>AND(Data!E234,"AAAAAH5vv5U=")</f>
        <v>#VALUE!</v>
      </c>
      <c r="EU90" t="e">
        <f>AND(Data!F234,"AAAAAH5vv5Y=")</f>
        <v>#VALUE!</v>
      </c>
      <c r="EV90" t="e">
        <f>AND(Data!G234,"AAAAAH5vv5c=")</f>
        <v>#VALUE!</v>
      </c>
      <c r="EW90" t="e">
        <f>AND(Data!H234,"AAAAAH5vv5g=")</f>
        <v>#VALUE!</v>
      </c>
      <c r="EX90" t="e">
        <f>AND(Data!I234,"AAAAAH5vv5k=")</f>
        <v>#VALUE!</v>
      </c>
      <c r="EY90" t="e">
        <f>AND(Data!J234,"AAAAAH5vv5o=")</f>
        <v>#VALUE!</v>
      </c>
      <c r="EZ90" t="e">
        <f>AND(Data!K234,"AAAAAH5vv5s=")</f>
        <v>#VALUE!</v>
      </c>
      <c r="FA90" t="e">
        <f>AND(Data!L234,"AAAAAH5vv5w=")</f>
        <v>#VALUE!</v>
      </c>
      <c r="FB90" t="e">
        <f>AND(Data!M234,"AAAAAH5vv50=")</f>
        <v>#VALUE!</v>
      </c>
      <c r="FC90" t="e">
        <f>AND(Data!N234,"AAAAAH5vv54=")</f>
        <v>#VALUE!</v>
      </c>
      <c r="FD90" t="e">
        <f>AND(Data!O234,"AAAAAH5vv58=")</f>
        <v>#VALUE!</v>
      </c>
      <c r="FE90" t="e">
        <f>AND(Data!P234,"AAAAAH5vv6A=")</f>
        <v>#VALUE!</v>
      </c>
      <c r="FF90" t="e">
        <f>AND(Data!Q234,"AAAAAH5vv6E=")</f>
        <v>#VALUE!</v>
      </c>
      <c r="FG90" t="e">
        <f>AND(Data!R234,"AAAAAH5vv6I=")</f>
        <v>#VALUE!</v>
      </c>
      <c r="FH90" t="e">
        <f>AND(Data!S234,"AAAAAH5vv6M=")</f>
        <v>#VALUE!</v>
      </c>
      <c r="FI90" t="e">
        <f>AND(Data!T234,"AAAAAH5vv6Q=")</f>
        <v>#VALUE!</v>
      </c>
      <c r="FJ90" t="e">
        <f>AND(Data!U234,"AAAAAH5vv6U=")</f>
        <v>#VALUE!</v>
      </c>
      <c r="FK90" t="e">
        <f>AND(Data!V234,"AAAAAH5vv6Y=")</f>
        <v>#VALUE!</v>
      </c>
      <c r="FL90" t="e">
        <f>AND(Data!W234,"AAAAAH5vv6c=")</f>
        <v>#VALUE!</v>
      </c>
      <c r="FM90" t="e">
        <f>AND(Data!X234,"AAAAAH5vv6g=")</f>
        <v>#VALUE!</v>
      </c>
      <c r="FN90">
        <f>IF(Data!235:235,"AAAAAH5vv6k=",0)</f>
        <v>0</v>
      </c>
      <c r="FO90" t="e">
        <f>AND(Data!A235,"AAAAAH5vv6o=")</f>
        <v>#VALUE!</v>
      </c>
      <c r="FP90" t="e">
        <f>AND(Data!B235,"AAAAAH5vv6s=")</f>
        <v>#VALUE!</v>
      </c>
      <c r="FQ90" t="e">
        <f>AND(Data!C235,"AAAAAH5vv6w=")</f>
        <v>#VALUE!</v>
      </c>
      <c r="FR90" t="e">
        <f>AND(Data!D235,"AAAAAH5vv60=")</f>
        <v>#VALUE!</v>
      </c>
      <c r="FS90" t="e">
        <f>AND(Data!E235,"AAAAAH5vv64=")</f>
        <v>#VALUE!</v>
      </c>
      <c r="FT90" t="e">
        <f>AND(Data!F235,"AAAAAH5vv68=")</f>
        <v>#VALUE!</v>
      </c>
      <c r="FU90" t="e">
        <f>AND(Data!G235,"AAAAAH5vv7A=")</f>
        <v>#VALUE!</v>
      </c>
      <c r="FV90" t="e">
        <f>AND(Data!H235,"AAAAAH5vv7E=")</f>
        <v>#VALUE!</v>
      </c>
      <c r="FW90" t="e">
        <f>AND(Data!I235,"AAAAAH5vv7I=")</f>
        <v>#VALUE!</v>
      </c>
      <c r="FX90" t="e">
        <f>AND(Data!J235,"AAAAAH5vv7M=")</f>
        <v>#VALUE!</v>
      </c>
      <c r="FY90" t="e">
        <f>AND(Data!K235,"AAAAAH5vv7Q=")</f>
        <v>#VALUE!</v>
      </c>
      <c r="FZ90" t="e">
        <f>AND(Data!L235,"AAAAAH5vv7U=")</f>
        <v>#VALUE!</v>
      </c>
      <c r="GA90" t="e">
        <f>AND(Data!M235,"AAAAAH5vv7Y=")</f>
        <v>#VALUE!</v>
      </c>
      <c r="GB90" t="e">
        <f>AND(Data!N235,"AAAAAH5vv7c=")</f>
        <v>#VALUE!</v>
      </c>
      <c r="GC90" t="e">
        <f>AND(Data!O235,"AAAAAH5vv7g=")</f>
        <v>#VALUE!</v>
      </c>
      <c r="GD90" t="e">
        <f>AND(Data!P235,"AAAAAH5vv7k=")</f>
        <v>#VALUE!</v>
      </c>
      <c r="GE90" t="e">
        <f>AND(Data!Q235,"AAAAAH5vv7o=")</f>
        <v>#VALUE!</v>
      </c>
      <c r="GF90" t="e">
        <f>AND(Data!R235,"AAAAAH5vv7s=")</f>
        <v>#VALUE!</v>
      </c>
      <c r="GG90" t="e">
        <f>AND(Data!S235,"AAAAAH5vv7w=")</f>
        <v>#VALUE!</v>
      </c>
      <c r="GH90" t="e">
        <f>AND(Data!T235,"AAAAAH5vv70=")</f>
        <v>#VALUE!</v>
      </c>
      <c r="GI90" t="e">
        <f>AND(Data!U235,"AAAAAH5vv74=")</f>
        <v>#VALUE!</v>
      </c>
      <c r="GJ90" t="e">
        <f>AND(Data!V235,"AAAAAH5vv78=")</f>
        <v>#VALUE!</v>
      </c>
      <c r="GK90" t="e">
        <f>AND(Data!W235,"AAAAAH5vv8A=")</f>
        <v>#VALUE!</v>
      </c>
      <c r="GL90" t="e">
        <f>AND(Data!X235,"AAAAAH5vv8E=")</f>
        <v>#VALUE!</v>
      </c>
      <c r="GM90">
        <f>IF(Data!236:236,"AAAAAH5vv8I=",0)</f>
        <v>0</v>
      </c>
      <c r="GN90" t="e">
        <f>AND(Data!A236,"AAAAAH5vv8M=")</f>
        <v>#VALUE!</v>
      </c>
      <c r="GO90" t="e">
        <f>AND(Data!B236,"AAAAAH5vv8Q=")</f>
        <v>#VALUE!</v>
      </c>
      <c r="GP90" t="e">
        <f>AND(Data!C236,"AAAAAH5vv8U=")</f>
        <v>#VALUE!</v>
      </c>
      <c r="GQ90" t="e">
        <f>AND(Data!D236,"AAAAAH5vv8Y=")</f>
        <v>#VALUE!</v>
      </c>
      <c r="GR90" t="e">
        <f>AND(Data!E236,"AAAAAH5vv8c=")</f>
        <v>#VALUE!</v>
      </c>
      <c r="GS90" t="e">
        <f>AND(Data!F236,"AAAAAH5vv8g=")</f>
        <v>#VALUE!</v>
      </c>
      <c r="GT90" t="e">
        <f>AND(Data!G236,"AAAAAH5vv8k=")</f>
        <v>#VALUE!</v>
      </c>
      <c r="GU90" t="e">
        <f>AND(Data!H236,"AAAAAH5vv8o=")</f>
        <v>#VALUE!</v>
      </c>
      <c r="GV90" t="e">
        <f>AND(Data!I236,"AAAAAH5vv8s=")</f>
        <v>#VALUE!</v>
      </c>
      <c r="GW90" t="e">
        <f>AND(Data!J236,"AAAAAH5vv8w=")</f>
        <v>#VALUE!</v>
      </c>
      <c r="GX90" t="e">
        <f>AND(Data!K236,"AAAAAH5vv80=")</f>
        <v>#VALUE!</v>
      </c>
      <c r="GY90" t="e">
        <f>AND(Data!L236,"AAAAAH5vv84=")</f>
        <v>#VALUE!</v>
      </c>
      <c r="GZ90" t="e">
        <f>AND(Data!M236,"AAAAAH5vv88=")</f>
        <v>#VALUE!</v>
      </c>
      <c r="HA90" t="e">
        <f>AND(Data!N236,"AAAAAH5vv9A=")</f>
        <v>#VALUE!</v>
      </c>
      <c r="HB90" t="e">
        <f>AND(Data!O236,"AAAAAH5vv9E=")</f>
        <v>#VALUE!</v>
      </c>
      <c r="HC90" t="e">
        <f>AND(Data!P236,"AAAAAH5vv9I=")</f>
        <v>#VALUE!</v>
      </c>
      <c r="HD90" t="e">
        <f>AND(Data!Q236,"AAAAAH5vv9M=")</f>
        <v>#VALUE!</v>
      </c>
      <c r="HE90" t="e">
        <f>AND(Data!R236,"AAAAAH5vv9Q=")</f>
        <v>#VALUE!</v>
      </c>
      <c r="HF90" t="e">
        <f>AND(Data!S236,"AAAAAH5vv9U=")</f>
        <v>#VALUE!</v>
      </c>
      <c r="HG90" t="e">
        <f>AND(Data!T236,"AAAAAH5vv9Y=")</f>
        <v>#VALUE!</v>
      </c>
      <c r="HH90" t="e">
        <f>AND(Data!U236,"AAAAAH5vv9c=")</f>
        <v>#VALUE!</v>
      </c>
      <c r="HI90" t="e">
        <f>AND(Data!V236,"AAAAAH5vv9g=")</f>
        <v>#VALUE!</v>
      </c>
      <c r="HJ90" t="e">
        <f>AND(Data!W236,"AAAAAH5vv9k=")</f>
        <v>#VALUE!</v>
      </c>
      <c r="HK90" t="e">
        <f>AND(Data!X236,"AAAAAH5vv9o=")</f>
        <v>#VALUE!</v>
      </c>
      <c r="HL90">
        <f>IF(Data!237:237,"AAAAAH5vv9s=",0)</f>
        <v>0</v>
      </c>
      <c r="HM90" t="e">
        <f>AND(Data!A237,"AAAAAH5vv9w=")</f>
        <v>#VALUE!</v>
      </c>
      <c r="HN90" t="e">
        <f>AND(Data!B237,"AAAAAH5vv90=")</f>
        <v>#VALUE!</v>
      </c>
      <c r="HO90" t="e">
        <f>AND(Data!C237,"AAAAAH5vv94=")</f>
        <v>#VALUE!</v>
      </c>
      <c r="HP90" t="e">
        <f>AND(Data!D237,"AAAAAH5vv98=")</f>
        <v>#VALUE!</v>
      </c>
      <c r="HQ90" t="e">
        <f>AND(Data!E237,"AAAAAH5vv+A=")</f>
        <v>#VALUE!</v>
      </c>
      <c r="HR90" t="e">
        <f>AND(Data!F237,"AAAAAH5vv+E=")</f>
        <v>#VALUE!</v>
      </c>
      <c r="HS90" t="e">
        <f>AND(Data!G237,"AAAAAH5vv+I=")</f>
        <v>#VALUE!</v>
      </c>
      <c r="HT90" t="e">
        <f>AND(Data!H237,"AAAAAH5vv+M=")</f>
        <v>#VALUE!</v>
      </c>
      <c r="HU90" t="e">
        <f>AND(Data!I237,"AAAAAH5vv+Q=")</f>
        <v>#VALUE!</v>
      </c>
      <c r="HV90" t="e">
        <f>AND(Data!J237,"AAAAAH5vv+U=")</f>
        <v>#VALUE!</v>
      </c>
      <c r="HW90" t="e">
        <f>AND(Data!K237,"AAAAAH5vv+Y=")</f>
        <v>#VALUE!</v>
      </c>
      <c r="HX90" t="e">
        <f>AND(Data!L237,"AAAAAH5vv+c=")</f>
        <v>#VALUE!</v>
      </c>
      <c r="HY90" t="e">
        <f>AND(Data!M237,"AAAAAH5vv+g=")</f>
        <v>#VALUE!</v>
      </c>
      <c r="HZ90" t="e">
        <f>AND(Data!N237,"AAAAAH5vv+k=")</f>
        <v>#VALUE!</v>
      </c>
      <c r="IA90" t="e">
        <f>AND(Data!O237,"AAAAAH5vv+o=")</f>
        <v>#VALUE!</v>
      </c>
      <c r="IB90" t="e">
        <f>AND(Data!P237,"AAAAAH5vv+s=")</f>
        <v>#VALUE!</v>
      </c>
      <c r="IC90" t="e">
        <f>AND(Data!Q237,"AAAAAH5vv+w=")</f>
        <v>#VALUE!</v>
      </c>
      <c r="ID90" t="e">
        <f>AND(Data!R237,"AAAAAH5vv+0=")</f>
        <v>#VALUE!</v>
      </c>
      <c r="IE90" t="e">
        <f>AND(Data!S237,"AAAAAH5vv+4=")</f>
        <v>#VALUE!</v>
      </c>
      <c r="IF90" t="e">
        <f>AND(Data!T237,"AAAAAH5vv+8=")</f>
        <v>#VALUE!</v>
      </c>
      <c r="IG90" t="e">
        <f>AND(Data!U237,"AAAAAH5vv/A=")</f>
        <v>#VALUE!</v>
      </c>
      <c r="IH90" t="e">
        <f>AND(Data!V237,"AAAAAH5vv/E=")</f>
        <v>#VALUE!</v>
      </c>
      <c r="II90" t="e">
        <f>AND(Data!W237,"AAAAAH5vv/I=")</f>
        <v>#VALUE!</v>
      </c>
      <c r="IJ90" t="e">
        <f>AND(Data!X237,"AAAAAH5vv/M=")</f>
        <v>#VALUE!</v>
      </c>
      <c r="IK90">
        <f>IF(Data!238:238,"AAAAAH5vv/Q=",0)</f>
        <v>0</v>
      </c>
      <c r="IL90" t="e">
        <f>AND(Data!A238,"AAAAAH5vv/U=")</f>
        <v>#VALUE!</v>
      </c>
      <c r="IM90" t="e">
        <f>AND(Data!B238,"AAAAAH5vv/Y=")</f>
        <v>#VALUE!</v>
      </c>
      <c r="IN90" t="e">
        <f>AND(Data!C238,"AAAAAH5vv/c=")</f>
        <v>#VALUE!</v>
      </c>
      <c r="IO90" t="e">
        <f>AND(Data!D238,"AAAAAH5vv/g=")</f>
        <v>#VALUE!</v>
      </c>
      <c r="IP90" t="e">
        <f>AND(Data!E238,"AAAAAH5vv/k=")</f>
        <v>#VALUE!</v>
      </c>
      <c r="IQ90" t="e">
        <f>AND(Data!F238,"AAAAAH5vv/o=")</f>
        <v>#VALUE!</v>
      </c>
      <c r="IR90" t="e">
        <f>AND(Data!G238,"AAAAAH5vv/s=")</f>
        <v>#VALUE!</v>
      </c>
      <c r="IS90" t="e">
        <f>AND(Data!H238,"AAAAAH5vv/w=")</f>
        <v>#VALUE!</v>
      </c>
      <c r="IT90" t="e">
        <f>AND(Data!I238,"AAAAAH5vv/0=")</f>
        <v>#VALUE!</v>
      </c>
      <c r="IU90" t="e">
        <f>AND(Data!J238,"AAAAAH5vv/4=")</f>
        <v>#VALUE!</v>
      </c>
      <c r="IV90" t="e">
        <f>AND(Data!K238,"AAAAAH5vv/8=")</f>
        <v>#VALUE!</v>
      </c>
    </row>
    <row r="91" spans="1:256" x14ac:dyDescent="0.2">
      <c r="A91" t="e">
        <f>AND(Data!L238,"AAAAAG3+3wA=")</f>
        <v>#VALUE!</v>
      </c>
      <c r="B91" t="e">
        <f>AND(Data!M238,"AAAAAG3+3wE=")</f>
        <v>#VALUE!</v>
      </c>
      <c r="C91" t="e">
        <f>AND(Data!N238,"AAAAAG3+3wI=")</f>
        <v>#VALUE!</v>
      </c>
      <c r="D91" t="e">
        <f>AND(Data!O238,"AAAAAG3+3wM=")</f>
        <v>#VALUE!</v>
      </c>
      <c r="E91" t="e">
        <f>AND(Data!P238,"AAAAAG3+3wQ=")</f>
        <v>#VALUE!</v>
      </c>
      <c r="F91" t="e">
        <f>AND(Data!Q238,"AAAAAG3+3wU=")</f>
        <v>#VALUE!</v>
      </c>
      <c r="G91" t="e">
        <f>AND(Data!R238,"AAAAAG3+3wY=")</f>
        <v>#VALUE!</v>
      </c>
      <c r="H91" t="e">
        <f>AND(Data!S238,"AAAAAG3+3wc=")</f>
        <v>#VALUE!</v>
      </c>
      <c r="I91" t="e">
        <f>AND(Data!T238,"AAAAAG3+3wg=")</f>
        <v>#VALUE!</v>
      </c>
      <c r="J91" t="e">
        <f>AND(Data!U238,"AAAAAG3+3wk=")</f>
        <v>#VALUE!</v>
      </c>
      <c r="K91" t="e">
        <f>AND(Data!V238,"AAAAAG3+3wo=")</f>
        <v>#VALUE!</v>
      </c>
      <c r="L91" t="e">
        <f>AND(Data!W238,"AAAAAG3+3ws=")</f>
        <v>#VALUE!</v>
      </c>
      <c r="M91" t="e">
        <f>AND(Data!X238,"AAAAAG3+3ww=")</f>
        <v>#VALUE!</v>
      </c>
      <c r="N91" t="str">
        <f>IF(Data!239:239,"AAAAAG3+3w0=",0)</f>
        <v>AAAAAG3+3w0=</v>
      </c>
      <c r="O91" t="e">
        <f>AND(Data!A239,"AAAAAG3+3w4=")</f>
        <v>#VALUE!</v>
      </c>
      <c r="P91" t="e">
        <f>AND(Data!B239,"AAAAAG3+3w8=")</f>
        <v>#VALUE!</v>
      </c>
      <c r="Q91" t="e">
        <f>AND(Data!C239,"AAAAAG3+3xA=")</f>
        <v>#VALUE!</v>
      </c>
      <c r="R91" t="e">
        <f>AND(Data!D239,"AAAAAG3+3xE=")</f>
        <v>#VALUE!</v>
      </c>
      <c r="S91" t="e">
        <f>AND(Data!E239,"AAAAAG3+3xI=")</f>
        <v>#VALUE!</v>
      </c>
      <c r="T91" t="e">
        <f>AND(Data!F239,"AAAAAG3+3xM=")</f>
        <v>#VALUE!</v>
      </c>
      <c r="U91" t="e">
        <f>AND(Data!G239,"AAAAAG3+3xQ=")</f>
        <v>#VALUE!</v>
      </c>
      <c r="V91" t="e">
        <f>AND(Data!H239,"AAAAAG3+3xU=")</f>
        <v>#VALUE!</v>
      </c>
      <c r="W91" t="e">
        <f>AND(Data!I239,"AAAAAG3+3xY=")</f>
        <v>#VALUE!</v>
      </c>
      <c r="X91" t="e">
        <f>AND(Data!J239,"AAAAAG3+3xc=")</f>
        <v>#VALUE!</v>
      </c>
      <c r="Y91" t="e">
        <f>AND(Data!K239,"AAAAAG3+3xg=")</f>
        <v>#VALUE!</v>
      </c>
      <c r="Z91" t="e">
        <f>AND(Data!L239,"AAAAAG3+3xk=")</f>
        <v>#VALUE!</v>
      </c>
      <c r="AA91" t="e">
        <f>AND(Data!M239,"AAAAAG3+3xo=")</f>
        <v>#VALUE!</v>
      </c>
      <c r="AB91" t="e">
        <f>AND(Data!N239,"AAAAAG3+3xs=")</f>
        <v>#VALUE!</v>
      </c>
      <c r="AC91" t="e">
        <f>AND(Data!O239,"AAAAAG3+3xw=")</f>
        <v>#VALUE!</v>
      </c>
      <c r="AD91" t="e">
        <f>AND(Data!P239,"AAAAAG3+3x0=")</f>
        <v>#VALUE!</v>
      </c>
      <c r="AE91" t="e">
        <f>AND(Data!Q239,"AAAAAG3+3x4=")</f>
        <v>#VALUE!</v>
      </c>
      <c r="AF91" t="e">
        <f>AND(Data!R239,"AAAAAG3+3x8=")</f>
        <v>#VALUE!</v>
      </c>
      <c r="AG91" t="e">
        <f>AND(Data!S239,"AAAAAG3+3yA=")</f>
        <v>#VALUE!</v>
      </c>
      <c r="AH91" t="e">
        <f>AND(Data!T239,"AAAAAG3+3yE=")</f>
        <v>#VALUE!</v>
      </c>
      <c r="AI91" t="e">
        <f>AND(Data!U239,"AAAAAG3+3yI=")</f>
        <v>#VALUE!</v>
      </c>
      <c r="AJ91" t="e">
        <f>AND(Data!V239,"AAAAAG3+3yM=")</f>
        <v>#VALUE!</v>
      </c>
      <c r="AK91" t="e">
        <f>AND(Data!W239,"AAAAAG3+3yQ=")</f>
        <v>#VALUE!</v>
      </c>
      <c r="AL91" t="e">
        <f>AND(Data!X239,"AAAAAG3+3yU=")</f>
        <v>#VALUE!</v>
      </c>
      <c r="AM91">
        <f>IF(Data!240:240,"AAAAAG3+3yY=",0)</f>
        <v>0</v>
      </c>
      <c r="AN91" t="e">
        <f>AND(Data!A240,"AAAAAG3+3yc=")</f>
        <v>#VALUE!</v>
      </c>
      <c r="AO91" t="e">
        <f>AND(Data!B240,"AAAAAG3+3yg=")</f>
        <v>#VALUE!</v>
      </c>
      <c r="AP91" t="e">
        <f>AND(Data!C240,"AAAAAG3+3yk=")</f>
        <v>#VALUE!</v>
      </c>
      <c r="AQ91" t="e">
        <f>AND(Data!D240,"AAAAAG3+3yo=")</f>
        <v>#VALUE!</v>
      </c>
      <c r="AR91" t="e">
        <f>AND(Data!E240,"AAAAAG3+3ys=")</f>
        <v>#VALUE!</v>
      </c>
      <c r="AS91" t="e">
        <f>AND(Data!F240,"AAAAAG3+3yw=")</f>
        <v>#VALUE!</v>
      </c>
      <c r="AT91" t="e">
        <f>AND(Data!G240,"AAAAAG3+3y0=")</f>
        <v>#VALUE!</v>
      </c>
      <c r="AU91" t="e">
        <f>AND(Data!H240,"AAAAAG3+3y4=")</f>
        <v>#VALUE!</v>
      </c>
      <c r="AV91" t="e">
        <f>AND(Data!I240,"AAAAAG3+3y8=")</f>
        <v>#VALUE!</v>
      </c>
      <c r="AW91" t="e">
        <f>AND(Data!J240,"AAAAAG3+3zA=")</f>
        <v>#VALUE!</v>
      </c>
      <c r="AX91" t="e">
        <f>AND(Data!K240,"AAAAAG3+3zE=")</f>
        <v>#VALUE!</v>
      </c>
      <c r="AY91" t="e">
        <f>AND(Data!L240,"AAAAAG3+3zI=")</f>
        <v>#VALUE!</v>
      </c>
      <c r="AZ91" t="e">
        <f>AND(Data!M240,"AAAAAG3+3zM=")</f>
        <v>#VALUE!</v>
      </c>
      <c r="BA91" t="e">
        <f>AND(Data!N240,"AAAAAG3+3zQ=")</f>
        <v>#VALUE!</v>
      </c>
      <c r="BB91" t="e">
        <f>AND(Data!O240,"AAAAAG3+3zU=")</f>
        <v>#VALUE!</v>
      </c>
      <c r="BC91" t="e">
        <f>AND(Data!P240,"AAAAAG3+3zY=")</f>
        <v>#VALUE!</v>
      </c>
      <c r="BD91" t="e">
        <f>AND(Data!Q240,"AAAAAG3+3zc=")</f>
        <v>#VALUE!</v>
      </c>
      <c r="BE91" t="e">
        <f>AND(Data!R240,"AAAAAG3+3zg=")</f>
        <v>#VALUE!</v>
      </c>
      <c r="BF91" t="e">
        <f>AND(Data!S240,"AAAAAG3+3zk=")</f>
        <v>#VALUE!</v>
      </c>
      <c r="BG91" t="e">
        <f>AND(Data!T240,"AAAAAG3+3zo=")</f>
        <v>#VALUE!</v>
      </c>
      <c r="BH91" t="e">
        <f>AND(Data!U240,"AAAAAG3+3zs=")</f>
        <v>#VALUE!</v>
      </c>
      <c r="BI91" t="e">
        <f>AND(Data!V240,"AAAAAG3+3zw=")</f>
        <v>#VALUE!</v>
      </c>
      <c r="BJ91" t="e">
        <f>AND(Data!W240,"AAAAAG3+3z0=")</f>
        <v>#VALUE!</v>
      </c>
      <c r="BK91" t="e">
        <f>AND(Data!X240,"AAAAAG3+3z4=")</f>
        <v>#VALUE!</v>
      </c>
      <c r="BL91">
        <f>IF(Data!241:241,"AAAAAG3+3z8=",0)</f>
        <v>0</v>
      </c>
      <c r="BM91" t="e">
        <f>AND(Data!A241,"AAAAAG3+30A=")</f>
        <v>#VALUE!</v>
      </c>
      <c r="BN91" t="e">
        <f>AND(Data!B241,"AAAAAG3+30E=")</f>
        <v>#VALUE!</v>
      </c>
      <c r="BO91" t="e">
        <f>AND(Data!C241,"AAAAAG3+30I=")</f>
        <v>#VALUE!</v>
      </c>
      <c r="BP91" t="e">
        <f>AND(Data!D241,"AAAAAG3+30M=")</f>
        <v>#VALUE!</v>
      </c>
      <c r="BQ91" t="e">
        <f>AND(Data!E241,"AAAAAG3+30Q=")</f>
        <v>#VALUE!</v>
      </c>
      <c r="BR91" t="e">
        <f>AND(Data!F241,"AAAAAG3+30U=")</f>
        <v>#VALUE!</v>
      </c>
      <c r="BS91" t="e">
        <f>AND(Data!G241,"AAAAAG3+30Y=")</f>
        <v>#VALUE!</v>
      </c>
      <c r="BT91" t="e">
        <f>AND(Data!H241,"AAAAAG3+30c=")</f>
        <v>#VALUE!</v>
      </c>
      <c r="BU91" t="e">
        <f>AND(Data!I241,"AAAAAG3+30g=")</f>
        <v>#VALUE!</v>
      </c>
      <c r="BV91" t="e">
        <f>AND(Data!J241,"AAAAAG3+30k=")</f>
        <v>#VALUE!</v>
      </c>
      <c r="BW91" t="e">
        <f>AND(Data!K241,"AAAAAG3+30o=")</f>
        <v>#VALUE!</v>
      </c>
      <c r="BX91" t="e">
        <f>AND(Data!L241,"AAAAAG3+30s=")</f>
        <v>#VALUE!</v>
      </c>
      <c r="BY91" t="e">
        <f>AND(Data!M241,"AAAAAG3+30w=")</f>
        <v>#VALUE!</v>
      </c>
      <c r="BZ91" t="e">
        <f>AND(Data!N241,"AAAAAG3+300=")</f>
        <v>#VALUE!</v>
      </c>
      <c r="CA91" t="e">
        <f>AND(Data!O241,"AAAAAG3+304=")</f>
        <v>#VALUE!</v>
      </c>
      <c r="CB91" t="e">
        <f>AND(Data!P241,"AAAAAG3+308=")</f>
        <v>#VALUE!</v>
      </c>
      <c r="CC91" t="e">
        <f>AND(Data!Q241,"AAAAAG3+31A=")</f>
        <v>#VALUE!</v>
      </c>
      <c r="CD91" t="e">
        <f>AND(Data!R241,"AAAAAG3+31E=")</f>
        <v>#VALUE!</v>
      </c>
      <c r="CE91" t="e">
        <f>AND(Data!S241,"AAAAAG3+31I=")</f>
        <v>#VALUE!</v>
      </c>
      <c r="CF91" t="e">
        <f>AND(Data!T241,"AAAAAG3+31M=")</f>
        <v>#VALUE!</v>
      </c>
      <c r="CG91" t="e">
        <f>AND(Data!U241,"AAAAAG3+31Q=")</f>
        <v>#VALUE!</v>
      </c>
      <c r="CH91" t="e">
        <f>AND(Data!V241,"AAAAAG3+31U=")</f>
        <v>#VALUE!</v>
      </c>
      <c r="CI91" t="e">
        <f>AND(Data!W241,"AAAAAG3+31Y=")</f>
        <v>#VALUE!</v>
      </c>
      <c r="CJ91" t="e">
        <f>AND(Data!X241,"AAAAAG3+31c=")</f>
        <v>#VALUE!</v>
      </c>
      <c r="CK91">
        <f>IF(Data!242:242,"AAAAAG3+31g=",0)</f>
        <v>0</v>
      </c>
      <c r="CL91" t="e">
        <f>AND(Data!A242,"AAAAAG3+31k=")</f>
        <v>#VALUE!</v>
      </c>
      <c r="CM91" t="e">
        <f>AND(Data!B242,"AAAAAG3+31o=")</f>
        <v>#VALUE!</v>
      </c>
      <c r="CN91" t="e">
        <f>AND(Data!C242,"AAAAAG3+31s=")</f>
        <v>#VALUE!</v>
      </c>
      <c r="CO91" t="e">
        <f>AND(Data!D242,"AAAAAG3+31w=")</f>
        <v>#VALUE!</v>
      </c>
      <c r="CP91" t="e">
        <f>AND(Data!E242,"AAAAAG3+310=")</f>
        <v>#VALUE!</v>
      </c>
      <c r="CQ91" t="e">
        <f>AND(Data!F242,"AAAAAG3+314=")</f>
        <v>#VALUE!</v>
      </c>
      <c r="CR91" t="e">
        <f>AND(Data!G242,"AAAAAG3+318=")</f>
        <v>#VALUE!</v>
      </c>
      <c r="CS91" t="e">
        <f>AND(Data!H242,"AAAAAG3+32A=")</f>
        <v>#VALUE!</v>
      </c>
      <c r="CT91" t="e">
        <f>AND(Data!I242,"AAAAAG3+32E=")</f>
        <v>#VALUE!</v>
      </c>
      <c r="CU91" t="e">
        <f>AND(Data!J242,"AAAAAG3+32I=")</f>
        <v>#VALUE!</v>
      </c>
      <c r="CV91" t="e">
        <f>AND(Data!K242,"AAAAAG3+32M=")</f>
        <v>#VALUE!</v>
      </c>
      <c r="CW91" t="e">
        <f>AND(Data!L242,"AAAAAG3+32Q=")</f>
        <v>#VALUE!</v>
      </c>
      <c r="CX91" t="e">
        <f>AND(Data!M242,"AAAAAG3+32U=")</f>
        <v>#VALUE!</v>
      </c>
      <c r="CY91" t="e">
        <f>AND(Data!N242,"AAAAAG3+32Y=")</f>
        <v>#VALUE!</v>
      </c>
      <c r="CZ91" t="e">
        <f>AND(Data!O242,"AAAAAG3+32c=")</f>
        <v>#VALUE!</v>
      </c>
      <c r="DA91" t="e">
        <f>AND(Data!P242,"AAAAAG3+32g=")</f>
        <v>#VALUE!</v>
      </c>
      <c r="DB91" t="e">
        <f>AND(Data!Q242,"AAAAAG3+32k=")</f>
        <v>#VALUE!</v>
      </c>
      <c r="DC91" t="e">
        <f>AND(Data!R242,"AAAAAG3+32o=")</f>
        <v>#VALUE!</v>
      </c>
      <c r="DD91" t="e">
        <f>AND(Data!S242,"AAAAAG3+32s=")</f>
        <v>#VALUE!</v>
      </c>
      <c r="DE91" t="e">
        <f>AND(Data!T242,"AAAAAG3+32w=")</f>
        <v>#VALUE!</v>
      </c>
      <c r="DF91" t="e">
        <f>AND(Data!U242,"AAAAAG3+320=")</f>
        <v>#VALUE!</v>
      </c>
      <c r="DG91" t="e">
        <f>AND(Data!V242,"AAAAAG3+324=")</f>
        <v>#VALUE!</v>
      </c>
      <c r="DH91" t="e">
        <f>AND(Data!W242,"AAAAAG3+328=")</f>
        <v>#VALUE!</v>
      </c>
      <c r="DI91" t="e">
        <f>AND(Data!X242,"AAAAAG3+33A=")</f>
        <v>#VALUE!</v>
      </c>
      <c r="DJ91">
        <f>IF(Data!243:243,"AAAAAG3+33E=",0)</f>
        <v>0</v>
      </c>
      <c r="DK91" t="e">
        <f>AND(Data!A243,"AAAAAG3+33I=")</f>
        <v>#VALUE!</v>
      </c>
      <c r="DL91" t="e">
        <f>AND(Data!B243,"AAAAAG3+33M=")</f>
        <v>#VALUE!</v>
      </c>
      <c r="DM91" t="e">
        <f>AND(Data!C243,"AAAAAG3+33Q=")</f>
        <v>#VALUE!</v>
      </c>
      <c r="DN91" t="e">
        <f>AND(Data!D243,"AAAAAG3+33U=")</f>
        <v>#VALUE!</v>
      </c>
      <c r="DO91" t="e">
        <f>AND(Data!E243,"AAAAAG3+33Y=")</f>
        <v>#VALUE!</v>
      </c>
      <c r="DP91" t="e">
        <f>AND(Data!F243,"AAAAAG3+33c=")</f>
        <v>#VALUE!</v>
      </c>
      <c r="DQ91" t="e">
        <f>AND(Data!G243,"AAAAAG3+33g=")</f>
        <v>#VALUE!</v>
      </c>
      <c r="DR91" t="e">
        <f>AND(Data!H243,"AAAAAG3+33k=")</f>
        <v>#VALUE!</v>
      </c>
      <c r="DS91" t="e">
        <f>AND(Data!I243,"AAAAAG3+33o=")</f>
        <v>#VALUE!</v>
      </c>
      <c r="DT91" t="e">
        <f>AND(Data!J243,"AAAAAG3+33s=")</f>
        <v>#VALUE!</v>
      </c>
      <c r="DU91" t="e">
        <f>AND(Data!K243,"AAAAAG3+33w=")</f>
        <v>#VALUE!</v>
      </c>
      <c r="DV91" t="e">
        <f>AND(Data!L243,"AAAAAG3+330=")</f>
        <v>#VALUE!</v>
      </c>
      <c r="DW91" t="e">
        <f>AND(Data!M243,"AAAAAG3+334=")</f>
        <v>#VALUE!</v>
      </c>
      <c r="DX91" t="e">
        <f>AND(Data!N243,"AAAAAG3+338=")</f>
        <v>#VALUE!</v>
      </c>
      <c r="DY91" t="e">
        <f>AND(Data!O243,"AAAAAG3+34A=")</f>
        <v>#VALUE!</v>
      </c>
      <c r="DZ91" t="e">
        <f>AND(Data!P243,"AAAAAG3+34E=")</f>
        <v>#VALUE!</v>
      </c>
      <c r="EA91" t="e">
        <f>AND(Data!Q243,"AAAAAG3+34I=")</f>
        <v>#VALUE!</v>
      </c>
      <c r="EB91" t="e">
        <f>AND(Data!R243,"AAAAAG3+34M=")</f>
        <v>#VALUE!</v>
      </c>
      <c r="EC91" t="e">
        <f>AND(Data!S243,"AAAAAG3+34Q=")</f>
        <v>#VALUE!</v>
      </c>
      <c r="ED91" t="e">
        <f>AND(Data!T243,"AAAAAG3+34U=")</f>
        <v>#VALUE!</v>
      </c>
      <c r="EE91" t="e">
        <f>AND(Data!U243,"AAAAAG3+34Y=")</f>
        <v>#VALUE!</v>
      </c>
      <c r="EF91" t="e">
        <f>AND(Data!V243,"AAAAAG3+34c=")</f>
        <v>#VALUE!</v>
      </c>
      <c r="EG91" t="e">
        <f>AND(Data!W243,"AAAAAG3+34g=")</f>
        <v>#VALUE!</v>
      </c>
      <c r="EH91" t="e">
        <f>AND(Data!X243,"AAAAAG3+34k=")</f>
        <v>#VALUE!</v>
      </c>
      <c r="EI91">
        <f>IF(Data!244:244,"AAAAAG3+34o=",0)</f>
        <v>0</v>
      </c>
      <c r="EJ91" t="e">
        <f>AND(Data!A244,"AAAAAG3+34s=")</f>
        <v>#VALUE!</v>
      </c>
      <c r="EK91" t="e">
        <f>AND(Data!B244,"AAAAAG3+34w=")</f>
        <v>#VALUE!</v>
      </c>
      <c r="EL91" t="e">
        <f>AND(Data!C244,"AAAAAG3+340=")</f>
        <v>#VALUE!</v>
      </c>
      <c r="EM91" t="e">
        <f>AND(Data!D244,"AAAAAG3+344=")</f>
        <v>#VALUE!</v>
      </c>
      <c r="EN91" t="e">
        <f>AND(Data!E244,"AAAAAG3+348=")</f>
        <v>#VALUE!</v>
      </c>
      <c r="EO91" t="e">
        <f>AND(Data!F244,"AAAAAG3+35A=")</f>
        <v>#VALUE!</v>
      </c>
      <c r="EP91" t="e">
        <f>AND(Data!G244,"AAAAAG3+35E=")</f>
        <v>#VALUE!</v>
      </c>
      <c r="EQ91" t="e">
        <f>AND(Data!H244,"AAAAAG3+35I=")</f>
        <v>#VALUE!</v>
      </c>
      <c r="ER91" t="e">
        <f>AND(Data!I244,"AAAAAG3+35M=")</f>
        <v>#VALUE!</v>
      </c>
      <c r="ES91" t="e">
        <f>AND(Data!J244,"AAAAAG3+35Q=")</f>
        <v>#VALUE!</v>
      </c>
      <c r="ET91" t="e">
        <f>AND(Data!K244,"AAAAAG3+35U=")</f>
        <v>#VALUE!</v>
      </c>
      <c r="EU91" t="e">
        <f>AND(Data!L244,"AAAAAG3+35Y=")</f>
        <v>#VALUE!</v>
      </c>
      <c r="EV91" t="e">
        <f>AND(Data!M244,"AAAAAG3+35c=")</f>
        <v>#VALUE!</v>
      </c>
      <c r="EW91" t="e">
        <f>AND(Data!N244,"AAAAAG3+35g=")</f>
        <v>#VALUE!</v>
      </c>
      <c r="EX91" t="e">
        <f>AND(Data!O244,"AAAAAG3+35k=")</f>
        <v>#VALUE!</v>
      </c>
      <c r="EY91" t="e">
        <f>AND(Data!P244,"AAAAAG3+35o=")</f>
        <v>#VALUE!</v>
      </c>
      <c r="EZ91" t="e">
        <f>AND(Data!Q244,"AAAAAG3+35s=")</f>
        <v>#VALUE!</v>
      </c>
      <c r="FA91" t="e">
        <f>AND(Data!R244,"AAAAAG3+35w=")</f>
        <v>#VALUE!</v>
      </c>
      <c r="FB91" t="e">
        <f>AND(Data!S244,"AAAAAG3+350=")</f>
        <v>#VALUE!</v>
      </c>
      <c r="FC91" t="e">
        <f>AND(Data!T244,"AAAAAG3+354=")</f>
        <v>#VALUE!</v>
      </c>
      <c r="FD91" t="e">
        <f>AND(Data!U244,"AAAAAG3+358=")</f>
        <v>#VALUE!</v>
      </c>
      <c r="FE91" t="e">
        <f>AND(Data!V244,"AAAAAG3+36A=")</f>
        <v>#VALUE!</v>
      </c>
      <c r="FF91" t="e">
        <f>AND(Data!W244,"AAAAAG3+36E=")</f>
        <v>#VALUE!</v>
      </c>
      <c r="FG91" t="e">
        <f>AND(Data!X244,"AAAAAG3+36I=")</f>
        <v>#VALUE!</v>
      </c>
      <c r="FH91">
        <f>IF(Data!245:245,"AAAAAG3+36M=",0)</f>
        <v>0</v>
      </c>
      <c r="FI91" t="e">
        <f>AND(Data!A245,"AAAAAG3+36Q=")</f>
        <v>#VALUE!</v>
      </c>
      <c r="FJ91" t="e">
        <f>AND(Data!B245,"AAAAAG3+36U=")</f>
        <v>#VALUE!</v>
      </c>
      <c r="FK91" t="e">
        <f>AND(Data!C245,"AAAAAG3+36Y=")</f>
        <v>#VALUE!</v>
      </c>
      <c r="FL91" t="e">
        <f>AND(Data!D245,"AAAAAG3+36c=")</f>
        <v>#VALUE!</v>
      </c>
      <c r="FM91" t="e">
        <f>AND(Data!E245,"AAAAAG3+36g=")</f>
        <v>#VALUE!</v>
      </c>
      <c r="FN91" t="e">
        <f>AND(Data!F245,"AAAAAG3+36k=")</f>
        <v>#VALUE!</v>
      </c>
      <c r="FO91" t="e">
        <f>AND(Data!G245,"AAAAAG3+36o=")</f>
        <v>#VALUE!</v>
      </c>
      <c r="FP91" t="e">
        <f>AND(Data!H245,"AAAAAG3+36s=")</f>
        <v>#VALUE!</v>
      </c>
      <c r="FQ91" t="e">
        <f>AND(Data!I245,"AAAAAG3+36w=")</f>
        <v>#VALUE!</v>
      </c>
      <c r="FR91" t="e">
        <f>AND(Data!J245,"AAAAAG3+360=")</f>
        <v>#VALUE!</v>
      </c>
      <c r="FS91" t="e">
        <f>AND(Data!K245,"AAAAAG3+364=")</f>
        <v>#VALUE!</v>
      </c>
      <c r="FT91" t="e">
        <f>AND(Data!L245,"AAAAAG3+368=")</f>
        <v>#VALUE!</v>
      </c>
      <c r="FU91" t="e">
        <f>AND(Data!M245,"AAAAAG3+37A=")</f>
        <v>#VALUE!</v>
      </c>
      <c r="FV91" t="e">
        <f>AND(Data!N245,"AAAAAG3+37E=")</f>
        <v>#VALUE!</v>
      </c>
      <c r="FW91" t="e">
        <f>AND(Data!O245,"AAAAAG3+37I=")</f>
        <v>#VALUE!</v>
      </c>
      <c r="FX91" t="e">
        <f>AND(Data!P245,"AAAAAG3+37M=")</f>
        <v>#VALUE!</v>
      </c>
      <c r="FY91" t="e">
        <f>AND(Data!Q245,"AAAAAG3+37Q=")</f>
        <v>#VALUE!</v>
      </c>
      <c r="FZ91" t="e">
        <f>AND(Data!R245,"AAAAAG3+37U=")</f>
        <v>#VALUE!</v>
      </c>
      <c r="GA91" t="e">
        <f>AND(Data!S245,"AAAAAG3+37Y=")</f>
        <v>#VALUE!</v>
      </c>
      <c r="GB91" t="e">
        <f>AND(Data!T245,"AAAAAG3+37c=")</f>
        <v>#VALUE!</v>
      </c>
      <c r="GC91" t="e">
        <f>AND(Data!U245,"AAAAAG3+37g=")</f>
        <v>#VALUE!</v>
      </c>
      <c r="GD91" t="e">
        <f>AND(Data!V245,"AAAAAG3+37k=")</f>
        <v>#VALUE!</v>
      </c>
      <c r="GE91" t="e">
        <f>AND(Data!W245,"AAAAAG3+37o=")</f>
        <v>#VALUE!</v>
      </c>
      <c r="GF91" t="e">
        <f>AND(Data!X245,"AAAAAG3+37s=")</f>
        <v>#VALUE!</v>
      </c>
      <c r="GG91">
        <f>IF(Data!246:246,"AAAAAG3+37w=",0)</f>
        <v>0</v>
      </c>
      <c r="GH91" t="e">
        <f>AND(Data!A246,"AAAAAG3+370=")</f>
        <v>#VALUE!</v>
      </c>
      <c r="GI91" t="e">
        <f>AND(Data!B246,"AAAAAG3+374=")</f>
        <v>#VALUE!</v>
      </c>
      <c r="GJ91" t="e">
        <f>AND(Data!C246,"AAAAAG3+378=")</f>
        <v>#VALUE!</v>
      </c>
      <c r="GK91" t="e">
        <f>AND(Data!D246,"AAAAAG3+38A=")</f>
        <v>#VALUE!</v>
      </c>
      <c r="GL91" t="e">
        <f>AND(Data!E246,"AAAAAG3+38E=")</f>
        <v>#VALUE!</v>
      </c>
      <c r="GM91" t="e">
        <f>AND(Data!F246,"AAAAAG3+38I=")</f>
        <v>#VALUE!</v>
      </c>
      <c r="GN91" t="e">
        <f>AND(Data!G246,"AAAAAG3+38M=")</f>
        <v>#VALUE!</v>
      </c>
      <c r="GO91" t="e">
        <f>AND(Data!H246,"AAAAAG3+38Q=")</f>
        <v>#VALUE!</v>
      </c>
      <c r="GP91" t="e">
        <f>AND(Data!I246,"AAAAAG3+38U=")</f>
        <v>#VALUE!</v>
      </c>
      <c r="GQ91" t="e">
        <f>AND(Data!J246,"AAAAAG3+38Y=")</f>
        <v>#VALUE!</v>
      </c>
      <c r="GR91" t="e">
        <f>AND(Data!K246,"AAAAAG3+38c=")</f>
        <v>#VALUE!</v>
      </c>
      <c r="GS91" t="e">
        <f>AND(Data!L246,"AAAAAG3+38g=")</f>
        <v>#VALUE!</v>
      </c>
      <c r="GT91" t="e">
        <f>AND(Data!M246,"AAAAAG3+38k=")</f>
        <v>#VALUE!</v>
      </c>
      <c r="GU91" t="e">
        <f>AND(Data!N246,"AAAAAG3+38o=")</f>
        <v>#VALUE!</v>
      </c>
      <c r="GV91" t="e">
        <f>AND(Data!O246,"AAAAAG3+38s=")</f>
        <v>#VALUE!</v>
      </c>
      <c r="GW91" t="e">
        <f>AND(Data!P246,"AAAAAG3+38w=")</f>
        <v>#VALUE!</v>
      </c>
      <c r="GX91" t="e">
        <f>AND(Data!Q246,"AAAAAG3+380=")</f>
        <v>#VALUE!</v>
      </c>
      <c r="GY91" t="e">
        <f>AND(Data!R246,"AAAAAG3+384=")</f>
        <v>#VALUE!</v>
      </c>
      <c r="GZ91" t="e">
        <f>AND(Data!S246,"AAAAAG3+388=")</f>
        <v>#VALUE!</v>
      </c>
      <c r="HA91" t="e">
        <f>AND(Data!T246,"AAAAAG3+39A=")</f>
        <v>#VALUE!</v>
      </c>
      <c r="HB91" t="e">
        <f>AND(Data!U246,"AAAAAG3+39E=")</f>
        <v>#VALUE!</v>
      </c>
      <c r="HC91" t="e">
        <f>AND(Data!V246,"AAAAAG3+39I=")</f>
        <v>#VALUE!</v>
      </c>
      <c r="HD91" t="e">
        <f>AND(Data!W246,"AAAAAG3+39M=")</f>
        <v>#VALUE!</v>
      </c>
      <c r="HE91" t="e">
        <f>AND(Data!X246,"AAAAAG3+39Q=")</f>
        <v>#VALUE!</v>
      </c>
      <c r="HF91">
        <f>IF(Data!247:247,"AAAAAG3+39U=",0)</f>
        <v>0</v>
      </c>
      <c r="HG91" t="e">
        <f>AND(Data!A247,"AAAAAG3+39Y=")</f>
        <v>#VALUE!</v>
      </c>
      <c r="HH91" t="e">
        <f>AND(Data!B247,"AAAAAG3+39c=")</f>
        <v>#VALUE!</v>
      </c>
      <c r="HI91" t="e">
        <f>AND(Data!C247,"AAAAAG3+39g=")</f>
        <v>#VALUE!</v>
      </c>
      <c r="HJ91" t="e">
        <f>AND(Data!D247,"AAAAAG3+39k=")</f>
        <v>#VALUE!</v>
      </c>
      <c r="HK91" t="e">
        <f>AND(Data!E247,"AAAAAG3+39o=")</f>
        <v>#VALUE!</v>
      </c>
      <c r="HL91" t="e">
        <f>AND(Data!F247,"AAAAAG3+39s=")</f>
        <v>#VALUE!</v>
      </c>
      <c r="HM91" t="e">
        <f>AND(Data!G247,"AAAAAG3+39w=")</f>
        <v>#VALUE!</v>
      </c>
      <c r="HN91" t="e">
        <f>AND(Data!H247,"AAAAAG3+390=")</f>
        <v>#VALUE!</v>
      </c>
      <c r="HO91" t="e">
        <f>AND(Data!I247,"AAAAAG3+394=")</f>
        <v>#VALUE!</v>
      </c>
      <c r="HP91" t="e">
        <f>AND(Data!J247,"AAAAAG3+398=")</f>
        <v>#VALUE!</v>
      </c>
      <c r="HQ91" t="e">
        <f>AND(Data!K247,"AAAAAG3+3+A=")</f>
        <v>#VALUE!</v>
      </c>
      <c r="HR91" t="e">
        <f>AND(Data!L247,"AAAAAG3+3+E=")</f>
        <v>#VALUE!</v>
      </c>
      <c r="HS91" t="e">
        <f>AND(Data!M247,"AAAAAG3+3+I=")</f>
        <v>#VALUE!</v>
      </c>
      <c r="HT91" t="e">
        <f>AND(Data!N247,"AAAAAG3+3+M=")</f>
        <v>#VALUE!</v>
      </c>
      <c r="HU91" t="e">
        <f>AND(Data!O247,"AAAAAG3+3+Q=")</f>
        <v>#VALUE!</v>
      </c>
      <c r="HV91" t="e">
        <f>AND(Data!P247,"AAAAAG3+3+U=")</f>
        <v>#VALUE!</v>
      </c>
      <c r="HW91" t="e">
        <f>AND(Data!Q247,"AAAAAG3+3+Y=")</f>
        <v>#VALUE!</v>
      </c>
      <c r="HX91" t="e">
        <f>AND(Data!R247,"AAAAAG3+3+c=")</f>
        <v>#VALUE!</v>
      </c>
      <c r="HY91" t="e">
        <f>AND(Data!S247,"AAAAAG3+3+g=")</f>
        <v>#VALUE!</v>
      </c>
      <c r="HZ91" t="e">
        <f>AND(Data!T247,"AAAAAG3+3+k=")</f>
        <v>#VALUE!</v>
      </c>
      <c r="IA91" t="e">
        <f>AND(Data!U247,"AAAAAG3+3+o=")</f>
        <v>#VALUE!</v>
      </c>
      <c r="IB91" t="e">
        <f>AND(Data!V247,"AAAAAG3+3+s=")</f>
        <v>#VALUE!</v>
      </c>
      <c r="IC91" t="e">
        <f>AND(Data!W247,"AAAAAG3+3+w=")</f>
        <v>#VALUE!</v>
      </c>
      <c r="ID91" t="e">
        <f>AND(Data!X247,"AAAAAG3+3+0=")</f>
        <v>#VALUE!</v>
      </c>
      <c r="IE91">
        <f>IF(Data!248:248,"AAAAAG3+3+4=",0)</f>
        <v>0</v>
      </c>
      <c r="IF91" t="e">
        <f>AND(Data!A248,"AAAAAG3+3+8=")</f>
        <v>#VALUE!</v>
      </c>
      <c r="IG91" t="e">
        <f>AND(Data!B248,"AAAAAG3+3/A=")</f>
        <v>#VALUE!</v>
      </c>
      <c r="IH91" t="e">
        <f>AND(Data!C248,"AAAAAG3+3/E=")</f>
        <v>#VALUE!</v>
      </c>
      <c r="II91" t="e">
        <f>AND(Data!D248,"AAAAAG3+3/I=")</f>
        <v>#VALUE!</v>
      </c>
      <c r="IJ91" t="e">
        <f>AND(Data!E248,"AAAAAG3+3/M=")</f>
        <v>#VALUE!</v>
      </c>
      <c r="IK91" t="e">
        <f>AND(Data!F248,"AAAAAG3+3/Q=")</f>
        <v>#VALUE!</v>
      </c>
      <c r="IL91" t="e">
        <f>AND(Data!G248,"AAAAAG3+3/U=")</f>
        <v>#VALUE!</v>
      </c>
      <c r="IM91" t="e">
        <f>AND(Data!H248,"AAAAAG3+3/Y=")</f>
        <v>#VALUE!</v>
      </c>
      <c r="IN91" t="e">
        <f>AND(Data!I248,"AAAAAG3+3/c=")</f>
        <v>#VALUE!</v>
      </c>
      <c r="IO91" t="e">
        <f>AND(Data!J248,"AAAAAG3+3/g=")</f>
        <v>#VALUE!</v>
      </c>
      <c r="IP91" t="e">
        <f>AND(Data!K248,"AAAAAG3+3/k=")</f>
        <v>#VALUE!</v>
      </c>
      <c r="IQ91" t="e">
        <f>AND(Data!L248,"AAAAAG3+3/o=")</f>
        <v>#VALUE!</v>
      </c>
      <c r="IR91" t="e">
        <f>AND(Data!M248,"AAAAAG3+3/s=")</f>
        <v>#VALUE!</v>
      </c>
      <c r="IS91" t="e">
        <f>AND(Data!N248,"AAAAAG3+3/w=")</f>
        <v>#VALUE!</v>
      </c>
      <c r="IT91" t="e">
        <f>AND(Data!O248,"AAAAAG3+3/0=")</f>
        <v>#VALUE!</v>
      </c>
      <c r="IU91" t="e">
        <f>AND(Data!P248,"AAAAAG3+3/4=")</f>
        <v>#VALUE!</v>
      </c>
      <c r="IV91" t="e">
        <f>AND(Data!Q248,"AAAAAG3+3/8=")</f>
        <v>#VALUE!</v>
      </c>
    </row>
    <row r="92" spans="1:256" x14ac:dyDescent="0.2">
      <c r="A92" t="e">
        <f>AND(Data!R248,"AAAAAGv/JwA=")</f>
        <v>#VALUE!</v>
      </c>
      <c r="B92" t="e">
        <f>AND(Data!S248,"AAAAAGv/JwE=")</f>
        <v>#VALUE!</v>
      </c>
      <c r="C92" t="e">
        <f>AND(Data!T248,"AAAAAGv/JwI=")</f>
        <v>#VALUE!</v>
      </c>
      <c r="D92" t="e">
        <f>AND(Data!U248,"AAAAAGv/JwM=")</f>
        <v>#VALUE!</v>
      </c>
      <c r="E92" t="e">
        <f>AND(Data!V248,"AAAAAGv/JwQ=")</f>
        <v>#VALUE!</v>
      </c>
      <c r="F92" t="e">
        <f>AND(Data!W248,"AAAAAGv/JwU=")</f>
        <v>#VALUE!</v>
      </c>
      <c r="G92" t="e">
        <f>AND(Data!X248,"AAAAAGv/JwY=")</f>
        <v>#VALUE!</v>
      </c>
      <c r="H92">
        <f>IF(Data!249:249,"AAAAAGv/Jwc=",0)</f>
        <v>0</v>
      </c>
      <c r="I92" t="e">
        <f>AND(Data!A249,"AAAAAGv/Jwg=")</f>
        <v>#VALUE!</v>
      </c>
      <c r="J92" t="e">
        <f>AND(Data!B249,"AAAAAGv/Jwk=")</f>
        <v>#VALUE!</v>
      </c>
      <c r="K92" t="e">
        <f>AND(Data!C249,"AAAAAGv/Jwo=")</f>
        <v>#VALUE!</v>
      </c>
      <c r="L92" t="e">
        <f>AND(Data!D249,"AAAAAGv/Jws=")</f>
        <v>#VALUE!</v>
      </c>
      <c r="M92" t="e">
        <f>AND(Data!E249,"AAAAAGv/Jww=")</f>
        <v>#VALUE!</v>
      </c>
      <c r="N92" t="e">
        <f>AND(Data!F249,"AAAAAGv/Jw0=")</f>
        <v>#VALUE!</v>
      </c>
      <c r="O92" t="e">
        <f>AND(Data!G249,"AAAAAGv/Jw4=")</f>
        <v>#VALUE!</v>
      </c>
      <c r="P92" t="e">
        <f>AND(Data!H249,"AAAAAGv/Jw8=")</f>
        <v>#VALUE!</v>
      </c>
      <c r="Q92" t="e">
        <f>AND(Data!I249,"AAAAAGv/JxA=")</f>
        <v>#VALUE!</v>
      </c>
      <c r="R92" t="e">
        <f>AND(Data!J249,"AAAAAGv/JxE=")</f>
        <v>#VALUE!</v>
      </c>
      <c r="S92" t="e">
        <f>AND(Data!K249,"AAAAAGv/JxI=")</f>
        <v>#VALUE!</v>
      </c>
      <c r="T92" t="e">
        <f>AND(Data!L249,"AAAAAGv/JxM=")</f>
        <v>#VALUE!</v>
      </c>
      <c r="U92" t="e">
        <f>AND(Data!M249,"AAAAAGv/JxQ=")</f>
        <v>#VALUE!</v>
      </c>
      <c r="V92" t="e">
        <f>AND(Data!N249,"AAAAAGv/JxU=")</f>
        <v>#VALUE!</v>
      </c>
      <c r="W92" t="e">
        <f>AND(Data!O249,"AAAAAGv/JxY=")</f>
        <v>#VALUE!</v>
      </c>
      <c r="X92" t="e">
        <f>AND(Data!P249,"AAAAAGv/Jxc=")</f>
        <v>#VALUE!</v>
      </c>
      <c r="Y92" t="e">
        <f>AND(Data!Q249,"AAAAAGv/Jxg=")</f>
        <v>#VALUE!</v>
      </c>
      <c r="Z92" t="e">
        <f>AND(Data!R249,"AAAAAGv/Jxk=")</f>
        <v>#VALUE!</v>
      </c>
      <c r="AA92" t="e">
        <f>AND(Data!S249,"AAAAAGv/Jxo=")</f>
        <v>#VALUE!</v>
      </c>
      <c r="AB92" t="e">
        <f>AND(Data!T249,"AAAAAGv/Jxs=")</f>
        <v>#VALUE!</v>
      </c>
      <c r="AC92" t="e">
        <f>AND(Data!U249,"AAAAAGv/Jxw=")</f>
        <v>#VALUE!</v>
      </c>
      <c r="AD92" t="e">
        <f>AND(Data!V249,"AAAAAGv/Jx0=")</f>
        <v>#VALUE!</v>
      </c>
      <c r="AE92" t="e">
        <f>AND(Data!W249,"AAAAAGv/Jx4=")</f>
        <v>#VALUE!</v>
      </c>
      <c r="AF92" t="e">
        <f>AND(Data!X249,"AAAAAGv/Jx8=")</f>
        <v>#VALUE!</v>
      </c>
      <c r="AG92">
        <f>IF(Data!250:250,"AAAAAGv/JyA=",0)</f>
        <v>0</v>
      </c>
      <c r="AH92" t="e">
        <f>AND(Data!A250,"AAAAAGv/JyE=")</f>
        <v>#VALUE!</v>
      </c>
      <c r="AI92" t="e">
        <f>AND(Data!B250,"AAAAAGv/JyI=")</f>
        <v>#VALUE!</v>
      </c>
      <c r="AJ92" t="e">
        <f>AND(Data!C250,"AAAAAGv/JyM=")</f>
        <v>#VALUE!</v>
      </c>
      <c r="AK92" t="e">
        <f>AND(Data!D250,"AAAAAGv/JyQ=")</f>
        <v>#VALUE!</v>
      </c>
      <c r="AL92" t="e">
        <f>AND(Data!E250,"AAAAAGv/JyU=")</f>
        <v>#VALUE!</v>
      </c>
      <c r="AM92" t="e">
        <f>AND(Data!F250,"AAAAAGv/JyY=")</f>
        <v>#VALUE!</v>
      </c>
      <c r="AN92" t="e">
        <f>AND(Data!G250,"AAAAAGv/Jyc=")</f>
        <v>#VALUE!</v>
      </c>
      <c r="AO92" t="e">
        <f>AND(Data!H250,"AAAAAGv/Jyg=")</f>
        <v>#VALUE!</v>
      </c>
      <c r="AP92" t="e">
        <f>AND(Data!I250,"AAAAAGv/Jyk=")</f>
        <v>#VALUE!</v>
      </c>
      <c r="AQ92" t="e">
        <f>AND(Data!J250,"AAAAAGv/Jyo=")</f>
        <v>#VALUE!</v>
      </c>
      <c r="AR92" t="e">
        <f>AND(Data!K250,"AAAAAGv/Jys=")</f>
        <v>#VALUE!</v>
      </c>
      <c r="AS92" t="e">
        <f>AND(Data!L250,"AAAAAGv/Jyw=")</f>
        <v>#VALUE!</v>
      </c>
      <c r="AT92" t="e">
        <f>AND(Data!M250,"AAAAAGv/Jy0=")</f>
        <v>#VALUE!</v>
      </c>
      <c r="AU92" t="e">
        <f>AND(Data!N250,"AAAAAGv/Jy4=")</f>
        <v>#VALUE!</v>
      </c>
      <c r="AV92" t="e">
        <f>AND(Data!O250,"AAAAAGv/Jy8=")</f>
        <v>#VALUE!</v>
      </c>
      <c r="AW92" t="e">
        <f>AND(Data!P250,"AAAAAGv/JzA=")</f>
        <v>#VALUE!</v>
      </c>
      <c r="AX92" t="e">
        <f>AND(Data!Q250,"AAAAAGv/JzE=")</f>
        <v>#VALUE!</v>
      </c>
      <c r="AY92" t="e">
        <f>AND(Data!R250,"AAAAAGv/JzI=")</f>
        <v>#VALUE!</v>
      </c>
      <c r="AZ92" t="e">
        <f>AND(Data!S250,"AAAAAGv/JzM=")</f>
        <v>#VALUE!</v>
      </c>
      <c r="BA92" t="e">
        <f>AND(Data!T250,"AAAAAGv/JzQ=")</f>
        <v>#VALUE!</v>
      </c>
      <c r="BB92" t="e">
        <f>AND(Data!U250,"AAAAAGv/JzU=")</f>
        <v>#VALUE!</v>
      </c>
      <c r="BC92" t="e">
        <f>AND(Data!V250,"AAAAAGv/JzY=")</f>
        <v>#VALUE!</v>
      </c>
      <c r="BD92" t="e">
        <f>AND(Data!W250,"AAAAAGv/Jzc=")</f>
        <v>#VALUE!</v>
      </c>
      <c r="BE92" t="e">
        <f>AND(Data!X250,"AAAAAGv/Jzg=")</f>
        <v>#VALUE!</v>
      </c>
      <c r="BF92">
        <f>IF(Data!251:251,"AAAAAGv/Jzk=",0)</f>
        <v>0</v>
      </c>
      <c r="BG92" t="e">
        <f>AND(Data!A251,"AAAAAGv/Jzo=")</f>
        <v>#VALUE!</v>
      </c>
      <c r="BH92" t="e">
        <f>AND(Data!B251,"AAAAAGv/Jzs=")</f>
        <v>#VALUE!</v>
      </c>
      <c r="BI92" t="e">
        <f>AND(Data!C251,"AAAAAGv/Jzw=")</f>
        <v>#VALUE!</v>
      </c>
      <c r="BJ92" t="e">
        <f>AND(Data!D251,"AAAAAGv/Jz0=")</f>
        <v>#VALUE!</v>
      </c>
      <c r="BK92" t="e">
        <f>AND(Data!E251,"AAAAAGv/Jz4=")</f>
        <v>#VALUE!</v>
      </c>
      <c r="BL92" t="e">
        <f>AND(Data!F251,"AAAAAGv/Jz8=")</f>
        <v>#VALUE!</v>
      </c>
      <c r="BM92" t="e">
        <f>AND(Data!G251,"AAAAAGv/J0A=")</f>
        <v>#VALUE!</v>
      </c>
      <c r="BN92" t="e">
        <f>AND(Data!H251,"AAAAAGv/J0E=")</f>
        <v>#VALUE!</v>
      </c>
      <c r="BO92" t="e">
        <f>AND(Data!I251,"AAAAAGv/J0I=")</f>
        <v>#VALUE!</v>
      </c>
      <c r="BP92" t="e">
        <f>AND(Data!J251,"AAAAAGv/J0M=")</f>
        <v>#VALUE!</v>
      </c>
      <c r="BQ92" t="e">
        <f>AND(Data!K251,"AAAAAGv/J0Q=")</f>
        <v>#VALUE!</v>
      </c>
      <c r="BR92" t="e">
        <f>AND(Data!L251,"AAAAAGv/J0U=")</f>
        <v>#VALUE!</v>
      </c>
      <c r="BS92" t="e">
        <f>AND(Data!M251,"AAAAAGv/J0Y=")</f>
        <v>#VALUE!</v>
      </c>
      <c r="BT92" t="e">
        <f>AND(Data!N251,"AAAAAGv/J0c=")</f>
        <v>#VALUE!</v>
      </c>
      <c r="BU92" t="e">
        <f>AND(Data!O251,"AAAAAGv/J0g=")</f>
        <v>#VALUE!</v>
      </c>
      <c r="BV92" t="e">
        <f>AND(Data!P251,"AAAAAGv/J0k=")</f>
        <v>#VALUE!</v>
      </c>
      <c r="BW92" t="e">
        <f>AND(Data!Q251,"AAAAAGv/J0o=")</f>
        <v>#VALUE!</v>
      </c>
      <c r="BX92" t="e">
        <f>AND(Data!R251,"AAAAAGv/J0s=")</f>
        <v>#VALUE!</v>
      </c>
      <c r="BY92" t="e">
        <f>AND(Data!S251,"AAAAAGv/J0w=")</f>
        <v>#VALUE!</v>
      </c>
      <c r="BZ92" t="e">
        <f>AND(Data!T251,"AAAAAGv/J00=")</f>
        <v>#VALUE!</v>
      </c>
      <c r="CA92" t="e">
        <f>AND(Data!U251,"AAAAAGv/J04=")</f>
        <v>#VALUE!</v>
      </c>
      <c r="CB92" t="e">
        <f>AND(Data!V251,"AAAAAGv/J08=")</f>
        <v>#VALUE!</v>
      </c>
      <c r="CC92" t="e">
        <f>AND(Data!W251,"AAAAAGv/J1A=")</f>
        <v>#VALUE!</v>
      </c>
      <c r="CD92" t="e">
        <f>AND(Data!X251,"AAAAAGv/J1E=")</f>
        <v>#VALUE!</v>
      </c>
      <c r="CE92">
        <f>IF(Data!252:252,"AAAAAGv/J1I=",0)</f>
        <v>0</v>
      </c>
      <c r="CF92" t="e">
        <f>AND(Data!A252,"AAAAAGv/J1M=")</f>
        <v>#VALUE!</v>
      </c>
      <c r="CG92" t="e">
        <f>AND(Data!B252,"AAAAAGv/J1Q=")</f>
        <v>#VALUE!</v>
      </c>
      <c r="CH92" t="e">
        <f>AND(Data!C252,"AAAAAGv/J1U=")</f>
        <v>#VALUE!</v>
      </c>
      <c r="CI92" t="e">
        <f>AND(Data!D252,"AAAAAGv/J1Y=")</f>
        <v>#VALUE!</v>
      </c>
      <c r="CJ92" t="e">
        <f>AND(Data!E252,"AAAAAGv/J1c=")</f>
        <v>#VALUE!</v>
      </c>
      <c r="CK92" t="e">
        <f>AND(Data!F252,"AAAAAGv/J1g=")</f>
        <v>#VALUE!</v>
      </c>
      <c r="CL92" t="e">
        <f>AND(Data!G252,"AAAAAGv/J1k=")</f>
        <v>#VALUE!</v>
      </c>
      <c r="CM92" t="e">
        <f>AND(Data!H252,"AAAAAGv/J1o=")</f>
        <v>#VALUE!</v>
      </c>
      <c r="CN92" t="e">
        <f>AND(Data!I252,"AAAAAGv/J1s=")</f>
        <v>#VALUE!</v>
      </c>
      <c r="CO92" t="e">
        <f>AND(Data!J252,"AAAAAGv/J1w=")</f>
        <v>#VALUE!</v>
      </c>
      <c r="CP92" t="e">
        <f>AND(Data!K252,"AAAAAGv/J10=")</f>
        <v>#VALUE!</v>
      </c>
      <c r="CQ92" t="e">
        <f>AND(Data!L252,"AAAAAGv/J14=")</f>
        <v>#VALUE!</v>
      </c>
      <c r="CR92" t="e">
        <f>AND(Data!M252,"AAAAAGv/J18=")</f>
        <v>#VALUE!</v>
      </c>
      <c r="CS92" t="e">
        <f>AND(Data!N252,"AAAAAGv/J2A=")</f>
        <v>#VALUE!</v>
      </c>
      <c r="CT92" t="e">
        <f>AND(Data!O252,"AAAAAGv/J2E=")</f>
        <v>#VALUE!</v>
      </c>
      <c r="CU92" t="e">
        <f>AND(Data!P252,"AAAAAGv/J2I=")</f>
        <v>#VALUE!</v>
      </c>
      <c r="CV92" t="e">
        <f>AND(Data!Q252,"AAAAAGv/J2M=")</f>
        <v>#VALUE!</v>
      </c>
      <c r="CW92" t="e">
        <f>AND(Data!R252,"AAAAAGv/J2Q=")</f>
        <v>#VALUE!</v>
      </c>
      <c r="CX92" t="e">
        <f>AND(Data!S252,"AAAAAGv/J2U=")</f>
        <v>#VALUE!</v>
      </c>
      <c r="CY92" t="e">
        <f>AND(Data!T252,"AAAAAGv/J2Y=")</f>
        <v>#VALUE!</v>
      </c>
      <c r="CZ92" t="e">
        <f>AND(Data!U252,"AAAAAGv/J2c=")</f>
        <v>#VALUE!</v>
      </c>
      <c r="DA92" t="e">
        <f>AND(Data!V252,"AAAAAGv/J2g=")</f>
        <v>#VALUE!</v>
      </c>
      <c r="DB92" t="e">
        <f>AND(Data!W252,"AAAAAGv/J2k=")</f>
        <v>#VALUE!</v>
      </c>
      <c r="DC92" t="e">
        <f>AND(Data!X252,"AAAAAGv/J2o=")</f>
        <v>#VALUE!</v>
      </c>
      <c r="DD92">
        <f>IF(Data!253:253,"AAAAAGv/J2s=",0)</f>
        <v>0</v>
      </c>
      <c r="DE92" t="e">
        <f>AND(Data!A253,"AAAAAGv/J2w=")</f>
        <v>#VALUE!</v>
      </c>
      <c r="DF92" t="e">
        <f>AND(Data!B253,"AAAAAGv/J20=")</f>
        <v>#VALUE!</v>
      </c>
      <c r="DG92" t="e">
        <f>AND(Data!C253,"AAAAAGv/J24=")</f>
        <v>#VALUE!</v>
      </c>
      <c r="DH92" t="e">
        <f>AND(Data!D253,"AAAAAGv/J28=")</f>
        <v>#VALUE!</v>
      </c>
      <c r="DI92" t="e">
        <f>AND(Data!E253,"AAAAAGv/J3A=")</f>
        <v>#VALUE!</v>
      </c>
      <c r="DJ92" t="e">
        <f>AND(Data!F253,"AAAAAGv/J3E=")</f>
        <v>#VALUE!</v>
      </c>
      <c r="DK92" t="e">
        <f>AND(Data!G253,"AAAAAGv/J3I=")</f>
        <v>#VALUE!</v>
      </c>
      <c r="DL92" t="e">
        <f>AND(Data!H253,"AAAAAGv/J3M=")</f>
        <v>#VALUE!</v>
      </c>
      <c r="DM92" t="e">
        <f>AND(Data!I253,"AAAAAGv/J3Q=")</f>
        <v>#VALUE!</v>
      </c>
      <c r="DN92" t="e">
        <f>AND(Data!J253,"AAAAAGv/J3U=")</f>
        <v>#VALUE!</v>
      </c>
      <c r="DO92" t="e">
        <f>AND(Data!K253,"AAAAAGv/J3Y=")</f>
        <v>#VALUE!</v>
      </c>
      <c r="DP92" t="e">
        <f>AND(Data!L253,"AAAAAGv/J3c=")</f>
        <v>#VALUE!</v>
      </c>
      <c r="DQ92" t="e">
        <f>AND(Data!M253,"AAAAAGv/J3g=")</f>
        <v>#VALUE!</v>
      </c>
      <c r="DR92" t="e">
        <f>AND(Data!N253,"AAAAAGv/J3k=")</f>
        <v>#VALUE!</v>
      </c>
      <c r="DS92" t="e">
        <f>AND(Data!O253,"AAAAAGv/J3o=")</f>
        <v>#VALUE!</v>
      </c>
      <c r="DT92" t="e">
        <f>AND(Data!P253,"AAAAAGv/J3s=")</f>
        <v>#VALUE!</v>
      </c>
      <c r="DU92" t="e">
        <f>AND(Data!Q253,"AAAAAGv/J3w=")</f>
        <v>#VALUE!</v>
      </c>
      <c r="DV92" t="e">
        <f>AND(Data!R253,"AAAAAGv/J30=")</f>
        <v>#VALUE!</v>
      </c>
      <c r="DW92" t="e">
        <f>AND(Data!S253,"AAAAAGv/J34=")</f>
        <v>#VALUE!</v>
      </c>
      <c r="DX92" t="e">
        <f>AND(Data!T253,"AAAAAGv/J38=")</f>
        <v>#VALUE!</v>
      </c>
      <c r="DY92" t="e">
        <f>AND(Data!U253,"AAAAAGv/J4A=")</f>
        <v>#VALUE!</v>
      </c>
      <c r="DZ92" t="e">
        <f>AND(Data!V253,"AAAAAGv/J4E=")</f>
        <v>#VALUE!</v>
      </c>
      <c r="EA92" t="e">
        <f>AND(Data!W253,"AAAAAGv/J4I=")</f>
        <v>#VALUE!</v>
      </c>
      <c r="EB92" t="e">
        <f>AND(Data!X253,"AAAAAGv/J4M=")</f>
        <v>#VALUE!</v>
      </c>
      <c r="EC92">
        <f>IF(Data!254:254,"AAAAAGv/J4Q=",0)</f>
        <v>0</v>
      </c>
      <c r="ED92" t="e">
        <f>AND(Data!A254,"AAAAAGv/J4U=")</f>
        <v>#VALUE!</v>
      </c>
      <c r="EE92" t="e">
        <f>AND(Data!B254,"AAAAAGv/J4Y=")</f>
        <v>#VALUE!</v>
      </c>
      <c r="EF92" t="e">
        <f>AND(Data!C254,"AAAAAGv/J4c=")</f>
        <v>#VALUE!</v>
      </c>
      <c r="EG92" t="e">
        <f>AND(Data!D254,"AAAAAGv/J4g=")</f>
        <v>#VALUE!</v>
      </c>
      <c r="EH92" t="e">
        <f>AND(Data!E254,"AAAAAGv/J4k=")</f>
        <v>#VALUE!</v>
      </c>
      <c r="EI92" t="e">
        <f>AND(Data!F254,"AAAAAGv/J4o=")</f>
        <v>#VALUE!</v>
      </c>
      <c r="EJ92" t="e">
        <f>AND(Data!G254,"AAAAAGv/J4s=")</f>
        <v>#VALUE!</v>
      </c>
      <c r="EK92" t="e">
        <f>AND(Data!H254,"AAAAAGv/J4w=")</f>
        <v>#VALUE!</v>
      </c>
      <c r="EL92" t="e">
        <f>AND(Data!I254,"AAAAAGv/J40=")</f>
        <v>#VALUE!</v>
      </c>
      <c r="EM92" t="e">
        <f>AND(Data!J254,"AAAAAGv/J44=")</f>
        <v>#VALUE!</v>
      </c>
      <c r="EN92" t="e">
        <f>AND(Data!K254,"AAAAAGv/J48=")</f>
        <v>#VALUE!</v>
      </c>
      <c r="EO92" t="e">
        <f>AND(Data!L254,"AAAAAGv/J5A=")</f>
        <v>#VALUE!</v>
      </c>
      <c r="EP92" t="e">
        <f>AND(Data!M254,"AAAAAGv/J5E=")</f>
        <v>#VALUE!</v>
      </c>
      <c r="EQ92" t="e">
        <f>AND(Data!N254,"AAAAAGv/J5I=")</f>
        <v>#VALUE!</v>
      </c>
      <c r="ER92" t="e">
        <f>AND(Data!O254,"AAAAAGv/J5M=")</f>
        <v>#VALUE!</v>
      </c>
      <c r="ES92" t="e">
        <f>AND(Data!P254,"AAAAAGv/J5Q=")</f>
        <v>#VALUE!</v>
      </c>
      <c r="ET92" t="e">
        <f>AND(Data!Q254,"AAAAAGv/J5U=")</f>
        <v>#VALUE!</v>
      </c>
      <c r="EU92" t="e">
        <f>AND(Data!R254,"AAAAAGv/J5Y=")</f>
        <v>#VALUE!</v>
      </c>
      <c r="EV92" t="e">
        <f>AND(Data!S254,"AAAAAGv/J5c=")</f>
        <v>#VALUE!</v>
      </c>
      <c r="EW92" t="e">
        <f>AND(Data!T254,"AAAAAGv/J5g=")</f>
        <v>#VALUE!</v>
      </c>
      <c r="EX92" t="e">
        <f>AND(Data!U254,"AAAAAGv/J5k=")</f>
        <v>#VALUE!</v>
      </c>
      <c r="EY92" t="e">
        <f>AND(Data!V254,"AAAAAGv/J5o=")</f>
        <v>#VALUE!</v>
      </c>
      <c r="EZ92" t="e">
        <f>AND(Data!W254,"AAAAAGv/J5s=")</f>
        <v>#VALUE!</v>
      </c>
      <c r="FA92" t="e">
        <f>AND(Data!X254,"AAAAAGv/J5w=")</f>
        <v>#VALUE!</v>
      </c>
      <c r="FB92">
        <f>IF(Data!255:255,"AAAAAGv/J50=",0)</f>
        <v>0</v>
      </c>
      <c r="FC92" t="e">
        <f>AND(Data!A255,"AAAAAGv/J54=")</f>
        <v>#VALUE!</v>
      </c>
      <c r="FD92" t="e">
        <f>AND(Data!B255,"AAAAAGv/J58=")</f>
        <v>#VALUE!</v>
      </c>
      <c r="FE92" t="e">
        <f>AND(Data!C255,"AAAAAGv/J6A=")</f>
        <v>#VALUE!</v>
      </c>
      <c r="FF92" t="e">
        <f>AND(Data!D255,"AAAAAGv/J6E=")</f>
        <v>#VALUE!</v>
      </c>
      <c r="FG92" t="e">
        <f>AND(Data!E255,"AAAAAGv/J6I=")</f>
        <v>#VALUE!</v>
      </c>
      <c r="FH92" t="e">
        <f>AND(Data!F255,"AAAAAGv/J6M=")</f>
        <v>#VALUE!</v>
      </c>
      <c r="FI92" t="e">
        <f>AND(Data!G255,"AAAAAGv/J6Q=")</f>
        <v>#VALUE!</v>
      </c>
      <c r="FJ92" t="e">
        <f>AND(Data!H255,"AAAAAGv/J6U=")</f>
        <v>#VALUE!</v>
      </c>
      <c r="FK92" t="e">
        <f>AND(Data!I255,"AAAAAGv/J6Y=")</f>
        <v>#VALUE!</v>
      </c>
      <c r="FL92" t="e">
        <f>AND(Data!J255,"AAAAAGv/J6c=")</f>
        <v>#VALUE!</v>
      </c>
      <c r="FM92" t="e">
        <f>AND(Data!K255,"AAAAAGv/J6g=")</f>
        <v>#VALUE!</v>
      </c>
      <c r="FN92" t="e">
        <f>AND(Data!L255,"AAAAAGv/J6k=")</f>
        <v>#VALUE!</v>
      </c>
      <c r="FO92" t="e">
        <f>AND(Data!M255,"AAAAAGv/J6o=")</f>
        <v>#VALUE!</v>
      </c>
      <c r="FP92" t="e">
        <f>AND(Data!N255,"AAAAAGv/J6s=")</f>
        <v>#VALUE!</v>
      </c>
      <c r="FQ92" t="e">
        <f>AND(Data!O255,"AAAAAGv/J6w=")</f>
        <v>#VALUE!</v>
      </c>
      <c r="FR92" t="e">
        <f>AND(Data!P255,"AAAAAGv/J60=")</f>
        <v>#VALUE!</v>
      </c>
      <c r="FS92" t="e">
        <f>AND(Data!Q255,"AAAAAGv/J64=")</f>
        <v>#VALUE!</v>
      </c>
      <c r="FT92" t="e">
        <f>AND(Data!R255,"AAAAAGv/J68=")</f>
        <v>#VALUE!</v>
      </c>
      <c r="FU92" t="e">
        <f>AND(Data!S255,"AAAAAGv/J7A=")</f>
        <v>#VALUE!</v>
      </c>
      <c r="FV92" t="e">
        <f>AND(Data!T255,"AAAAAGv/J7E=")</f>
        <v>#VALUE!</v>
      </c>
      <c r="FW92" t="e">
        <f>AND(Data!U255,"AAAAAGv/J7I=")</f>
        <v>#VALUE!</v>
      </c>
      <c r="FX92" t="e">
        <f>AND(Data!V255,"AAAAAGv/J7M=")</f>
        <v>#VALUE!</v>
      </c>
      <c r="FY92" t="e">
        <f>AND(Data!W255,"AAAAAGv/J7Q=")</f>
        <v>#VALUE!</v>
      </c>
      <c r="FZ92" t="e">
        <f>AND(Data!X255,"AAAAAGv/J7U=")</f>
        <v>#VALUE!</v>
      </c>
      <c r="GA92">
        <f>IF(Data!256:256,"AAAAAGv/J7Y=",0)</f>
        <v>0</v>
      </c>
      <c r="GB92" t="e">
        <f>AND(Data!A256,"AAAAAGv/J7c=")</f>
        <v>#VALUE!</v>
      </c>
      <c r="GC92" t="e">
        <f>AND(Data!B256,"AAAAAGv/J7g=")</f>
        <v>#VALUE!</v>
      </c>
      <c r="GD92" t="e">
        <f>AND(Data!C256,"AAAAAGv/J7k=")</f>
        <v>#VALUE!</v>
      </c>
      <c r="GE92" t="e">
        <f>AND(Data!D256,"AAAAAGv/J7o=")</f>
        <v>#VALUE!</v>
      </c>
      <c r="GF92" t="e">
        <f>AND(Data!E256,"AAAAAGv/J7s=")</f>
        <v>#VALUE!</v>
      </c>
      <c r="GG92" t="e">
        <f>AND(Data!F256,"AAAAAGv/J7w=")</f>
        <v>#VALUE!</v>
      </c>
      <c r="GH92" t="e">
        <f>AND(Data!G256,"AAAAAGv/J70=")</f>
        <v>#VALUE!</v>
      </c>
      <c r="GI92" t="e">
        <f>AND(Data!H256,"AAAAAGv/J74=")</f>
        <v>#VALUE!</v>
      </c>
      <c r="GJ92" t="e">
        <f>AND(Data!I256,"AAAAAGv/J78=")</f>
        <v>#VALUE!</v>
      </c>
      <c r="GK92" t="e">
        <f>AND(Data!J256,"AAAAAGv/J8A=")</f>
        <v>#VALUE!</v>
      </c>
      <c r="GL92" t="e">
        <f>AND(Data!K256,"AAAAAGv/J8E=")</f>
        <v>#VALUE!</v>
      </c>
      <c r="GM92" t="e">
        <f>AND(Data!L256,"AAAAAGv/J8I=")</f>
        <v>#VALUE!</v>
      </c>
      <c r="GN92" t="e">
        <f>AND(Data!M256,"AAAAAGv/J8M=")</f>
        <v>#VALUE!</v>
      </c>
      <c r="GO92" t="e">
        <f>AND(Data!N256,"AAAAAGv/J8Q=")</f>
        <v>#VALUE!</v>
      </c>
      <c r="GP92" t="e">
        <f>AND(Data!O256,"AAAAAGv/J8U=")</f>
        <v>#VALUE!</v>
      </c>
      <c r="GQ92" t="e">
        <f>AND(Data!P256,"AAAAAGv/J8Y=")</f>
        <v>#VALUE!</v>
      </c>
      <c r="GR92" t="e">
        <f>AND(Data!Q256,"AAAAAGv/J8c=")</f>
        <v>#VALUE!</v>
      </c>
      <c r="GS92" t="e">
        <f>AND(Data!R256,"AAAAAGv/J8g=")</f>
        <v>#VALUE!</v>
      </c>
      <c r="GT92" t="e">
        <f>AND(Data!S256,"AAAAAGv/J8k=")</f>
        <v>#VALUE!</v>
      </c>
      <c r="GU92" t="e">
        <f>AND(Data!T256,"AAAAAGv/J8o=")</f>
        <v>#VALUE!</v>
      </c>
      <c r="GV92" t="e">
        <f>AND(Data!U256,"AAAAAGv/J8s=")</f>
        <v>#VALUE!</v>
      </c>
      <c r="GW92" t="e">
        <f>AND(Data!V256,"AAAAAGv/J8w=")</f>
        <v>#VALUE!</v>
      </c>
      <c r="GX92" t="e">
        <f>AND(Data!W256,"AAAAAGv/J80=")</f>
        <v>#VALUE!</v>
      </c>
      <c r="GY92" t="e">
        <f>AND(Data!X256,"AAAAAGv/J84=")</f>
        <v>#VALUE!</v>
      </c>
      <c r="GZ92">
        <f>IF(Data!257:257,"AAAAAGv/J88=",0)</f>
        <v>0</v>
      </c>
      <c r="HA92" t="e">
        <f>AND(Data!A257,"AAAAAGv/J9A=")</f>
        <v>#VALUE!</v>
      </c>
      <c r="HB92" t="e">
        <f>AND(Data!B257,"AAAAAGv/J9E=")</f>
        <v>#VALUE!</v>
      </c>
      <c r="HC92" t="e">
        <f>AND(Data!C257,"AAAAAGv/J9I=")</f>
        <v>#VALUE!</v>
      </c>
      <c r="HD92" t="e">
        <f>AND(Data!D257,"AAAAAGv/J9M=")</f>
        <v>#VALUE!</v>
      </c>
      <c r="HE92" t="e">
        <f>AND(Data!E257,"AAAAAGv/J9Q=")</f>
        <v>#VALUE!</v>
      </c>
      <c r="HF92" t="e">
        <f>AND(Data!F257,"AAAAAGv/J9U=")</f>
        <v>#VALUE!</v>
      </c>
      <c r="HG92" t="e">
        <f>AND(Data!G257,"AAAAAGv/J9Y=")</f>
        <v>#VALUE!</v>
      </c>
      <c r="HH92" t="e">
        <f>AND(Data!H257,"AAAAAGv/J9c=")</f>
        <v>#VALUE!</v>
      </c>
      <c r="HI92" t="e">
        <f>AND(Data!I257,"AAAAAGv/J9g=")</f>
        <v>#VALUE!</v>
      </c>
      <c r="HJ92" t="e">
        <f>AND(Data!J257,"AAAAAGv/J9k=")</f>
        <v>#VALUE!</v>
      </c>
      <c r="HK92" t="e">
        <f>AND(Data!K257,"AAAAAGv/J9o=")</f>
        <v>#VALUE!</v>
      </c>
      <c r="HL92" t="e">
        <f>AND(Data!L257,"AAAAAGv/J9s=")</f>
        <v>#VALUE!</v>
      </c>
      <c r="HM92" t="e">
        <f>AND(Data!M257,"AAAAAGv/J9w=")</f>
        <v>#VALUE!</v>
      </c>
      <c r="HN92" t="e">
        <f>AND(Data!N257,"AAAAAGv/J90=")</f>
        <v>#VALUE!</v>
      </c>
      <c r="HO92" t="e">
        <f>AND(Data!O257,"AAAAAGv/J94=")</f>
        <v>#VALUE!</v>
      </c>
      <c r="HP92" t="e">
        <f>AND(Data!P257,"AAAAAGv/J98=")</f>
        <v>#VALUE!</v>
      </c>
      <c r="HQ92" t="e">
        <f>AND(Data!Q257,"AAAAAGv/J+A=")</f>
        <v>#VALUE!</v>
      </c>
      <c r="HR92" t="e">
        <f>AND(Data!R257,"AAAAAGv/J+E=")</f>
        <v>#VALUE!</v>
      </c>
      <c r="HS92" t="e">
        <f>AND(Data!S257,"AAAAAGv/J+I=")</f>
        <v>#VALUE!</v>
      </c>
      <c r="HT92" t="e">
        <f>AND(Data!T257,"AAAAAGv/J+M=")</f>
        <v>#VALUE!</v>
      </c>
      <c r="HU92" t="e">
        <f>AND(Data!U257,"AAAAAGv/J+Q=")</f>
        <v>#VALUE!</v>
      </c>
      <c r="HV92" t="e">
        <f>AND(Data!V257,"AAAAAGv/J+U=")</f>
        <v>#VALUE!</v>
      </c>
      <c r="HW92" t="e">
        <f>AND(Data!W257,"AAAAAGv/J+Y=")</f>
        <v>#VALUE!</v>
      </c>
      <c r="HX92" t="e">
        <f>AND(Data!X257,"AAAAAGv/J+c=")</f>
        <v>#VALUE!</v>
      </c>
      <c r="HY92">
        <f>IF(Data!258:258,"AAAAAGv/J+g=",0)</f>
        <v>0</v>
      </c>
      <c r="HZ92" t="e">
        <f>AND(Data!A258,"AAAAAGv/J+k=")</f>
        <v>#VALUE!</v>
      </c>
      <c r="IA92" t="e">
        <f>AND(Data!B258,"AAAAAGv/J+o=")</f>
        <v>#VALUE!</v>
      </c>
      <c r="IB92" t="e">
        <f>AND(Data!C258,"AAAAAGv/J+s=")</f>
        <v>#VALUE!</v>
      </c>
      <c r="IC92" t="e">
        <f>AND(Data!D258,"AAAAAGv/J+w=")</f>
        <v>#VALUE!</v>
      </c>
      <c r="ID92" t="e">
        <f>AND(Data!E258,"AAAAAGv/J+0=")</f>
        <v>#VALUE!</v>
      </c>
      <c r="IE92" t="e">
        <f>AND(Data!F258,"AAAAAGv/J+4=")</f>
        <v>#VALUE!</v>
      </c>
      <c r="IF92" t="e">
        <f>AND(Data!G258,"AAAAAGv/J+8=")</f>
        <v>#VALUE!</v>
      </c>
      <c r="IG92" t="e">
        <f>AND(Data!H258,"AAAAAGv/J/A=")</f>
        <v>#VALUE!</v>
      </c>
      <c r="IH92" t="e">
        <f>AND(Data!I258,"AAAAAGv/J/E=")</f>
        <v>#VALUE!</v>
      </c>
      <c r="II92" t="e">
        <f>AND(Data!J258,"AAAAAGv/J/I=")</f>
        <v>#VALUE!</v>
      </c>
      <c r="IJ92" t="e">
        <f>AND(Data!K258,"AAAAAGv/J/M=")</f>
        <v>#VALUE!</v>
      </c>
      <c r="IK92" t="e">
        <f>AND(Data!L258,"AAAAAGv/J/Q=")</f>
        <v>#VALUE!</v>
      </c>
      <c r="IL92" t="e">
        <f>AND(Data!M258,"AAAAAGv/J/U=")</f>
        <v>#VALUE!</v>
      </c>
      <c r="IM92" t="e">
        <f>AND(Data!N258,"AAAAAGv/J/Y=")</f>
        <v>#VALUE!</v>
      </c>
      <c r="IN92" t="e">
        <f>AND(Data!O258,"AAAAAGv/J/c=")</f>
        <v>#VALUE!</v>
      </c>
      <c r="IO92" t="e">
        <f>AND(Data!P258,"AAAAAGv/J/g=")</f>
        <v>#VALUE!</v>
      </c>
      <c r="IP92" t="e">
        <f>AND(Data!Q258,"AAAAAGv/J/k=")</f>
        <v>#VALUE!</v>
      </c>
      <c r="IQ92" t="e">
        <f>AND(Data!R258,"AAAAAGv/J/o=")</f>
        <v>#VALUE!</v>
      </c>
      <c r="IR92" t="e">
        <f>AND(Data!S258,"AAAAAGv/J/s=")</f>
        <v>#VALUE!</v>
      </c>
      <c r="IS92" t="e">
        <f>AND(Data!T258,"AAAAAGv/J/w=")</f>
        <v>#VALUE!</v>
      </c>
      <c r="IT92" t="e">
        <f>AND(Data!U258,"AAAAAGv/J/0=")</f>
        <v>#VALUE!</v>
      </c>
      <c r="IU92" t="e">
        <f>AND(Data!V258,"AAAAAGv/J/4=")</f>
        <v>#VALUE!</v>
      </c>
      <c r="IV92" t="e">
        <f>AND(Data!W258,"AAAAAGv/J/8=")</f>
        <v>#VALUE!</v>
      </c>
    </row>
    <row r="93" spans="1:256" x14ac:dyDescent="0.2">
      <c r="A93" t="e">
        <f>AND(Data!X258,"AAAAADjevgA=")</f>
        <v>#VALUE!</v>
      </c>
      <c r="B93" t="str">
        <f>IF(Data!259:259,"AAAAADjevgE=",0)</f>
        <v>AAAAADjevgE=</v>
      </c>
      <c r="C93" t="e">
        <f>AND(Data!A259,"AAAAADjevgI=")</f>
        <v>#VALUE!</v>
      </c>
      <c r="D93" t="e">
        <f>AND(Data!B259,"AAAAADjevgM=")</f>
        <v>#VALUE!</v>
      </c>
      <c r="E93" t="e">
        <f>AND(Data!C259,"AAAAADjevgQ=")</f>
        <v>#VALUE!</v>
      </c>
      <c r="F93" t="e">
        <f>AND(Data!D259,"AAAAADjevgU=")</f>
        <v>#VALUE!</v>
      </c>
      <c r="G93" t="e">
        <f>AND(Data!E259,"AAAAADjevgY=")</f>
        <v>#VALUE!</v>
      </c>
      <c r="H93" t="e">
        <f>AND(Data!F259,"AAAAADjevgc=")</f>
        <v>#VALUE!</v>
      </c>
      <c r="I93" t="e">
        <f>AND(Data!G259,"AAAAADjevgg=")</f>
        <v>#VALUE!</v>
      </c>
      <c r="J93" t="e">
        <f>AND(Data!H259,"AAAAADjevgk=")</f>
        <v>#VALUE!</v>
      </c>
      <c r="K93" t="e">
        <f>AND(Data!I259,"AAAAADjevgo=")</f>
        <v>#VALUE!</v>
      </c>
      <c r="L93" t="e">
        <f>AND(Data!J259,"AAAAADjevgs=")</f>
        <v>#VALUE!</v>
      </c>
      <c r="M93" t="e">
        <f>AND(Data!K259,"AAAAADjevgw=")</f>
        <v>#VALUE!</v>
      </c>
      <c r="N93" t="e">
        <f>AND(Data!L259,"AAAAADjevg0=")</f>
        <v>#VALUE!</v>
      </c>
      <c r="O93" t="e">
        <f>AND(Data!M259,"AAAAADjevg4=")</f>
        <v>#VALUE!</v>
      </c>
      <c r="P93" t="e">
        <f>AND(Data!N259,"AAAAADjevg8=")</f>
        <v>#VALUE!</v>
      </c>
      <c r="Q93" t="e">
        <f>AND(Data!O259,"AAAAADjevhA=")</f>
        <v>#VALUE!</v>
      </c>
      <c r="R93" t="e">
        <f>AND(Data!P259,"AAAAADjevhE=")</f>
        <v>#VALUE!</v>
      </c>
      <c r="S93" t="e">
        <f>AND(Data!Q259,"AAAAADjevhI=")</f>
        <v>#VALUE!</v>
      </c>
      <c r="T93" t="e">
        <f>AND(Data!R259,"AAAAADjevhM=")</f>
        <v>#VALUE!</v>
      </c>
      <c r="U93" t="e">
        <f>AND(Data!S259,"AAAAADjevhQ=")</f>
        <v>#VALUE!</v>
      </c>
      <c r="V93" t="e">
        <f>AND(Data!T259,"AAAAADjevhU=")</f>
        <v>#VALUE!</v>
      </c>
      <c r="W93" t="e">
        <f>AND(Data!U259,"AAAAADjevhY=")</f>
        <v>#VALUE!</v>
      </c>
      <c r="X93" t="e">
        <f>AND(Data!V259,"AAAAADjevhc=")</f>
        <v>#VALUE!</v>
      </c>
      <c r="Y93" t="e">
        <f>AND(Data!W259,"AAAAADjevhg=")</f>
        <v>#VALUE!</v>
      </c>
      <c r="Z93" t="e">
        <f>AND(Data!X259,"AAAAADjevhk=")</f>
        <v>#VALUE!</v>
      </c>
      <c r="AA93">
        <f>IF(Data!260:260,"AAAAADjevho=",0)</f>
        <v>0</v>
      </c>
      <c r="AB93" t="e">
        <f>AND(Data!A260,"AAAAADjevhs=")</f>
        <v>#VALUE!</v>
      </c>
      <c r="AC93" t="e">
        <f>AND(Data!B260,"AAAAADjevhw=")</f>
        <v>#VALUE!</v>
      </c>
      <c r="AD93" t="e">
        <f>AND(Data!C260,"AAAAADjevh0=")</f>
        <v>#VALUE!</v>
      </c>
      <c r="AE93" t="e">
        <f>AND(Data!D260,"AAAAADjevh4=")</f>
        <v>#VALUE!</v>
      </c>
      <c r="AF93" t="e">
        <f>AND(Data!E260,"AAAAADjevh8=")</f>
        <v>#VALUE!</v>
      </c>
      <c r="AG93" t="e">
        <f>AND(Data!F260,"AAAAADjeviA=")</f>
        <v>#VALUE!</v>
      </c>
      <c r="AH93" t="e">
        <f>AND(Data!G260,"AAAAADjeviE=")</f>
        <v>#VALUE!</v>
      </c>
      <c r="AI93" t="e">
        <f>AND(Data!H260,"AAAAADjeviI=")</f>
        <v>#VALUE!</v>
      </c>
      <c r="AJ93" t="e">
        <f>AND(Data!I260,"AAAAADjeviM=")</f>
        <v>#VALUE!</v>
      </c>
      <c r="AK93" t="e">
        <f>AND(Data!J260,"AAAAADjeviQ=")</f>
        <v>#VALUE!</v>
      </c>
      <c r="AL93" t="e">
        <f>AND(Data!K260,"AAAAADjeviU=")</f>
        <v>#VALUE!</v>
      </c>
      <c r="AM93" t="e">
        <f>AND(Data!L260,"AAAAADjeviY=")</f>
        <v>#VALUE!</v>
      </c>
      <c r="AN93" t="e">
        <f>AND(Data!M260,"AAAAADjevic=")</f>
        <v>#VALUE!</v>
      </c>
      <c r="AO93" t="e">
        <f>AND(Data!N260,"AAAAADjevig=")</f>
        <v>#VALUE!</v>
      </c>
      <c r="AP93" t="e">
        <f>AND(Data!O260,"AAAAADjevik=")</f>
        <v>#VALUE!</v>
      </c>
      <c r="AQ93" t="e">
        <f>AND(Data!P260,"AAAAADjevio=")</f>
        <v>#VALUE!</v>
      </c>
      <c r="AR93" t="e">
        <f>AND(Data!Q260,"AAAAADjevis=")</f>
        <v>#VALUE!</v>
      </c>
      <c r="AS93" t="e">
        <f>AND(Data!R260,"AAAAADjeviw=")</f>
        <v>#VALUE!</v>
      </c>
      <c r="AT93" t="e">
        <f>AND(Data!S260,"AAAAADjevi0=")</f>
        <v>#VALUE!</v>
      </c>
      <c r="AU93" t="e">
        <f>AND(Data!T260,"AAAAADjevi4=")</f>
        <v>#VALUE!</v>
      </c>
      <c r="AV93" t="e">
        <f>AND(Data!U260,"AAAAADjevi8=")</f>
        <v>#VALUE!</v>
      </c>
      <c r="AW93" t="e">
        <f>AND(Data!V260,"AAAAADjevjA=")</f>
        <v>#VALUE!</v>
      </c>
      <c r="AX93" t="e">
        <f>AND(Data!W260,"AAAAADjevjE=")</f>
        <v>#VALUE!</v>
      </c>
      <c r="AY93" t="e">
        <f>AND(Data!X260,"AAAAADjevjI=")</f>
        <v>#VALUE!</v>
      </c>
      <c r="AZ93">
        <f>IF(Data!261:261,"AAAAADjevjM=",0)</f>
        <v>0</v>
      </c>
      <c r="BA93" t="e">
        <f>AND(Data!A261,"AAAAADjevjQ=")</f>
        <v>#VALUE!</v>
      </c>
      <c r="BB93" t="e">
        <f>AND(Data!B261,"AAAAADjevjU=")</f>
        <v>#VALUE!</v>
      </c>
      <c r="BC93" t="e">
        <f>AND(Data!C261,"AAAAADjevjY=")</f>
        <v>#VALUE!</v>
      </c>
      <c r="BD93" t="e">
        <f>AND(Data!D261,"AAAAADjevjc=")</f>
        <v>#VALUE!</v>
      </c>
      <c r="BE93" t="e">
        <f>AND(Data!E261,"AAAAADjevjg=")</f>
        <v>#VALUE!</v>
      </c>
      <c r="BF93" t="e">
        <f>AND(Data!F261,"AAAAADjevjk=")</f>
        <v>#VALUE!</v>
      </c>
      <c r="BG93" t="e">
        <f>AND(Data!G261,"AAAAADjevjo=")</f>
        <v>#VALUE!</v>
      </c>
      <c r="BH93" t="e">
        <f>AND(Data!H261,"AAAAADjevjs=")</f>
        <v>#VALUE!</v>
      </c>
      <c r="BI93" t="e">
        <f>AND(Data!I261,"AAAAADjevjw=")</f>
        <v>#VALUE!</v>
      </c>
      <c r="BJ93" t="e">
        <f>AND(Data!J261,"AAAAADjevj0=")</f>
        <v>#VALUE!</v>
      </c>
      <c r="BK93" t="e">
        <f>AND(Data!K261,"AAAAADjevj4=")</f>
        <v>#VALUE!</v>
      </c>
      <c r="BL93" t="e">
        <f>AND(Data!L261,"AAAAADjevj8=")</f>
        <v>#VALUE!</v>
      </c>
      <c r="BM93" t="e">
        <f>AND(Data!M261,"AAAAADjevkA=")</f>
        <v>#VALUE!</v>
      </c>
      <c r="BN93" t="e">
        <f>AND(Data!N261,"AAAAADjevkE=")</f>
        <v>#VALUE!</v>
      </c>
      <c r="BO93" t="e">
        <f>AND(Data!O261,"AAAAADjevkI=")</f>
        <v>#VALUE!</v>
      </c>
      <c r="BP93" t="e">
        <f>AND(Data!P261,"AAAAADjevkM=")</f>
        <v>#VALUE!</v>
      </c>
      <c r="BQ93" t="e">
        <f>AND(Data!Q261,"AAAAADjevkQ=")</f>
        <v>#VALUE!</v>
      </c>
      <c r="BR93" t="e">
        <f>AND(Data!R261,"AAAAADjevkU=")</f>
        <v>#VALUE!</v>
      </c>
      <c r="BS93" t="e">
        <f>AND(Data!S261,"AAAAADjevkY=")</f>
        <v>#VALUE!</v>
      </c>
      <c r="BT93" t="e">
        <f>AND(Data!T261,"AAAAADjevkc=")</f>
        <v>#VALUE!</v>
      </c>
      <c r="BU93" t="e">
        <f>AND(Data!U261,"AAAAADjevkg=")</f>
        <v>#VALUE!</v>
      </c>
      <c r="BV93" t="e">
        <f>AND(Data!V261,"AAAAADjevkk=")</f>
        <v>#VALUE!</v>
      </c>
      <c r="BW93" t="e">
        <f>AND(Data!W261,"AAAAADjevko=")</f>
        <v>#VALUE!</v>
      </c>
      <c r="BX93" t="e">
        <f>AND(Data!X261,"AAAAADjevks=")</f>
        <v>#VALUE!</v>
      </c>
      <c r="BY93">
        <f>IF(Data!262:262,"AAAAADjevkw=",0)</f>
        <v>0</v>
      </c>
      <c r="BZ93" t="e">
        <f>AND(Data!A262,"AAAAADjevk0=")</f>
        <v>#VALUE!</v>
      </c>
      <c r="CA93" t="e">
        <f>AND(Data!B262,"AAAAADjevk4=")</f>
        <v>#VALUE!</v>
      </c>
      <c r="CB93" t="e">
        <f>AND(Data!C262,"AAAAADjevk8=")</f>
        <v>#VALUE!</v>
      </c>
      <c r="CC93" t="e">
        <f>AND(Data!D262,"AAAAADjevlA=")</f>
        <v>#VALUE!</v>
      </c>
      <c r="CD93" t="e">
        <f>AND(Data!E262,"AAAAADjevlE=")</f>
        <v>#VALUE!</v>
      </c>
      <c r="CE93" t="e">
        <f>AND(Data!F262,"AAAAADjevlI=")</f>
        <v>#VALUE!</v>
      </c>
      <c r="CF93" t="e">
        <f>AND(Data!G262,"AAAAADjevlM=")</f>
        <v>#VALUE!</v>
      </c>
      <c r="CG93" t="e">
        <f>AND(Data!H262,"AAAAADjevlQ=")</f>
        <v>#VALUE!</v>
      </c>
      <c r="CH93" t="e">
        <f>AND(Data!I262,"AAAAADjevlU=")</f>
        <v>#VALUE!</v>
      </c>
      <c r="CI93" t="e">
        <f>AND(Data!J262,"AAAAADjevlY=")</f>
        <v>#VALUE!</v>
      </c>
      <c r="CJ93" t="e">
        <f>AND(Data!K262,"AAAAADjevlc=")</f>
        <v>#VALUE!</v>
      </c>
      <c r="CK93" t="e">
        <f>AND(Data!L262,"AAAAADjevlg=")</f>
        <v>#VALUE!</v>
      </c>
      <c r="CL93" t="e">
        <f>AND(Data!M262,"AAAAADjevlk=")</f>
        <v>#VALUE!</v>
      </c>
      <c r="CM93" t="e">
        <f>AND(Data!N262,"AAAAADjevlo=")</f>
        <v>#VALUE!</v>
      </c>
      <c r="CN93" t="e">
        <f>AND(Data!O262,"AAAAADjevls=")</f>
        <v>#VALUE!</v>
      </c>
      <c r="CO93" t="e">
        <f>AND(Data!P262,"AAAAADjevlw=")</f>
        <v>#VALUE!</v>
      </c>
      <c r="CP93" t="e">
        <f>AND(Data!Q262,"AAAAADjevl0=")</f>
        <v>#VALUE!</v>
      </c>
      <c r="CQ93" t="e">
        <f>AND(Data!R262,"AAAAADjevl4=")</f>
        <v>#VALUE!</v>
      </c>
      <c r="CR93" t="e">
        <f>AND(Data!S262,"AAAAADjevl8=")</f>
        <v>#VALUE!</v>
      </c>
      <c r="CS93" t="e">
        <f>AND(Data!T262,"AAAAADjevmA=")</f>
        <v>#VALUE!</v>
      </c>
      <c r="CT93" t="e">
        <f>AND(Data!U262,"AAAAADjevmE=")</f>
        <v>#VALUE!</v>
      </c>
      <c r="CU93" t="e">
        <f>AND(Data!V262,"AAAAADjevmI=")</f>
        <v>#VALUE!</v>
      </c>
      <c r="CV93" t="e">
        <f>AND(Data!W262,"AAAAADjevmM=")</f>
        <v>#VALUE!</v>
      </c>
      <c r="CW93" t="e">
        <f>AND(Data!X262,"AAAAADjevmQ=")</f>
        <v>#VALUE!</v>
      </c>
      <c r="CX93">
        <f>IF(Data!263:263,"AAAAADjevmU=",0)</f>
        <v>0</v>
      </c>
      <c r="CY93" t="e">
        <f>AND(Data!A263,"AAAAADjevmY=")</f>
        <v>#VALUE!</v>
      </c>
      <c r="CZ93" t="e">
        <f>AND(Data!B263,"AAAAADjevmc=")</f>
        <v>#VALUE!</v>
      </c>
      <c r="DA93" t="e">
        <f>AND(Data!C263,"AAAAADjevmg=")</f>
        <v>#VALUE!</v>
      </c>
      <c r="DB93" t="e">
        <f>AND(Data!D263,"AAAAADjevmk=")</f>
        <v>#VALUE!</v>
      </c>
      <c r="DC93" t="e">
        <f>AND(Data!E263,"AAAAADjevmo=")</f>
        <v>#VALUE!</v>
      </c>
      <c r="DD93" t="e">
        <f>AND(Data!F263,"AAAAADjevms=")</f>
        <v>#VALUE!</v>
      </c>
      <c r="DE93" t="e">
        <f>AND(Data!G263,"AAAAADjevmw=")</f>
        <v>#VALUE!</v>
      </c>
      <c r="DF93" t="e">
        <f>AND(Data!H263,"AAAAADjevm0=")</f>
        <v>#VALUE!</v>
      </c>
      <c r="DG93" t="e">
        <f>AND(Data!I263,"AAAAADjevm4=")</f>
        <v>#VALUE!</v>
      </c>
      <c r="DH93" t="e">
        <f>AND(Data!J263,"AAAAADjevm8=")</f>
        <v>#VALUE!</v>
      </c>
      <c r="DI93" t="e">
        <f>AND(Data!K263,"AAAAADjevnA=")</f>
        <v>#VALUE!</v>
      </c>
      <c r="DJ93" t="e">
        <f>AND(Data!L263,"AAAAADjevnE=")</f>
        <v>#VALUE!</v>
      </c>
      <c r="DK93" t="e">
        <f>AND(Data!M263,"AAAAADjevnI=")</f>
        <v>#VALUE!</v>
      </c>
      <c r="DL93" t="e">
        <f>AND(Data!N263,"AAAAADjevnM=")</f>
        <v>#VALUE!</v>
      </c>
      <c r="DM93" t="e">
        <f>AND(Data!O263,"AAAAADjevnQ=")</f>
        <v>#VALUE!</v>
      </c>
      <c r="DN93" t="e">
        <f>AND(Data!P263,"AAAAADjevnU=")</f>
        <v>#VALUE!</v>
      </c>
      <c r="DO93" t="e">
        <f>AND(Data!Q263,"AAAAADjevnY=")</f>
        <v>#VALUE!</v>
      </c>
      <c r="DP93" t="e">
        <f>AND(Data!R263,"AAAAADjevnc=")</f>
        <v>#VALUE!</v>
      </c>
      <c r="DQ93" t="e">
        <f>AND(Data!S263,"AAAAADjevng=")</f>
        <v>#VALUE!</v>
      </c>
      <c r="DR93" t="e">
        <f>AND(Data!T263,"AAAAADjevnk=")</f>
        <v>#VALUE!</v>
      </c>
      <c r="DS93" t="e">
        <f>AND(Data!U263,"AAAAADjevno=")</f>
        <v>#VALUE!</v>
      </c>
      <c r="DT93" t="e">
        <f>AND(Data!V263,"AAAAADjevns=")</f>
        <v>#VALUE!</v>
      </c>
      <c r="DU93" t="e">
        <f>AND(Data!W263,"AAAAADjevnw=")</f>
        <v>#VALUE!</v>
      </c>
      <c r="DV93" t="e">
        <f>AND(Data!X263,"AAAAADjevn0=")</f>
        <v>#VALUE!</v>
      </c>
      <c r="DW93">
        <f>IF(Data!264:264,"AAAAADjevn4=",0)</f>
        <v>0</v>
      </c>
      <c r="DX93" t="e">
        <f>AND(Data!A264,"AAAAADjevn8=")</f>
        <v>#VALUE!</v>
      </c>
      <c r="DY93" t="e">
        <f>AND(Data!B264,"AAAAADjevoA=")</f>
        <v>#VALUE!</v>
      </c>
      <c r="DZ93" t="e">
        <f>AND(Data!C264,"AAAAADjevoE=")</f>
        <v>#VALUE!</v>
      </c>
      <c r="EA93" t="e">
        <f>AND(Data!D264,"AAAAADjevoI=")</f>
        <v>#VALUE!</v>
      </c>
      <c r="EB93" t="e">
        <f>AND(Data!E264,"AAAAADjevoM=")</f>
        <v>#VALUE!</v>
      </c>
      <c r="EC93" t="e">
        <f>AND(Data!F264,"AAAAADjevoQ=")</f>
        <v>#VALUE!</v>
      </c>
      <c r="ED93" t="e">
        <f>AND(Data!G264,"AAAAADjevoU=")</f>
        <v>#VALUE!</v>
      </c>
      <c r="EE93" t="e">
        <f>AND(Data!H264,"AAAAADjevoY=")</f>
        <v>#VALUE!</v>
      </c>
      <c r="EF93" t="e">
        <f>AND(Data!I264,"AAAAADjevoc=")</f>
        <v>#VALUE!</v>
      </c>
      <c r="EG93" t="e">
        <f>AND(Data!J264,"AAAAADjevog=")</f>
        <v>#VALUE!</v>
      </c>
      <c r="EH93" t="e">
        <f>AND(Data!K264,"AAAAADjevok=")</f>
        <v>#VALUE!</v>
      </c>
      <c r="EI93" t="e">
        <f>AND(Data!L264,"AAAAADjevoo=")</f>
        <v>#VALUE!</v>
      </c>
      <c r="EJ93" t="e">
        <f>AND(Data!M264,"AAAAADjevos=")</f>
        <v>#VALUE!</v>
      </c>
      <c r="EK93" t="e">
        <f>AND(Data!N264,"AAAAADjevow=")</f>
        <v>#VALUE!</v>
      </c>
      <c r="EL93" t="e">
        <f>AND(Data!O264,"AAAAADjevo0=")</f>
        <v>#VALUE!</v>
      </c>
      <c r="EM93" t="e">
        <f>AND(Data!P264,"AAAAADjevo4=")</f>
        <v>#VALUE!</v>
      </c>
      <c r="EN93" t="e">
        <f>AND(Data!Q264,"AAAAADjevo8=")</f>
        <v>#VALUE!</v>
      </c>
      <c r="EO93" t="e">
        <f>AND(Data!R264,"AAAAADjevpA=")</f>
        <v>#VALUE!</v>
      </c>
      <c r="EP93" t="e">
        <f>AND(Data!S264,"AAAAADjevpE=")</f>
        <v>#VALUE!</v>
      </c>
      <c r="EQ93" t="e">
        <f>AND(Data!T264,"AAAAADjevpI=")</f>
        <v>#VALUE!</v>
      </c>
      <c r="ER93" t="e">
        <f>AND(Data!U264,"AAAAADjevpM=")</f>
        <v>#VALUE!</v>
      </c>
      <c r="ES93" t="e">
        <f>AND(Data!V264,"AAAAADjevpQ=")</f>
        <v>#VALUE!</v>
      </c>
      <c r="ET93" t="e">
        <f>AND(Data!W264,"AAAAADjevpU=")</f>
        <v>#VALUE!</v>
      </c>
      <c r="EU93" t="e">
        <f>AND(Data!X264,"AAAAADjevpY=")</f>
        <v>#VALUE!</v>
      </c>
      <c r="EV93">
        <f>IF(Data!265:265,"AAAAADjevpc=",0)</f>
        <v>0</v>
      </c>
      <c r="EW93" t="e">
        <f>AND(Data!A265,"AAAAADjevpg=")</f>
        <v>#VALUE!</v>
      </c>
      <c r="EX93" t="e">
        <f>AND(Data!B265,"AAAAADjevpk=")</f>
        <v>#VALUE!</v>
      </c>
      <c r="EY93" t="e">
        <f>AND(Data!C265,"AAAAADjevpo=")</f>
        <v>#VALUE!</v>
      </c>
      <c r="EZ93" t="e">
        <f>AND(Data!D265,"AAAAADjevps=")</f>
        <v>#VALUE!</v>
      </c>
      <c r="FA93" t="e">
        <f>AND(Data!E265,"AAAAADjevpw=")</f>
        <v>#VALUE!</v>
      </c>
      <c r="FB93" t="e">
        <f>AND(Data!F265,"AAAAADjevp0=")</f>
        <v>#VALUE!</v>
      </c>
      <c r="FC93" t="e">
        <f>AND(Data!G265,"AAAAADjevp4=")</f>
        <v>#VALUE!</v>
      </c>
      <c r="FD93" t="e">
        <f>AND(Data!H265,"AAAAADjevp8=")</f>
        <v>#VALUE!</v>
      </c>
      <c r="FE93" t="e">
        <f>AND(Data!I265,"AAAAADjevqA=")</f>
        <v>#VALUE!</v>
      </c>
      <c r="FF93" t="e">
        <f>AND(Data!J265,"AAAAADjevqE=")</f>
        <v>#VALUE!</v>
      </c>
      <c r="FG93" t="e">
        <f>AND(Data!K265,"AAAAADjevqI=")</f>
        <v>#VALUE!</v>
      </c>
      <c r="FH93" t="e">
        <f>AND(Data!L265,"AAAAADjevqM=")</f>
        <v>#VALUE!</v>
      </c>
      <c r="FI93" t="e">
        <f>AND(Data!M265,"AAAAADjevqQ=")</f>
        <v>#VALUE!</v>
      </c>
      <c r="FJ93" t="e">
        <f>AND(Data!N265,"AAAAADjevqU=")</f>
        <v>#VALUE!</v>
      </c>
      <c r="FK93" t="e">
        <f>AND(Data!O265,"AAAAADjevqY=")</f>
        <v>#VALUE!</v>
      </c>
      <c r="FL93" t="e">
        <f>AND(Data!P265,"AAAAADjevqc=")</f>
        <v>#VALUE!</v>
      </c>
      <c r="FM93" t="e">
        <f>AND(Data!Q265,"AAAAADjevqg=")</f>
        <v>#VALUE!</v>
      </c>
      <c r="FN93" t="e">
        <f>AND(Data!R265,"AAAAADjevqk=")</f>
        <v>#VALUE!</v>
      </c>
      <c r="FO93" t="e">
        <f>AND(Data!S265,"AAAAADjevqo=")</f>
        <v>#VALUE!</v>
      </c>
      <c r="FP93" t="e">
        <f>AND(Data!T265,"AAAAADjevqs=")</f>
        <v>#VALUE!</v>
      </c>
      <c r="FQ93" t="e">
        <f>AND(Data!U265,"AAAAADjevqw=")</f>
        <v>#VALUE!</v>
      </c>
      <c r="FR93" t="e">
        <f>AND(Data!V265,"AAAAADjevq0=")</f>
        <v>#VALUE!</v>
      </c>
      <c r="FS93" t="e">
        <f>AND(Data!W265,"AAAAADjevq4=")</f>
        <v>#VALUE!</v>
      </c>
      <c r="FT93" t="e">
        <f>AND(Data!X265,"AAAAADjevq8=")</f>
        <v>#VALUE!</v>
      </c>
      <c r="FU93">
        <f>IF(Data!266:266,"AAAAADjevrA=",0)</f>
        <v>0</v>
      </c>
      <c r="FV93" t="e">
        <f>AND(Data!A266,"AAAAADjevrE=")</f>
        <v>#VALUE!</v>
      </c>
      <c r="FW93" t="e">
        <f>AND(Data!B266,"AAAAADjevrI=")</f>
        <v>#VALUE!</v>
      </c>
      <c r="FX93" t="e">
        <f>AND(Data!C266,"AAAAADjevrM=")</f>
        <v>#VALUE!</v>
      </c>
      <c r="FY93" t="e">
        <f>AND(Data!D266,"AAAAADjevrQ=")</f>
        <v>#VALUE!</v>
      </c>
      <c r="FZ93" t="e">
        <f>AND(Data!E266,"AAAAADjevrU=")</f>
        <v>#VALUE!</v>
      </c>
      <c r="GA93" t="e">
        <f>AND(Data!F266,"AAAAADjevrY=")</f>
        <v>#VALUE!</v>
      </c>
      <c r="GB93" t="e">
        <f>AND(Data!G266,"AAAAADjevrc=")</f>
        <v>#VALUE!</v>
      </c>
      <c r="GC93" t="e">
        <f>AND(Data!H266,"AAAAADjevrg=")</f>
        <v>#VALUE!</v>
      </c>
      <c r="GD93" t="e">
        <f>AND(Data!I266,"AAAAADjevrk=")</f>
        <v>#VALUE!</v>
      </c>
      <c r="GE93" t="e">
        <f>AND(Data!J266,"AAAAADjevro=")</f>
        <v>#VALUE!</v>
      </c>
      <c r="GF93" t="e">
        <f>AND(Data!K266,"AAAAADjevrs=")</f>
        <v>#VALUE!</v>
      </c>
      <c r="GG93" t="e">
        <f>AND(Data!L266,"AAAAADjevrw=")</f>
        <v>#VALUE!</v>
      </c>
      <c r="GH93" t="e">
        <f>AND(Data!M266,"AAAAADjevr0=")</f>
        <v>#VALUE!</v>
      </c>
      <c r="GI93" t="e">
        <f>AND(Data!N266,"AAAAADjevr4=")</f>
        <v>#VALUE!</v>
      </c>
      <c r="GJ93" t="e">
        <f>AND(Data!O266,"AAAAADjevr8=")</f>
        <v>#VALUE!</v>
      </c>
      <c r="GK93" t="e">
        <f>AND(Data!P266,"AAAAADjevsA=")</f>
        <v>#VALUE!</v>
      </c>
      <c r="GL93" t="e">
        <f>AND(Data!Q266,"AAAAADjevsE=")</f>
        <v>#VALUE!</v>
      </c>
      <c r="GM93" t="e">
        <f>AND(Data!R266,"AAAAADjevsI=")</f>
        <v>#VALUE!</v>
      </c>
      <c r="GN93" t="e">
        <f>AND(Data!S266,"AAAAADjevsM=")</f>
        <v>#VALUE!</v>
      </c>
      <c r="GO93" t="e">
        <f>AND(Data!T266,"AAAAADjevsQ=")</f>
        <v>#VALUE!</v>
      </c>
      <c r="GP93" t="e">
        <f>AND(Data!U266,"AAAAADjevsU=")</f>
        <v>#VALUE!</v>
      </c>
      <c r="GQ93" t="e">
        <f>AND(Data!V266,"AAAAADjevsY=")</f>
        <v>#VALUE!</v>
      </c>
      <c r="GR93" t="e">
        <f>AND(Data!W266,"AAAAADjevsc=")</f>
        <v>#VALUE!</v>
      </c>
      <c r="GS93" t="e">
        <f>AND(Data!X266,"AAAAADjevsg=")</f>
        <v>#VALUE!</v>
      </c>
      <c r="GT93">
        <f>IF(Data!267:267,"AAAAADjevsk=",0)</f>
        <v>0</v>
      </c>
      <c r="GU93" t="e">
        <f>AND(Data!A267,"AAAAADjevso=")</f>
        <v>#VALUE!</v>
      </c>
      <c r="GV93" t="e">
        <f>AND(Data!B267,"AAAAADjevss=")</f>
        <v>#VALUE!</v>
      </c>
      <c r="GW93" t="e">
        <f>AND(Data!C267,"AAAAADjevsw=")</f>
        <v>#VALUE!</v>
      </c>
      <c r="GX93" t="e">
        <f>AND(Data!D267,"AAAAADjevs0=")</f>
        <v>#VALUE!</v>
      </c>
      <c r="GY93" t="e">
        <f>AND(Data!E267,"AAAAADjevs4=")</f>
        <v>#VALUE!</v>
      </c>
      <c r="GZ93" t="e">
        <f>AND(Data!F267,"AAAAADjevs8=")</f>
        <v>#VALUE!</v>
      </c>
      <c r="HA93" t="e">
        <f>AND(Data!G267,"AAAAADjevtA=")</f>
        <v>#VALUE!</v>
      </c>
      <c r="HB93" t="e">
        <f>AND(Data!H267,"AAAAADjevtE=")</f>
        <v>#VALUE!</v>
      </c>
      <c r="HC93" t="e">
        <f>AND(Data!I267,"AAAAADjevtI=")</f>
        <v>#VALUE!</v>
      </c>
      <c r="HD93" t="e">
        <f>AND(Data!J267,"AAAAADjevtM=")</f>
        <v>#VALUE!</v>
      </c>
      <c r="HE93" t="e">
        <f>AND(Data!K267,"AAAAADjevtQ=")</f>
        <v>#VALUE!</v>
      </c>
      <c r="HF93" t="e">
        <f>AND(Data!L267,"AAAAADjevtU=")</f>
        <v>#VALUE!</v>
      </c>
      <c r="HG93" t="e">
        <f>AND(Data!M267,"AAAAADjevtY=")</f>
        <v>#VALUE!</v>
      </c>
      <c r="HH93" t="e">
        <f>AND(Data!N267,"AAAAADjevtc=")</f>
        <v>#VALUE!</v>
      </c>
      <c r="HI93" t="e">
        <f>AND(Data!O267,"AAAAADjevtg=")</f>
        <v>#VALUE!</v>
      </c>
      <c r="HJ93" t="e">
        <f>AND(Data!P267,"AAAAADjevtk=")</f>
        <v>#VALUE!</v>
      </c>
      <c r="HK93" t="e">
        <f>AND(Data!Q267,"AAAAADjevto=")</f>
        <v>#VALUE!</v>
      </c>
      <c r="HL93" t="e">
        <f>AND(Data!R267,"AAAAADjevts=")</f>
        <v>#VALUE!</v>
      </c>
      <c r="HM93" t="e">
        <f>AND(Data!S267,"AAAAADjevtw=")</f>
        <v>#VALUE!</v>
      </c>
      <c r="HN93" t="e">
        <f>AND(Data!T267,"AAAAADjevt0=")</f>
        <v>#VALUE!</v>
      </c>
      <c r="HO93" t="e">
        <f>AND(Data!U267,"AAAAADjevt4=")</f>
        <v>#VALUE!</v>
      </c>
      <c r="HP93" t="e">
        <f>AND(Data!V267,"AAAAADjevt8=")</f>
        <v>#VALUE!</v>
      </c>
      <c r="HQ93" t="e">
        <f>AND(Data!W267,"AAAAADjevuA=")</f>
        <v>#VALUE!</v>
      </c>
      <c r="HR93" t="e">
        <f>AND(Data!X267,"AAAAADjevuE=")</f>
        <v>#VALUE!</v>
      </c>
      <c r="HS93">
        <f>IF(Data!268:268,"AAAAADjevuI=",0)</f>
        <v>0</v>
      </c>
      <c r="HT93" t="e">
        <f>AND(Data!A268,"AAAAADjevuM=")</f>
        <v>#VALUE!</v>
      </c>
      <c r="HU93" t="e">
        <f>AND(Data!B268,"AAAAADjevuQ=")</f>
        <v>#VALUE!</v>
      </c>
      <c r="HV93" t="e">
        <f>AND(Data!C268,"AAAAADjevuU=")</f>
        <v>#VALUE!</v>
      </c>
      <c r="HW93" t="e">
        <f>AND(Data!D268,"AAAAADjevuY=")</f>
        <v>#VALUE!</v>
      </c>
      <c r="HX93" t="e">
        <f>AND(Data!E268,"AAAAADjevuc=")</f>
        <v>#VALUE!</v>
      </c>
      <c r="HY93" t="e">
        <f>AND(Data!F268,"AAAAADjevug=")</f>
        <v>#VALUE!</v>
      </c>
      <c r="HZ93" t="e">
        <f>AND(Data!G268,"AAAAADjevuk=")</f>
        <v>#VALUE!</v>
      </c>
      <c r="IA93" t="e">
        <f>AND(Data!H268,"AAAAADjevuo=")</f>
        <v>#VALUE!</v>
      </c>
      <c r="IB93" t="e">
        <f>AND(Data!I268,"AAAAADjevus=")</f>
        <v>#VALUE!</v>
      </c>
      <c r="IC93" t="e">
        <f>AND(Data!J268,"AAAAADjevuw=")</f>
        <v>#VALUE!</v>
      </c>
      <c r="ID93" t="e">
        <f>AND(Data!K268,"AAAAADjevu0=")</f>
        <v>#VALUE!</v>
      </c>
      <c r="IE93" t="e">
        <f>AND(Data!L268,"AAAAADjevu4=")</f>
        <v>#VALUE!</v>
      </c>
      <c r="IF93" t="e">
        <f>AND(Data!M268,"AAAAADjevu8=")</f>
        <v>#VALUE!</v>
      </c>
      <c r="IG93" t="e">
        <f>AND(Data!N268,"AAAAADjevvA=")</f>
        <v>#VALUE!</v>
      </c>
      <c r="IH93" t="e">
        <f>AND(Data!O268,"AAAAADjevvE=")</f>
        <v>#VALUE!</v>
      </c>
      <c r="II93" t="e">
        <f>AND(Data!P268,"AAAAADjevvI=")</f>
        <v>#VALUE!</v>
      </c>
      <c r="IJ93" t="e">
        <f>AND(Data!Q268,"AAAAADjevvM=")</f>
        <v>#VALUE!</v>
      </c>
      <c r="IK93" t="e">
        <f>AND(Data!R268,"AAAAADjevvQ=")</f>
        <v>#VALUE!</v>
      </c>
      <c r="IL93" t="e">
        <f>AND(Data!S268,"AAAAADjevvU=")</f>
        <v>#VALUE!</v>
      </c>
      <c r="IM93" t="e">
        <f>AND(Data!T268,"AAAAADjevvY=")</f>
        <v>#VALUE!</v>
      </c>
      <c r="IN93" t="e">
        <f>AND(Data!U268,"AAAAADjevvc=")</f>
        <v>#VALUE!</v>
      </c>
      <c r="IO93" t="e">
        <f>AND(Data!V268,"AAAAADjevvg=")</f>
        <v>#VALUE!</v>
      </c>
      <c r="IP93" t="e">
        <f>AND(Data!W268,"AAAAADjevvk=")</f>
        <v>#VALUE!</v>
      </c>
      <c r="IQ93" t="e">
        <f>AND(Data!X268,"AAAAADjevvo=")</f>
        <v>#VALUE!</v>
      </c>
      <c r="IR93">
        <f>IF(Data!269:269,"AAAAADjevvs=",0)</f>
        <v>0</v>
      </c>
      <c r="IS93" t="e">
        <f>AND(Data!A269,"AAAAADjevvw=")</f>
        <v>#VALUE!</v>
      </c>
      <c r="IT93" t="e">
        <f>AND(Data!B269,"AAAAADjevv0=")</f>
        <v>#VALUE!</v>
      </c>
      <c r="IU93" t="e">
        <f>AND(Data!C269,"AAAAADjevv4=")</f>
        <v>#VALUE!</v>
      </c>
      <c r="IV93" t="e">
        <f>AND(Data!D269,"AAAAADjevv8=")</f>
        <v>#VALUE!</v>
      </c>
    </row>
    <row r="94" spans="1:256" x14ac:dyDescent="0.2">
      <c r="A94" t="e">
        <f>AND(Data!E269,"AAAAAH/3rwA=")</f>
        <v>#VALUE!</v>
      </c>
      <c r="B94" t="e">
        <f>AND(Data!F269,"AAAAAH/3rwE=")</f>
        <v>#VALUE!</v>
      </c>
      <c r="C94" t="e">
        <f>AND(Data!G269,"AAAAAH/3rwI=")</f>
        <v>#VALUE!</v>
      </c>
      <c r="D94" t="e">
        <f>AND(Data!H269,"AAAAAH/3rwM=")</f>
        <v>#VALUE!</v>
      </c>
      <c r="E94" t="e">
        <f>AND(Data!I269,"AAAAAH/3rwQ=")</f>
        <v>#VALUE!</v>
      </c>
      <c r="F94" t="e">
        <f>AND(Data!J269,"AAAAAH/3rwU=")</f>
        <v>#VALUE!</v>
      </c>
      <c r="G94" t="e">
        <f>AND(Data!K269,"AAAAAH/3rwY=")</f>
        <v>#VALUE!</v>
      </c>
      <c r="H94" t="e">
        <f>AND(Data!L269,"AAAAAH/3rwc=")</f>
        <v>#VALUE!</v>
      </c>
      <c r="I94" t="e">
        <f>AND(Data!M269,"AAAAAH/3rwg=")</f>
        <v>#VALUE!</v>
      </c>
      <c r="J94" t="e">
        <f>AND(Data!N269,"AAAAAH/3rwk=")</f>
        <v>#VALUE!</v>
      </c>
      <c r="K94" t="e">
        <f>AND(Data!O269,"AAAAAH/3rwo=")</f>
        <v>#VALUE!</v>
      </c>
      <c r="L94" t="e">
        <f>AND(Data!P269,"AAAAAH/3rws=")</f>
        <v>#VALUE!</v>
      </c>
      <c r="M94" t="e">
        <f>AND(Data!Q269,"AAAAAH/3rww=")</f>
        <v>#VALUE!</v>
      </c>
      <c r="N94" t="e">
        <f>AND(Data!R269,"AAAAAH/3rw0=")</f>
        <v>#VALUE!</v>
      </c>
      <c r="O94" t="e">
        <f>AND(Data!S269,"AAAAAH/3rw4=")</f>
        <v>#VALUE!</v>
      </c>
      <c r="P94" t="e">
        <f>AND(Data!T269,"AAAAAH/3rw8=")</f>
        <v>#VALUE!</v>
      </c>
      <c r="Q94" t="e">
        <f>AND(Data!U269,"AAAAAH/3rxA=")</f>
        <v>#VALUE!</v>
      </c>
      <c r="R94" t="e">
        <f>AND(Data!V269,"AAAAAH/3rxE=")</f>
        <v>#VALUE!</v>
      </c>
      <c r="S94" t="e">
        <f>AND(Data!W269,"AAAAAH/3rxI=")</f>
        <v>#VALUE!</v>
      </c>
      <c r="T94" t="e">
        <f>AND(Data!X269,"AAAAAH/3rxM=")</f>
        <v>#VALUE!</v>
      </c>
      <c r="U94">
        <f>IF(Data!270:270,"AAAAAH/3rxQ=",0)</f>
        <v>0</v>
      </c>
      <c r="V94" t="e">
        <f>AND(Data!A270,"AAAAAH/3rxU=")</f>
        <v>#VALUE!</v>
      </c>
      <c r="W94" t="e">
        <f>AND(Data!B270,"AAAAAH/3rxY=")</f>
        <v>#VALUE!</v>
      </c>
      <c r="X94" t="e">
        <f>AND(Data!C270,"AAAAAH/3rxc=")</f>
        <v>#VALUE!</v>
      </c>
      <c r="Y94" t="e">
        <f>AND(Data!D270,"AAAAAH/3rxg=")</f>
        <v>#VALUE!</v>
      </c>
      <c r="Z94" t="e">
        <f>AND(Data!E270,"AAAAAH/3rxk=")</f>
        <v>#VALUE!</v>
      </c>
      <c r="AA94" t="e">
        <f>AND(Data!F270,"AAAAAH/3rxo=")</f>
        <v>#VALUE!</v>
      </c>
      <c r="AB94" t="e">
        <f>AND(Data!G270,"AAAAAH/3rxs=")</f>
        <v>#VALUE!</v>
      </c>
      <c r="AC94" t="e">
        <f>AND(Data!H270,"AAAAAH/3rxw=")</f>
        <v>#VALUE!</v>
      </c>
      <c r="AD94" t="e">
        <f>AND(Data!I270,"AAAAAH/3rx0=")</f>
        <v>#VALUE!</v>
      </c>
      <c r="AE94" t="e">
        <f>AND(Data!J270,"AAAAAH/3rx4=")</f>
        <v>#VALUE!</v>
      </c>
      <c r="AF94" t="e">
        <f>AND(Data!K270,"AAAAAH/3rx8=")</f>
        <v>#VALUE!</v>
      </c>
      <c r="AG94" t="e">
        <f>AND(Data!L270,"AAAAAH/3ryA=")</f>
        <v>#VALUE!</v>
      </c>
      <c r="AH94" t="e">
        <f>AND(Data!M270,"AAAAAH/3ryE=")</f>
        <v>#VALUE!</v>
      </c>
      <c r="AI94" t="e">
        <f>AND(Data!N270,"AAAAAH/3ryI=")</f>
        <v>#VALUE!</v>
      </c>
      <c r="AJ94" t="e">
        <f>AND(Data!O270,"AAAAAH/3ryM=")</f>
        <v>#VALUE!</v>
      </c>
      <c r="AK94" t="e">
        <f>AND(Data!P270,"AAAAAH/3ryQ=")</f>
        <v>#VALUE!</v>
      </c>
      <c r="AL94" t="e">
        <f>AND(Data!Q270,"AAAAAH/3ryU=")</f>
        <v>#VALUE!</v>
      </c>
      <c r="AM94" t="e">
        <f>AND(Data!R270,"AAAAAH/3ryY=")</f>
        <v>#VALUE!</v>
      </c>
      <c r="AN94" t="e">
        <f>AND(Data!S270,"AAAAAH/3ryc=")</f>
        <v>#VALUE!</v>
      </c>
      <c r="AO94" t="e">
        <f>AND(Data!T270,"AAAAAH/3ryg=")</f>
        <v>#VALUE!</v>
      </c>
      <c r="AP94" t="e">
        <f>AND(Data!U270,"AAAAAH/3ryk=")</f>
        <v>#VALUE!</v>
      </c>
      <c r="AQ94" t="e">
        <f>AND(Data!V270,"AAAAAH/3ryo=")</f>
        <v>#VALUE!</v>
      </c>
      <c r="AR94" t="e">
        <f>AND(Data!W270,"AAAAAH/3rys=")</f>
        <v>#VALUE!</v>
      </c>
      <c r="AS94" t="e">
        <f>AND(Data!X270,"AAAAAH/3ryw=")</f>
        <v>#VALUE!</v>
      </c>
      <c r="AT94">
        <f>IF(Data!271:271,"AAAAAH/3ry0=",0)</f>
        <v>0</v>
      </c>
      <c r="AU94" t="e">
        <f>AND(Data!A271,"AAAAAH/3ry4=")</f>
        <v>#VALUE!</v>
      </c>
      <c r="AV94" t="e">
        <f>AND(Data!B271,"AAAAAH/3ry8=")</f>
        <v>#VALUE!</v>
      </c>
      <c r="AW94" t="e">
        <f>AND(Data!C271,"AAAAAH/3rzA=")</f>
        <v>#VALUE!</v>
      </c>
      <c r="AX94" t="e">
        <f>AND(Data!D271,"AAAAAH/3rzE=")</f>
        <v>#VALUE!</v>
      </c>
      <c r="AY94" t="e">
        <f>AND(Data!E271,"AAAAAH/3rzI=")</f>
        <v>#VALUE!</v>
      </c>
      <c r="AZ94" t="e">
        <f>AND(Data!F271,"AAAAAH/3rzM=")</f>
        <v>#VALUE!</v>
      </c>
      <c r="BA94" t="e">
        <f>AND(Data!G271,"AAAAAH/3rzQ=")</f>
        <v>#VALUE!</v>
      </c>
      <c r="BB94" t="e">
        <f>AND(Data!H271,"AAAAAH/3rzU=")</f>
        <v>#VALUE!</v>
      </c>
      <c r="BC94" t="e">
        <f>AND(Data!I271,"AAAAAH/3rzY=")</f>
        <v>#VALUE!</v>
      </c>
      <c r="BD94" t="e">
        <f>AND(Data!J271,"AAAAAH/3rzc=")</f>
        <v>#VALUE!</v>
      </c>
      <c r="BE94" t="e">
        <f>AND(Data!K271,"AAAAAH/3rzg=")</f>
        <v>#VALUE!</v>
      </c>
      <c r="BF94" t="e">
        <f>AND(Data!L271,"AAAAAH/3rzk=")</f>
        <v>#VALUE!</v>
      </c>
      <c r="BG94" t="e">
        <f>AND(Data!M271,"AAAAAH/3rzo=")</f>
        <v>#VALUE!</v>
      </c>
      <c r="BH94" t="e">
        <f>AND(Data!N271,"AAAAAH/3rzs=")</f>
        <v>#VALUE!</v>
      </c>
      <c r="BI94" t="e">
        <f>AND(Data!O271,"AAAAAH/3rzw=")</f>
        <v>#VALUE!</v>
      </c>
      <c r="BJ94" t="e">
        <f>AND(Data!P271,"AAAAAH/3rz0=")</f>
        <v>#VALUE!</v>
      </c>
      <c r="BK94" t="e">
        <f>AND(Data!Q271,"AAAAAH/3rz4=")</f>
        <v>#VALUE!</v>
      </c>
      <c r="BL94" t="e">
        <f>AND(Data!R271,"AAAAAH/3rz8=")</f>
        <v>#VALUE!</v>
      </c>
      <c r="BM94" t="e">
        <f>AND(Data!S271,"AAAAAH/3r0A=")</f>
        <v>#VALUE!</v>
      </c>
      <c r="BN94" t="e">
        <f>AND(Data!T271,"AAAAAH/3r0E=")</f>
        <v>#VALUE!</v>
      </c>
      <c r="BO94" t="e">
        <f>AND(Data!U271,"AAAAAH/3r0I=")</f>
        <v>#VALUE!</v>
      </c>
      <c r="BP94" t="e">
        <f>AND(Data!V271,"AAAAAH/3r0M=")</f>
        <v>#VALUE!</v>
      </c>
      <c r="BQ94" t="e">
        <f>AND(Data!W271,"AAAAAH/3r0Q=")</f>
        <v>#VALUE!</v>
      </c>
      <c r="BR94" t="e">
        <f>AND(Data!X271,"AAAAAH/3r0U=")</f>
        <v>#VALUE!</v>
      </c>
      <c r="BS94">
        <f>IF(Data!272:272,"AAAAAH/3r0Y=",0)</f>
        <v>0</v>
      </c>
      <c r="BT94" t="e">
        <f>AND(Data!A272,"AAAAAH/3r0c=")</f>
        <v>#VALUE!</v>
      </c>
      <c r="BU94" t="e">
        <f>AND(Data!B272,"AAAAAH/3r0g=")</f>
        <v>#VALUE!</v>
      </c>
      <c r="BV94" t="e">
        <f>AND(Data!C272,"AAAAAH/3r0k=")</f>
        <v>#VALUE!</v>
      </c>
      <c r="BW94" t="e">
        <f>AND(Data!D272,"AAAAAH/3r0o=")</f>
        <v>#VALUE!</v>
      </c>
      <c r="BX94" t="e">
        <f>AND(Data!E272,"AAAAAH/3r0s=")</f>
        <v>#VALUE!</v>
      </c>
      <c r="BY94" t="e">
        <f>AND(Data!F272,"AAAAAH/3r0w=")</f>
        <v>#VALUE!</v>
      </c>
      <c r="BZ94" t="e">
        <f>AND(Data!G272,"AAAAAH/3r00=")</f>
        <v>#VALUE!</v>
      </c>
      <c r="CA94" t="e">
        <f>AND(Data!H272,"AAAAAH/3r04=")</f>
        <v>#VALUE!</v>
      </c>
      <c r="CB94" t="e">
        <f>AND(Data!I272,"AAAAAH/3r08=")</f>
        <v>#VALUE!</v>
      </c>
      <c r="CC94" t="e">
        <f>AND(Data!J272,"AAAAAH/3r1A=")</f>
        <v>#VALUE!</v>
      </c>
      <c r="CD94" t="e">
        <f>AND(Data!K272,"AAAAAH/3r1E=")</f>
        <v>#VALUE!</v>
      </c>
      <c r="CE94" t="e">
        <f>AND(Data!L272,"AAAAAH/3r1I=")</f>
        <v>#VALUE!</v>
      </c>
      <c r="CF94" t="e">
        <f>AND(Data!M272,"AAAAAH/3r1M=")</f>
        <v>#VALUE!</v>
      </c>
      <c r="CG94" t="e">
        <f>AND(Data!N272,"AAAAAH/3r1Q=")</f>
        <v>#VALUE!</v>
      </c>
      <c r="CH94" t="e">
        <f>AND(Data!O272,"AAAAAH/3r1U=")</f>
        <v>#VALUE!</v>
      </c>
      <c r="CI94" t="e">
        <f>AND(Data!P272,"AAAAAH/3r1Y=")</f>
        <v>#VALUE!</v>
      </c>
      <c r="CJ94" t="e">
        <f>AND(Data!Q272,"AAAAAH/3r1c=")</f>
        <v>#VALUE!</v>
      </c>
      <c r="CK94" t="e">
        <f>AND(Data!R272,"AAAAAH/3r1g=")</f>
        <v>#VALUE!</v>
      </c>
      <c r="CL94" t="e">
        <f>AND(Data!S272,"AAAAAH/3r1k=")</f>
        <v>#VALUE!</v>
      </c>
      <c r="CM94" t="e">
        <f>AND(Data!T272,"AAAAAH/3r1o=")</f>
        <v>#VALUE!</v>
      </c>
      <c r="CN94" t="e">
        <f>AND(Data!U272,"AAAAAH/3r1s=")</f>
        <v>#VALUE!</v>
      </c>
      <c r="CO94" t="e">
        <f>AND(Data!V272,"AAAAAH/3r1w=")</f>
        <v>#VALUE!</v>
      </c>
      <c r="CP94" t="e">
        <f>AND(Data!W272,"AAAAAH/3r10=")</f>
        <v>#VALUE!</v>
      </c>
      <c r="CQ94" t="e">
        <f>AND(Data!X272,"AAAAAH/3r14=")</f>
        <v>#VALUE!</v>
      </c>
      <c r="CR94">
        <f>IF(Data!273:273,"AAAAAH/3r18=",0)</f>
        <v>0</v>
      </c>
      <c r="CS94" t="e">
        <f>AND(Data!A273,"AAAAAH/3r2A=")</f>
        <v>#VALUE!</v>
      </c>
      <c r="CT94" t="e">
        <f>AND(Data!B273,"AAAAAH/3r2E=")</f>
        <v>#VALUE!</v>
      </c>
      <c r="CU94" t="e">
        <f>AND(Data!C273,"AAAAAH/3r2I=")</f>
        <v>#VALUE!</v>
      </c>
      <c r="CV94" t="e">
        <f>AND(Data!D273,"AAAAAH/3r2M=")</f>
        <v>#VALUE!</v>
      </c>
      <c r="CW94" t="e">
        <f>AND(Data!E273,"AAAAAH/3r2Q=")</f>
        <v>#VALUE!</v>
      </c>
      <c r="CX94" t="e">
        <f>AND(Data!F273,"AAAAAH/3r2U=")</f>
        <v>#VALUE!</v>
      </c>
      <c r="CY94" t="e">
        <f>AND(Data!G273,"AAAAAH/3r2Y=")</f>
        <v>#VALUE!</v>
      </c>
      <c r="CZ94" t="e">
        <f>AND(Data!H273,"AAAAAH/3r2c=")</f>
        <v>#VALUE!</v>
      </c>
      <c r="DA94" t="e">
        <f>AND(Data!I273,"AAAAAH/3r2g=")</f>
        <v>#VALUE!</v>
      </c>
      <c r="DB94" t="e">
        <f>AND(Data!J273,"AAAAAH/3r2k=")</f>
        <v>#VALUE!</v>
      </c>
      <c r="DC94" t="e">
        <f>AND(Data!K273,"AAAAAH/3r2o=")</f>
        <v>#VALUE!</v>
      </c>
      <c r="DD94" t="e">
        <f>AND(Data!L273,"AAAAAH/3r2s=")</f>
        <v>#VALUE!</v>
      </c>
      <c r="DE94" t="e">
        <f>AND(Data!M273,"AAAAAH/3r2w=")</f>
        <v>#VALUE!</v>
      </c>
      <c r="DF94" t="e">
        <f>AND(Data!N273,"AAAAAH/3r20=")</f>
        <v>#VALUE!</v>
      </c>
      <c r="DG94" t="e">
        <f>AND(Data!O273,"AAAAAH/3r24=")</f>
        <v>#VALUE!</v>
      </c>
      <c r="DH94" t="e">
        <f>AND(Data!P273,"AAAAAH/3r28=")</f>
        <v>#VALUE!</v>
      </c>
      <c r="DI94" t="e">
        <f>AND(Data!Q273,"AAAAAH/3r3A=")</f>
        <v>#VALUE!</v>
      </c>
      <c r="DJ94" t="e">
        <f>AND(Data!R273,"AAAAAH/3r3E=")</f>
        <v>#VALUE!</v>
      </c>
      <c r="DK94" t="e">
        <f>AND(Data!S273,"AAAAAH/3r3I=")</f>
        <v>#VALUE!</v>
      </c>
      <c r="DL94" t="e">
        <f>AND(Data!T273,"AAAAAH/3r3M=")</f>
        <v>#VALUE!</v>
      </c>
      <c r="DM94" t="e">
        <f>AND(Data!U273,"AAAAAH/3r3Q=")</f>
        <v>#VALUE!</v>
      </c>
      <c r="DN94" t="e">
        <f>AND(Data!V273,"AAAAAH/3r3U=")</f>
        <v>#VALUE!</v>
      </c>
      <c r="DO94" t="e">
        <f>AND(Data!W273,"AAAAAH/3r3Y=")</f>
        <v>#VALUE!</v>
      </c>
      <c r="DP94" t="e">
        <f>AND(Data!X273,"AAAAAH/3r3c=")</f>
        <v>#VALUE!</v>
      </c>
      <c r="DQ94">
        <f>IF(Data!274:274,"AAAAAH/3r3g=",0)</f>
        <v>0</v>
      </c>
      <c r="DR94" t="e">
        <f>AND(Data!A274,"AAAAAH/3r3k=")</f>
        <v>#VALUE!</v>
      </c>
      <c r="DS94" t="e">
        <f>AND(Data!B274,"AAAAAH/3r3o=")</f>
        <v>#VALUE!</v>
      </c>
      <c r="DT94" t="e">
        <f>AND(Data!C274,"AAAAAH/3r3s=")</f>
        <v>#VALUE!</v>
      </c>
      <c r="DU94" t="e">
        <f>AND(Data!D274,"AAAAAH/3r3w=")</f>
        <v>#VALUE!</v>
      </c>
      <c r="DV94" t="e">
        <f>AND(Data!E274,"AAAAAH/3r30=")</f>
        <v>#VALUE!</v>
      </c>
      <c r="DW94" t="e">
        <f>AND(Data!F274,"AAAAAH/3r34=")</f>
        <v>#VALUE!</v>
      </c>
      <c r="DX94" t="e">
        <f>AND(Data!G274,"AAAAAH/3r38=")</f>
        <v>#VALUE!</v>
      </c>
      <c r="DY94" t="e">
        <f>AND(Data!H274,"AAAAAH/3r4A=")</f>
        <v>#VALUE!</v>
      </c>
      <c r="DZ94" t="e">
        <f>AND(Data!I274,"AAAAAH/3r4E=")</f>
        <v>#VALUE!</v>
      </c>
      <c r="EA94" t="e">
        <f>AND(Data!J274,"AAAAAH/3r4I=")</f>
        <v>#VALUE!</v>
      </c>
      <c r="EB94" t="e">
        <f>AND(Data!K274,"AAAAAH/3r4M=")</f>
        <v>#VALUE!</v>
      </c>
      <c r="EC94" t="e">
        <f>AND(Data!L274,"AAAAAH/3r4Q=")</f>
        <v>#VALUE!</v>
      </c>
      <c r="ED94" t="e">
        <f>AND(Data!M274,"AAAAAH/3r4U=")</f>
        <v>#VALUE!</v>
      </c>
      <c r="EE94" t="e">
        <f>AND(Data!N274,"AAAAAH/3r4Y=")</f>
        <v>#VALUE!</v>
      </c>
      <c r="EF94" t="e">
        <f>AND(Data!O274,"AAAAAH/3r4c=")</f>
        <v>#VALUE!</v>
      </c>
      <c r="EG94" t="e">
        <f>AND(Data!P274,"AAAAAH/3r4g=")</f>
        <v>#VALUE!</v>
      </c>
      <c r="EH94" t="e">
        <f>AND(Data!Q274,"AAAAAH/3r4k=")</f>
        <v>#VALUE!</v>
      </c>
      <c r="EI94" t="e">
        <f>AND(Data!R274,"AAAAAH/3r4o=")</f>
        <v>#VALUE!</v>
      </c>
      <c r="EJ94" t="e">
        <f>AND(Data!S274,"AAAAAH/3r4s=")</f>
        <v>#VALUE!</v>
      </c>
      <c r="EK94" t="e">
        <f>AND(Data!T274,"AAAAAH/3r4w=")</f>
        <v>#VALUE!</v>
      </c>
      <c r="EL94" t="e">
        <f>AND(Data!U274,"AAAAAH/3r40=")</f>
        <v>#VALUE!</v>
      </c>
      <c r="EM94" t="e">
        <f>AND(Data!V274,"AAAAAH/3r44=")</f>
        <v>#VALUE!</v>
      </c>
      <c r="EN94" t="e">
        <f>AND(Data!W274,"AAAAAH/3r48=")</f>
        <v>#VALUE!</v>
      </c>
      <c r="EO94" t="e">
        <f>AND(Data!X274,"AAAAAH/3r5A=")</f>
        <v>#VALUE!</v>
      </c>
      <c r="EP94">
        <f>IF(Data!275:275,"AAAAAH/3r5E=",0)</f>
        <v>0</v>
      </c>
      <c r="EQ94" t="e">
        <f>AND(Data!A275,"AAAAAH/3r5I=")</f>
        <v>#VALUE!</v>
      </c>
      <c r="ER94" t="e">
        <f>AND(Data!B275,"AAAAAH/3r5M=")</f>
        <v>#VALUE!</v>
      </c>
      <c r="ES94" t="e">
        <f>AND(Data!C275,"AAAAAH/3r5Q=")</f>
        <v>#VALUE!</v>
      </c>
      <c r="ET94" t="e">
        <f>AND(Data!D275,"AAAAAH/3r5U=")</f>
        <v>#VALUE!</v>
      </c>
      <c r="EU94" t="e">
        <f>AND(Data!E275,"AAAAAH/3r5Y=")</f>
        <v>#VALUE!</v>
      </c>
      <c r="EV94" t="e">
        <f>AND(Data!F275,"AAAAAH/3r5c=")</f>
        <v>#VALUE!</v>
      </c>
      <c r="EW94" t="e">
        <f>AND(Data!G275,"AAAAAH/3r5g=")</f>
        <v>#VALUE!</v>
      </c>
      <c r="EX94" t="e">
        <f>AND(Data!H275,"AAAAAH/3r5k=")</f>
        <v>#VALUE!</v>
      </c>
      <c r="EY94" t="e">
        <f>AND(Data!I275,"AAAAAH/3r5o=")</f>
        <v>#VALUE!</v>
      </c>
      <c r="EZ94" t="e">
        <f>AND(Data!J275,"AAAAAH/3r5s=")</f>
        <v>#VALUE!</v>
      </c>
      <c r="FA94" t="e">
        <f>AND(Data!K275,"AAAAAH/3r5w=")</f>
        <v>#VALUE!</v>
      </c>
      <c r="FB94" t="e">
        <f>AND(Data!L275,"AAAAAH/3r50=")</f>
        <v>#VALUE!</v>
      </c>
      <c r="FC94" t="e">
        <f>AND(Data!M275,"AAAAAH/3r54=")</f>
        <v>#VALUE!</v>
      </c>
      <c r="FD94" t="e">
        <f>AND(Data!N275,"AAAAAH/3r58=")</f>
        <v>#VALUE!</v>
      </c>
      <c r="FE94" t="e">
        <f>AND(Data!O275,"AAAAAH/3r6A=")</f>
        <v>#VALUE!</v>
      </c>
      <c r="FF94" t="e">
        <f>AND(Data!P275,"AAAAAH/3r6E=")</f>
        <v>#VALUE!</v>
      </c>
      <c r="FG94" t="e">
        <f>AND(Data!Q275,"AAAAAH/3r6I=")</f>
        <v>#VALUE!</v>
      </c>
      <c r="FH94" t="e">
        <f>AND(Data!R275,"AAAAAH/3r6M=")</f>
        <v>#VALUE!</v>
      </c>
      <c r="FI94" t="e">
        <f>AND(Data!S275,"AAAAAH/3r6Q=")</f>
        <v>#VALUE!</v>
      </c>
      <c r="FJ94" t="e">
        <f>AND(Data!T275,"AAAAAH/3r6U=")</f>
        <v>#VALUE!</v>
      </c>
      <c r="FK94" t="e">
        <f>AND(Data!U275,"AAAAAH/3r6Y=")</f>
        <v>#VALUE!</v>
      </c>
      <c r="FL94" t="e">
        <f>AND(Data!V275,"AAAAAH/3r6c=")</f>
        <v>#VALUE!</v>
      </c>
      <c r="FM94" t="e">
        <f>AND(Data!W275,"AAAAAH/3r6g=")</f>
        <v>#VALUE!</v>
      </c>
      <c r="FN94" t="e">
        <f>AND(Data!X275,"AAAAAH/3r6k=")</f>
        <v>#VALUE!</v>
      </c>
      <c r="FO94">
        <f>IF(Data!276:276,"AAAAAH/3r6o=",0)</f>
        <v>0</v>
      </c>
      <c r="FP94" t="e">
        <f>AND(Data!A276,"AAAAAH/3r6s=")</f>
        <v>#VALUE!</v>
      </c>
      <c r="FQ94" t="e">
        <f>AND(Data!B276,"AAAAAH/3r6w=")</f>
        <v>#VALUE!</v>
      </c>
      <c r="FR94" t="e">
        <f>AND(Data!C276,"AAAAAH/3r60=")</f>
        <v>#VALUE!</v>
      </c>
      <c r="FS94" t="e">
        <f>AND(Data!D276,"AAAAAH/3r64=")</f>
        <v>#VALUE!</v>
      </c>
      <c r="FT94" t="e">
        <f>AND(Data!E276,"AAAAAH/3r68=")</f>
        <v>#VALUE!</v>
      </c>
      <c r="FU94" t="e">
        <f>AND(Data!F276,"AAAAAH/3r7A=")</f>
        <v>#VALUE!</v>
      </c>
      <c r="FV94" t="e">
        <f>AND(Data!G276,"AAAAAH/3r7E=")</f>
        <v>#VALUE!</v>
      </c>
      <c r="FW94" t="e">
        <f>AND(Data!H276,"AAAAAH/3r7I=")</f>
        <v>#VALUE!</v>
      </c>
      <c r="FX94" t="e">
        <f>AND(Data!I276,"AAAAAH/3r7M=")</f>
        <v>#VALUE!</v>
      </c>
      <c r="FY94" t="e">
        <f>AND(Data!J276,"AAAAAH/3r7Q=")</f>
        <v>#VALUE!</v>
      </c>
      <c r="FZ94" t="e">
        <f>AND(Data!K276,"AAAAAH/3r7U=")</f>
        <v>#VALUE!</v>
      </c>
      <c r="GA94" t="e">
        <f>AND(Data!L276,"AAAAAH/3r7Y=")</f>
        <v>#VALUE!</v>
      </c>
      <c r="GB94" t="e">
        <f>AND(Data!M276,"AAAAAH/3r7c=")</f>
        <v>#VALUE!</v>
      </c>
      <c r="GC94" t="e">
        <f>AND(Data!N276,"AAAAAH/3r7g=")</f>
        <v>#VALUE!</v>
      </c>
      <c r="GD94" t="e">
        <f>AND(Data!O276,"AAAAAH/3r7k=")</f>
        <v>#VALUE!</v>
      </c>
      <c r="GE94" t="e">
        <f>AND(Data!P276,"AAAAAH/3r7o=")</f>
        <v>#VALUE!</v>
      </c>
      <c r="GF94" t="e">
        <f>AND(Data!Q276,"AAAAAH/3r7s=")</f>
        <v>#VALUE!</v>
      </c>
      <c r="GG94" t="e">
        <f>AND(Data!R276,"AAAAAH/3r7w=")</f>
        <v>#VALUE!</v>
      </c>
      <c r="GH94" t="e">
        <f>AND(Data!S276,"AAAAAH/3r70=")</f>
        <v>#VALUE!</v>
      </c>
      <c r="GI94" t="e">
        <f>AND(Data!T276,"AAAAAH/3r74=")</f>
        <v>#VALUE!</v>
      </c>
      <c r="GJ94" t="e">
        <f>AND(Data!U276,"AAAAAH/3r78=")</f>
        <v>#VALUE!</v>
      </c>
      <c r="GK94" t="e">
        <f>AND(Data!V276,"AAAAAH/3r8A=")</f>
        <v>#VALUE!</v>
      </c>
      <c r="GL94" t="e">
        <f>AND(Data!W276,"AAAAAH/3r8E=")</f>
        <v>#VALUE!</v>
      </c>
      <c r="GM94" t="e">
        <f>AND(Data!X276,"AAAAAH/3r8I=")</f>
        <v>#VALUE!</v>
      </c>
      <c r="GN94">
        <f>IF(Data!277:277,"AAAAAH/3r8M=",0)</f>
        <v>0</v>
      </c>
      <c r="GO94" t="e">
        <f>AND(Data!A277,"AAAAAH/3r8Q=")</f>
        <v>#VALUE!</v>
      </c>
      <c r="GP94" t="e">
        <f>AND(Data!B277,"AAAAAH/3r8U=")</f>
        <v>#VALUE!</v>
      </c>
      <c r="GQ94" t="e">
        <f>AND(Data!C277,"AAAAAH/3r8Y=")</f>
        <v>#VALUE!</v>
      </c>
      <c r="GR94" t="e">
        <f>AND(Data!D277,"AAAAAH/3r8c=")</f>
        <v>#VALUE!</v>
      </c>
      <c r="GS94" t="e">
        <f>AND(Data!E277,"AAAAAH/3r8g=")</f>
        <v>#VALUE!</v>
      </c>
      <c r="GT94" t="e">
        <f>AND(Data!F277,"AAAAAH/3r8k=")</f>
        <v>#VALUE!</v>
      </c>
      <c r="GU94" t="e">
        <f>AND(Data!G277,"AAAAAH/3r8o=")</f>
        <v>#VALUE!</v>
      </c>
      <c r="GV94" t="e">
        <f>AND(Data!H277,"AAAAAH/3r8s=")</f>
        <v>#VALUE!</v>
      </c>
      <c r="GW94" t="e">
        <f>AND(Data!I277,"AAAAAH/3r8w=")</f>
        <v>#VALUE!</v>
      </c>
      <c r="GX94" t="e">
        <f>AND(Data!J277,"AAAAAH/3r80=")</f>
        <v>#VALUE!</v>
      </c>
      <c r="GY94" t="e">
        <f>AND(Data!K277,"AAAAAH/3r84=")</f>
        <v>#VALUE!</v>
      </c>
      <c r="GZ94" t="e">
        <f>AND(Data!L277,"AAAAAH/3r88=")</f>
        <v>#VALUE!</v>
      </c>
      <c r="HA94" t="e">
        <f>AND(Data!M277,"AAAAAH/3r9A=")</f>
        <v>#VALUE!</v>
      </c>
      <c r="HB94" t="e">
        <f>AND(Data!N277,"AAAAAH/3r9E=")</f>
        <v>#VALUE!</v>
      </c>
      <c r="HC94" t="e">
        <f>AND(Data!O277,"AAAAAH/3r9I=")</f>
        <v>#VALUE!</v>
      </c>
      <c r="HD94" t="e">
        <f>AND(Data!P277,"AAAAAH/3r9M=")</f>
        <v>#VALUE!</v>
      </c>
      <c r="HE94" t="e">
        <f>AND(Data!Q277,"AAAAAH/3r9Q=")</f>
        <v>#VALUE!</v>
      </c>
      <c r="HF94" t="e">
        <f>AND(Data!R277,"AAAAAH/3r9U=")</f>
        <v>#VALUE!</v>
      </c>
      <c r="HG94" t="e">
        <f>AND(Data!S277,"AAAAAH/3r9Y=")</f>
        <v>#VALUE!</v>
      </c>
      <c r="HH94" t="e">
        <f>AND(Data!T277,"AAAAAH/3r9c=")</f>
        <v>#VALUE!</v>
      </c>
      <c r="HI94" t="e">
        <f>AND(Data!U277,"AAAAAH/3r9g=")</f>
        <v>#VALUE!</v>
      </c>
      <c r="HJ94" t="e">
        <f>AND(Data!V277,"AAAAAH/3r9k=")</f>
        <v>#VALUE!</v>
      </c>
      <c r="HK94" t="e">
        <f>AND(Data!W277,"AAAAAH/3r9o=")</f>
        <v>#VALUE!</v>
      </c>
      <c r="HL94" t="e">
        <f>AND(Data!X277,"AAAAAH/3r9s=")</f>
        <v>#VALUE!</v>
      </c>
      <c r="HM94">
        <f>IF(Data!278:278,"AAAAAH/3r9w=",0)</f>
        <v>0</v>
      </c>
      <c r="HN94" t="e">
        <f>AND(Data!A278,"AAAAAH/3r90=")</f>
        <v>#VALUE!</v>
      </c>
      <c r="HO94" t="e">
        <f>AND(Data!B278,"AAAAAH/3r94=")</f>
        <v>#VALUE!</v>
      </c>
      <c r="HP94" t="e">
        <f>AND(Data!C278,"AAAAAH/3r98=")</f>
        <v>#VALUE!</v>
      </c>
      <c r="HQ94" t="e">
        <f>AND(Data!D278,"AAAAAH/3r+A=")</f>
        <v>#VALUE!</v>
      </c>
      <c r="HR94" t="e">
        <f>AND(Data!E278,"AAAAAH/3r+E=")</f>
        <v>#VALUE!</v>
      </c>
      <c r="HS94" t="e">
        <f>AND(Data!F278,"AAAAAH/3r+I=")</f>
        <v>#VALUE!</v>
      </c>
      <c r="HT94" t="e">
        <f>AND(Data!G278,"AAAAAH/3r+M=")</f>
        <v>#VALUE!</v>
      </c>
      <c r="HU94" t="e">
        <f>AND(Data!H278,"AAAAAH/3r+Q=")</f>
        <v>#VALUE!</v>
      </c>
      <c r="HV94" t="e">
        <f>AND(Data!I278,"AAAAAH/3r+U=")</f>
        <v>#VALUE!</v>
      </c>
      <c r="HW94" t="e">
        <f>AND(Data!J278,"AAAAAH/3r+Y=")</f>
        <v>#VALUE!</v>
      </c>
      <c r="HX94" t="e">
        <f>AND(Data!K278,"AAAAAH/3r+c=")</f>
        <v>#VALUE!</v>
      </c>
      <c r="HY94" t="e">
        <f>AND(Data!L278,"AAAAAH/3r+g=")</f>
        <v>#VALUE!</v>
      </c>
      <c r="HZ94" t="e">
        <f>AND(Data!M278,"AAAAAH/3r+k=")</f>
        <v>#VALUE!</v>
      </c>
      <c r="IA94" t="e">
        <f>AND(Data!N278,"AAAAAH/3r+o=")</f>
        <v>#VALUE!</v>
      </c>
      <c r="IB94" t="e">
        <f>AND(Data!O278,"AAAAAH/3r+s=")</f>
        <v>#VALUE!</v>
      </c>
      <c r="IC94" t="e">
        <f>AND(Data!P278,"AAAAAH/3r+w=")</f>
        <v>#VALUE!</v>
      </c>
      <c r="ID94" t="e">
        <f>AND(Data!Q278,"AAAAAH/3r+0=")</f>
        <v>#VALUE!</v>
      </c>
      <c r="IE94" t="e">
        <f>AND(Data!R278,"AAAAAH/3r+4=")</f>
        <v>#VALUE!</v>
      </c>
      <c r="IF94" t="e">
        <f>AND(Data!S278,"AAAAAH/3r+8=")</f>
        <v>#VALUE!</v>
      </c>
      <c r="IG94" t="e">
        <f>AND(Data!T278,"AAAAAH/3r/A=")</f>
        <v>#VALUE!</v>
      </c>
      <c r="IH94" t="e">
        <f>AND(Data!U278,"AAAAAH/3r/E=")</f>
        <v>#VALUE!</v>
      </c>
      <c r="II94" t="e">
        <f>AND(Data!V278,"AAAAAH/3r/I=")</f>
        <v>#VALUE!</v>
      </c>
      <c r="IJ94" t="e">
        <f>AND(Data!W278,"AAAAAH/3r/M=")</f>
        <v>#VALUE!</v>
      </c>
      <c r="IK94" t="e">
        <f>AND(Data!X278,"AAAAAH/3r/Q=")</f>
        <v>#VALUE!</v>
      </c>
      <c r="IL94">
        <f>IF(Data!279:279,"AAAAAH/3r/U=",0)</f>
        <v>0</v>
      </c>
      <c r="IM94" t="e">
        <f>AND(Data!A279,"AAAAAH/3r/Y=")</f>
        <v>#VALUE!</v>
      </c>
      <c r="IN94" t="e">
        <f>AND(Data!B279,"AAAAAH/3r/c=")</f>
        <v>#VALUE!</v>
      </c>
      <c r="IO94" t="e">
        <f>AND(Data!C279,"AAAAAH/3r/g=")</f>
        <v>#VALUE!</v>
      </c>
      <c r="IP94" t="e">
        <f>AND(Data!D279,"AAAAAH/3r/k=")</f>
        <v>#VALUE!</v>
      </c>
      <c r="IQ94" t="e">
        <f>AND(Data!E279,"AAAAAH/3r/o=")</f>
        <v>#VALUE!</v>
      </c>
      <c r="IR94" t="e">
        <f>AND(Data!F279,"AAAAAH/3r/s=")</f>
        <v>#VALUE!</v>
      </c>
      <c r="IS94" t="e">
        <f>AND(Data!G279,"AAAAAH/3r/w=")</f>
        <v>#VALUE!</v>
      </c>
      <c r="IT94" t="e">
        <f>AND(Data!H279,"AAAAAH/3r/0=")</f>
        <v>#VALUE!</v>
      </c>
      <c r="IU94" t="e">
        <f>AND(Data!I279,"AAAAAH/3r/4=")</f>
        <v>#VALUE!</v>
      </c>
      <c r="IV94" t="e">
        <f>AND(Data!J279,"AAAAAH/3r/8=")</f>
        <v>#VALUE!</v>
      </c>
    </row>
    <row r="95" spans="1:256" x14ac:dyDescent="0.2">
      <c r="A95" t="e">
        <f>AND(Data!K279,"AAAAAHm/QwA=")</f>
        <v>#VALUE!</v>
      </c>
      <c r="B95" t="e">
        <f>AND(Data!L279,"AAAAAHm/QwE=")</f>
        <v>#VALUE!</v>
      </c>
      <c r="C95" t="e">
        <f>AND(Data!M279,"AAAAAHm/QwI=")</f>
        <v>#VALUE!</v>
      </c>
      <c r="D95" t="e">
        <f>AND(Data!N279,"AAAAAHm/QwM=")</f>
        <v>#VALUE!</v>
      </c>
      <c r="E95" t="e">
        <f>AND(Data!O279,"AAAAAHm/QwQ=")</f>
        <v>#VALUE!</v>
      </c>
      <c r="F95" t="e">
        <f>AND(Data!P279,"AAAAAHm/QwU=")</f>
        <v>#VALUE!</v>
      </c>
      <c r="G95" t="e">
        <f>AND(Data!Q279,"AAAAAHm/QwY=")</f>
        <v>#VALUE!</v>
      </c>
      <c r="H95" t="e">
        <f>AND(Data!R279,"AAAAAHm/Qwc=")</f>
        <v>#VALUE!</v>
      </c>
      <c r="I95" t="e">
        <f>AND(Data!S279,"AAAAAHm/Qwg=")</f>
        <v>#VALUE!</v>
      </c>
      <c r="J95" t="e">
        <f>AND(Data!T279,"AAAAAHm/Qwk=")</f>
        <v>#VALUE!</v>
      </c>
      <c r="K95" t="e">
        <f>AND(Data!U279,"AAAAAHm/Qwo=")</f>
        <v>#VALUE!</v>
      </c>
      <c r="L95" t="e">
        <f>AND(Data!V279,"AAAAAHm/Qws=")</f>
        <v>#VALUE!</v>
      </c>
      <c r="M95" t="e">
        <f>AND(Data!W279,"AAAAAHm/Qww=")</f>
        <v>#VALUE!</v>
      </c>
      <c r="N95" t="e">
        <f>AND(Data!X279,"AAAAAHm/Qw0=")</f>
        <v>#VALUE!</v>
      </c>
      <c r="O95" t="e">
        <f>IF(Data!280:280,"AAAAAHm/Qw4=",0)</f>
        <v>#VALUE!</v>
      </c>
      <c r="P95" t="e">
        <f>AND(Data!A280,"AAAAAHm/Qw8=")</f>
        <v>#VALUE!</v>
      </c>
      <c r="Q95" t="e">
        <f>AND(Data!B280,"AAAAAHm/QxA=")</f>
        <v>#VALUE!</v>
      </c>
      <c r="R95" t="e">
        <f>AND(Data!C280,"AAAAAHm/QxE=")</f>
        <v>#VALUE!</v>
      </c>
      <c r="S95" t="e">
        <f>AND(Data!D280,"AAAAAHm/QxI=")</f>
        <v>#VALUE!</v>
      </c>
      <c r="T95" t="e">
        <f>AND(Data!E280,"AAAAAHm/QxM=")</f>
        <v>#VALUE!</v>
      </c>
      <c r="U95" t="e">
        <f>AND(Data!F280,"AAAAAHm/QxQ=")</f>
        <v>#VALUE!</v>
      </c>
      <c r="V95" t="e">
        <f>AND(Data!G280,"AAAAAHm/QxU=")</f>
        <v>#VALUE!</v>
      </c>
      <c r="W95" t="e">
        <f>AND(Data!H280,"AAAAAHm/QxY=")</f>
        <v>#VALUE!</v>
      </c>
      <c r="X95" t="e">
        <f>AND(Data!I280,"AAAAAHm/Qxc=")</f>
        <v>#VALUE!</v>
      </c>
      <c r="Y95" t="e">
        <f>AND(Data!J280,"AAAAAHm/Qxg=")</f>
        <v>#VALUE!</v>
      </c>
      <c r="Z95" t="e">
        <f>AND(Data!K280,"AAAAAHm/Qxk=")</f>
        <v>#VALUE!</v>
      </c>
      <c r="AA95" t="e">
        <f>AND(Data!L280,"AAAAAHm/Qxo=")</f>
        <v>#VALUE!</v>
      </c>
      <c r="AB95" t="e">
        <f>AND(Data!M280,"AAAAAHm/Qxs=")</f>
        <v>#VALUE!</v>
      </c>
      <c r="AC95" t="e">
        <f>AND(Data!N280,"AAAAAHm/Qxw=")</f>
        <v>#VALUE!</v>
      </c>
      <c r="AD95" t="e">
        <f>AND(Data!O280,"AAAAAHm/Qx0=")</f>
        <v>#VALUE!</v>
      </c>
      <c r="AE95" t="e">
        <f>AND(Data!P280,"AAAAAHm/Qx4=")</f>
        <v>#VALUE!</v>
      </c>
      <c r="AF95" t="e">
        <f>AND(Data!Q280,"AAAAAHm/Qx8=")</f>
        <v>#VALUE!</v>
      </c>
      <c r="AG95" t="e">
        <f>AND(Data!R280,"AAAAAHm/QyA=")</f>
        <v>#VALUE!</v>
      </c>
      <c r="AH95" t="e">
        <f>AND(Data!S280,"AAAAAHm/QyE=")</f>
        <v>#VALUE!</v>
      </c>
      <c r="AI95" t="e">
        <f>AND(Data!T280,"AAAAAHm/QyI=")</f>
        <v>#VALUE!</v>
      </c>
      <c r="AJ95" t="e">
        <f>AND(Data!U280,"AAAAAHm/QyM=")</f>
        <v>#VALUE!</v>
      </c>
      <c r="AK95" t="e">
        <f>AND(Data!V280,"AAAAAHm/QyQ=")</f>
        <v>#VALUE!</v>
      </c>
      <c r="AL95" t="e">
        <f>AND(Data!W280,"AAAAAHm/QyU=")</f>
        <v>#VALUE!</v>
      </c>
      <c r="AM95" t="e">
        <f>AND(Data!X280,"AAAAAHm/QyY=")</f>
        <v>#VALUE!</v>
      </c>
      <c r="AN95">
        <f>IF(Data!281:281,"AAAAAHm/Qyc=",0)</f>
        <v>0</v>
      </c>
      <c r="AO95" t="e">
        <f>AND(Data!A281,"AAAAAHm/Qyg=")</f>
        <v>#VALUE!</v>
      </c>
      <c r="AP95" t="e">
        <f>AND(Data!B281,"AAAAAHm/Qyk=")</f>
        <v>#VALUE!</v>
      </c>
      <c r="AQ95" t="e">
        <f>AND(Data!C281,"AAAAAHm/Qyo=")</f>
        <v>#VALUE!</v>
      </c>
      <c r="AR95" t="e">
        <f>AND(Data!D281,"AAAAAHm/Qys=")</f>
        <v>#VALUE!</v>
      </c>
      <c r="AS95" t="e">
        <f>AND(Data!E281,"AAAAAHm/Qyw=")</f>
        <v>#VALUE!</v>
      </c>
      <c r="AT95" t="e">
        <f>AND(Data!F281,"AAAAAHm/Qy0=")</f>
        <v>#VALUE!</v>
      </c>
      <c r="AU95" t="e">
        <f>AND(Data!G281,"AAAAAHm/Qy4=")</f>
        <v>#VALUE!</v>
      </c>
      <c r="AV95" t="e">
        <f>AND(Data!H281,"AAAAAHm/Qy8=")</f>
        <v>#VALUE!</v>
      </c>
      <c r="AW95" t="e">
        <f>AND(Data!I281,"AAAAAHm/QzA=")</f>
        <v>#VALUE!</v>
      </c>
      <c r="AX95" t="e">
        <f>AND(Data!J281,"AAAAAHm/QzE=")</f>
        <v>#VALUE!</v>
      </c>
      <c r="AY95" t="e">
        <f>AND(Data!K281,"AAAAAHm/QzI=")</f>
        <v>#VALUE!</v>
      </c>
      <c r="AZ95" t="e">
        <f>AND(Data!L281,"AAAAAHm/QzM=")</f>
        <v>#VALUE!</v>
      </c>
      <c r="BA95" t="e">
        <f>AND(Data!M281,"AAAAAHm/QzQ=")</f>
        <v>#VALUE!</v>
      </c>
      <c r="BB95" t="e">
        <f>AND(Data!N281,"AAAAAHm/QzU=")</f>
        <v>#VALUE!</v>
      </c>
      <c r="BC95" t="e">
        <f>AND(Data!O281,"AAAAAHm/QzY=")</f>
        <v>#VALUE!</v>
      </c>
      <c r="BD95" t="e">
        <f>AND(Data!P281,"AAAAAHm/Qzc=")</f>
        <v>#VALUE!</v>
      </c>
      <c r="BE95" t="e">
        <f>AND(Data!Q281,"AAAAAHm/Qzg=")</f>
        <v>#VALUE!</v>
      </c>
      <c r="BF95" t="e">
        <f>AND(Data!R281,"AAAAAHm/Qzk=")</f>
        <v>#VALUE!</v>
      </c>
      <c r="BG95" t="e">
        <f>AND(Data!S281,"AAAAAHm/Qzo=")</f>
        <v>#VALUE!</v>
      </c>
      <c r="BH95" t="e">
        <f>AND(Data!T281,"AAAAAHm/Qzs=")</f>
        <v>#VALUE!</v>
      </c>
      <c r="BI95" t="e">
        <f>AND(Data!U281,"AAAAAHm/Qzw=")</f>
        <v>#VALUE!</v>
      </c>
      <c r="BJ95" t="e">
        <f>AND(Data!V281,"AAAAAHm/Qz0=")</f>
        <v>#VALUE!</v>
      </c>
      <c r="BK95" t="e">
        <f>AND(Data!W281,"AAAAAHm/Qz4=")</f>
        <v>#VALUE!</v>
      </c>
      <c r="BL95" t="e">
        <f>AND(Data!X281,"AAAAAHm/Qz8=")</f>
        <v>#VALUE!</v>
      </c>
      <c r="BM95">
        <f>IF(Data!282:282,"AAAAAHm/Q0A=",0)</f>
        <v>0</v>
      </c>
      <c r="BN95" t="e">
        <f>AND(Data!A282,"AAAAAHm/Q0E=")</f>
        <v>#VALUE!</v>
      </c>
      <c r="BO95" t="e">
        <f>AND(Data!B282,"AAAAAHm/Q0I=")</f>
        <v>#VALUE!</v>
      </c>
      <c r="BP95" t="e">
        <f>AND(Data!C282,"AAAAAHm/Q0M=")</f>
        <v>#VALUE!</v>
      </c>
      <c r="BQ95" t="e">
        <f>AND(Data!D282,"AAAAAHm/Q0Q=")</f>
        <v>#VALUE!</v>
      </c>
      <c r="BR95" t="e">
        <f>AND(Data!E282,"AAAAAHm/Q0U=")</f>
        <v>#VALUE!</v>
      </c>
      <c r="BS95" t="e">
        <f>AND(Data!F282,"AAAAAHm/Q0Y=")</f>
        <v>#VALUE!</v>
      </c>
      <c r="BT95" t="e">
        <f>AND(Data!G282,"AAAAAHm/Q0c=")</f>
        <v>#VALUE!</v>
      </c>
      <c r="BU95" t="e">
        <f>AND(Data!H282,"AAAAAHm/Q0g=")</f>
        <v>#VALUE!</v>
      </c>
      <c r="BV95" t="e">
        <f>AND(Data!I282,"AAAAAHm/Q0k=")</f>
        <v>#VALUE!</v>
      </c>
      <c r="BW95" t="e">
        <f>AND(Data!J282,"AAAAAHm/Q0o=")</f>
        <v>#VALUE!</v>
      </c>
      <c r="BX95" t="e">
        <f>AND(Data!K282,"AAAAAHm/Q0s=")</f>
        <v>#VALUE!</v>
      </c>
      <c r="BY95" t="e">
        <f>AND(Data!L282,"AAAAAHm/Q0w=")</f>
        <v>#VALUE!</v>
      </c>
      <c r="BZ95" t="e">
        <f>AND(Data!M282,"AAAAAHm/Q00=")</f>
        <v>#VALUE!</v>
      </c>
      <c r="CA95" t="e">
        <f>AND(Data!N282,"AAAAAHm/Q04=")</f>
        <v>#VALUE!</v>
      </c>
      <c r="CB95" t="e">
        <f>AND(Data!O282,"AAAAAHm/Q08=")</f>
        <v>#VALUE!</v>
      </c>
      <c r="CC95" t="e">
        <f>AND(Data!P282,"AAAAAHm/Q1A=")</f>
        <v>#VALUE!</v>
      </c>
      <c r="CD95" t="e">
        <f>AND(Data!Q282,"AAAAAHm/Q1E=")</f>
        <v>#VALUE!</v>
      </c>
      <c r="CE95" t="e">
        <f>AND(Data!R282,"AAAAAHm/Q1I=")</f>
        <v>#VALUE!</v>
      </c>
      <c r="CF95" t="e">
        <f>AND(Data!S282,"AAAAAHm/Q1M=")</f>
        <v>#VALUE!</v>
      </c>
      <c r="CG95" t="e">
        <f>AND(Data!T282,"AAAAAHm/Q1Q=")</f>
        <v>#VALUE!</v>
      </c>
      <c r="CH95" t="e">
        <f>AND(Data!U282,"AAAAAHm/Q1U=")</f>
        <v>#VALUE!</v>
      </c>
      <c r="CI95" t="e">
        <f>AND(Data!V282,"AAAAAHm/Q1Y=")</f>
        <v>#VALUE!</v>
      </c>
      <c r="CJ95" t="e">
        <f>AND(Data!W282,"AAAAAHm/Q1c=")</f>
        <v>#VALUE!</v>
      </c>
      <c r="CK95" t="e">
        <f>AND(Data!X282,"AAAAAHm/Q1g=")</f>
        <v>#VALUE!</v>
      </c>
      <c r="CL95">
        <f>IF(Data!283:283,"AAAAAHm/Q1k=",0)</f>
        <v>0</v>
      </c>
      <c r="CM95" t="e">
        <f>AND(Data!A283,"AAAAAHm/Q1o=")</f>
        <v>#VALUE!</v>
      </c>
      <c r="CN95" t="e">
        <f>AND(Data!B283,"AAAAAHm/Q1s=")</f>
        <v>#VALUE!</v>
      </c>
      <c r="CO95" t="e">
        <f>AND(Data!C283,"AAAAAHm/Q1w=")</f>
        <v>#VALUE!</v>
      </c>
      <c r="CP95" t="e">
        <f>AND(Data!D283,"AAAAAHm/Q10=")</f>
        <v>#VALUE!</v>
      </c>
      <c r="CQ95" t="e">
        <f>AND(Data!E283,"AAAAAHm/Q14=")</f>
        <v>#VALUE!</v>
      </c>
      <c r="CR95" t="e">
        <f>AND(Data!F283,"AAAAAHm/Q18=")</f>
        <v>#VALUE!</v>
      </c>
      <c r="CS95" t="e">
        <f>AND(Data!G283,"AAAAAHm/Q2A=")</f>
        <v>#VALUE!</v>
      </c>
      <c r="CT95" t="e">
        <f>AND(Data!H283,"AAAAAHm/Q2E=")</f>
        <v>#VALUE!</v>
      </c>
      <c r="CU95" t="e">
        <f>AND(Data!I283,"AAAAAHm/Q2I=")</f>
        <v>#VALUE!</v>
      </c>
      <c r="CV95" t="e">
        <f>AND(Data!J283,"AAAAAHm/Q2M=")</f>
        <v>#VALUE!</v>
      </c>
      <c r="CW95" t="e">
        <f>AND(Data!K283,"AAAAAHm/Q2Q=")</f>
        <v>#VALUE!</v>
      </c>
      <c r="CX95" t="e">
        <f>AND(Data!L283,"AAAAAHm/Q2U=")</f>
        <v>#VALUE!</v>
      </c>
      <c r="CY95" t="e">
        <f>AND(Data!M283,"AAAAAHm/Q2Y=")</f>
        <v>#VALUE!</v>
      </c>
      <c r="CZ95" t="e">
        <f>AND(Data!N283,"AAAAAHm/Q2c=")</f>
        <v>#VALUE!</v>
      </c>
      <c r="DA95" t="e">
        <f>AND(Data!O283,"AAAAAHm/Q2g=")</f>
        <v>#VALUE!</v>
      </c>
      <c r="DB95" t="e">
        <f>AND(Data!P283,"AAAAAHm/Q2k=")</f>
        <v>#VALUE!</v>
      </c>
      <c r="DC95" t="e">
        <f>AND(Data!Q283,"AAAAAHm/Q2o=")</f>
        <v>#VALUE!</v>
      </c>
      <c r="DD95" t="e">
        <f>AND(Data!R283,"AAAAAHm/Q2s=")</f>
        <v>#VALUE!</v>
      </c>
      <c r="DE95" t="e">
        <f>AND(Data!S283,"AAAAAHm/Q2w=")</f>
        <v>#VALUE!</v>
      </c>
      <c r="DF95" t="e">
        <f>AND(Data!T283,"AAAAAHm/Q20=")</f>
        <v>#VALUE!</v>
      </c>
      <c r="DG95" t="e">
        <f>AND(Data!U283,"AAAAAHm/Q24=")</f>
        <v>#VALUE!</v>
      </c>
      <c r="DH95" t="e">
        <f>AND(Data!V283,"AAAAAHm/Q28=")</f>
        <v>#VALUE!</v>
      </c>
      <c r="DI95" t="e">
        <f>AND(Data!W283,"AAAAAHm/Q3A=")</f>
        <v>#VALUE!</v>
      </c>
      <c r="DJ95" t="e">
        <f>AND(Data!X283,"AAAAAHm/Q3E=")</f>
        <v>#VALUE!</v>
      </c>
      <c r="DK95">
        <f>IF(Data!284:284,"AAAAAHm/Q3I=",0)</f>
        <v>0</v>
      </c>
      <c r="DL95" t="e">
        <f>AND(Data!A284,"AAAAAHm/Q3M=")</f>
        <v>#VALUE!</v>
      </c>
      <c r="DM95" t="e">
        <f>AND(Data!B284,"AAAAAHm/Q3Q=")</f>
        <v>#VALUE!</v>
      </c>
      <c r="DN95" t="e">
        <f>AND(Data!C284,"AAAAAHm/Q3U=")</f>
        <v>#VALUE!</v>
      </c>
      <c r="DO95" t="e">
        <f>AND(Data!D284,"AAAAAHm/Q3Y=")</f>
        <v>#VALUE!</v>
      </c>
      <c r="DP95" t="e">
        <f>AND(Data!E284,"AAAAAHm/Q3c=")</f>
        <v>#VALUE!</v>
      </c>
      <c r="DQ95" t="e">
        <f>AND(Data!F284,"AAAAAHm/Q3g=")</f>
        <v>#VALUE!</v>
      </c>
      <c r="DR95" t="e">
        <f>AND(Data!G284,"AAAAAHm/Q3k=")</f>
        <v>#VALUE!</v>
      </c>
      <c r="DS95" t="e">
        <f>AND(Data!H284,"AAAAAHm/Q3o=")</f>
        <v>#VALUE!</v>
      </c>
      <c r="DT95" t="e">
        <f>AND(Data!I284,"AAAAAHm/Q3s=")</f>
        <v>#VALUE!</v>
      </c>
      <c r="DU95" t="e">
        <f>AND(Data!J284,"AAAAAHm/Q3w=")</f>
        <v>#VALUE!</v>
      </c>
      <c r="DV95" t="e">
        <f>AND(Data!K284,"AAAAAHm/Q30=")</f>
        <v>#VALUE!</v>
      </c>
      <c r="DW95" t="e">
        <f>AND(Data!L284,"AAAAAHm/Q34=")</f>
        <v>#VALUE!</v>
      </c>
      <c r="DX95" t="e">
        <f>AND(Data!M284,"AAAAAHm/Q38=")</f>
        <v>#VALUE!</v>
      </c>
      <c r="DY95" t="e">
        <f>AND(Data!N284,"AAAAAHm/Q4A=")</f>
        <v>#VALUE!</v>
      </c>
      <c r="DZ95" t="e">
        <f>AND(Data!O284,"AAAAAHm/Q4E=")</f>
        <v>#VALUE!</v>
      </c>
      <c r="EA95" t="e">
        <f>AND(Data!P284,"AAAAAHm/Q4I=")</f>
        <v>#VALUE!</v>
      </c>
      <c r="EB95" t="e">
        <f>AND(Data!Q284,"AAAAAHm/Q4M=")</f>
        <v>#VALUE!</v>
      </c>
      <c r="EC95" t="e">
        <f>AND(Data!R284,"AAAAAHm/Q4Q=")</f>
        <v>#VALUE!</v>
      </c>
      <c r="ED95" t="e">
        <f>AND(Data!S284,"AAAAAHm/Q4U=")</f>
        <v>#VALUE!</v>
      </c>
      <c r="EE95" t="e">
        <f>AND(Data!T284,"AAAAAHm/Q4Y=")</f>
        <v>#VALUE!</v>
      </c>
      <c r="EF95" t="e">
        <f>AND(Data!U284,"AAAAAHm/Q4c=")</f>
        <v>#VALUE!</v>
      </c>
      <c r="EG95" t="e">
        <f>AND(Data!V284,"AAAAAHm/Q4g=")</f>
        <v>#VALUE!</v>
      </c>
      <c r="EH95" t="e">
        <f>AND(Data!W284,"AAAAAHm/Q4k=")</f>
        <v>#VALUE!</v>
      </c>
      <c r="EI95" t="e">
        <f>AND(Data!X284,"AAAAAHm/Q4o=")</f>
        <v>#VALUE!</v>
      </c>
      <c r="EJ95">
        <f>IF(Data!285:285,"AAAAAHm/Q4s=",0)</f>
        <v>0</v>
      </c>
      <c r="EK95" t="e">
        <f>AND(Data!A285,"AAAAAHm/Q4w=")</f>
        <v>#VALUE!</v>
      </c>
      <c r="EL95" t="e">
        <f>AND(Data!B285,"AAAAAHm/Q40=")</f>
        <v>#VALUE!</v>
      </c>
      <c r="EM95" t="e">
        <f>AND(Data!C285,"AAAAAHm/Q44=")</f>
        <v>#VALUE!</v>
      </c>
      <c r="EN95" t="e">
        <f>AND(Data!D285,"AAAAAHm/Q48=")</f>
        <v>#VALUE!</v>
      </c>
      <c r="EO95" t="e">
        <f>AND(Data!E285,"AAAAAHm/Q5A=")</f>
        <v>#VALUE!</v>
      </c>
      <c r="EP95" t="e">
        <f>AND(Data!F285,"AAAAAHm/Q5E=")</f>
        <v>#VALUE!</v>
      </c>
      <c r="EQ95" t="e">
        <f>AND(Data!G285,"AAAAAHm/Q5I=")</f>
        <v>#VALUE!</v>
      </c>
      <c r="ER95" t="e">
        <f>AND(Data!H285,"AAAAAHm/Q5M=")</f>
        <v>#VALUE!</v>
      </c>
      <c r="ES95" t="e">
        <f>AND(Data!I285,"AAAAAHm/Q5Q=")</f>
        <v>#VALUE!</v>
      </c>
      <c r="ET95" t="e">
        <f>AND(Data!J285,"AAAAAHm/Q5U=")</f>
        <v>#VALUE!</v>
      </c>
      <c r="EU95" t="e">
        <f>AND(Data!K285,"AAAAAHm/Q5Y=")</f>
        <v>#VALUE!</v>
      </c>
      <c r="EV95" t="e">
        <f>AND(Data!L285,"AAAAAHm/Q5c=")</f>
        <v>#VALUE!</v>
      </c>
      <c r="EW95" t="e">
        <f>AND(Data!M285,"AAAAAHm/Q5g=")</f>
        <v>#VALUE!</v>
      </c>
      <c r="EX95" t="e">
        <f>AND(Data!N285,"AAAAAHm/Q5k=")</f>
        <v>#VALUE!</v>
      </c>
      <c r="EY95" t="e">
        <f>AND(Data!O285,"AAAAAHm/Q5o=")</f>
        <v>#VALUE!</v>
      </c>
      <c r="EZ95" t="e">
        <f>AND(Data!P285,"AAAAAHm/Q5s=")</f>
        <v>#VALUE!</v>
      </c>
      <c r="FA95" t="e">
        <f>AND(Data!Q285,"AAAAAHm/Q5w=")</f>
        <v>#VALUE!</v>
      </c>
      <c r="FB95" t="e">
        <f>AND(Data!R285,"AAAAAHm/Q50=")</f>
        <v>#VALUE!</v>
      </c>
      <c r="FC95" t="e">
        <f>AND(Data!S285,"AAAAAHm/Q54=")</f>
        <v>#VALUE!</v>
      </c>
      <c r="FD95" t="e">
        <f>AND(Data!T285,"AAAAAHm/Q58=")</f>
        <v>#VALUE!</v>
      </c>
      <c r="FE95" t="e">
        <f>AND(Data!U285,"AAAAAHm/Q6A=")</f>
        <v>#VALUE!</v>
      </c>
      <c r="FF95" t="e">
        <f>AND(Data!V285,"AAAAAHm/Q6E=")</f>
        <v>#VALUE!</v>
      </c>
      <c r="FG95" t="e">
        <f>AND(Data!W285,"AAAAAHm/Q6I=")</f>
        <v>#VALUE!</v>
      </c>
      <c r="FH95" t="e">
        <f>AND(Data!X285,"AAAAAHm/Q6M=")</f>
        <v>#VALUE!</v>
      </c>
      <c r="FI95">
        <f>IF(Data!286:286,"AAAAAHm/Q6Q=",0)</f>
        <v>0</v>
      </c>
      <c r="FJ95" t="e">
        <f>AND(Data!A286,"AAAAAHm/Q6U=")</f>
        <v>#VALUE!</v>
      </c>
      <c r="FK95" t="e">
        <f>AND(Data!B286,"AAAAAHm/Q6Y=")</f>
        <v>#VALUE!</v>
      </c>
      <c r="FL95" t="e">
        <f>AND(Data!C286,"AAAAAHm/Q6c=")</f>
        <v>#VALUE!</v>
      </c>
      <c r="FM95" t="e">
        <f>AND(Data!D286,"AAAAAHm/Q6g=")</f>
        <v>#VALUE!</v>
      </c>
      <c r="FN95" t="e">
        <f>AND(Data!E286,"AAAAAHm/Q6k=")</f>
        <v>#VALUE!</v>
      </c>
      <c r="FO95" t="e">
        <f>AND(Data!F286,"AAAAAHm/Q6o=")</f>
        <v>#VALUE!</v>
      </c>
      <c r="FP95" t="e">
        <f>AND(Data!G286,"AAAAAHm/Q6s=")</f>
        <v>#VALUE!</v>
      </c>
      <c r="FQ95" t="e">
        <f>AND(Data!H286,"AAAAAHm/Q6w=")</f>
        <v>#VALUE!</v>
      </c>
      <c r="FR95" t="e">
        <f>AND(Data!I286,"AAAAAHm/Q60=")</f>
        <v>#VALUE!</v>
      </c>
      <c r="FS95" t="e">
        <f>AND(Data!J286,"AAAAAHm/Q64=")</f>
        <v>#VALUE!</v>
      </c>
      <c r="FT95" t="e">
        <f>AND(Data!K286,"AAAAAHm/Q68=")</f>
        <v>#VALUE!</v>
      </c>
      <c r="FU95" t="e">
        <f>AND(Data!L286,"AAAAAHm/Q7A=")</f>
        <v>#VALUE!</v>
      </c>
      <c r="FV95" t="e">
        <f>AND(Data!M286,"AAAAAHm/Q7E=")</f>
        <v>#VALUE!</v>
      </c>
      <c r="FW95" t="e">
        <f>AND(Data!N286,"AAAAAHm/Q7I=")</f>
        <v>#VALUE!</v>
      </c>
      <c r="FX95" t="e">
        <f>AND(Data!O286,"AAAAAHm/Q7M=")</f>
        <v>#VALUE!</v>
      </c>
      <c r="FY95" t="e">
        <f>AND(Data!P286,"AAAAAHm/Q7Q=")</f>
        <v>#VALUE!</v>
      </c>
      <c r="FZ95" t="e">
        <f>AND(Data!Q286,"AAAAAHm/Q7U=")</f>
        <v>#VALUE!</v>
      </c>
      <c r="GA95" t="e">
        <f>AND(Data!R286,"AAAAAHm/Q7Y=")</f>
        <v>#VALUE!</v>
      </c>
      <c r="GB95" t="e">
        <f>AND(Data!S286,"AAAAAHm/Q7c=")</f>
        <v>#VALUE!</v>
      </c>
      <c r="GC95" t="e">
        <f>AND(Data!T286,"AAAAAHm/Q7g=")</f>
        <v>#VALUE!</v>
      </c>
      <c r="GD95" t="e">
        <f>AND(Data!U286,"AAAAAHm/Q7k=")</f>
        <v>#VALUE!</v>
      </c>
      <c r="GE95" t="e">
        <f>AND(Data!V286,"AAAAAHm/Q7o=")</f>
        <v>#VALUE!</v>
      </c>
      <c r="GF95" t="e">
        <f>AND(Data!W286,"AAAAAHm/Q7s=")</f>
        <v>#VALUE!</v>
      </c>
      <c r="GG95" t="e">
        <f>AND(Data!X286,"AAAAAHm/Q7w=")</f>
        <v>#VALUE!</v>
      </c>
      <c r="GH95">
        <f>IF(Data!287:287,"AAAAAHm/Q70=",0)</f>
        <v>0</v>
      </c>
      <c r="GI95" t="e">
        <f>AND(Data!A287,"AAAAAHm/Q74=")</f>
        <v>#VALUE!</v>
      </c>
      <c r="GJ95" t="e">
        <f>AND(Data!B287,"AAAAAHm/Q78=")</f>
        <v>#VALUE!</v>
      </c>
      <c r="GK95" t="e">
        <f>AND(Data!C287,"AAAAAHm/Q8A=")</f>
        <v>#VALUE!</v>
      </c>
      <c r="GL95" t="e">
        <f>AND(Data!D287,"AAAAAHm/Q8E=")</f>
        <v>#VALUE!</v>
      </c>
      <c r="GM95" t="e">
        <f>AND(Data!E287,"AAAAAHm/Q8I=")</f>
        <v>#VALUE!</v>
      </c>
      <c r="GN95" t="e">
        <f>AND(Data!F287,"AAAAAHm/Q8M=")</f>
        <v>#VALUE!</v>
      </c>
      <c r="GO95" t="e">
        <f>AND(Data!G287,"AAAAAHm/Q8Q=")</f>
        <v>#VALUE!</v>
      </c>
      <c r="GP95" t="e">
        <f>AND(Data!H287,"AAAAAHm/Q8U=")</f>
        <v>#VALUE!</v>
      </c>
      <c r="GQ95" t="e">
        <f>AND(Data!I287,"AAAAAHm/Q8Y=")</f>
        <v>#VALUE!</v>
      </c>
      <c r="GR95" t="e">
        <f>AND(Data!J287,"AAAAAHm/Q8c=")</f>
        <v>#VALUE!</v>
      </c>
      <c r="GS95" t="e">
        <f>AND(Data!K287,"AAAAAHm/Q8g=")</f>
        <v>#VALUE!</v>
      </c>
      <c r="GT95" t="e">
        <f>AND(Data!L287,"AAAAAHm/Q8k=")</f>
        <v>#VALUE!</v>
      </c>
      <c r="GU95" t="e">
        <f>AND(Data!M287,"AAAAAHm/Q8o=")</f>
        <v>#VALUE!</v>
      </c>
      <c r="GV95" t="e">
        <f>AND(Data!N287,"AAAAAHm/Q8s=")</f>
        <v>#VALUE!</v>
      </c>
      <c r="GW95" t="e">
        <f>AND(Data!O287,"AAAAAHm/Q8w=")</f>
        <v>#VALUE!</v>
      </c>
      <c r="GX95" t="e">
        <f>AND(Data!P287,"AAAAAHm/Q80=")</f>
        <v>#VALUE!</v>
      </c>
      <c r="GY95" t="e">
        <f>AND(Data!Q287,"AAAAAHm/Q84=")</f>
        <v>#VALUE!</v>
      </c>
      <c r="GZ95" t="e">
        <f>AND(Data!R287,"AAAAAHm/Q88=")</f>
        <v>#VALUE!</v>
      </c>
      <c r="HA95" t="e">
        <f>AND(Data!S287,"AAAAAHm/Q9A=")</f>
        <v>#VALUE!</v>
      </c>
      <c r="HB95" t="e">
        <f>AND(Data!T287,"AAAAAHm/Q9E=")</f>
        <v>#VALUE!</v>
      </c>
      <c r="HC95" t="e">
        <f>AND(Data!U287,"AAAAAHm/Q9I=")</f>
        <v>#VALUE!</v>
      </c>
      <c r="HD95" t="e">
        <f>AND(Data!V287,"AAAAAHm/Q9M=")</f>
        <v>#VALUE!</v>
      </c>
      <c r="HE95" t="e">
        <f>AND(Data!W287,"AAAAAHm/Q9Q=")</f>
        <v>#VALUE!</v>
      </c>
      <c r="HF95" t="e">
        <f>AND(Data!X287,"AAAAAHm/Q9U=")</f>
        <v>#VALUE!</v>
      </c>
      <c r="HG95">
        <f>IF(Data!288:288,"AAAAAHm/Q9Y=",0)</f>
        <v>0</v>
      </c>
      <c r="HH95" t="e">
        <f>AND(Data!A288,"AAAAAHm/Q9c=")</f>
        <v>#VALUE!</v>
      </c>
      <c r="HI95" t="e">
        <f>AND(Data!B288,"AAAAAHm/Q9g=")</f>
        <v>#VALUE!</v>
      </c>
      <c r="HJ95" t="e">
        <f>AND(Data!C288,"AAAAAHm/Q9k=")</f>
        <v>#VALUE!</v>
      </c>
      <c r="HK95" t="e">
        <f>AND(Data!D288,"AAAAAHm/Q9o=")</f>
        <v>#VALUE!</v>
      </c>
      <c r="HL95" t="e">
        <f>AND(Data!E288,"AAAAAHm/Q9s=")</f>
        <v>#VALUE!</v>
      </c>
      <c r="HM95" t="e">
        <f>AND(Data!F288,"AAAAAHm/Q9w=")</f>
        <v>#VALUE!</v>
      </c>
      <c r="HN95" t="e">
        <f>AND(Data!G288,"AAAAAHm/Q90=")</f>
        <v>#VALUE!</v>
      </c>
      <c r="HO95" t="e">
        <f>AND(Data!H288,"AAAAAHm/Q94=")</f>
        <v>#VALUE!</v>
      </c>
      <c r="HP95" t="e">
        <f>AND(Data!I288,"AAAAAHm/Q98=")</f>
        <v>#VALUE!</v>
      </c>
      <c r="HQ95" t="e">
        <f>AND(Data!J288,"AAAAAHm/Q+A=")</f>
        <v>#VALUE!</v>
      </c>
      <c r="HR95" t="e">
        <f>AND(Data!K288,"AAAAAHm/Q+E=")</f>
        <v>#VALUE!</v>
      </c>
      <c r="HS95" t="e">
        <f>AND(Data!L288,"AAAAAHm/Q+I=")</f>
        <v>#VALUE!</v>
      </c>
      <c r="HT95" t="e">
        <f>AND(Data!M288,"AAAAAHm/Q+M=")</f>
        <v>#VALUE!</v>
      </c>
      <c r="HU95" t="e">
        <f>AND(Data!N288,"AAAAAHm/Q+Q=")</f>
        <v>#VALUE!</v>
      </c>
      <c r="HV95" t="e">
        <f>AND(Data!O288,"AAAAAHm/Q+U=")</f>
        <v>#VALUE!</v>
      </c>
      <c r="HW95" t="e">
        <f>AND(Data!P288,"AAAAAHm/Q+Y=")</f>
        <v>#VALUE!</v>
      </c>
      <c r="HX95" t="e">
        <f>AND(Data!Q288,"AAAAAHm/Q+c=")</f>
        <v>#VALUE!</v>
      </c>
      <c r="HY95" t="e">
        <f>AND(Data!R288,"AAAAAHm/Q+g=")</f>
        <v>#VALUE!</v>
      </c>
      <c r="HZ95" t="e">
        <f>AND(Data!S288,"AAAAAHm/Q+k=")</f>
        <v>#VALUE!</v>
      </c>
      <c r="IA95" t="e">
        <f>AND(Data!T288,"AAAAAHm/Q+o=")</f>
        <v>#VALUE!</v>
      </c>
      <c r="IB95" t="e">
        <f>AND(Data!U288,"AAAAAHm/Q+s=")</f>
        <v>#VALUE!</v>
      </c>
      <c r="IC95" t="e">
        <f>AND(Data!V288,"AAAAAHm/Q+w=")</f>
        <v>#VALUE!</v>
      </c>
      <c r="ID95" t="e">
        <f>AND(Data!W288,"AAAAAHm/Q+0=")</f>
        <v>#VALUE!</v>
      </c>
      <c r="IE95" t="e">
        <f>AND(Data!X288,"AAAAAHm/Q+4=")</f>
        <v>#VALUE!</v>
      </c>
      <c r="IF95">
        <f>IF(Data!289:289,"AAAAAHm/Q+8=",0)</f>
        <v>0</v>
      </c>
      <c r="IG95" t="e">
        <f>AND(Data!A289,"AAAAAHm/Q/A=")</f>
        <v>#VALUE!</v>
      </c>
      <c r="IH95" t="e">
        <f>AND(Data!B289,"AAAAAHm/Q/E=")</f>
        <v>#VALUE!</v>
      </c>
      <c r="II95" t="e">
        <f>AND(Data!C289,"AAAAAHm/Q/I=")</f>
        <v>#VALUE!</v>
      </c>
      <c r="IJ95" t="e">
        <f>AND(Data!D289,"AAAAAHm/Q/M=")</f>
        <v>#VALUE!</v>
      </c>
      <c r="IK95" t="e">
        <f>AND(Data!E289,"AAAAAHm/Q/Q=")</f>
        <v>#VALUE!</v>
      </c>
      <c r="IL95" t="e">
        <f>AND(Data!F289,"AAAAAHm/Q/U=")</f>
        <v>#VALUE!</v>
      </c>
      <c r="IM95" t="e">
        <f>AND(Data!G289,"AAAAAHm/Q/Y=")</f>
        <v>#VALUE!</v>
      </c>
      <c r="IN95" t="e">
        <f>AND(Data!H289,"AAAAAHm/Q/c=")</f>
        <v>#VALUE!</v>
      </c>
      <c r="IO95" t="e">
        <f>AND(Data!I289,"AAAAAHm/Q/g=")</f>
        <v>#VALUE!</v>
      </c>
      <c r="IP95" t="e">
        <f>AND(Data!J289,"AAAAAHm/Q/k=")</f>
        <v>#VALUE!</v>
      </c>
      <c r="IQ95" t="e">
        <f>AND(Data!K289,"AAAAAHm/Q/o=")</f>
        <v>#VALUE!</v>
      </c>
      <c r="IR95" t="e">
        <f>AND(Data!L289,"AAAAAHm/Q/s=")</f>
        <v>#VALUE!</v>
      </c>
      <c r="IS95" t="e">
        <f>AND(Data!M289,"AAAAAHm/Q/w=")</f>
        <v>#VALUE!</v>
      </c>
      <c r="IT95" t="e">
        <f>AND(Data!N289,"AAAAAHm/Q/0=")</f>
        <v>#VALUE!</v>
      </c>
      <c r="IU95" t="e">
        <f>AND(Data!O289,"AAAAAHm/Q/4=")</f>
        <v>#VALUE!</v>
      </c>
      <c r="IV95" t="e">
        <f>AND(Data!P289,"AAAAAHm/Q/8=")</f>
        <v>#VALUE!</v>
      </c>
    </row>
    <row r="96" spans="1:256" ht="15" x14ac:dyDescent="0.25">
      <c r="A96" t="e">
        <f>AND(Data!Q289,"AAAAAGd0/wA=")</f>
        <v>#VALUE!</v>
      </c>
      <c r="B96" t="e">
        <f>AND(Data!R289,"AAAAAGd0/wE=")</f>
        <v>#VALUE!</v>
      </c>
      <c r="C96" t="e">
        <f>AND(Data!S289,"AAAAAGd0/wI=")</f>
        <v>#VALUE!</v>
      </c>
      <c r="D96" t="e">
        <f>AND(Data!T289,"AAAAAGd0/wM=")</f>
        <v>#VALUE!</v>
      </c>
      <c r="E96" t="e">
        <f>AND(Data!U289,"AAAAAGd0/wQ=")</f>
        <v>#VALUE!</v>
      </c>
      <c r="F96" t="e">
        <f>AND(Data!V289,"AAAAAGd0/wU=")</f>
        <v>#VALUE!</v>
      </c>
      <c r="G96" t="e">
        <f>AND(Data!W289,"AAAAAGd0/wY=")</f>
        <v>#VALUE!</v>
      </c>
      <c r="H96" t="e">
        <f>AND(Data!X289,"AAAAAGd0/wc=")</f>
        <v>#VALUE!</v>
      </c>
      <c r="I96">
        <f>IF(Data!290:290,"AAAAAGd0/wg=",0)</f>
        <v>0</v>
      </c>
      <c r="J96" t="e">
        <f>AND(Data!A290,"AAAAAGd0/wk=")</f>
        <v>#VALUE!</v>
      </c>
      <c r="K96" t="e">
        <f>AND(Data!B290,"AAAAAGd0/wo=")</f>
        <v>#VALUE!</v>
      </c>
      <c r="L96" t="e">
        <f>AND(Data!C290,"AAAAAGd0/ws=")</f>
        <v>#VALUE!</v>
      </c>
      <c r="M96" t="e">
        <f>AND(Data!D290,"AAAAAGd0/ww=")</f>
        <v>#VALUE!</v>
      </c>
      <c r="N96" t="e">
        <f>AND(Data!E290,"AAAAAGd0/w0=")</f>
        <v>#VALUE!</v>
      </c>
      <c r="O96" t="e">
        <f>AND(Data!F290,"AAAAAGd0/w4=")</f>
        <v>#VALUE!</v>
      </c>
      <c r="P96" t="e">
        <f>AND(Data!G290,"AAAAAGd0/w8=")</f>
        <v>#VALUE!</v>
      </c>
      <c r="Q96" t="e">
        <f>AND(Data!H290,"AAAAAGd0/xA=")</f>
        <v>#VALUE!</v>
      </c>
      <c r="R96" t="e">
        <f>AND(Data!I290,"AAAAAGd0/xE=")</f>
        <v>#VALUE!</v>
      </c>
      <c r="S96" t="e">
        <f>AND(Data!J290,"AAAAAGd0/xI=")</f>
        <v>#VALUE!</v>
      </c>
      <c r="T96" t="e">
        <f>AND(Data!K290,"AAAAAGd0/xM=")</f>
        <v>#VALUE!</v>
      </c>
      <c r="U96" t="e">
        <f>AND(Data!L290,"AAAAAGd0/xQ=")</f>
        <v>#VALUE!</v>
      </c>
      <c r="V96" t="e">
        <f>AND(Data!M290,"AAAAAGd0/xU=")</f>
        <v>#VALUE!</v>
      </c>
      <c r="W96" t="e">
        <f>AND(Data!N290,"AAAAAGd0/xY=")</f>
        <v>#VALUE!</v>
      </c>
      <c r="X96" t="e">
        <f>AND(Data!O290,"AAAAAGd0/xc=")</f>
        <v>#VALUE!</v>
      </c>
      <c r="Y96" t="e">
        <f>AND(Data!P290,"AAAAAGd0/xg=")</f>
        <v>#VALUE!</v>
      </c>
      <c r="Z96" t="e">
        <f>AND(Data!Q290,"AAAAAGd0/xk=")</f>
        <v>#VALUE!</v>
      </c>
      <c r="AA96" t="e">
        <f>AND(Data!R290,"AAAAAGd0/xo=")</f>
        <v>#VALUE!</v>
      </c>
      <c r="AB96" t="e">
        <f>AND(Data!S290,"AAAAAGd0/xs=")</f>
        <v>#VALUE!</v>
      </c>
      <c r="AC96" t="e">
        <f>AND(Data!T290,"AAAAAGd0/xw=")</f>
        <v>#VALUE!</v>
      </c>
      <c r="AD96" t="e">
        <f>AND(Data!U290,"AAAAAGd0/x0=")</f>
        <v>#VALUE!</v>
      </c>
      <c r="AE96" t="e">
        <f>AND(Data!V290,"AAAAAGd0/x4=")</f>
        <v>#VALUE!</v>
      </c>
      <c r="AF96" t="e">
        <f>AND(Data!W290,"AAAAAGd0/x8=")</f>
        <v>#VALUE!</v>
      </c>
      <c r="AG96" t="e">
        <f>AND(Data!X290,"AAAAAGd0/yA=")</f>
        <v>#VALUE!</v>
      </c>
      <c r="AH96">
        <f>IF(Data!291:291,"AAAAAGd0/yE=",0)</f>
        <v>0</v>
      </c>
      <c r="AI96" t="e">
        <f>AND(Data!A291,"AAAAAGd0/yI=")</f>
        <v>#VALUE!</v>
      </c>
      <c r="AJ96" t="e">
        <f>AND(Data!B291,"AAAAAGd0/yM=")</f>
        <v>#VALUE!</v>
      </c>
      <c r="AK96" t="e">
        <f>AND(Data!C291,"AAAAAGd0/yQ=")</f>
        <v>#VALUE!</v>
      </c>
      <c r="AL96" t="e">
        <f>AND(Data!D291,"AAAAAGd0/yU=")</f>
        <v>#VALUE!</v>
      </c>
      <c r="AM96" t="e">
        <f>AND(Data!E291,"AAAAAGd0/yY=")</f>
        <v>#VALUE!</v>
      </c>
      <c r="AN96" t="e">
        <f>AND(Data!F291,"AAAAAGd0/yc=")</f>
        <v>#VALUE!</v>
      </c>
      <c r="AO96" t="e">
        <f>AND(Data!G291,"AAAAAGd0/yg=")</f>
        <v>#VALUE!</v>
      </c>
      <c r="AP96" t="e">
        <f>AND(Data!H291,"AAAAAGd0/yk=")</f>
        <v>#VALUE!</v>
      </c>
      <c r="AQ96" t="e">
        <f>AND(Data!I291,"AAAAAGd0/yo=")</f>
        <v>#VALUE!</v>
      </c>
      <c r="AR96" t="e">
        <f>AND(Data!J291,"AAAAAGd0/ys=")</f>
        <v>#VALUE!</v>
      </c>
      <c r="AS96" t="e">
        <f>AND(Data!K291,"AAAAAGd0/yw=")</f>
        <v>#VALUE!</v>
      </c>
      <c r="AT96" t="e">
        <f>AND(Data!L291,"AAAAAGd0/y0=")</f>
        <v>#VALUE!</v>
      </c>
      <c r="AU96" t="e">
        <f>AND(Data!M291,"AAAAAGd0/y4=")</f>
        <v>#VALUE!</v>
      </c>
      <c r="AV96" t="e">
        <f>AND(Data!N291,"AAAAAGd0/y8=")</f>
        <v>#VALUE!</v>
      </c>
      <c r="AW96" t="e">
        <f>AND(Data!O291,"AAAAAGd0/zA=")</f>
        <v>#VALUE!</v>
      </c>
      <c r="AX96" t="e">
        <f>AND(Data!P291,"AAAAAGd0/zE=")</f>
        <v>#VALUE!</v>
      </c>
      <c r="AY96" t="e">
        <f>AND(Data!Q291,"AAAAAGd0/zI=")</f>
        <v>#VALUE!</v>
      </c>
      <c r="AZ96" t="e">
        <f>AND(Data!R291,"AAAAAGd0/zM=")</f>
        <v>#VALUE!</v>
      </c>
      <c r="BA96" t="e">
        <f>AND(Data!S291,"AAAAAGd0/zQ=")</f>
        <v>#VALUE!</v>
      </c>
      <c r="BB96" t="e">
        <f>AND(Data!T291,"AAAAAGd0/zU=")</f>
        <v>#VALUE!</v>
      </c>
      <c r="BC96" t="e">
        <f>AND(Data!U291,"AAAAAGd0/zY=")</f>
        <v>#VALUE!</v>
      </c>
      <c r="BD96" t="e">
        <f>AND(Data!V291,"AAAAAGd0/zc=")</f>
        <v>#VALUE!</v>
      </c>
      <c r="BE96" t="e">
        <f>AND(Data!W291,"AAAAAGd0/zg=")</f>
        <v>#VALUE!</v>
      </c>
      <c r="BF96" t="e">
        <f>AND(Data!X291,"AAAAAGd0/zk=")</f>
        <v>#VALUE!</v>
      </c>
      <c r="BG96">
        <f>IF(Data!292:292,"AAAAAGd0/zo=",0)</f>
        <v>0</v>
      </c>
      <c r="BH96" t="e">
        <f>AND(Data!A292,"AAAAAGd0/zs=")</f>
        <v>#VALUE!</v>
      </c>
      <c r="BI96" t="e">
        <f>AND(Data!B292,"AAAAAGd0/zw=")</f>
        <v>#VALUE!</v>
      </c>
      <c r="BJ96" t="e">
        <f>AND(Data!C292,"AAAAAGd0/z0=")</f>
        <v>#VALUE!</v>
      </c>
      <c r="BK96" t="e">
        <f>AND(Data!D292,"AAAAAGd0/z4=")</f>
        <v>#VALUE!</v>
      </c>
      <c r="BL96" t="e">
        <f>AND(Data!E292,"AAAAAGd0/z8=")</f>
        <v>#VALUE!</v>
      </c>
      <c r="BM96" t="e">
        <f>AND(Data!F292,"AAAAAGd0/0A=")</f>
        <v>#VALUE!</v>
      </c>
      <c r="BN96" t="e">
        <f>AND(Data!G292,"AAAAAGd0/0E=")</f>
        <v>#VALUE!</v>
      </c>
      <c r="BO96" t="e">
        <f>AND(Data!H292,"AAAAAGd0/0I=")</f>
        <v>#VALUE!</v>
      </c>
      <c r="BP96" t="e">
        <f>AND(Data!I292,"AAAAAGd0/0M=")</f>
        <v>#VALUE!</v>
      </c>
      <c r="BQ96" t="e">
        <f>AND(Data!J292,"AAAAAGd0/0Q=")</f>
        <v>#VALUE!</v>
      </c>
      <c r="BR96" t="e">
        <f>AND(Data!K292,"AAAAAGd0/0U=")</f>
        <v>#VALUE!</v>
      </c>
      <c r="BS96" t="e">
        <f>AND(Data!L292,"AAAAAGd0/0Y=")</f>
        <v>#VALUE!</v>
      </c>
      <c r="BT96" t="e">
        <f>AND(Data!M292,"AAAAAGd0/0c=")</f>
        <v>#VALUE!</v>
      </c>
      <c r="BU96" t="e">
        <f>AND(Data!N292,"AAAAAGd0/0g=")</f>
        <v>#VALUE!</v>
      </c>
      <c r="BV96" t="e">
        <f>AND(Data!O292,"AAAAAGd0/0k=")</f>
        <v>#VALUE!</v>
      </c>
      <c r="BW96" t="e">
        <f>AND(Data!P292,"AAAAAGd0/0o=")</f>
        <v>#VALUE!</v>
      </c>
      <c r="BX96" t="e">
        <f>AND(Data!Q292,"AAAAAGd0/0s=")</f>
        <v>#VALUE!</v>
      </c>
      <c r="BY96" t="e">
        <f>AND(Data!R292,"AAAAAGd0/0w=")</f>
        <v>#VALUE!</v>
      </c>
      <c r="BZ96" t="e">
        <f>AND(Data!S292,"AAAAAGd0/00=")</f>
        <v>#VALUE!</v>
      </c>
      <c r="CA96" t="e">
        <f>AND(Data!T292,"AAAAAGd0/04=")</f>
        <v>#VALUE!</v>
      </c>
      <c r="CB96" t="e">
        <f>AND(Data!U292,"AAAAAGd0/08=")</f>
        <v>#VALUE!</v>
      </c>
      <c r="CC96" t="e">
        <f>AND(Data!V292,"AAAAAGd0/1A=")</f>
        <v>#VALUE!</v>
      </c>
      <c r="CD96" t="e">
        <f>AND(Data!W292,"AAAAAGd0/1E=")</f>
        <v>#VALUE!</v>
      </c>
      <c r="CE96" t="e">
        <f>AND(Data!X292,"AAAAAGd0/1I=")</f>
        <v>#VALUE!</v>
      </c>
      <c r="CF96">
        <f>IF(Data!293:293,"AAAAAGd0/1M=",0)</f>
        <v>0</v>
      </c>
      <c r="CG96" t="e">
        <f>AND(Data!A293,"AAAAAGd0/1Q=")</f>
        <v>#VALUE!</v>
      </c>
      <c r="CH96" t="e">
        <f>AND(Data!B293,"AAAAAGd0/1U=")</f>
        <v>#VALUE!</v>
      </c>
      <c r="CI96" t="e">
        <f>AND(Data!C293,"AAAAAGd0/1Y=")</f>
        <v>#VALUE!</v>
      </c>
      <c r="CJ96" t="e">
        <f>AND(Data!D293,"AAAAAGd0/1c=")</f>
        <v>#VALUE!</v>
      </c>
      <c r="CK96" t="e">
        <f>AND(Data!E293,"AAAAAGd0/1g=")</f>
        <v>#VALUE!</v>
      </c>
      <c r="CL96" t="e">
        <f>AND(Data!F293,"AAAAAGd0/1k=")</f>
        <v>#VALUE!</v>
      </c>
      <c r="CM96" t="e">
        <f>AND(Data!G293,"AAAAAGd0/1o=")</f>
        <v>#VALUE!</v>
      </c>
      <c r="CN96" t="e">
        <f>AND(Data!H293,"AAAAAGd0/1s=")</f>
        <v>#VALUE!</v>
      </c>
      <c r="CO96" t="e">
        <f>AND(Data!I293,"AAAAAGd0/1w=")</f>
        <v>#VALUE!</v>
      </c>
      <c r="CP96" t="e">
        <f>AND(Data!J293,"AAAAAGd0/10=")</f>
        <v>#VALUE!</v>
      </c>
      <c r="CQ96" t="e">
        <f>AND(Data!K293,"AAAAAGd0/14=")</f>
        <v>#VALUE!</v>
      </c>
      <c r="CR96" t="e">
        <f>AND(Data!L293,"AAAAAGd0/18=")</f>
        <v>#VALUE!</v>
      </c>
      <c r="CS96" t="e">
        <f>AND(Data!M293,"AAAAAGd0/2A=")</f>
        <v>#VALUE!</v>
      </c>
      <c r="CT96" t="e">
        <f>AND(Data!N293,"AAAAAGd0/2E=")</f>
        <v>#VALUE!</v>
      </c>
      <c r="CU96" t="e">
        <f>AND(Data!O293,"AAAAAGd0/2I=")</f>
        <v>#VALUE!</v>
      </c>
      <c r="CV96" t="e">
        <f>AND(Data!P293,"AAAAAGd0/2M=")</f>
        <v>#VALUE!</v>
      </c>
      <c r="CW96" t="e">
        <f>AND(Data!Q293,"AAAAAGd0/2Q=")</f>
        <v>#VALUE!</v>
      </c>
      <c r="CX96" t="e">
        <f>AND(Data!R293,"AAAAAGd0/2U=")</f>
        <v>#VALUE!</v>
      </c>
      <c r="CY96" t="e">
        <f>AND(Data!S293,"AAAAAGd0/2Y=")</f>
        <v>#VALUE!</v>
      </c>
      <c r="CZ96" t="e">
        <f>AND(Data!T293,"AAAAAGd0/2c=")</f>
        <v>#VALUE!</v>
      </c>
      <c r="DA96" t="e">
        <f>AND(Data!U293,"AAAAAGd0/2g=")</f>
        <v>#VALUE!</v>
      </c>
      <c r="DB96" t="e">
        <f>AND(Data!V293,"AAAAAGd0/2k=")</f>
        <v>#VALUE!</v>
      </c>
      <c r="DC96" t="e">
        <f>AND(Data!W293,"AAAAAGd0/2o=")</f>
        <v>#VALUE!</v>
      </c>
      <c r="DD96" t="e">
        <f>AND(Data!X293,"AAAAAGd0/2s=")</f>
        <v>#VALUE!</v>
      </c>
      <c r="DE96">
        <f>IF(Data!294:294,"AAAAAGd0/2w=",0)</f>
        <v>0</v>
      </c>
      <c r="DF96">
        <f>IF(Data!295:295,"AAAAAGd0/20=",0)</f>
        <v>0</v>
      </c>
      <c r="DG96">
        <f>IF(Data!296:296,"AAAAAGd0/24=",0)</f>
        <v>0</v>
      </c>
      <c r="DH96">
        <f>IF(Data!297:297,"AAAAAGd0/28=",0)</f>
        <v>0</v>
      </c>
      <c r="DI96">
        <f>IF(Data!298:298,"AAAAAGd0/3A=",0)</f>
        <v>0</v>
      </c>
      <c r="DJ96">
        <f>IF(Data!299:299,"AAAAAGd0/3E=",0)</f>
        <v>0</v>
      </c>
      <c r="DK96">
        <f>IF(Data!300:300,"AAAAAGd0/3I=",0)</f>
        <v>0</v>
      </c>
      <c r="DL96">
        <f>IF(Data!301:301,"AAAAAGd0/3M=",0)</f>
        <v>0</v>
      </c>
      <c r="DM96">
        <f>IF(Data!302:302,"AAAAAGd0/3Q=",0)</f>
        <v>0</v>
      </c>
      <c r="DN96">
        <f>IF(Data!303:303,"AAAAAGd0/3U=",0)</f>
        <v>0</v>
      </c>
      <c r="DO96">
        <f>IF(Data!304:304,"AAAAAGd0/3Y=",0)</f>
        <v>0</v>
      </c>
      <c r="DP96">
        <f>IF(Data!305:305,"AAAAAGd0/3c=",0)</f>
        <v>0</v>
      </c>
      <c r="DQ96">
        <f>IF(Data!306:306,"AAAAAGd0/3g=",0)</f>
        <v>0</v>
      </c>
      <c r="DR96">
        <f>IF(Data!307:307,"AAAAAGd0/3k=",0)</f>
        <v>0</v>
      </c>
      <c r="DS96">
        <f>IF(Data!308:308,"AAAAAGd0/3o=",0)</f>
        <v>0</v>
      </c>
      <c r="DT96">
        <f>IF(Data!309:309,"AAAAAGd0/3s=",0)</f>
        <v>0</v>
      </c>
      <c r="DU96">
        <f>IF(Data!310:310,"AAAAAGd0/3w=",0)</f>
        <v>0</v>
      </c>
      <c r="DV96">
        <f>IF(Data!311:311,"AAAAAGd0/30=",0)</f>
        <v>0</v>
      </c>
      <c r="DW96">
        <f>IF(Data!312:312,"AAAAAGd0/34=",0)</f>
        <v>0</v>
      </c>
      <c r="DX96">
        <f>IF(Data!313:313,"AAAAAGd0/38=",0)</f>
        <v>0</v>
      </c>
      <c r="DY96">
        <f>IF(Data!314:314,"AAAAAGd0/4A=",0)</f>
        <v>0</v>
      </c>
      <c r="DZ96">
        <f>IF(Data!315:315,"AAAAAGd0/4E=",0)</f>
        <v>0</v>
      </c>
      <c r="EA96">
        <f>IF(Data!316:316,"AAAAAGd0/4I=",0)</f>
        <v>0</v>
      </c>
      <c r="EB96">
        <f>IF(Data!317:317,"AAAAAGd0/4M=",0)</f>
        <v>0</v>
      </c>
      <c r="EC96">
        <f>IF(Data!318:318,"AAAAAGd0/4Q=",0)</f>
        <v>0</v>
      </c>
      <c r="ED96">
        <f>IF(Data!319:319,"AAAAAGd0/4U=",0)</f>
        <v>0</v>
      </c>
      <c r="EE96">
        <f>IF(Data!320:320,"AAAAAGd0/4Y=",0)</f>
        <v>0</v>
      </c>
      <c r="EF96">
        <f>IF(Data!321:321,"AAAAAGd0/4c=",0)</f>
        <v>0</v>
      </c>
      <c r="EG96">
        <f>IF(Data!322:322,"AAAAAGd0/4g=",0)</f>
        <v>0</v>
      </c>
      <c r="EH96">
        <f>IF(Data!323:323,"AAAAAGd0/4k=",0)</f>
        <v>0</v>
      </c>
      <c r="EI96">
        <f>IF(Data!324:324,"AAAAAGd0/4o=",0)</f>
        <v>0</v>
      </c>
      <c r="EJ96">
        <f>IF(Data!325:325,"AAAAAGd0/4s=",0)</f>
        <v>0</v>
      </c>
      <c r="EK96">
        <f>IF(Data!326:326,"AAAAAGd0/4w=",0)</f>
        <v>0</v>
      </c>
      <c r="EL96">
        <f>IF(Data!327:327,"AAAAAGd0/40=",0)</f>
        <v>0</v>
      </c>
      <c r="EM96">
        <f>IF(Data!328:328,"AAAAAGd0/44=",0)</f>
        <v>0</v>
      </c>
      <c r="EN96">
        <f>IF(Data!329:329,"AAAAAGd0/48=",0)</f>
        <v>0</v>
      </c>
      <c r="EO96">
        <f>IF(Data!330:330,"AAAAAGd0/5A=",0)</f>
        <v>0</v>
      </c>
      <c r="EP96">
        <f>IF(Data!331:331,"AAAAAGd0/5E=",0)</f>
        <v>0</v>
      </c>
      <c r="EQ96">
        <f>IF(Data!332:332,"AAAAAGd0/5I=",0)</f>
        <v>0</v>
      </c>
      <c r="ER96">
        <f>IF(Data!333:333,"AAAAAGd0/5M=",0)</f>
        <v>0</v>
      </c>
      <c r="ES96">
        <f>IF(Data!334:334,"AAAAAGd0/5Q=",0)</f>
        <v>0</v>
      </c>
      <c r="ET96">
        <f>IF(Data!335:335,"AAAAAGd0/5U=",0)</f>
        <v>0</v>
      </c>
      <c r="EU96">
        <f>IF(Data!336:336,"AAAAAGd0/5Y=",0)</f>
        <v>0</v>
      </c>
      <c r="EV96">
        <f>IF(Data!337:337,"AAAAAGd0/5c=",0)</f>
        <v>0</v>
      </c>
      <c r="EW96">
        <f>IF(Data!338:338,"AAAAAGd0/5g=",0)</f>
        <v>0</v>
      </c>
      <c r="EX96">
        <f>IF(Data!339:339,"AAAAAGd0/5k=",0)</f>
        <v>0</v>
      </c>
      <c r="EY96">
        <f>IF(Data!340:340,"AAAAAGd0/5o=",0)</f>
        <v>0</v>
      </c>
      <c r="EZ96">
        <f>IF(Data!341:341,"AAAAAGd0/5s=",0)</f>
        <v>0</v>
      </c>
      <c r="FA96">
        <f>IF(Data!342:342,"AAAAAGd0/5w=",0)</f>
        <v>0</v>
      </c>
      <c r="FB96">
        <f>IF(Data!343:343,"AAAAAGd0/50=",0)</f>
        <v>0</v>
      </c>
      <c r="FC96">
        <f>IF(Data!344:344,"AAAAAGd0/54=",0)</f>
        <v>0</v>
      </c>
      <c r="FD96">
        <f>IF(Data!345:345,"AAAAAGd0/58=",0)</f>
        <v>0</v>
      </c>
      <c r="FE96">
        <f>IF(Data!346:346,"AAAAAGd0/6A=",0)</f>
        <v>0</v>
      </c>
      <c r="FF96">
        <f>IF(Data!347:347,"AAAAAGd0/6E=",0)</f>
        <v>0</v>
      </c>
      <c r="FG96">
        <f>IF(Data!348:348,"AAAAAGd0/6I=",0)</f>
        <v>0</v>
      </c>
      <c r="FH96">
        <f>IF(Data!349:349,"AAAAAGd0/6M=",0)</f>
        <v>0</v>
      </c>
      <c r="FI96">
        <f>IF(Data!350:350,"AAAAAGd0/6Q=",0)</f>
        <v>0</v>
      </c>
      <c r="FJ96">
        <f>IF(Data!351:351,"AAAAAGd0/6U=",0)</f>
        <v>0</v>
      </c>
      <c r="FK96">
        <f>IF(Data!352:352,"AAAAAGd0/6Y=",0)</f>
        <v>0</v>
      </c>
      <c r="FL96">
        <f>IF(Data!353:353,"AAAAAGd0/6c=",0)</f>
        <v>0</v>
      </c>
      <c r="FM96">
        <f>IF(Data!354:354,"AAAAAGd0/6g=",0)</f>
        <v>0</v>
      </c>
      <c r="FN96">
        <f>IF(Data!355:355,"AAAAAGd0/6k=",0)</f>
        <v>0</v>
      </c>
      <c r="FO96">
        <f>IF(Data!356:356,"AAAAAGd0/6o=",0)</f>
        <v>0</v>
      </c>
      <c r="FP96">
        <f>IF(Data!357:357,"AAAAAGd0/6s=",0)</f>
        <v>0</v>
      </c>
      <c r="FQ96">
        <f>IF(Data!358:358,"AAAAAGd0/6w=",0)</f>
        <v>0</v>
      </c>
      <c r="FR96">
        <f>IF(Data!359:359,"AAAAAGd0/60=",0)</f>
        <v>0</v>
      </c>
      <c r="FS96">
        <f>IF(Data!360:360,"AAAAAGd0/64=",0)</f>
        <v>0</v>
      </c>
      <c r="FT96">
        <f>IF(Data!361:361,"AAAAAGd0/68=",0)</f>
        <v>0</v>
      </c>
      <c r="FU96">
        <f>IF(Data!362:362,"AAAAAGd0/7A=",0)</f>
        <v>0</v>
      </c>
      <c r="FV96">
        <f>IF(Data!363:363,"AAAAAGd0/7E=",0)</f>
        <v>0</v>
      </c>
      <c r="FW96">
        <f>IF(Data!364:364,"AAAAAGd0/7I=",0)</f>
        <v>0</v>
      </c>
      <c r="FX96">
        <f>IF(Data!365:365,"AAAAAGd0/7M=",0)</f>
        <v>0</v>
      </c>
      <c r="FY96">
        <f>IF(Data!366:366,"AAAAAGd0/7Q=",0)</f>
        <v>0</v>
      </c>
      <c r="FZ96">
        <f>IF(Data!367:367,"AAAAAGd0/7U=",0)</f>
        <v>0</v>
      </c>
      <c r="GA96">
        <f>IF(Data!368:368,"AAAAAGd0/7Y=",0)</f>
        <v>0</v>
      </c>
      <c r="GB96">
        <f>IF(Data!369:369,"AAAAAGd0/7c=",0)</f>
        <v>0</v>
      </c>
      <c r="GC96">
        <f>IF(Data!370:370,"AAAAAGd0/7g=",0)</f>
        <v>0</v>
      </c>
      <c r="GD96">
        <f>IF(Data!371:371,"AAAAAGd0/7k=",0)</f>
        <v>0</v>
      </c>
      <c r="GE96">
        <f>IF(Data!372:372,"AAAAAGd0/7o=",0)</f>
        <v>0</v>
      </c>
      <c r="GF96">
        <f>IF(Data!373:373,"AAAAAGd0/7s=",0)</f>
        <v>0</v>
      </c>
      <c r="GG96">
        <f>IF(Data!374:374,"AAAAAGd0/7w=",0)</f>
        <v>0</v>
      </c>
      <c r="GH96">
        <f>IF(Data!375:375,"AAAAAGd0/70=",0)</f>
        <v>0</v>
      </c>
      <c r="GI96">
        <f>IF(Data!376:376,"AAAAAGd0/74=",0)</f>
        <v>0</v>
      </c>
      <c r="GJ96">
        <f>IF(Data!377:377,"AAAAAGd0/78=",0)</f>
        <v>0</v>
      </c>
      <c r="GK96">
        <f>IF(Data!378:378,"AAAAAGd0/8A=",0)</f>
        <v>0</v>
      </c>
      <c r="GL96">
        <f>IF(Data!379:379,"AAAAAGd0/8E=",0)</f>
        <v>0</v>
      </c>
      <c r="GM96">
        <f>IF(Data!380:380,"AAAAAGd0/8I=",0)</f>
        <v>0</v>
      </c>
      <c r="GN96">
        <f>IF(Data!381:381,"AAAAAGd0/8M=",0)</f>
        <v>0</v>
      </c>
      <c r="GO96">
        <f>IF(Data!382:382,"AAAAAGd0/8Q=",0)</f>
        <v>0</v>
      </c>
      <c r="GP96">
        <f>IF(Data!383:383,"AAAAAGd0/8U=",0)</f>
        <v>0</v>
      </c>
      <c r="GQ96">
        <f>IF(Data!384:384,"AAAAAGd0/8Y=",0)</f>
        <v>0</v>
      </c>
      <c r="GR96">
        <f>IF(Data!385:385,"AAAAAGd0/8c=",0)</f>
        <v>0</v>
      </c>
      <c r="GS96">
        <f>IF(Data!386:386,"AAAAAGd0/8g=",0)</f>
        <v>0</v>
      </c>
      <c r="GT96">
        <f>IF(Data!387:387,"AAAAAGd0/8k=",0)</f>
        <v>0</v>
      </c>
      <c r="GU96">
        <f>IF(Data!388:388,"AAAAAGd0/8o=",0)</f>
        <v>0</v>
      </c>
      <c r="GV96">
        <f>IF(Data!389:389,"AAAAAGd0/8s=",0)</f>
        <v>0</v>
      </c>
      <c r="GW96">
        <f>IF(Data!390:390,"AAAAAGd0/8w=",0)</f>
        <v>0</v>
      </c>
      <c r="GX96">
        <f>IF(Data!391:391,"AAAAAGd0/80=",0)</f>
        <v>0</v>
      </c>
      <c r="GY96">
        <f>IF(Data!392:392,"AAAAAGd0/84=",0)</f>
        <v>0</v>
      </c>
      <c r="GZ96">
        <f>IF(Data!393:393,"AAAAAGd0/88=",0)</f>
        <v>0</v>
      </c>
      <c r="HA96" t="str">
        <f>IF(Data!A:A,"AAAAAGd0/9A=",0)</f>
        <v>AAAAAGd0/9A=</v>
      </c>
      <c r="HB96" t="str">
        <f>IF(Data!B:B,"AAAAAGd0/9E=",0)</f>
        <v>AAAAAGd0/9E=</v>
      </c>
      <c r="HC96" t="str">
        <f>IF(Data!C:C,"AAAAAGd0/9I=",0)</f>
        <v>AAAAAGd0/9I=</v>
      </c>
      <c r="HD96">
        <f>IF(Data!D:D,"AAAAAGd0/9M=",0)</f>
        <v>0</v>
      </c>
      <c r="HE96">
        <f>IF(Data!E:E,"AAAAAGd0/9Q=",0)</f>
        <v>0</v>
      </c>
      <c r="HF96">
        <f>IF(Data!F:F,"AAAAAGd0/9U=",0)</f>
        <v>0</v>
      </c>
      <c r="HG96" t="e">
        <f>IF(Data!G:G,"AAAAAGd0/9Y=",0)</f>
        <v>#VALUE!</v>
      </c>
      <c r="HH96" t="str">
        <f>IF(Data!H:H,"AAAAAGd0/9c=",0)</f>
        <v>AAAAAGd0/9c=</v>
      </c>
      <c r="HI96" t="str">
        <f>IF(Data!I:I,"AAAAAGd0/9g=",0)</f>
        <v>AAAAAGd0/9g=</v>
      </c>
      <c r="HJ96" t="str">
        <f>IF(Data!J:J,"AAAAAGd0/9k=",0)</f>
        <v>AAAAAGd0/9k=</v>
      </c>
      <c r="HK96">
        <f>IF(Data!K:K,"AAAAAGd0/9o=",0)</f>
        <v>0</v>
      </c>
      <c r="HL96">
        <f>IF(Data!L:L,"AAAAAGd0/9s=",0)</f>
        <v>0</v>
      </c>
      <c r="HM96" t="e">
        <f>IF(Data!M:M,"AAAAAGd0/9w=",0)</f>
        <v>#VALUE!</v>
      </c>
      <c r="HN96" t="str">
        <f>IF(Data!N:N,"AAAAAGd0/90=",0)</f>
        <v>AAAAAGd0/90=</v>
      </c>
      <c r="HO96" t="e">
        <f>IF(Data!O:O,"AAAAAGd0/94=",0)</f>
        <v>#VALUE!</v>
      </c>
      <c r="HP96" t="e">
        <f>IF(Data!P:P,"AAAAAGd0/98=",0)</f>
        <v>#VALUE!</v>
      </c>
      <c r="HQ96" t="e">
        <f>IF(Data!Q:Q,"AAAAAGd0/+A=",0)</f>
        <v>#VALUE!</v>
      </c>
      <c r="HR96" t="e">
        <f>IF(Data!R:R,"AAAAAGd0/+E=",0)</f>
        <v>#VALUE!</v>
      </c>
      <c r="HS96" t="e">
        <f>IF(Data!S:S,"AAAAAGd0/+I=",0)</f>
        <v>#VALUE!</v>
      </c>
      <c r="HT96">
        <f>IF(Data!T:T,"AAAAAGd0/+M=",0)</f>
        <v>0</v>
      </c>
      <c r="HU96">
        <f>IF(Data!U:U,"AAAAAGd0/+Q=",0)</f>
        <v>0</v>
      </c>
      <c r="HV96">
        <f>IF(Data!V:V,"AAAAAGd0/+U=",0)</f>
        <v>0</v>
      </c>
      <c r="HW96">
        <f>IF(Data!W:W,"AAAAAGd0/+Y=",0)</f>
        <v>0</v>
      </c>
      <c r="HX96">
        <f>IF(Data!X:X,"AAAAAGd0/+c=",0)</f>
        <v>0</v>
      </c>
      <c r="HY96" s="147" t="s">
        <v>349</v>
      </c>
      <c r="HZ96" t="s">
        <v>350</v>
      </c>
      <c r="IA96" s="145" t="s">
        <v>351</v>
      </c>
      <c r="IB96" t="e">
        <f>IF("N",Data!_xlnm._FilterDatabase,"AAAAAGd0/+s=")</f>
        <v>#VALUE!</v>
      </c>
      <c r="IC96" t="e">
        <f>IF("N",'Data Analysis'!_xlnm._FilterDatabase,"AAAAAGd0/+w=")</f>
        <v>#VALUE!</v>
      </c>
      <c r="ID96" t="e">
        <f>IF("N",'Match Prediction Analysis'!_xlnm._FilterDatabase,"AAAAAGd0/+0=")</f>
        <v>#VALUE!</v>
      </c>
      <c r="IE96" t="e">
        <f>IF("N",'Pick List'!_xlnm._FilterDatabase,"AAAAAGd0/+4=")</f>
        <v>#VALUE!</v>
      </c>
      <c r="IF96" t="e">
        <f>IF("N",'Qualification And AFSS'!_xlnm._FilterDatabase,"AAAAAGd0/+8=")</f>
        <v>#VALUE!</v>
      </c>
      <c r="IG96" t="e">
        <f>IF("N",'Scout Data Input'!_xlnm._FilterDatabase,"AAAAAGd0//A=")</f>
        <v>#VALUE!</v>
      </c>
      <c r="IH96" t="e">
        <f>IF("N",Data!_xlnm.Extract,"AAAAAGd0//E=")</f>
        <v>#VALUE!</v>
      </c>
      <c r="II96" t="e">
        <f>IF("N",'Scout Data Input'!_xlnm.Extract,"AAAAAGd0//I=")</f>
        <v>#VALUE!</v>
      </c>
      <c r="IJ96" t="e">
        <f>IF("N",name,"AAAAAGd0//M=")</f>
        <v>#VALUE!</v>
      </c>
      <c r="IK96" t="e">
        <f>IF("N",'Printable Sheets'!_xlnm.Print_Area,"AAAAAGd0//Q=")</f>
        <v>#VALUE!</v>
      </c>
      <c r="IL96" t="e">
        <f>IF("N",'Team Template'!TeamList,"AAAAAGd0//U=")</f>
        <v>#VALUE!</v>
      </c>
    </row>
  </sheetData>
  <sheetProtection password="917C" sheet="1" objects="1" scenarios="1" sort="0" autoFilter="0"/>
  <pageMargins left="0.7" right="0.7" top="0.75" bottom="0.75" header="0.3" footer="0.3"/>
  <customProperties>
    <customPr name="DVSECTIONID" r:id="rId1"/>
  </customPropertie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2.75" x14ac:dyDescent="0.2"/>
  <sheetData/>
  <sheetProtection password="917C" sheet="1" objects="1" scenarios="1" sort="0" autoFilter="0"/>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5</vt:i4>
      </vt:variant>
    </vt:vector>
  </HeadingPairs>
  <TitlesOfParts>
    <vt:vector size="16" baseType="lpstr">
      <vt:lpstr>Instructions</vt:lpstr>
      <vt:lpstr>Printable Sheets</vt:lpstr>
      <vt:lpstr>Scout Data Input</vt:lpstr>
      <vt:lpstr>Team Template</vt:lpstr>
      <vt:lpstr>Data Analysis</vt:lpstr>
      <vt:lpstr>Match Prediction Analysis</vt:lpstr>
      <vt:lpstr>Qualification And AFSS</vt:lpstr>
      <vt:lpstr>Final Alliance Potential</vt:lpstr>
      <vt:lpstr>Pick List</vt:lpstr>
      <vt:lpstr>Data</vt:lpstr>
      <vt:lpstr>Sheet1</vt:lpstr>
      <vt:lpstr>Data!Extract</vt:lpstr>
      <vt:lpstr>'Scout Data Input'!Extract</vt:lpstr>
      <vt:lpstr>name</vt:lpstr>
      <vt:lpstr>'Printable Sheets'!Print_Area</vt:lpstr>
      <vt:lpstr>'Team Template'!TeamList</vt:lpstr>
    </vt:vector>
  </TitlesOfParts>
  <Company>Electric Boat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Matthew Conto</cp:lastModifiedBy>
  <cp:lastPrinted>2011-02-22T13:34:43Z</cp:lastPrinted>
  <dcterms:created xsi:type="dcterms:W3CDTF">2011-01-31T13:30:18Z</dcterms:created>
  <dcterms:modified xsi:type="dcterms:W3CDTF">2011-03-26T16:22:25Z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Google.Documents.DocumentId">
    <vt:lpwstr>1YAv-z6oNoo3PK9mo2dbrcc65gRE-n5JEhP7rBc5yr1s</vt:lpwstr>
  </property>
  <property fmtid="{D5CDD505-2E9C-101B-9397-08002B2CF9AE}" pid="3" name="Google.Documents.RevisionId">
    <vt:lpwstr>08906299857573729956</vt:lpwstr>
  </property>
  <property fmtid="{D5CDD505-2E9C-101B-9397-08002B2CF9AE}" pid="4" name="Google.Documents.PreviousRevisionId">
    <vt:lpwstr>02332790021367508789</vt:lpwstr>
  </property>
  <property fmtid="{D5CDD505-2E9C-101B-9397-08002B2CF9AE}" pid="5" name="Google.Documents.PluginVersion">
    <vt:lpwstr>2.0.1974.7364</vt:lpwstr>
  </property>
  <property fmtid="{D5CDD505-2E9C-101B-9397-08002B2CF9AE}" pid="6" name="Google.Documents.MergeIncapabilityFlags">
    <vt:i4>0</vt:i4>
  </property>
  <property fmtid="{D5CDD505-2E9C-101B-9397-08002B2CF9AE}" pid="7" name="Google.Documents.Tracking">
    <vt:lpwstr>false</vt:lpwstr>
  </property>
</Properties>
</file>